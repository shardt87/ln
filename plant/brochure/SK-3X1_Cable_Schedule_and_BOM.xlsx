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Cable Schedule" sheetId="2" state="visible" r:id="rId2"/>
    <sheet name="Cable BOM" sheetId="3" state="visible" r:id="rId3"/>
    <sheet name="Accessories" sheetId="4" state="visible" r:id="rId4"/>
    <sheet name="Summary" sheetId="5" state="visible" r:id="rId5"/>
    <sheet name="Load List" sheetId="6" state="visible" r:id="rId6"/>
  </sheets>
  <definedNames>
    <definedName name="_xlnm._FilterDatabase" localSheetId="1" hidden="1">'Cable Schedule'!$A$1:$Z$2577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3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0000FF"/>
    </font>
    <font>
      <name val="Arial"/>
      <b val="1"/>
    </font>
    <font>
      <name val="Arial"/>
      <b val="1"/>
      <color rgb="00FFFFFF"/>
      <sz val="9"/>
    </font>
    <font>
      <name val="Arial"/>
      <sz val="9"/>
    </font>
    <font>
      <name val="Arial"/>
      <color rgb="00008000"/>
      <sz val="9"/>
    </font>
    <font>
      <name val="Arial"/>
      <color rgb="000000FF"/>
      <sz val="9"/>
    </font>
    <font>
      <name val="Arial"/>
      <i val="1"/>
      <sz val="9"/>
    </font>
    <font>
      <name val="Arial"/>
      <b val="1"/>
      <sz val="11"/>
    </font>
    <font>
      <name val="Arial"/>
      <b val="1"/>
      <sz val="9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2A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9" fontId="4" fillId="2" borderId="0" pivotButton="0" quotePrefix="0" xfId="0"/>
    <xf numFmtId="0" fontId="4" fillId="2" borderId="0" pivotButton="0" quotePrefix="0" xfId="0"/>
    <xf numFmtId="0" fontId="5" fillId="0" borderId="0" applyAlignment="1" pivotButton="0" quotePrefix="0" xfId="0">
      <alignment vertical="top" wrapText="1"/>
    </xf>
    <xf numFmtId="0" fontId="6" fillId="3" borderId="0" applyAlignment="1" pivotButton="0" quotePrefix="0" xfId="0">
      <alignment vertical="center" wrapText="1"/>
    </xf>
    <xf numFmtId="0" fontId="7" fillId="0" borderId="0" pivotButton="0" quotePrefix="0" xfId="0"/>
    <xf numFmtId="3" fontId="7" fillId="0" borderId="0" pivotButton="0" quotePrefix="0" xfId="0"/>
    <xf numFmtId="0" fontId="8" fillId="0" borderId="0" pivotButton="0" quotePrefix="0" xfId="0"/>
    <xf numFmtId="3" fontId="8" fillId="0" borderId="0" pivotButton="0" quotePrefix="0" xfId="0"/>
    <xf numFmtId="9" fontId="8" fillId="0" borderId="0" pivotButton="0" quotePrefix="0" xfId="0"/>
    <xf numFmtId="3" fontId="9" fillId="0" borderId="0" pivotButton="0" quotePrefix="0" xfId="0"/>
    <xf numFmtId="164" fontId="7" fillId="0" borderId="0" pivotButton="0" quotePrefix="0" xfId="0"/>
    <xf numFmtId="0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0" fontId="10" fillId="0" borderId="0" pivotButton="0" quotePrefix="0" xfId="0"/>
    <xf numFmtId="0" fontId="6" fillId="3" borderId="0" pivotButton="0" quotePrefix="0" xfId="0"/>
    <xf numFmtId="0" fontId="11" fillId="0" borderId="0" pivotButton="0" quotePrefix="0" xfId="0"/>
    <xf numFmtId="0" fontId="6" fillId="3" borderId="0" applyAlignment="1" pivotButton="0" quotePrefix="0" xfId="0">
      <alignment wrapText="1"/>
    </xf>
    <xf numFmtId="3" fontId="12" fillId="0" borderId="0" pivotButton="0" quotePrefix="0" xfId="0"/>
    <xf numFmtId="164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120" customWidth="1" min="1" max="1"/>
    <col width="10" customWidth="1" min="2" max="2"/>
    <col width="45" customWidth="1" min="3" max="3"/>
  </cols>
  <sheetData>
    <row r="1">
      <c r="A1" s="1" t="inlineStr">
        <is>
          <t>SK-3X1 Rev 14 gas power campus: cable schedule and cable bill of materials</t>
        </is>
      </c>
    </row>
    <row r="2">
      <c r="A2" s="2" t="inlineStr">
        <is>
          <t>Conceptual, derived from the SK-3X1 3D model. Not engineered, not for construction or procurement.</t>
        </is>
      </c>
    </row>
    <row r="3">
      <c r="A3" s="2" t="inlineStr"/>
    </row>
    <row r="4">
      <c r="A4" s="3" t="inlineStr">
        <is>
          <t>How it was built</t>
        </is>
      </c>
    </row>
    <row r="5">
      <c r="A5" s="2" t="inlineStr">
        <is>
          <t>1. Every powered item of the model (417 items, BTM data-centre option excluded) is matched to an equipment class that gives its power circuits (voltage, typical rating, source bus) and its control, instrumentation, fire-alarm and fibre cables. Ratings are typical for the class unless the drawing states one.</t>
        </is>
      </c>
    </row>
    <row r="6">
      <c r="A6" s="2" t="inlineStr">
        <is>
          <t>2. Lengths follow the model's electrical routes (trays, duct banks, buried / surface cable, trenches) as a graph: shortest path source to load, plus drops and vertical transitions. 230 kV circuits, overhead conductors and the ground grid are measured directly from the model.</t>
        </is>
      </c>
    </row>
    <row r="7">
      <c r="A7" s="2" t="inlineStr">
        <is>
          <t>3. Sizes: ampacity at 125 % of full-load current (NEC 310.16 75 C Cu for 600 V; typical ICEA values for MV-105), 3 % voltage drop at 480 V, parallel sets above 500 kcmil (LV) / 1000 kcmil (MV).</t>
        </is>
      </c>
    </row>
    <row r="8">
      <c r="A8" s="2" t="inlineStr">
        <is>
          <t>4. Products are typical Southwire families for each application; confirm constructions, sizes and listings against current Southwire specifications.</t>
        </is>
      </c>
    </row>
    <row r="9">
      <c r="A9" s="2" t="inlineStr"/>
    </row>
    <row r="10">
      <c r="A10" s="2" t="inlineStr">
        <is>
          <t>5. 116 of 2576 runs could not follow a modelled route (Route type 'Estimated'): L-shaped length between the items plus 40 ft.</t>
        </is>
      </c>
    </row>
    <row r="11">
      <c r="A11" s="3" t="inlineStr">
        <is>
          <t>Inputs (blue, yellow cells; every length and quantity recalculates)</t>
        </is>
      </c>
    </row>
    <row r="12">
      <c r="A12" s="4" t="inlineStr">
        <is>
          <t>Routing slack (training, sag, cutting)</t>
        </is>
      </c>
      <c r="B12" s="5" t="n">
        <v>0.1</v>
      </c>
      <c r="C12" t="inlineStr">
        <is>
          <t>Source: typical industry allowance (assumption)</t>
        </is>
      </c>
    </row>
    <row r="13">
      <c r="A13" s="4" t="inlineStr">
        <is>
          <t>Termination allowance per run end (ft)</t>
        </is>
      </c>
      <c r="B13" s="6" t="n">
        <v>10</v>
      </c>
      <c r="C13" t="inlineStr">
        <is>
          <t>Source: typical (assumption)</t>
        </is>
      </c>
    </row>
    <row r="14">
      <c r="A14" s="4" t="inlineStr">
        <is>
          <t>BOM waste / cut allowance</t>
        </is>
      </c>
      <c r="B14" s="5" t="n">
        <v>0.05</v>
      </c>
      <c r="C14" t="inlineStr">
        <is>
          <t>Source: typical (assumption)</t>
        </is>
      </c>
    </row>
    <row r="15">
      <c r="A15" s="4" t="n"/>
    </row>
    <row r="16">
      <c r="A16" s="7" t="inlineStr">
        <is>
          <t>Sheets</t>
        </is>
      </c>
    </row>
    <row r="17">
      <c r="A17" s="2" t="inlineStr">
        <is>
          <t>Cable Schedule: one row per cable run (from / to, service, product, size, sets, length)</t>
        </is>
      </c>
    </row>
    <row r="18">
      <c r="A18" s="2" t="inlineStr">
        <is>
          <t>Cable BOM: totals per product and size, waste, order length, reels (SUMIFS on the schedule)</t>
        </is>
      </c>
    </row>
    <row r="19">
      <c r="A19" s="2" t="inlineStr">
        <is>
          <t>Accessories: terminations, glands, lugs, splices (from the schedule)</t>
        </is>
      </c>
    </row>
    <row r="20">
      <c r="A20" s="2" t="inlineStr">
        <is>
          <t>Summary: cable length by zone and voltage class</t>
        </is>
      </c>
    </row>
    <row r="21">
      <c r="A21" s="2" t="inlineStr">
        <is>
          <t>Load List: the equipment, assumed ratings and sources behind the power circuits</t>
        </is>
      </c>
    </row>
    <row r="22">
      <c r="A22" s="4" t="n"/>
    </row>
    <row r="23">
      <c r="A23" s="4" t="n"/>
    </row>
    <row r="24">
      <c r="A24" s="4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577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" customWidth="1" min="2" max="2"/>
    <col width="20" customWidth="1" min="3" max="3"/>
    <col width="46" customWidth="1" min="4" max="4"/>
    <col width="12" customWidth="1" min="5" max="5"/>
    <col width="34" customWidth="1" min="6" max="6"/>
    <col width="12" customWidth="1" min="7" max="7"/>
    <col width="34" customWidth="1" min="8" max="8"/>
    <col width="14" customWidth="1" min="9" max="9"/>
    <col width="52" customWidth="1" min="10" max="10"/>
    <col width="22" customWidth="1" min="11" max="11"/>
    <col width="10" customWidth="1" min="12" max="12"/>
    <col width="12" customWidth="1" min="13" max="13"/>
    <col width="6" customWidth="1" min="14" max="14"/>
    <col width="7" customWidth="1" min="15" max="15"/>
    <col width="9" customWidth="1" min="16" max="16"/>
    <col width="9" customWidth="1" min="17" max="17"/>
    <col width="9" customWidth="1" min="18" max="18"/>
    <col width="13" customWidth="1" min="19" max="19"/>
    <col width="9" customWidth="1" min="20" max="20"/>
    <col width="10" customWidth="1" min="21" max="21"/>
    <col width="10" customWidth="1" min="22" max="22"/>
    <col width="12" customWidth="1" min="23" max="23"/>
    <col width="8" customWidth="1" min="24" max="24"/>
    <col width="9" customWidth="1" min="25" max="25"/>
    <col width="30" customWidth="1" min="26" max="26"/>
  </cols>
  <sheetData>
    <row r="1">
      <c r="A1" s="8" t="inlineStr">
        <is>
          <t>Cable No.</t>
        </is>
      </c>
      <c r="B1" s="8" t="inlineStr">
        <is>
          <t>Zone</t>
        </is>
      </c>
      <c r="C1" s="8" t="inlineStr">
        <is>
          <t>Area</t>
        </is>
      </c>
      <c r="D1" s="8" t="inlineStr">
        <is>
          <t>Service / circuit</t>
        </is>
      </c>
      <c r="E1" s="8" t="inlineStr">
        <is>
          <t>From (tag)</t>
        </is>
      </c>
      <c r="F1" s="8" t="inlineStr">
        <is>
          <t>From (description)</t>
        </is>
      </c>
      <c r="G1" s="8" t="inlineStr">
        <is>
          <t>To (tag)</t>
        </is>
      </c>
      <c r="H1" s="8" t="inlineStr">
        <is>
          <t>To (description)</t>
        </is>
      </c>
      <c r="I1" s="8" t="inlineStr">
        <is>
          <t>Class</t>
        </is>
      </c>
      <c r="J1" s="8" t="inlineStr">
        <is>
          <t>Product</t>
        </is>
      </c>
      <c r="K1" s="8" t="inlineStr">
        <is>
          <t>Product key</t>
        </is>
      </c>
      <c r="L1" s="8" t="inlineStr">
        <is>
          <t>Conductors</t>
        </is>
      </c>
      <c r="M1" s="8" t="inlineStr">
        <is>
          <t>Size (AWG/kcmil)</t>
        </is>
      </c>
      <c r="N1" s="8" t="inlineStr">
        <is>
          <t>Sets</t>
        </is>
      </c>
      <c r="O1" s="8" t="inlineStr">
        <is>
          <t>Cables / set</t>
        </is>
      </c>
      <c r="P1" s="8" t="inlineStr">
        <is>
          <t>Voltage (V)</t>
        </is>
      </c>
      <c r="Q1" s="8" t="inlineStr">
        <is>
          <t>Load (kW)</t>
        </is>
      </c>
      <c r="R1" s="8" t="inlineStr">
        <is>
          <t>Current (A)</t>
        </is>
      </c>
      <c r="S1" s="8" t="inlineStr">
        <is>
          <t>Route type</t>
        </is>
      </c>
      <c r="T1" s="8" t="inlineStr">
        <is>
          <t>Route (ft)</t>
        </is>
      </c>
      <c r="U1" s="8" t="inlineStr">
        <is>
          <t>Drops + vertical (ft)</t>
        </is>
      </c>
      <c r="V1" s="8" t="inlineStr">
        <is>
          <t>Run length (ft)</t>
        </is>
      </c>
      <c r="W1" s="8" t="inlineStr">
        <is>
          <t>Total cable (ft)</t>
        </is>
      </c>
      <c r="X1" s="8" t="inlineStr">
        <is>
          <t>MV term. kits</t>
        </is>
      </c>
      <c r="Y1" s="8" t="inlineStr">
        <is>
          <t>Glands / connectors</t>
        </is>
      </c>
      <c r="Z1" s="8" t="inlineStr">
        <is>
          <t>Notes</t>
        </is>
      </c>
    </row>
    <row r="2">
      <c r="A2" s="9" t="inlineStr">
        <is>
          <t>A-L-0001</t>
        </is>
      </c>
      <c r="B2" s="9" t="inlineStr">
        <is>
          <t>A</t>
        </is>
      </c>
      <c r="C2" s="9" t="inlineStr">
        <is>
          <t>Power block</t>
        </is>
      </c>
      <c r="D2" s="9" t="inlineStr">
        <is>
          <t>Lighting, receptacles and small power branch circuits (allowance)</t>
        </is>
      </c>
      <c r="E2" s="9" t="inlineStr">
        <is>
          <t>CEMS-1</t>
        </is>
      </c>
      <c r="F2" s="9" t="inlineStr">
        <is>
          <t>CEMS shelter, HRSG 1</t>
        </is>
      </c>
      <c r="G2" s="9" t="inlineStr">
        <is>
          <t>CEMS-1</t>
        </is>
      </c>
      <c r="H2" s="9" t="inlineStr">
        <is>
          <t>CEMS shelter, HRSG 1</t>
        </is>
      </c>
      <c r="I2" s="9" t="inlineStr">
        <is>
          <t>Building wire</t>
        </is>
      </c>
      <c r="J2" s="9" t="inlineStr">
        <is>
          <t>SIMpull THHN/THWN-2 600 V 1/C Cu (lighting, receptacles, small power)</t>
        </is>
      </c>
      <c r="K2" s="9" t="inlineStr">
        <is>
          <t>THHN|1/C|12</t>
        </is>
      </c>
      <c r="L2" s="9" t="inlineStr">
        <is>
          <t>1/C</t>
        </is>
      </c>
      <c r="M2" s="9" t="inlineStr">
        <is>
          <t>12</t>
        </is>
      </c>
      <c r="N2" s="9" t="n">
        <v>1</v>
      </c>
      <c r="O2" s="9" t="n">
        <v>1</v>
      </c>
      <c r="P2" s="9" t="n">
        <v>277</v>
      </c>
      <c r="Q2" s="9" t="n"/>
      <c r="R2" s="9" t="n"/>
      <c r="S2" s="9" t="inlineStr">
        <is>
          <t>Conduit</t>
        </is>
      </c>
      <c r="T2" s="10" t="n">
        <v>358</v>
      </c>
      <c r="U2" s="10" t="n">
        <v>0</v>
      </c>
      <c r="V2" s="10">
        <f>ROUNDUP((T2+U2+2*'Read Me'!$B$13)*(1+'Read Me'!$B$12),-1)</f>
        <v/>
      </c>
      <c r="W2" s="10">
        <f>V2*N2*O2</f>
        <v/>
      </c>
      <c r="X2" s="9">
        <f>IF(LEFT(I2,2)="MV",2*N2*IF(L2="1/C",O2,1),0)</f>
        <v/>
      </c>
      <c r="Y2" s="9">
        <f>IF(OR(LEFT(K2,4)="LVAX",LEFT(K2,6)="MV15AX",LEFT(K2,4)="CTAX",LEFT(K2,2)="W|"),2*N2*O2,0)</f>
        <v/>
      </c>
      <c r="Z2" s="9" t="inlineStr">
        <is>
          <t>allowance: 1.6 ft of conductor per ft2 of floor</t>
        </is>
      </c>
    </row>
    <row r="3">
      <c r="A3" s="9" t="inlineStr">
        <is>
          <t>A-L-0002</t>
        </is>
      </c>
      <c r="B3" s="9" t="inlineStr">
        <is>
          <t>A</t>
        </is>
      </c>
      <c r="C3" s="9" t="inlineStr">
        <is>
          <t>Power block</t>
        </is>
      </c>
      <c r="D3" s="9" t="inlineStr">
        <is>
          <t>Lighting, receptacles and small power branch circuits (allowance)</t>
        </is>
      </c>
      <c r="E3" s="9" t="inlineStr">
        <is>
          <t>CEMS-2</t>
        </is>
      </c>
      <c r="F3" s="9" t="inlineStr">
        <is>
          <t>CEMS shelter, HRSG 2</t>
        </is>
      </c>
      <c r="G3" s="9" t="inlineStr">
        <is>
          <t>CEMS-2</t>
        </is>
      </c>
      <c r="H3" s="9" t="inlineStr">
        <is>
          <t>CEMS shelter, HRSG 2</t>
        </is>
      </c>
      <c r="I3" s="9" t="inlineStr">
        <is>
          <t>Building wire</t>
        </is>
      </c>
      <c r="J3" s="9" t="inlineStr">
        <is>
          <t>SIMpull THHN/THWN-2 600 V 1/C Cu (lighting, receptacles, small power)</t>
        </is>
      </c>
      <c r="K3" s="9" t="inlineStr">
        <is>
          <t>THHN|1/C|12</t>
        </is>
      </c>
      <c r="L3" s="9" t="inlineStr">
        <is>
          <t>1/C</t>
        </is>
      </c>
      <c r="M3" s="9" t="inlineStr">
        <is>
          <t>12</t>
        </is>
      </c>
      <c r="N3" s="9" t="n">
        <v>1</v>
      </c>
      <c r="O3" s="9" t="n">
        <v>1</v>
      </c>
      <c r="P3" s="9" t="n">
        <v>277</v>
      </c>
      <c r="Q3" s="9" t="n"/>
      <c r="R3" s="9" t="n"/>
      <c r="S3" s="9" t="inlineStr">
        <is>
          <t>Conduit</t>
        </is>
      </c>
      <c r="T3" s="10" t="n">
        <v>358</v>
      </c>
      <c r="U3" s="10" t="n">
        <v>0</v>
      </c>
      <c r="V3" s="10">
        <f>ROUNDUP((T3+U3+2*'Read Me'!$B$13)*(1+'Read Me'!$B$12),-1)</f>
        <v/>
      </c>
      <c r="W3" s="10">
        <f>V3*N3*O3</f>
        <v/>
      </c>
      <c r="X3" s="9">
        <f>IF(LEFT(I3,2)="MV",2*N3*IF(L3="1/C",O3,1),0)</f>
        <v/>
      </c>
      <c r="Y3" s="9">
        <f>IF(OR(LEFT(K3,4)="LVAX",LEFT(K3,6)="MV15AX",LEFT(K3,4)="CTAX",LEFT(K3,2)="W|"),2*N3*O3,0)</f>
        <v/>
      </c>
      <c r="Z3" s="9" t="inlineStr">
        <is>
          <t>allowance: 1.6 ft of conductor per ft2 of floor</t>
        </is>
      </c>
    </row>
    <row r="4">
      <c r="A4" s="9" t="inlineStr">
        <is>
          <t>A-L-0003</t>
        </is>
      </c>
      <c r="B4" s="9" t="inlineStr">
        <is>
          <t>A</t>
        </is>
      </c>
      <c r="C4" s="9" t="inlineStr">
        <is>
          <t>Power block</t>
        </is>
      </c>
      <c r="D4" s="9" t="inlineStr">
        <is>
          <t>Lighting, receptacles and small power branch circuits (allowance)</t>
        </is>
      </c>
      <c r="E4" s="9" t="inlineStr">
        <is>
          <t>CEMS-3</t>
        </is>
      </c>
      <c r="F4" s="9" t="inlineStr">
        <is>
          <t>CEMS shelter, HRSG 3</t>
        </is>
      </c>
      <c r="G4" s="9" t="inlineStr">
        <is>
          <t>CEMS-3</t>
        </is>
      </c>
      <c r="H4" s="9" t="inlineStr">
        <is>
          <t>CEMS shelter, HRSG 3</t>
        </is>
      </c>
      <c r="I4" s="9" t="inlineStr">
        <is>
          <t>Building wire</t>
        </is>
      </c>
      <c r="J4" s="9" t="inlineStr">
        <is>
          <t>SIMpull THHN/THWN-2 600 V 1/C Cu (lighting, receptacles, small power)</t>
        </is>
      </c>
      <c r="K4" s="9" t="inlineStr">
        <is>
          <t>THHN|1/C|12</t>
        </is>
      </c>
      <c r="L4" s="9" t="inlineStr">
        <is>
          <t>1/C</t>
        </is>
      </c>
      <c r="M4" s="9" t="inlineStr">
        <is>
          <t>12</t>
        </is>
      </c>
      <c r="N4" s="9" t="n">
        <v>1</v>
      </c>
      <c r="O4" s="9" t="n">
        <v>1</v>
      </c>
      <c r="P4" s="9" t="n">
        <v>277</v>
      </c>
      <c r="Q4" s="9" t="n"/>
      <c r="R4" s="9" t="n"/>
      <c r="S4" s="9" t="inlineStr">
        <is>
          <t>Conduit</t>
        </is>
      </c>
      <c r="T4" s="10" t="n">
        <v>358</v>
      </c>
      <c r="U4" s="10" t="n">
        <v>0</v>
      </c>
      <c r="V4" s="10">
        <f>ROUNDUP((T4+U4+2*'Read Me'!$B$13)*(1+'Read Me'!$B$12),-1)</f>
        <v/>
      </c>
      <c r="W4" s="10">
        <f>V4*N4*O4</f>
        <v/>
      </c>
      <c r="X4" s="9">
        <f>IF(LEFT(I4,2)="MV",2*N4*IF(L4="1/C",O4,1),0)</f>
        <v/>
      </c>
      <c r="Y4" s="9">
        <f>IF(OR(LEFT(K4,4)="LVAX",LEFT(K4,6)="MV15AX",LEFT(K4,4)="CTAX",LEFT(K4,2)="W|"),2*N4*O4,0)</f>
        <v/>
      </c>
      <c r="Z4" s="9" t="inlineStr">
        <is>
          <t>allowance: 1.6 ft of conductor per ft2 of floor</t>
        </is>
      </c>
    </row>
    <row r="5">
      <c r="A5" s="9" t="inlineStr">
        <is>
          <t>A-L-0004</t>
        </is>
      </c>
      <c r="B5" s="9" t="inlineStr">
        <is>
          <t>A</t>
        </is>
      </c>
      <c r="C5" s="9" t="inlineStr">
        <is>
          <t>Power block</t>
        </is>
      </c>
      <c r="D5" s="9" t="inlineStr">
        <is>
          <t>Lighting, receptacles and small power branch circuits (allowance)</t>
        </is>
      </c>
      <c r="E5" s="9" t="inlineStr">
        <is>
          <t>FH-1</t>
        </is>
      </c>
      <c r="F5" s="9" t="inlineStr">
        <is>
          <t>FH-1: GT inlet filter house on its own frame</t>
        </is>
      </c>
      <c r="G5" s="9" t="inlineStr">
        <is>
          <t>FH-1</t>
        </is>
      </c>
      <c r="H5" s="9" t="inlineStr">
        <is>
          <t>FH-1: GT inlet filter house on its own frame</t>
        </is>
      </c>
      <c r="I5" s="9" t="inlineStr">
        <is>
          <t>Building wire</t>
        </is>
      </c>
      <c r="J5" s="9" t="inlineStr">
        <is>
          <t>SIMpull THHN/THWN-2 600 V 1/C Cu (lighting, receptacles, small power)</t>
        </is>
      </c>
      <c r="K5" s="9" t="inlineStr">
        <is>
          <t>THHN|1/C|12</t>
        </is>
      </c>
      <c r="L5" s="9" t="inlineStr">
        <is>
          <t>1/C</t>
        </is>
      </c>
      <c r="M5" s="9" t="inlineStr">
        <is>
          <t>12</t>
        </is>
      </c>
      <c r="N5" s="9" t="n">
        <v>1</v>
      </c>
      <c r="O5" s="9" t="n">
        <v>1</v>
      </c>
      <c r="P5" s="9" t="n">
        <v>277</v>
      </c>
      <c r="Q5" s="9" t="n"/>
      <c r="R5" s="9" t="n"/>
      <c r="S5" s="9" t="inlineStr">
        <is>
          <t>Conduit</t>
        </is>
      </c>
      <c r="T5" s="10" t="n">
        <v>4973</v>
      </c>
      <c r="U5" s="10" t="n">
        <v>0</v>
      </c>
      <c r="V5" s="10">
        <f>ROUNDUP((T5+U5+2*'Read Me'!$B$13)*(1+'Read Me'!$B$12),-1)</f>
        <v/>
      </c>
      <c r="W5" s="10">
        <f>V5*N5*O5</f>
        <v/>
      </c>
      <c r="X5" s="9">
        <f>IF(LEFT(I5,2)="MV",2*N5*IF(L5="1/C",O5,1),0)</f>
        <v/>
      </c>
      <c r="Y5" s="9">
        <f>IF(OR(LEFT(K5,4)="LVAX",LEFT(K5,6)="MV15AX",LEFT(K5,4)="CTAX",LEFT(K5,2)="W|"),2*N5*O5,0)</f>
        <v/>
      </c>
      <c r="Z5" s="9" t="inlineStr">
        <is>
          <t>allowance: 1.6 ft of conductor per ft2 of floor</t>
        </is>
      </c>
    </row>
    <row r="6">
      <c r="A6" s="9" t="inlineStr">
        <is>
          <t>A-L-0005</t>
        </is>
      </c>
      <c r="B6" s="9" t="inlineStr">
        <is>
          <t>A</t>
        </is>
      </c>
      <c r="C6" s="9" t="inlineStr">
        <is>
          <t>Power block</t>
        </is>
      </c>
      <c r="D6" s="9" t="inlineStr">
        <is>
          <t>Lighting, receptacles and small power branch circuits (allowance)</t>
        </is>
      </c>
      <c r="E6" s="9" t="inlineStr">
        <is>
          <t>FH-2</t>
        </is>
      </c>
      <c r="F6" s="9" t="inlineStr">
        <is>
          <t>FH-2: GT inlet filter house on its own frame</t>
        </is>
      </c>
      <c r="G6" s="9" t="inlineStr">
        <is>
          <t>FH-2</t>
        </is>
      </c>
      <c r="H6" s="9" t="inlineStr">
        <is>
          <t>FH-2: GT inlet filter house on its own frame</t>
        </is>
      </c>
      <c r="I6" s="9" t="inlineStr">
        <is>
          <t>Building wire</t>
        </is>
      </c>
      <c r="J6" s="9" t="inlineStr">
        <is>
          <t>SIMpull THHN/THWN-2 600 V 1/C Cu (lighting, receptacles, small power)</t>
        </is>
      </c>
      <c r="K6" s="9" t="inlineStr">
        <is>
          <t>THHN|1/C|12</t>
        </is>
      </c>
      <c r="L6" s="9" t="inlineStr">
        <is>
          <t>1/C</t>
        </is>
      </c>
      <c r="M6" s="9" t="inlineStr">
        <is>
          <t>12</t>
        </is>
      </c>
      <c r="N6" s="9" t="n">
        <v>1</v>
      </c>
      <c r="O6" s="9" t="n">
        <v>1</v>
      </c>
      <c r="P6" s="9" t="n">
        <v>277</v>
      </c>
      <c r="Q6" s="9" t="n"/>
      <c r="R6" s="9" t="n"/>
      <c r="S6" s="9" t="inlineStr">
        <is>
          <t>Conduit</t>
        </is>
      </c>
      <c r="T6" s="10" t="n">
        <v>4973</v>
      </c>
      <c r="U6" s="10" t="n">
        <v>0</v>
      </c>
      <c r="V6" s="10">
        <f>ROUNDUP((T6+U6+2*'Read Me'!$B$13)*(1+'Read Me'!$B$12),-1)</f>
        <v/>
      </c>
      <c r="W6" s="10">
        <f>V6*N6*O6</f>
        <v/>
      </c>
      <c r="X6" s="9">
        <f>IF(LEFT(I6,2)="MV",2*N6*IF(L6="1/C",O6,1),0)</f>
        <v/>
      </c>
      <c r="Y6" s="9">
        <f>IF(OR(LEFT(K6,4)="LVAX",LEFT(K6,6)="MV15AX",LEFT(K6,4)="CTAX",LEFT(K6,2)="W|"),2*N6*O6,0)</f>
        <v/>
      </c>
      <c r="Z6" s="9" t="inlineStr">
        <is>
          <t>allowance: 1.6 ft of conductor per ft2 of floor</t>
        </is>
      </c>
    </row>
    <row r="7">
      <c r="A7" s="9" t="inlineStr">
        <is>
          <t>A-L-0006</t>
        </is>
      </c>
      <c r="B7" s="9" t="inlineStr">
        <is>
          <t>A</t>
        </is>
      </c>
      <c r="C7" s="9" t="inlineStr">
        <is>
          <t>Power block</t>
        </is>
      </c>
      <c r="D7" s="9" t="inlineStr">
        <is>
          <t>Lighting, receptacles and small power branch circuits (allowance)</t>
        </is>
      </c>
      <c r="E7" s="9" t="inlineStr">
        <is>
          <t>FH-3</t>
        </is>
      </c>
      <c r="F7" s="9" t="inlineStr">
        <is>
          <t>FH-3: GT inlet filter house on its own frame</t>
        </is>
      </c>
      <c r="G7" s="9" t="inlineStr">
        <is>
          <t>FH-3</t>
        </is>
      </c>
      <c r="H7" s="9" t="inlineStr">
        <is>
          <t>FH-3: GT inlet filter house on its own frame</t>
        </is>
      </c>
      <c r="I7" s="9" t="inlineStr">
        <is>
          <t>Building wire</t>
        </is>
      </c>
      <c r="J7" s="9" t="inlineStr">
        <is>
          <t>SIMpull THHN/THWN-2 600 V 1/C Cu (lighting, receptacles, small power)</t>
        </is>
      </c>
      <c r="K7" s="9" t="inlineStr">
        <is>
          <t>THHN|1/C|12</t>
        </is>
      </c>
      <c r="L7" s="9" t="inlineStr">
        <is>
          <t>1/C</t>
        </is>
      </c>
      <c r="M7" s="9" t="inlineStr">
        <is>
          <t>12</t>
        </is>
      </c>
      <c r="N7" s="9" t="n">
        <v>1</v>
      </c>
      <c r="O7" s="9" t="n">
        <v>1</v>
      </c>
      <c r="P7" s="9" t="n">
        <v>277</v>
      </c>
      <c r="Q7" s="9" t="n"/>
      <c r="R7" s="9" t="n"/>
      <c r="S7" s="9" t="inlineStr">
        <is>
          <t>Conduit</t>
        </is>
      </c>
      <c r="T7" s="10" t="n">
        <v>4973</v>
      </c>
      <c r="U7" s="10" t="n">
        <v>0</v>
      </c>
      <c r="V7" s="10">
        <f>ROUNDUP((T7+U7+2*'Read Me'!$B$13)*(1+'Read Me'!$B$12),-1)</f>
        <v/>
      </c>
      <c r="W7" s="10">
        <f>V7*N7*O7</f>
        <v/>
      </c>
      <c r="X7" s="9">
        <f>IF(LEFT(I7,2)="MV",2*N7*IF(L7="1/C",O7,1),0)</f>
        <v/>
      </c>
      <c r="Y7" s="9">
        <f>IF(OR(LEFT(K7,4)="LVAX",LEFT(K7,6)="MV15AX",LEFT(K7,4)="CTAX",LEFT(K7,2)="W|"),2*N7*O7,0)</f>
        <v/>
      </c>
      <c r="Z7" s="9" t="inlineStr">
        <is>
          <t>allowance: 1.6 ft of conductor per ft2 of floor</t>
        </is>
      </c>
    </row>
    <row r="8">
      <c r="A8" s="9" t="inlineStr">
        <is>
          <t>A-L-0007</t>
        </is>
      </c>
      <c r="B8" s="9" t="inlineStr">
        <is>
          <t>A</t>
        </is>
      </c>
      <c r="C8" s="9" t="inlineStr">
        <is>
          <t>Power block</t>
        </is>
      </c>
      <c r="D8" s="9" t="inlineStr">
        <is>
          <t>Lighting, receptacles and small power branch circuits (allowance)</t>
        </is>
      </c>
      <c r="E8" s="9" t="inlineStr">
        <is>
          <t>R1</t>
        </is>
      </c>
      <c r="F8" s="9" t="inlineStr">
        <is>
          <t>R1: main electrical building (64 x 180 ft)</t>
        </is>
      </c>
      <c r="G8" s="9" t="inlineStr">
        <is>
          <t>R1</t>
        </is>
      </c>
      <c r="H8" s="9" t="inlineStr">
        <is>
          <t>R1: main electrical building (64 x 180 ft)</t>
        </is>
      </c>
      <c r="I8" s="9" t="inlineStr">
        <is>
          <t>Building wire</t>
        </is>
      </c>
      <c r="J8" s="9" t="inlineStr">
        <is>
          <t>SIMpull THHN/THWN-2 600 V 1/C Cu (lighting, receptacles, small power)</t>
        </is>
      </c>
      <c r="K8" s="9" t="inlineStr">
        <is>
          <t>THHN|1/C|12</t>
        </is>
      </c>
      <c r="L8" s="9" t="inlineStr">
        <is>
          <t>1/C</t>
        </is>
      </c>
      <c r="M8" s="9" t="inlineStr">
        <is>
          <t>12</t>
        </is>
      </c>
      <c r="N8" s="9" t="n">
        <v>1</v>
      </c>
      <c r="O8" s="9" t="n">
        <v>1</v>
      </c>
      <c r="P8" s="9" t="n">
        <v>277</v>
      </c>
      <c r="Q8" s="9" t="n"/>
      <c r="R8" s="9" t="n"/>
      <c r="S8" s="9" t="inlineStr">
        <is>
          <t>Conduit</t>
        </is>
      </c>
      <c r="T8" s="10" t="n">
        <v>18432</v>
      </c>
      <c r="U8" s="10" t="n">
        <v>0</v>
      </c>
      <c r="V8" s="10">
        <f>ROUNDUP((T8+U8+2*'Read Me'!$B$13)*(1+'Read Me'!$B$12),-1)</f>
        <v/>
      </c>
      <c r="W8" s="10">
        <f>V8*N8*O8</f>
        <v/>
      </c>
      <c r="X8" s="9">
        <f>IF(LEFT(I8,2)="MV",2*N8*IF(L8="1/C",O8,1),0)</f>
        <v/>
      </c>
      <c r="Y8" s="9">
        <f>IF(OR(LEFT(K8,4)="LVAX",LEFT(K8,6)="MV15AX",LEFT(K8,4)="CTAX",LEFT(K8,2)="W|"),2*N8*O8,0)</f>
        <v/>
      </c>
      <c r="Z8" s="9" t="inlineStr">
        <is>
          <t>allowance: 1.6 ft of conductor per ft2 of floor</t>
        </is>
      </c>
    </row>
    <row r="9">
      <c r="A9" s="9" t="inlineStr">
        <is>
          <t>A-L-0008</t>
        </is>
      </c>
      <c r="B9" s="9" t="inlineStr">
        <is>
          <t>A</t>
        </is>
      </c>
      <c r="C9" s="9" t="inlineStr">
        <is>
          <t>Power block</t>
        </is>
      </c>
      <c r="D9" s="9" t="inlineStr">
        <is>
          <t>Lighting, receptacles and small power branch circuits (allowance)</t>
        </is>
      </c>
      <c r="E9" s="9" t="inlineStr">
        <is>
          <t>R2A</t>
        </is>
      </c>
      <c r="F9" s="9" t="inlineStr">
        <is>
          <t>R2A: unit / HRSG electrical e-house (32 x 40 ft)</t>
        </is>
      </c>
      <c r="G9" s="9" t="inlineStr">
        <is>
          <t>R2A</t>
        </is>
      </c>
      <c r="H9" s="9" t="inlineStr">
        <is>
          <t>R2A: unit / HRSG electrical e-house (32 x 40 ft)</t>
        </is>
      </c>
      <c r="I9" s="9" t="inlineStr">
        <is>
          <t>Building wire</t>
        </is>
      </c>
      <c r="J9" s="9" t="inlineStr">
        <is>
          <t>SIMpull THHN/THWN-2 600 V 1/C Cu (lighting, receptacles, small power)</t>
        </is>
      </c>
      <c r="K9" s="9" t="inlineStr">
        <is>
          <t>THHN|1/C|12</t>
        </is>
      </c>
      <c r="L9" s="9" t="inlineStr">
        <is>
          <t>1/C</t>
        </is>
      </c>
      <c r="M9" s="9" t="inlineStr">
        <is>
          <t>12</t>
        </is>
      </c>
      <c r="N9" s="9" t="n">
        <v>1</v>
      </c>
      <c r="O9" s="9" t="n">
        <v>1</v>
      </c>
      <c r="P9" s="9" t="n">
        <v>277</v>
      </c>
      <c r="Q9" s="9" t="n"/>
      <c r="R9" s="9" t="n"/>
      <c r="S9" s="9" t="inlineStr">
        <is>
          <t>Conduit</t>
        </is>
      </c>
      <c r="T9" s="10" t="n">
        <v>2048</v>
      </c>
      <c r="U9" s="10" t="n">
        <v>0</v>
      </c>
      <c r="V9" s="10">
        <f>ROUNDUP((T9+U9+2*'Read Me'!$B$13)*(1+'Read Me'!$B$12),-1)</f>
        <v/>
      </c>
      <c r="W9" s="10">
        <f>V9*N9*O9</f>
        <v/>
      </c>
      <c r="X9" s="9">
        <f>IF(LEFT(I9,2)="MV",2*N9*IF(L9="1/C",O9,1),0)</f>
        <v/>
      </c>
      <c r="Y9" s="9">
        <f>IF(OR(LEFT(K9,4)="LVAX",LEFT(K9,6)="MV15AX",LEFT(K9,4)="CTAX",LEFT(K9,2)="W|"),2*N9*O9,0)</f>
        <v/>
      </c>
      <c r="Z9" s="9" t="inlineStr">
        <is>
          <t>allowance: 1.6 ft of conductor per ft2 of floor</t>
        </is>
      </c>
    </row>
    <row r="10">
      <c r="A10" s="9" t="inlineStr">
        <is>
          <t>A-L-0009</t>
        </is>
      </c>
      <c r="B10" s="9" t="inlineStr">
        <is>
          <t>A</t>
        </is>
      </c>
      <c r="C10" s="9" t="inlineStr">
        <is>
          <t>Power block</t>
        </is>
      </c>
      <c r="D10" s="9" t="inlineStr">
        <is>
          <t>Lighting, receptacles and small power branch circuits (allowance)</t>
        </is>
      </c>
      <c r="E10" s="9" t="inlineStr">
        <is>
          <t>R2B</t>
        </is>
      </c>
      <c r="F10" s="9" t="inlineStr">
        <is>
          <t>R2B: unit / HRSG electrical e-house (32 x 40 ft)</t>
        </is>
      </c>
      <c r="G10" s="9" t="inlineStr">
        <is>
          <t>R2B</t>
        </is>
      </c>
      <c r="H10" s="9" t="inlineStr">
        <is>
          <t>R2B: unit / HRSG electrical e-house (32 x 40 ft)</t>
        </is>
      </c>
      <c r="I10" s="9" t="inlineStr">
        <is>
          <t>Building wire</t>
        </is>
      </c>
      <c r="J10" s="9" t="inlineStr">
        <is>
          <t>SIMpull THHN/THWN-2 600 V 1/C Cu (lighting, receptacles, small power)</t>
        </is>
      </c>
      <c r="K10" s="9" t="inlineStr">
        <is>
          <t>THHN|1/C|12</t>
        </is>
      </c>
      <c r="L10" s="9" t="inlineStr">
        <is>
          <t>1/C</t>
        </is>
      </c>
      <c r="M10" s="9" t="inlineStr">
        <is>
          <t>12</t>
        </is>
      </c>
      <c r="N10" s="9" t="n">
        <v>1</v>
      </c>
      <c r="O10" s="9" t="n">
        <v>1</v>
      </c>
      <c r="P10" s="9" t="n">
        <v>277</v>
      </c>
      <c r="Q10" s="9" t="n"/>
      <c r="R10" s="9" t="n"/>
      <c r="S10" s="9" t="inlineStr">
        <is>
          <t>Conduit</t>
        </is>
      </c>
      <c r="T10" s="10" t="n">
        <v>2048</v>
      </c>
      <c r="U10" s="10" t="n">
        <v>0</v>
      </c>
      <c r="V10" s="10">
        <f>ROUNDUP((T10+U10+2*'Read Me'!$B$13)*(1+'Read Me'!$B$12),-1)</f>
        <v/>
      </c>
      <c r="W10" s="10">
        <f>V10*N10*O10</f>
        <v/>
      </c>
      <c r="X10" s="9">
        <f>IF(LEFT(I10,2)="MV",2*N10*IF(L10="1/C",O10,1),0)</f>
        <v/>
      </c>
      <c r="Y10" s="9">
        <f>IF(OR(LEFT(K10,4)="LVAX",LEFT(K10,6)="MV15AX",LEFT(K10,4)="CTAX",LEFT(K10,2)="W|"),2*N10*O10,0)</f>
        <v/>
      </c>
      <c r="Z10" s="9" t="inlineStr">
        <is>
          <t>allowance: 1.6 ft of conductor per ft2 of floor</t>
        </is>
      </c>
    </row>
    <row r="11">
      <c r="A11" s="9" t="inlineStr">
        <is>
          <t>A-L-0010</t>
        </is>
      </c>
      <c r="B11" s="9" t="inlineStr">
        <is>
          <t>A</t>
        </is>
      </c>
      <c r="C11" s="9" t="inlineStr">
        <is>
          <t>Power block</t>
        </is>
      </c>
      <c r="D11" s="9" t="inlineStr">
        <is>
          <t>Lighting, receptacles and small power branch circuits (allowance)</t>
        </is>
      </c>
      <c r="E11" s="9" t="inlineStr">
        <is>
          <t>R2C</t>
        </is>
      </c>
      <c r="F11" s="9" t="inlineStr">
        <is>
          <t>R2C: unit / HRSG electrical e-house (32 x 40 ft)</t>
        </is>
      </c>
      <c r="G11" s="9" t="inlineStr">
        <is>
          <t>R2C</t>
        </is>
      </c>
      <c r="H11" s="9" t="inlineStr">
        <is>
          <t>R2C: unit / HRSG electrical e-house (32 x 40 ft)</t>
        </is>
      </c>
      <c r="I11" s="9" t="inlineStr">
        <is>
          <t>Building wire</t>
        </is>
      </c>
      <c r="J11" s="9" t="inlineStr">
        <is>
          <t>SIMpull THHN/THWN-2 600 V 1/C Cu (lighting, receptacles, small power)</t>
        </is>
      </c>
      <c r="K11" s="9" t="inlineStr">
        <is>
          <t>THHN|1/C|12</t>
        </is>
      </c>
      <c r="L11" s="9" t="inlineStr">
        <is>
          <t>1/C</t>
        </is>
      </c>
      <c r="M11" s="9" t="inlineStr">
        <is>
          <t>12</t>
        </is>
      </c>
      <c r="N11" s="9" t="n">
        <v>1</v>
      </c>
      <c r="O11" s="9" t="n">
        <v>1</v>
      </c>
      <c r="P11" s="9" t="n">
        <v>277</v>
      </c>
      <c r="Q11" s="9" t="n"/>
      <c r="R11" s="9" t="n"/>
      <c r="S11" s="9" t="inlineStr">
        <is>
          <t>Conduit</t>
        </is>
      </c>
      <c r="T11" s="10" t="n">
        <v>2048</v>
      </c>
      <c r="U11" s="10" t="n">
        <v>0</v>
      </c>
      <c r="V11" s="10">
        <f>ROUNDUP((T11+U11+2*'Read Me'!$B$13)*(1+'Read Me'!$B$12),-1)</f>
        <v/>
      </c>
      <c r="W11" s="10">
        <f>V11*N11*O11</f>
        <v/>
      </c>
      <c r="X11" s="9">
        <f>IF(LEFT(I11,2)="MV",2*N11*IF(L11="1/C",O11,1),0)</f>
        <v/>
      </c>
      <c r="Y11" s="9">
        <f>IF(OR(LEFT(K11,4)="LVAX",LEFT(K11,6)="MV15AX",LEFT(K11,4)="CTAX",LEFT(K11,2)="W|"),2*N11*O11,0)</f>
        <v/>
      </c>
      <c r="Z11" s="9" t="inlineStr">
        <is>
          <t>allowance: 1.6 ft of conductor per ft2 of floor</t>
        </is>
      </c>
    </row>
    <row r="12">
      <c r="A12" s="9" t="inlineStr">
        <is>
          <t>A-L-0011</t>
        </is>
      </c>
      <c r="B12" s="9" t="inlineStr">
        <is>
          <t>A</t>
        </is>
      </c>
      <c r="C12" s="9" t="inlineStr">
        <is>
          <t>Power block</t>
        </is>
      </c>
      <c r="D12" s="9" t="inlineStr">
        <is>
          <t>Lighting, receptacles and small power branch circuits (allowance)</t>
        </is>
      </c>
      <c r="E12" s="9" t="inlineStr">
        <is>
          <t>R3</t>
        </is>
      </c>
      <c r="F12" s="9" t="inlineStr">
        <is>
          <t>R3: ST auxiliary electrical e-house (40 x 65 ft)</t>
        </is>
      </c>
      <c r="G12" s="9" t="inlineStr">
        <is>
          <t>R3</t>
        </is>
      </c>
      <c r="H12" s="9" t="inlineStr">
        <is>
          <t>R3: ST auxiliary electrical e-house (40 x 65 ft)</t>
        </is>
      </c>
      <c r="I12" s="9" t="inlineStr">
        <is>
          <t>Building wire</t>
        </is>
      </c>
      <c r="J12" s="9" t="inlineStr">
        <is>
          <t>SIMpull THHN/THWN-2 600 V 1/C Cu (lighting, receptacles, small power)</t>
        </is>
      </c>
      <c r="K12" s="9" t="inlineStr">
        <is>
          <t>THHN|1/C|12</t>
        </is>
      </c>
      <c r="L12" s="9" t="inlineStr">
        <is>
          <t>1/C</t>
        </is>
      </c>
      <c r="M12" s="9" t="inlineStr">
        <is>
          <t>12</t>
        </is>
      </c>
      <c r="N12" s="9" t="n">
        <v>1</v>
      </c>
      <c r="O12" s="9" t="n">
        <v>1</v>
      </c>
      <c r="P12" s="9" t="n">
        <v>277</v>
      </c>
      <c r="Q12" s="9" t="n"/>
      <c r="R12" s="9" t="n"/>
      <c r="S12" s="9" t="inlineStr">
        <is>
          <t>Conduit</t>
        </is>
      </c>
      <c r="T12" s="10" t="n">
        <v>4160</v>
      </c>
      <c r="U12" s="10" t="n">
        <v>0</v>
      </c>
      <c r="V12" s="10">
        <f>ROUNDUP((T12+U12+2*'Read Me'!$B$13)*(1+'Read Me'!$B$12),-1)</f>
        <v/>
      </c>
      <c r="W12" s="10">
        <f>V12*N12*O12</f>
        <v/>
      </c>
      <c r="X12" s="9">
        <f>IF(LEFT(I12,2)="MV",2*N12*IF(L12="1/C",O12,1),0)</f>
        <v/>
      </c>
      <c r="Y12" s="9">
        <f>IF(OR(LEFT(K12,4)="LVAX",LEFT(K12,6)="MV15AX",LEFT(K12,4)="CTAX",LEFT(K12,2)="W|"),2*N12*O12,0)</f>
        <v/>
      </c>
      <c r="Z12" s="9" t="inlineStr">
        <is>
          <t>allowance: 1.6 ft of conductor per ft2 of floor</t>
        </is>
      </c>
    </row>
    <row r="13">
      <c r="A13" s="9" t="inlineStr">
        <is>
          <t>A-C-0001</t>
        </is>
      </c>
      <c r="B13" s="9" t="inlineStr">
        <is>
          <t>A</t>
        </is>
      </c>
      <c r="C13" s="9" t="inlineStr">
        <is>
          <t>Power block</t>
        </is>
      </c>
      <c r="D13" s="9" t="inlineStr">
        <is>
          <t>Control</t>
        </is>
      </c>
      <c r="E13" s="9" t="inlineStr">
        <is>
          <t>R3</t>
        </is>
      </c>
      <c r="F13" s="9" t="inlineStr">
        <is>
          <t>R3: ST auxiliary electrical e-house (40 x 65 ft)</t>
        </is>
      </c>
      <c r="G13" s="9" t="inlineStr">
        <is>
          <t>AC-A/B/C</t>
        </is>
      </c>
      <c r="H13" s="9" t="inlineStr">
        <is>
          <t>Air compressors AC-A/B/C</t>
        </is>
      </c>
      <c r="I13" s="9" t="inlineStr">
        <is>
          <t>Control</t>
        </is>
      </c>
      <c r="J13" s="9" t="inlineStr">
        <is>
          <t>ARMOR-X MC-HL 600 V control, Cu #14 AWG (Class I Div 2)</t>
        </is>
      </c>
      <c r="K13" s="9" t="inlineStr">
        <is>
          <t>CTAX|7/C|14</t>
        </is>
      </c>
      <c r="L13" s="9" t="inlineStr">
        <is>
          <t>7/C</t>
        </is>
      </c>
      <c r="M13" s="9" t="inlineStr">
        <is>
          <t>14</t>
        </is>
      </c>
      <c r="N13" s="9" t="n">
        <v>1</v>
      </c>
      <c r="O13" s="9" t="n">
        <v>1</v>
      </c>
      <c r="P13" s="9" t="n"/>
      <c r="Q13" s="9" t="n"/>
      <c r="R13" s="9" t="n"/>
      <c r="S13" s="9" t="inlineStr">
        <is>
          <t>Tray</t>
        </is>
      </c>
      <c r="T13" s="10" t="n">
        <v>90</v>
      </c>
      <c r="U13" s="10" t="n">
        <v>70</v>
      </c>
      <c r="V13" s="10">
        <f>ROUNDUP((T13+U13+2*'Read Me'!$B$13)*(1+'Read Me'!$B$12),-1)</f>
        <v/>
      </c>
      <c r="W13" s="10">
        <f>V13*N13*O13</f>
        <v/>
      </c>
      <c r="X13" s="9">
        <f>IF(LEFT(I13,2)="MV",2*N13*IF(L13="1/C",O13,1),0)</f>
        <v/>
      </c>
      <c r="Y13" s="9">
        <f>IF(OR(LEFT(K13,4)="LVAX",LEFT(K13,6)="MV15AX",LEFT(K13,4)="CTAX",LEFT(K13,2)="W|"),2*N13*O13,0)</f>
        <v/>
      </c>
      <c r="Z13" s="9" t="inlineStr"/>
    </row>
    <row r="14">
      <c r="A14" s="9" t="inlineStr">
        <is>
          <t>A-C-0002</t>
        </is>
      </c>
      <c r="B14" s="9" t="inlineStr">
        <is>
          <t>A</t>
        </is>
      </c>
      <c r="C14" s="9" t="inlineStr">
        <is>
          <t>Power block</t>
        </is>
      </c>
      <c r="D14" s="9" t="inlineStr">
        <is>
          <t>Control</t>
        </is>
      </c>
      <c r="E14" s="9" t="inlineStr">
        <is>
          <t>R2B</t>
        </is>
      </c>
      <c r="F14" s="9" t="inlineStr">
        <is>
          <t>R2B: unit / HRSG electrical e-house (32 x 40 ft)</t>
        </is>
      </c>
      <c r="G14" s="9" t="inlineStr">
        <is>
          <t>BFP-1</t>
        </is>
      </c>
      <c r="H14" s="9" t="inlineStr">
        <is>
          <t>BFP-1A/B: boiler feed pumps (13.8 kV DOL)</t>
        </is>
      </c>
      <c r="I14" s="9" t="inlineStr">
        <is>
          <t>Control</t>
        </is>
      </c>
      <c r="J14" s="9" t="inlineStr">
        <is>
          <t>Control cable 600 V Type TC-ER, Cu #14 AWG, PVC jacket</t>
        </is>
      </c>
      <c r="K14" s="9" t="inlineStr">
        <is>
          <t>CT|7/C|14</t>
        </is>
      </c>
      <c r="L14" s="9" t="inlineStr">
        <is>
          <t>7/C</t>
        </is>
      </c>
      <c r="M14" s="9" t="inlineStr">
        <is>
          <t>14</t>
        </is>
      </c>
      <c r="N14" s="9" t="n">
        <v>1</v>
      </c>
      <c r="O14" s="9" t="n">
        <v>1</v>
      </c>
      <c r="P14" s="9" t="n"/>
      <c r="Q14" s="9" t="n"/>
      <c r="R14" s="9" t="n"/>
      <c r="S14" s="9" t="inlineStr">
        <is>
          <t>Tray</t>
        </is>
      </c>
      <c r="T14" s="10" t="n">
        <v>41</v>
      </c>
      <c r="U14" s="10" t="n">
        <v>78</v>
      </c>
      <c r="V14" s="10">
        <f>ROUNDUP((T14+U14+2*'Read Me'!$B$13)*(1+'Read Me'!$B$12),-1)</f>
        <v/>
      </c>
      <c r="W14" s="10">
        <f>V14*N14*O14</f>
        <v/>
      </c>
      <c r="X14" s="9">
        <f>IF(LEFT(I14,2)="MV",2*N14*IF(L14="1/C",O14,1),0)</f>
        <v/>
      </c>
      <c r="Y14" s="9">
        <f>IF(OR(LEFT(K14,4)="LVAX",LEFT(K14,6)="MV15AX",LEFT(K14,4)="CTAX",LEFT(K14,2)="W|"),2*N14*O14,0)</f>
        <v/>
      </c>
      <c r="Z14" s="9" t="inlineStr"/>
    </row>
    <row r="15">
      <c r="A15" s="9" t="inlineStr">
        <is>
          <t>A-C-0003</t>
        </is>
      </c>
      <c r="B15" s="9" t="inlineStr">
        <is>
          <t>A</t>
        </is>
      </c>
      <c r="C15" s="9" t="inlineStr">
        <is>
          <t>Power block</t>
        </is>
      </c>
      <c r="D15" s="9" t="inlineStr">
        <is>
          <t>Control</t>
        </is>
      </c>
      <c r="E15" s="9" t="inlineStr">
        <is>
          <t>R2C</t>
        </is>
      </c>
      <c r="F15" s="9" t="inlineStr">
        <is>
          <t>R2C: unit / HRSG electrical e-house (32 x 40 ft)</t>
        </is>
      </c>
      <c r="G15" s="9" t="inlineStr">
        <is>
          <t>BFP-2</t>
        </is>
      </c>
      <c r="H15" s="9" t="inlineStr">
        <is>
          <t>BFP-2A/B: boiler feed pumps (13.8 kV DOL)</t>
        </is>
      </c>
      <c r="I15" s="9" t="inlineStr">
        <is>
          <t>Control</t>
        </is>
      </c>
      <c r="J15" s="9" t="inlineStr">
        <is>
          <t>Control cable 600 V Type TC-ER, Cu #14 AWG, PVC jacket</t>
        </is>
      </c>
      <c r="K15" s="9" t="inlineStr">
        <is>
          <t>CT|7/C|14</t>
        </is>
      </c>
      <c r="L15" s="9" t="inlineStr">
        <is>
          <t>7/C</t>
        </is>
      </c>
      <c r="M15" s="9" t="inlineStr">
        <is>
          <t>14</t>
        </is>
      </c>
      <c r="N15" s="9" t="n">
        <v>1</v>
      </c>
      <c r="O15" s="9" t="n">
        <v>1</v>
      </c>
      <c r="P15" s="9" t="n"/>
      <c r="Q15" s="9" t="n"/>
      <c r="R15" s="9" t="n"/>
      <c r="S15" s="9" t="inlineStr">
        <is>
          <t>Tray</t>
        </is>
      </c>
      <c r="T15" s="10" t="n">
        <v>43</v>
      </c>
      <c r="U15" s="10" t="n">
        <v>78</v>
      </c>
      <c r="V15" s="10">
        <f>ROUNDUP((T15+U15+2*'Read Me'!$B$13)*(1+'Read Me'!$B$12),-1)</f>
        <v/>
      </c>
      <c r="W15" s="10">
        <f>V15*N15*O15</f>
        <v/>
      </c>
      <c r="X15" s="9">
        <f>IF(LEFT(I15,2)="MV",2*N15*IF(L15="1/C",O15,1),0)</f>
        <v/>
      </c>
      <c r="Y15" s="9">
        <f>IF(OR(LEFT(K15,4)="LVAX",LEFT(K15,6)="MV15AX",LEFT(K15,4)="CTAX",LEFT(K15,2)="W|"),2*N15*O15,0)</f>
        <v/>
      </c>
      <c r="Z15" s="9" t="inlineStr"/>
    </row>
    <row r="16">
      <c r="A16" s="9" t="inlineStr">
        <is>
          <t>A-C-0004</t>
        </is>
      </c>
      <c r="B16" s="9" t="inlineStr">
        <is>
          <t>A</t>
        </is>
      </c>
      <c r="C16" s="9" t="inlineStr">
        <is>
          <t>Power block</t>
        </is>
      </c>
      <c r="D16" s="9" t="inlineStr">
        <is>
          <t>Control</t>
        </is>
      </c>
      <c r="E16" s="9" t="inlineStr">
        <is>
          <t>R3</t>
        </is>
      </c>
      <c r="F16" s="9" t="inlineStr">
        <is>
          <t>R3: ST auxiliary electrical e-house (40 x 65 ft)</t>
        </is>
      </c>
      <c r="G16" s="9" t="inlineStr">
        <is>
          <t>BFP-3</t>
        </is>
      </c>
      <c r="H16" s="9" t="inlineStr">
        <is>
          <t>BFP-3A/B: boiler feed pumps (13.8 kV DOL)</t>
        </is>
      </c>
      <c r="I16" s="9" t="inlineStr">
        <is>
          <t>Control</t>
        </is>
      </c>
      <c r="J16" s="9" t="inlineStr">
        <is>
          <t>Control cable 600 V Type TC-ER, Cu #14 AWG, PVC jacket</t>
        </is>
      </c>
      <c r="K16" s="9" t="inlineStr">
        <is>
          <t>CT|7/C|14</t>
        </is>
      </c>
      <c r="L16" s="9" t="inlineStr">
        <is>
          <t>7/C</t>
        </is>
      </c>
      <c r="M16" s="9" t="inlineStr">
        <is>
          <t>14</t>
        </is>
      </c>
      <c r="N16" s="9" t="n">
        <v>1</v>
      </c>
      <c r="O16" s="9" t="n">
        <v>1</v>
      </c>
      <c r="P16" s="9" t="n"/>
      <c r="Q16" s="9" t="n"/>
      <c r="R16" s="9" t="n"/>
      <c r="S16" s="9" t="inlineStr">
        <is>
          <t>Tray</t>
        </is>
      </c>
      <c r="T16" s="10" t="n">
        <v>585</v>
      </c>
      <c r="U16" s="10" t="n">
        <v>114</v>
      </c>
      <c r="V16" s="10">
        <f>ROUNDUP((T16+U16+2*'Read Me'!$B$13)*(1+'Read Me'!$B$12),-1)</f>
        <v/>
      </c>
      <c r="W16" s="10">
        <f>V16*N16*O16</f>
        <v/>
      </c>
      <c r="X16" s="9">
        <f>IF(LEFT(I16,2)="MV",2*N16*IF(L16="1/C",O16,1),0)</f>
        <v/>
      </c>
      <c r="Y16" s="9">
        <f>IF(OR(LEFT(K16,4)="LVAX",LEFT(K16,6)="MV15AX",LEFT(K16,4)="CTAX",LEFT(K16,2)="W|"),2*N16*O16,0)</f>
        <v/>
      </c>
      <c r="Z16" s="9" t="inlineStr"/>
    </row>
    <row r="17">
      <c r="A17" s="9" t="inlineStr">
        <is>
          <t>A-C-0005</t>
        </is>
      </c>
      <c r="B17" s="9" t="inlineStr">
        <is>
          <t>A</t>
        </is>
      </c>
      <c r="C17" s="9" t="inlineStr">
        <is>
          <t>Power block</t>
        </is>
      </c>
      <c r="D17" s="9" t="inlineStr">
        <is>
          <t>Control</t>
        </is>
      </c>
      <c r="E17" s="9" t="inlineStr">
        <is>
          <t>R2B</t>
        </is>
      </c>
      <c r="F17" s="9" t="inlineStr">
        <is>
          <t>R2B: unit / HRSG electrical e-house (32 x 40 ft)</t>
        </is>
      </c>
      <c r="G17" s="9" t="inlineStr">
        <is>
          <t>CEMS-1</t>
        </is>
      </c>
      <c r="H17" s="9" t="inlineStr">
        <is>
          <t>CEMS shelter, HRSG 1</t>
        </is>
      </c>
      <c r="I17" s="9" t="inlineStr">
        <is>
          <t>Control</t>
        </is>
      </c>
      <c r="J17" s="9" t="inlineStr">
        <is>
          <t>Control cable 600 V Type TC-ER, Cu #14 AWG, PVC jacket</t>
        </is>
      </c>
      <c r="K17" s="9" t="inlineStr">
        <is>
          <t>CT|7/C|14</t>
        </is>
      </c>
      <c r="L17" s="9" t="inlineStr">
        <is>
          <t>7/C</t>
        </is>
      </c>
      <c r="M17" s="9" t="inlineStr">
        <is>
          <t>14</t>
        </is>
      </c>
      <c r="N17" s="9" t="n">
        <v>1</v>
      </c>
      <c r="O17" s="9" t="n">
        <v>1</v>
      </c>
      <c r="P17" s="9" t="n"/>
      <c r="Q17" s="9" t="n"/>
      <c r="R17" s="9" t="n"/>
      <c r="S17" s="9" t="inlineStr">
        <is>
          <t>Tray</t>
        </is>
      </c>
      <c r="T17" s="10" t="n">
        <v>242</v>
      </c>
      <c r="U17" s="10" t="n">
        <v>103</v>
      </c>
      <c r="V17" s="10">
        <f>ROUNDUP((T17+U17+2*'Read Me'!$B$13)*(1+'Read Me'!$B$12),-1)</f>
        <v/>
      </c>
      <c r="W17" s="10">
        <f>V17*N17*O17</f>
        <v/>
      </c>
      <c r="X17" s="9">
        <f>IF(LEFT(I17,2)="MV",2*N17*IF(L17="1/C",O17,1),0)</f>
        <v/>
      </c>
      <c r="Y17" s="9">
        <f>IF(OR(LEFT(K17,4)="LVAX",LEFT(K17,6)="MV15AX",LEFT(K17,4)="CTAX",LEFT(K17,2)="W|"),2*N17*O17,0)</f>
        <v/>
      </c>
      <c r="Z17" s="9" t="inlineStr"/>
    </row>
    <row r="18">
      <c r="A18" s="9" t="inlineStr">
        <is>
          <t>A-C-0006</t>
        </is>
      </c>
      <c r="B18" s="9" t="inlineStr">
        <is>
          <t>A</t>
        </is>
      </c>
      <c r="C18" s="9" t="inlineStr">
        <is>
          <t>Power block</t>
        </is>
      </c>
      <c r="D18" s="9" t="inlineStr">
        <is>
          <t>Control</t>
        </is>
      </c>
      <c r="E18" s="9" t="inlineStr">
        <is>
          <t>R2C</t>
        </is>
      </c>
      <c r="F18" s="9" t="inlineStr">
        <is>
          <t>R2C: unit / HRSG electrical e-house (32 x 40 ft)</t>
        </is>
      </c>
      <c r="G18" s="9" t="inlineStr">
        <is>
          <t>CEMS-2</t>
        </is>
      </c>
      <c r="H18" s="9" t="inlineStr">
        <is>
          <t>CEMS shelter, HRSG 2</t>
        </is>
      </c>
      <c r="I18" s="9" t="inlineStr">
        <is>
          <t>Control</t>
        </is>
      </c>
      <c r="J18" s="9" t="inlineStr">
        <is>
          <t>Control cable 600 V Type TC-ER, Cu #14 AWG, PVC jacket</t>
        </is>
      </c>
      <c r="K18" s="9" t="inlineStr">
        <is>
          <t>CT|7/C|14</t>
        </is>
      </c>
      <c r="L18" s="9" t="inlineStr">
        <is>
          <t>7/C</t>
        </is>
      </c>
      <c r="M18" s="9" t="inlineStr">
        <is>
          <t>14</t>
        </is>
      </c>
      <c r="N18" s="9" t="n">
        <v>1</v>
      </c>
      <c r="O18" s="9" t="n">
        <v>1</v>
      </c>
      <c r="P18" s="9" t="n"/>
      <c r="Q18" s="9" t="n"/>
      <c r="R18" s="9" t="n"/>
      <c r="S18" s="9" t="inlineStr">
        <is>
          <t>Tray</t>
        </is>
      </c>
      <c r="T18" s="10" t="n">
        <v>246</v>
      </c>
      <c r="U18" s="10" t="n">
        <v>99</v>
      </c>
      <c r="V18" s="10">
        <f>ROUNDUP((T18+U18+2*'Read Me'!$B$13)*(1+'Read Me'!$B$12),-1)</f>
        <v/>
      </c>
      <c r="W18" s="10">
        <f>V18*N18*O18</f>
        <v/>
      </c>
      <c r="X18" s="9">
        <f>IF(LEFT(I18,2)="MV",2*N18*IF(L18="1/C",O18,1),0)</f>
        <v/>
      </c>
      <c r="Y18" s="9">
        <f>IF(OR(LEFT(K18,4)="LVAX",LEFT(K18,6)="MV15AX",LEFT(K18,4)="CTAX",LEFT(K18,2)="W|"),2*N18*O18,0)</f>
        <v/>
      </c>
      <c r="Z18" s="9" t="inlineStr"/>
    </row>
    <row r="19">
      <c r="A19" s="9" t="inlineStr">
        <is>
          <t>A-C-0007</t>
        </is>
      </c>
      <c r="B19" s="9" t="inlineStr">
        <is>
          <t>A</t>
        </is>
      </c>
      <c r="C19" s="9" t="inlineStr">
        <is>
          <t>Power block</t>
        </is>
      </c>
      <c r="D19" s="9" t="inlineStr">
        <is>
          <t>Control</t>
        </is>
      </c>
      <c r="E19" s="9" t="inlineStr">
        <is>
          <t>R2C</t>
        </is>
      </c>
      <c r="F19" s="9" t="inlineStr">
        <is>
          <t>R2C: unit / HRSG electrical e-house (32 x 40 ft)</t>
        </is>
      </c>
      <c r="G19" s="9" t="inlineStr">
        <is>
          <t>CEMS-3</t>
        </is>
      </c>
      <c r="H19" s="9" t="inlineStr">
        <is>
          <t>CEMS shelter, HRSG 3</t>
        </is>
      </c>
      <c r="I19" s="9" t="inlineStr">
        <is>
          <t>Control</t>
        </is>
      </c>
      <c r="J19" s="9" t="inlineStr">
        <is>
          <t>Control cable 600 V Type TC-ER, Cu #14 AWG, PVC jacket</t>
        </is>
      </c>
      <c r="K19" s="9" t="inlineStr">
        <is>
          <t>CT|7/C|14</t>
        </is>
      </c>
      <c r="L19" s="9" t="inlineStr">
        <is>
          <t>7/C</t>
        </is>
      </c>
      <c r="M19" s="9" t="inlineStr">
        <is>
          <t>14</t>
        </is>
      </c>
      <c r="N19" s="9" t="n">
        <v>1</v>
      </c>
      <c r="O19" s="9" t="n">
        <v>1</v>
      </c>
      <c r="P19" s="9" t="n"/>
      <c r="Q19" s="9" t="n"/>
      <c r="R19" s="9" t="n"/>
      <c r="S19" s="9" t="inlineStr">
        <is>
          <t>Tray</t>
        </is>
      </c>
      <c r="T19" s="10" t="n">
        <v>277</v>
      </c>
      <c r="U19" s="10" t="n">
        <v>97</v>
      </c>
      <c r="V19" s="10">
        <f>ROUNDUP((T19+U19+2*'Read Me'!$B$13)*(1+'Read Me'!$B$12),-1)</f>
        <v/>
      </c>
      <c r="W19" s="10">
        <f>V19*N19*O19</f>
        <v/>
      </c>
      <c r="X19" s="9">
        <f>IF(LEFT(I19,2)="MV",2*N19*IF(L19="1/C",O19,1),0)</f>
        <v/>
      </c>
      <c r="Y19" s="9">
        <f>IF(OR(LEFT(K19,4)="LVAX",LEFT(K19,6)="MV15AX",LEFT(K19,4)="CTAX",LEFT(K19,2)="W|"),2*N19*O19,0)</f>
        <v/>
      </c>
      <c r="Z19" s="9" t="inlineStr"/>
    </row>
    <row r="20">
      <c r="A20" s="9" t="inlineStr">
        <is>
          <t>A-C-0008</t>
        </is>
      </c>
      <c r="B20" s="9" t="inlineStr">
        <is>
          <t>A</t>
        </is>
      </c>
      <c r="C20" s="9" t="inlineStr">
        <is>
          <t>Power block</t>
        </is>
      </c>
      <c r="D20" s="9" t="inlineStr">
        <is>
          <t>Control</t>
        </is>
      </c>
      <c r="E20" s="9" t="inlineStr">
        <is>
          <t>R3</t>
        </is>
      </c>
      <c r="F20" s="9" t="inlineStr">
        <is>
          <t>R3: ST auxiliary electrical e-house (40 x 65 ft)</t>
        </is>
      </c>
      <c r="G20" s="9" t="inlineStr">
        <is>
          <t>Chem feed</t>
        </is>
      </c>
      <c r="H20" s="9" t="inlineStr">
        <is>
          <t>Chemical feed</t>
        </is>
      </c>
      <c r="I20" s="9" t="inlineStr">
        <is>
          <t>Control</t>
        </is>
      </c>
      <c r="J20" s="9" t="inlineStr">
        <is>
          <t>Control cable 600 V Type TC-ER, Cu #14 AWG, PVC jacket</t>
        </is>
      </c>
      <c r="K20" s="9" t="inlineStr">
        <is>
          <t>CT|7/C|14</t>
        </is>
      </c>
      <c r="L20" s="9" t="inlineStr">
        <is>
          <t>7/C</t>
        </is>
      </c>
      <c r="M20" s="9" t="inlineStr">
        <is>
          <t>14</t>
        </is>
      </c>
      <c r="N20" s="9" t="n">
        <v>1</v>
      </c>
      <c r="O20" s="9" t="n">
        <v>1</v>
      </c>
      <c r="P20" s="9" t="n"/>
      <c r="Q20" s="9" t="n"/>
      <c r="R20" s="9" t="n"/>
      <c r="S20" s="9" t="inlineStr">
        <is>
          <t>Duct bank</t>
        </is>
      </c>
      <c r="T20" s="10" t="n">
        <v>230</v>
      </c>
      <c r="U20" s="10" t="n">
        <v>53</v>
      </c>
      <c r="V20" s="10">
        <f>ROUNDUP((T20+U20+2*'Read Me'!$B$13)*(1+'Read Me'!$B$12),-1)</f>
        <v/>
      </c>
      <c r="W20" s="10">
        <f>V20*N20*O20</f>
        <v/>
      </c>
      <c r="X20" s="9">
        <f>IF(LEFT(I20,2)="MV",2*N20*IF(L20="1/C",O20,1),0)</f>
        <v/>
      </c>
      <c r="Y20" s="9">
        <f>IF(OR(LEFT(K20,4)="LVAX",LEFT(K20,6)="MV15AX",LEFT(K20,4)="CTAX",LEFT(K20,2)="W|"),2*N20*O20,0)</f>
        <v/>
      </c>
      <c r="Z20" s="9" t="inlineStr"/>
    </row>
    <row r="21">
      <c r="A21" s="9" t="inlineStr">
        <is>
          <t>A-C-0009</t>
        </is>
      </c>
      <c r="B21" s="9" t="inlineStr">
        <is>
          <t>A</t>
        </is>
      </c>
      <c r="C21" s="9" t="inlineStr">
        <is>
          <t>Power block</t>
        </is>
      </c>
      <c r="D21" s="9" t="inlineStr">
        <is>
          <t>Control</t>
        </is>
      </c>
      <c r="E21" s="9" t="inlineStr">
        <is>
          <t>R2B</t>
        </is>
      </c>
      <c r="F21" s="9" t="inlineStr">
        <is>
          <t>R2B: unit / HRSG electrical e-house (32 x 40 ft)</t>
        </is>
      </c>
      <c r="G21" s="9" t="inlineStr">
        <is>
          <t>HALL</t>
        </is>
      </c>
      <c r="H21" s="9" t="inlineStr">
        <is>
          <t>Common turbine hall</t>
        </is>
      </c>
      <c r="I21" s="9" t="inlineStr">
        <is>
          <t>Control</t>
        </is>
      </c>
      <c r="J21" s="9" t="inlineStr">
        <is>
          <t>Control cable 600 V Type TC-ER, Cu #14 AWG, PVC jacket</t>
        </is>
      </c>
      <c r="K21" s="9" t="inlineStr">
        <is>
          <t>CT|7/C|14</t>
        </is>
      </c>
      <c r="L21" s="9" t="inlineStr">
        <is>
          <t>7/C</t>
        </is>
      </c>
      <c r="M21" s="9" t="inlineStr">
        <is>
          <t>14</t>
        </is>
      </c>
      <c r="N21" s="9" t="n">
        <v>1</v>
      </c>
      <c r="O21" s="9" t="n">
        <v>1</v>
      </c>
      <c r="P21" s="9" t="n"/>
      <c r="Q21" s="9" t="n"/>
      <c r="R21" s="9" t="n"/>
      <c r="S21" s="9" t="inlineStr">
        <is>
          <t>Tray</t>
        </is>
      </c>
      <c r="T21" s="10" t="n">
        <v>918</v>
      </c>
      <c r="U21" s="10" t="n">
        <v>96</v>
      </c>
      <c r="V21" s="10">
        <f>ROUNDUP((T21+U21+2*'Read Me'!$B$13)*(1+'Read Me'!$B$12),-1)</f>
        <v/>
      </c>
      <c r="W21" s="10">
        <f>V21*N21*O21</f>
        <v/>
      </c>
      <c r="X21" s="9">
        <f>IF(LEFT(I21,2)="MV",2*N21*IF(L21="1/C",O21,1),0)</f>
        <v/>
      </c>
      <c r="Y21" s="9">
        <f>IF(OR(LEFT(K21,4)="LVAX",LEFT(K21,6)="MV15AX",LEFT(K21,4)="CTAX",LEFT(K21,2)="W|"),2*N21*O21,0)</f>
        <v/>
      </c>
      <c r="Z21" s="9" t="inlineStr"/>
    </row>
    <row r="22">
      <c r="A22" s="9" t="inlineStr">
        <is>
          <t>A-C-0010</t>
        </is>
      </c>
      <c r="B22" s="9" t="inlineStr">
        <is>
          <t>A</t>
        </is>
      </c>
      <c r="C22" s="9" t="inlineStr">
        <is>
          <t>Power block</t>
        </is>
      </c>
      <c r="D22" s="9" t="inlineStr">
        <is>
          <t>Control</t>
        </is>
      </c>
      <c r="E22" s="9" t="inlineStr">
        <is>
          <t>R3</t>
        </is>
      </c>
      <c r="F22" s="9" t="inlineStr">
        <is>
          <t>R3: ST auxiliary electrical e-house (40 x 65 ft)</t>
        </is>
      </c>
      <c r="G22" s="9" t="inlineStr">
        <is>
          <t>EHC-ST</t>
        </is>
      </c>
      <c r="H22" s="9" t="inlineStr">
        <is>
          <t>EHC-ST: ST electro-hydraulic control power unit</t>
        </is>
      </c>
      <c r="I22" s="9" t="inlineStr">
        <is>
          <t>Control</t>
        </is>
      </c>
      <c r="J22" s="9" t="inlineStr">
        <is>
          <t>Control cable 600 V Type TC-ER, Cu #14 AWG, PVC jacket</t>
        </is>
      </c>
      <c r="K22" s="9" t="inlineStr">
        <is>
          <t>CT|7/C|14</t>
        </is>
      </c>
      <c r="L22" s="9" t="inlineStr">
        <is>
          <t>7/C</t>
        </is>
      </c>
      <c r="M22" s="9" t="inlineStr">
        <is>
          <t>14</t>
        </is>
      </c>
      <c r="N22" s="9" t="n">
        <v>1</v>
      </c>
      <c r="O22" s="9" t="n">
        <v>1</v>
      </c>
      <c r="P22" s="9" t="n"/>
      <c r="Q22" s="9" t="n"/>
      <c r="R22" s="9" t="n"/>
      <c r="S22" s="9" t="inlineStr">
        <is>
          <t>Tray</t>
        </is>
      </c>
      <c r="T22" s="10" t="n">
        <v>36</v>
      </c>
      <c r="U22" s="10" t="n">
        <v>102</v>
      </c>
      <c r="V22" s="10">
        <f>ROUNDUP((T22+U22+2*'Read Me'!$B$13)*(1+'Read Me'!$B$12),-1)</f>
        <v/>
      </c>
      <c r="W22" s="10">
        <f>V22*N22*O22</f>
        <v/>
      </c>
      <c r="X22" s="9">
        <f>IF(LEFT(I22,2)="MV",2*N22*IF(L22="1/C",O22,1),0)</f>
        <v/>
      </c>
      <c r="Y22" s="9">
        <f>IF(OR(LEFT(K22,4)="LVAX",LEFT(K22,6)="MV15AX",LEFT(K22,4)="CTAX",LEFT(K22,2)="W|"),2*N22*O22,0)</f>
        <v/>
      </c>
      <c r="Z22" s="9" t="inlineStr"/>
    </row>
    <row r="23">
      <c r="A23" s="9" t="inlineStr">
        <is>
          <t>A-C-0011</t>
        </is>
      </c>
      <c r="B23" s="9" t="inlineStr">
        <is>
          <t>A</t>
        </is>
      </c>
      <c r="C23" s="9" t="inlineStr">
        <is>
          <t>Power block</t>
        </is>
      </c>
      <c r="D23" s="9" t="inlineStr">
        <is>
          <t>Control</t>
        </is>
      </c>
      <c r="E23" s="9" t="inlineStr">
        <is>
          <t>R2A</t>
        </is>
      </c>
      <c r="F23" s="9" t="inlineStr">
        <is>
          <t>R2A: unit / HRSG electrical e-house (32 x 40 ft)</t>
        </is>
      </c>
      <c r="G23" s="9" t="inlineStr">
        <is>
          <t>ET-1</t>
        </is>
      </c>
      <c r="H23" s="9" t="inlineStr">
        <is>
          <t>ET-1: excitation transformer (dry type, GTG-1 terminals)</t>
        </is>
      </c>
      <c r="I23" s="9" t="inlineStr">
        <is>
          <t>Control</t>
        </is>
      </c>
      <c r="J23" s="9" t="inlineStr">
        <is>
          <t>Control cable 600 V Type TC-ER, Cu #14 AWG, PVC jacket</t>
        </is>
      </c>
      <c r="K23" s="9" t="inlineStr">
        <is>
          <t>CT|7/C|14</t>
        </is>
      </c>
      <c r="L23" s="9" t="inlineStr">
        <is>
          <t>7/C</t>
        </is>
      </c>
      <c r="M23" s="9" t="inlineStr">
        <is>
          <t>14</t>
        </is>
      </c>
      <c r="N23" s="9" t="n">
        <v>1</v>
      </c>
      <c r="O23" s="9" t="n">
        <v>1</v>
      </c>
      <c r="P23" s="9" t="n"/>
      <c r="Q23" s="9" t="n"/>
      <c r="R23" s="9" t="n"/>
      <c r="S23" s="9" t="inlineStr">
        <is>
          <t>Tray</t>
        </is>
      </c>
      <c r="T23" s="10" t="n">
        <v>437</v>
      </c>
      <c r="U23" s="10" t="n">
        <v>62</v>
      </c>
      <c r="V23" s="10">
        <f>ROUNDUP((T23+U23+2*'Read Me'!$B$13)*(1+'Read Me'!$B$12),-1)</f>
        <v/>
      </c>
      <c r="W23" s="10">
        <f>V23*N23*O23</f>
        <v/>
      </c>
      <c r="X23" s="9">
        <f>IF(LEFT(I23,2)="MV",2*N23*IF(L23="1/C",O23,1),0)</f>
        <v/>
      </c>
      <c r="Y23" s="9">
        <f>IF(OR(LEFT(K23,4)="LVAX",LEFT(K23,6)="MV15AX",LEFT(K23,4)="CTAX",LEFT(K23,2)="W|"),2*N23*O23,0)</f>
        <v/>
      </c>
      <c r="Z23" s="9" t="inlineStr"/>
    </row>
    <row r="24">
      <c r="A24" s="9" t="inlineStr">
        <is>
          <t>A-C-0012</t>
        </is>
      </c>
      <c r="B24" s="9" t="inlineStr">
        <is>
          <t>A</t>
        </is>
      </c>
      <c r="C24" s="9" t="inlineStr">
        <is>
          <t>Power block</t>
        </is>
      </c>
      <c r="D24" s="9" t="inlineStr">
        <is>
          <t>Control</t>
        </is>
      </c>
      <c r="E24" s="9" t="inlineStr">
        <is>
          <t>R2A</t>
        </is>
      </c>
      <c r="F24" s="9" t="inlineStr">
        <is>
          <t>R2A: unit / HRSG electrical e-house (32 x 40 ft)</t>
        </is>
      </c>
      <c r="G24" s="9" t="inlineStr">
        <is>
          <t>ET-1</t>
        </is>
      </c>
      <c r="H24" s="9" t="inlineStr">
        <is>
          <t>ET-1: excitation transformer (dry type, GTG-1 terminals)</t>
        </is>
      </c>
      <c r="I24" s="9" t="inlineStr">
        <is>
          <t>Control</t>
        </is>
      </c>
      <c r="J24" s="9" t="inlineStr">
        <is>
          <t>Control cable 600 V Type TC-ER, Cu #14 AWG, PVC jacket</t>
        </is>
      </c>
      <c r="K24" s="9" t="inlineStr">
        <is>
          <t>CT|12/C|14</t>
        </is>
      </c>
      <c r="L24" s="9" t="inlineStr">
        <is>
          <t>12/C</t>
        </is>
      </c>
      <c r="M24" s="9" t="inlineStr">
        <is>
          <t>14</t>
        </is>
      </c>
      <c r="N24" s="9" t="n">
        <v>1</v>
      </c>
      <c r="O24" s="9" t="n">
        <v>1</v>
      </c>
      <c r="P24" s="9" t="n"/>
      <c r="Q24" s="9" t="n"/>
      <c r="R24" s="9" t="n"/>
      <c r="S24" s="9" t="inlineStr">
        <is>
          <t>Tray</t>
        </is>
      </c>
      <c r="T24" s="10" t="n">
        <v>437</v>
      </c>
      <c r="U24" s="10" t="n">
        <v>62</v>
      </c>
      <c r="V24" s="10">
        <f>ROUNDUP((T24+U24+2*'Read Me'!$B$13)*(1+'Read Me'!$B$12),-1)</f>
        <v/>
      </c>
      <c r="W24" s="10">
        <f>V24*N24*O24</f>
        <v/>
      </c>
      <c r="X24" s="9">
        <f>IF(LEFT(I24,2)="MV",2*N24*IF(L24="1/C",O24,1),0)</f>
        <v/>
      </c>
      <c r="Y24" s="9">
        <f>IF(OR(LEFT(K24,4)="LVAX",LEFT(K24,6)="MV15AX",LEFT(K24,4)="CTAX",LEFT(K24,2)="W|"),2*N24*O24,0)</f>
        <v/>
      </c>
      <c r="Z24" s="9" t="inlineStr"/>
    </row>
    <row r="25">
      <c r="A25" s="9" t="inlineStr">
        <is>
          <t>A-C-0013</t>
        </is>
      </c>
      <c r="B25" s="9" t="inlineStr">
        <is>
          <t>A</t>
        </is>
      </c>
      <c r="C25" s="9" t="inlineStr">
        <is>
          <t>Power block</t>
        </is>
      </c>
      <c r="D25" s="9" t="inlineStr">
        <is>
          <t>CT / VT</t>
        </is>
      </c>
      <c r="E25" s="9" t="inlineStr">
        <is>
          <t>R2A</t>
        </is>
      </c>
      <c r="F25" s="9" t="inlineStr">
        <is>
          <t>R2A: unit / HRSG electrical e-house (32 x 40 ft)</t>
        </is>
      </c>
      <c r="G25" s="9" t="inlineStr">
        <is>
          <t>ET-1</t>
        </is>
      </c>
      <c r="H25" s="9" t="inlineStr">
        <is>
          <t>ET-1: excitation transformer (dry type, GTG-1 terminals)</t>
        </is>
      </c>
      <c r="I25" s="9" t="inlineStr">
        <is>
          <t>Control</t>
        </is>
      </c>
      <c r="J25" s="9" t="inlineStr">
        <is>
          <t>Control cable 600 V Type TC-ER, Cu #10 AWG (CT / VT circuits)</t>
        </is>
      </c>
      <c r="K25" s="9" t="inlineStr">
        <is>
          <t>CTCT|4/C|10</t>
        </is>
      </c>
      <c r="L25" s="9" t="inlineStr">
        <is>
          <t>4/C</t>
        </is>
      </c>
      <c r="M25" s="9" t="inlineStr">
        <is>
          <t>10</t>
        </is>
      </c>
      <c r="N25" s="9" t="n">
        <v>1</v>
      </c>
      <c r="O25" s="9" t="n">
        <v>1</v>
      </c>
      <c r="P25" s="9" t="n"/>
      <c r="Q25" s="9" t="n"/>
      <c r="R25" s="9" t="n"/>
      <c r="S25" s="9" t="inlineStr">
        <is>
          <t>Tray</t>
        </is>
      </c>
      <c r="T25" s="10" t="n">
        <v>437</v>
      </c>
      <c r="U25" s="10" t="n">
        <v>62</v>
      </c>
      <c r="V25" s="10">
        <f>ROUNDUP((T25+U25+2*'Read Me'!$B$13)*(1+'Read Me'!$B$12),-1)</f>
        <v/>
      </c>
      <c r="W25" s="10">
        <f>V25*N25*O25</f>
        <v/>
      </c>
      <c r="X25" s="9">
        <f>IF(LEFT(I25,2)="MV",2*N25*IF(L25="1/C",O25,1),0)</f>
        <v/>
      </c>
      <c r="Y25" s="9">
        <f>IF(OR(LEFT(K25,4)="LVAX",LEFT(K25,6)="MV15AX",LEFT(K25,4)="CTAX",LEFT(K25,2)="W|"),2*N25*O25,0)</f>
        <v/>
      </c>
      <c r="Z25" s="9" t="inlineStr"/>
    </row>
    <row r="26">
      <c r="A26" s="9" t="inlineStr">
        <is>
          <t>A-C-0014</t>
        </is>
      </c>
      <c r="B26" s="9" t="inlineStr">
        <is>
          <t>A</t>
        </is>
      </c>
      <c r="C26" s="9" t="inlineStr">
        <is>
          <t>Power block</t>
        </is>
      </c>
      <c r="D26" s="9" t="inlineStr">
        <is>
          <t>CT / VT</t>
        </is>
      </c>
      <c r="E26" s="9" t="inlineStr">
        <is>
          <t>R2A</t>
        </is>
      </c>
      <c r="F26" s="9" t="inlineStr">
        <is>
          <t>R2A: unit / HRSG electrical e-house (32 x 40 ft)</t>
        </is>
      </c>
      <c r="G26" s="9" t="inlineStr">
        <is>
          <t>ET-1</t>
        </is>
      </c>
      <c r="H26" s="9" t="inlineStr">
        <is>
          <t>ET-1: excitation transformer (dry type, GTG-1 terminals)</t>
        </is>
      </c>
      <c r="I26" s="9" t="inlineStr">
        <is>
          <t>Control</t>
        </is>
      </c>
      <c r="J26" s="9" t="inlineStr">
        <is>
          <t>Control cable 600 V Type TC-ER, Cu #10 AWG (CT / VT circuits)</t>
        </is>
      </c>
      <c r="K26" s="9" t="inlineStr">
        <is>
          <t>CTCT|4/C|10</t>
        </is>
      </c>
      <c r="L26" s="9" t="inlineStr">
        <is>
          <t>4/C</t>
        </is>
      </c>
      <c r="M26" s="9" t="inlineStr">
        <is>
          <t>10</t>
        </is>
      </c>
      <c r="N26" s="9" t="n">
        <v>1</v>
      </c>
      <c r="O26" s="9" t="n">
        <v>1</v>
      </c>
      <c r="P26" s="9" t="n"/>
      <c r="Q26" s="9" t="n"/>
      <c r="R26" s="9" t="n"/>
      <c r="S26" s="9" t="inlineStr">
        <is>
          <t>Tray</t>
        </is>
      </c>
      <c r="T26" s="10" t="n">
        <v>437</v>
      </c>
      <c r="U26" s="10" t="n">
        <v>62</v>
      </c>
      <c r="V26" s="10">
        <f>ROUNDUP((T26+U26+2*'Read Me'!$B$13)*(1+'Read Me'!$B$12),-1)</f>
        <v/>
      </c>
      <c r="W26" s="10">
        <f>V26*N26*O26</f>
        <v/>
      </c>
      <c r="X26" s="9">
        <f>IF(LEFT(I26,2)="MV",2*N26*IF(L26="1/C",O26,1),0)</f>
        <v/>
      </c>
      <c r="Y26" s="9">
        <f>IF(OR(LEFT(K26,4)="LVAX",LEFT(K26,6)="MV15AX",LEFT(K26,4)="CTAX",LEFT(K26,2)="W|"),2*N26*O26,0)</f>
        <v/>
      </c>
      <c r="Z26" s="9" t="inlineStr"/>
    </row>
    <row r="27">
      <c r="A27" s="9" t="inlineStr">
        <is>
          <t>A-C-0015</t>
        </is>
      </c>
      <c r="B27" s="9" t="inlineStr">
        <is>
          <t>A</t>
        </is>
      </c>
      <c r="C27" s="9" t="inlineStr">
        <is>
          <t>Power block</t>
        </is>
      </c>
      <c r="D27" s="9" t="inlineStr">
        <is>
          <t>Control</t>
        </is>
      </c>
      <c r="E27" s="9" t="inlineStr">
        <is>
          <t>R2B</t>
        </is>
      </c>
      <c r="F27" s="9" t="inlineStr">
        <is>
          <t>R2B: unit / HRSG electrical e-house (32 x 40 ft)</t>
        </is>
      </c>
      <c r="G27" s="9" t="inlineStr">
        <is>
          <t>ET-2</t>
        </is>
      </c>
      <c r="H27" s="9" t="inlineStr">
        <is>
          <t>ET-2: excitation transformer (dry type, GTG-2 terminals)</t>
        </is>
      </c>
      <c r="I27" s="9" t="inlineStr">
        <is>
          <t>Control</t>
        </is>
      </c>
      <c r="J27" s="9" t="inlineStr">
        <is>
          <t>Control cable 600 V Type TC-ER, Cu #14 AWG, PVC jacket</t>
        </is>
      </c>
      <c r="K27" s="9" t="inlineStr">
        <is>
          <t>CT|7/C|14</t>
        </is>
      </c>
      <c r="L27" s="9" t="inlineStr">
        <is>
          <t>7/C</t>
        </is>
      </c>
      <c r="M27" s="9" t="inlineStr">
        <is>
          <t>14</t>
        </is>
      </c>
      <c r="N27" s="9" t="n">
        <v>1</v>
      </c>
      <c r="O27" s="9" t="n">
        <v>1</v>
      </c>
      <c r="P27" s="9" t="n"/>
      <c r="Q27" s="9" t="n"/>
      <c r="R27" s="9" t="n"/>
      <c r="S27" s="9" t="inlineStr">
        <is>
          <t>Tray</t>
        </is>
      </c>
      <c r="T27" s="10" t="n">
        <v>1176</v>
      </c>
      <c r="U27" s="10" t="n">
        <v>64</v>
      </c>
      <c r="V27" s="10">
        <f>ROUNDUP((T27+U27+2*'Read Me'!$B$13)*(1+'Read Me'!$B$12),-1)</f>
        <v/>
      </c>
      <c r="W27" s="10">
        <f>V27*N27*O27</f>
        <v/>
      </c>
      <c r="X27" s="9">
        <f>IF(LEFT(I27,2)="MV",2*N27*IF(L27="1/C",O27,1),0)</f>
        <v/>
      </c>
      <c r="Y27" s="9">
        <f>IF(OR(LEFT(K27,4)="LVAX",LEFT(K27,6)="MV15AX",LEFT(K27,4)="CTAX",LEFT(K27,2)="W|"),2*N27*O27,0)</f>
        <v/>
      </c>
      <c r="Z27" s="9" t="inlineStr"/>
    </row>
    <row r="28">
      <c r="A28" s="9" t="inlineStr">
        <is>
          <t>A-C-0016</t>
        </is>
      </c>
      <c r="B28" s="9" t="inlineStr">
        <is>
          <t>A</t>
        </is>
      </c>
      <c r="C28" s="9" t="inlineStr">
        <is>
          <t>Power block</t>
        </is>
      </c>
      <c r="D28" s="9" t="inlineStr">
        <is>
          <t>Control</t>
        </is>
      </c>
      <c r="E28" s="9" t="inlineStr">
        <is>
          <t>R2B</t>
        </is>
      </c>
      <c r="F28" s="9" t="inlineStr">
        <is>
          <t>R2B: unit / HRSG electrical e-house (32 x 40 ft)</t>
        </is>
      </c>
      <c r="G28" s="9" t="inlineStr">
        <is>
          <t>ET-2</t>
        </is>
      </c>
      <c r="H28" s="9" t="inlineStr">
        <is>
          <t>ET-2: excitation transformer (dry type, GTG-2 terminals)</t>
        </is>
      </c>
      <c r="I28" s="9" t="inlineStr">
        <is>
          <t>Control</t>
        </is>
      </c>
      <c r="J28" s="9" t="inlineStr">
        <is>
          <t>Control cable 600 V Type TC-ER, Cu #14 AWG, PVC jacket</t>
        </is>
      </c>
      <c r="K28" s="9" t="inlineStr">
        <is>
          <t>CT|12/C|14</t>
        </is>
      </c>
      <c r="L28" s="9" t="inlineStr">
        <is>
          <t>12/C</t>
        </is>
      </c>
      <c r="M28" s="9" t="inlineStr">
        <is>
          <t>14</t>
        </is>
      </c>
      <c r="N28" s="9" t="n">
        <v>1</v>
      </c>
      <c r="O28" s="9" t="n">
        <v>1</v>
      </c>
      <c r="P28" s="9" t="n"/>
      <c r="Q28" s="9" t="n"/>
      <c r="R28" s="9" t="n"/>
      <c r="S28" s="9" t="inlineStr">
        <is>
          <t>Tray</t>
        </is>
      </c>
      <c r="T28" s="10" t="n">
        <v>1176</v>
      </c>
      <c r="U28" s="10" t="n">
        <v>64</v>
      </c>
      <c r="V28" s="10">
        <f>ROUNDUP((T28+U28+2*'Read Me'!$B$13)*(1+'Read Me'!$B$12),-1)</f>
        <v/>
      </c>
      <c r="W28" s="10">
        <f>V28*N28*O28</f>
        <v/>
      </c>
      <c r="X28" s="9">
        <f>IF(LEFT(I28,2)="MV",2*N28*IF(L28="1/C",O28,1),0)</f>
        <v/>
      </c>
      <c r="Y28" s="9">
        <f>IF(OR(LEFT(K28,4)="LVAX",LEFT(K28,6)="MV15AX",LEFT(K28,4)="CTAX",LEFT(K28,2)="W|"),2*N28*O28,0)</f>
        <v/>
      </c>
      <c r="Z28" s="9" t="inlineStr"/>
    </row>
    <row r="29">
      <c r="A29" s="9" t="inlineStr">
        <is>
          <t>A-C-0017</t>
        </is>
      </c>
      <c r="B29" s="9" t="inlineStr">
        <is>
          <t>A</t>
        </is>
      </c>
      <c r="C29" s="9" t="inlineStr">
        <is>
          <t>Power block</t>
        </is>
      </c>
      <c r="D29" s="9" t="inlineStr">
        <is>
          <t>CT / VT</t>
        </is>
      </c>
      <c r="E29" s="9" t="inlineStr">
        <is>
          <t>R2B</t>
        </is>
      </c>
      <c r="F29" s="9" t="inlineStr">
        <is>
          <t>R2B: unit / HRSG electrical e-house (32 x 40 ft)</t>
        </is>
      </c>
      <c r="G29" s="9" t="inlineStr">
        <is>
          <t>ET-2</t>
        </is>
      </c>
      <c r="H29" s="9" t="inlineStr">
        <is>
          <t>ET-2: excitation transformer (dry type, GTG-2 terminals)</t>
        </is>
      </c>
      <c r="I29" s="9" t="inlineStr">
        <is>
          <t>Control</t>
        </is>
      </c>
      <c r="J29" s="9" t="inlineStr">
        <is>
          <t>Control cable 600 V Type TC-ER, Cu #10 AWG (CT / VT circuits)</t>
        </is>
      </c>
      <c r="K29" s="9" t="inlineStr">
        <is>
          <t>CTCT|4/C|10</t>
        </is>
      </c>
      <c r="L29" s="9" t="inlineStr">
        <is>
          <t>4/C</t>
        </is>
      </c>
      <c r="M29" s="9" t="inlineStr">
        <is>
          <t>10</t>
        </is>
      </c>
      <c r="N29" s="9" t="n">
        <v>1</v>
      </c>
      <c r="O29" s="9" t="n">
        <v>1</v>
      </c>
      <c r="P29" s="9" t="n"/>
      <c r="Q29" s="9" t="n"/>
      <c r="R29" s="9" t="n"/>
      <c r="S29" s="9" t="inlineStr">
        <is>
          <t>Tray</t>
        </is>
      </c>
      <c r="T29" s="10" t="n">
        <v>1176</v>
      </c>
      <c r="U29" s="10" t="n">
        <v>64</v>
      </c>
      <c r="V29" s="10">
        <f>ROUNDUP((T29+U29+2*'Read Me'!$B$13)*(1+'Read Me'!$B$12),-1)</f>
        <v/>
      </c>
      <c r="W29" s="10">
        <f>V29*N29*O29</f>
        <v/>
      </c>
      <c r="X29" s="9">
        <f>IF(LEFT(I29,2)="MV",2*N29*IF(L29="1/C",O29,1),0)</f>
        <v/>
      </c>
      <c r="Y29" s="9">
        <f>IF(OR(LEFT(K29,4)="LVAX",LEFT(K29,6)="MV15AX",LEFT(K29,4)="CTAX",LEFT(K29,2)="W|"),2*N29*O29,0)</f>
        <v/>
      </c>
      <c r="Z29" s="9" t="inlineStr"/>
    </row>
    <row r="30">
      <c r="A30" s="9" t="inlineStr">
        <is>
          <t>A-C-0018</t>
        </is>
      </c>
      <c r="B30" s="9" t="inlineStr">
        <is>
          <t>A</t>
        </is>
      </c>
      <c r="C30" s="9" t="inlineStr">
        <is>
          <t>Power block</t>
        </is>
      </c>
      <c r="D30" s="9" t="inlineStr">
        <is>
          <t>CT / VT</t>
        </is>
      </c>
      <c r="E30" s="9" t="inlineStr">
        <is>
          <t>R2B</t>
        </is>
      </c>
      <c r="F30" s="9" t="inlineStr">
        <is>
          <t>R2B: unit / HRSG electrical e-house (32 x 40 ft)</t>
        </is>
      </c>
      <c r="G30" s="9" t="inlineStr">
        <is>
          <t>ET-2</t>
        </is>
      </c>
      <c r="H30" s="9" t="inlineStr">
        <is>
          <t>ET-2: excitation transformer (dry type, GTG-2 terminals)</t>
        </is>
      </c>
      <c r="I30" s="9" t="inlineStr">
        <is>
          <t>Control</t>
        </is>
      </c>
      <c r="J30" s="9" t="inlineStr">
        <is>
          <t>Control cable 600 V Type TC-ER, Cu #10 AWG (CT / VT circuits)</t>
        </is>
      </c>
      <c r="K30" s="9" t="inlineStr">
        <is>
          <t>CTCT|4/C|10</t>
        </is>
      </c>
      <c r="L30" s="9" t="inlineStr">
        <is>
          <t>4/C</t>
        </is>
      </c>
      <c r="M30" s="9" t="inlineStr">
        <is>
          <t>10</t>
        </is>
      </c>
      <c r="N30" s="9" t="n">
        <v>1</v>
      </c>
      <c r="O30" s="9" t="n">
        <v>1</v>
      </c>
      <c r="P30" s="9" t="n"/>
      <c r="Q30" s="9" t="n"/>
      <c r="R30" s="9" t="n"/>
      <c r="S30" s="9" t="inlineStr">
        <is>
          <t>Tray</t>
        </is>
      </c>
      <c r="T30" s="10" t="n">
        <v>1176</v>
      </c>
      <c r="U30" s="10" t="n">
        <v>64</v>
      </c>
      <c r="V30" s="10">
        <f>ROUNDUP((T30+U30+2*'Read Me'!$B$13)*(1+'Read Me'!$B$12),-1)</f>
        <v/>
      </c>
      <c r="W30" s="10">
        <f>V30*N30*O30</f>
        <v/>
      </c>
      <c r="X30" s="9">
        <f>IF(LEFT(I30,2)="MV",2*N30*IF(L30="1/C",O30,1),0)</f>
        <v/>
      </c>
      <c r="Y30" s="9">
        <f>IF(OR(LEFT(K30,4)="LVAX",LEFT(K30,6)="MV15AX",LEFT(K30,4)="CTAX",LEFT(K30,2)="W|"),2*N30*O30,0)</f>
        <v/>
      </c>
      <c r="Z30" s="9" t="inlineStr"/>
    </row>
    <row r="31">
      <c r="A31" s="9" t="inlineStr">
        <is>
          <t>A-C-0019</t>
        </is>
      </c>
      <c r="B31" s="9" t="inlineStr">
        <is>
          <t>A</t>
        </is>
      </c>
      <c r="C31" s="9" t="inlineStr">
        <is>
          <t>Power block</t>
        </is>
      </c>
      <c r="D31" s="9" t="inlineStr">
        <is>
          <t>Control</t>
        </is>
      </c>
      <c r="E31" s="9" t="inlineStr">
        <is>
          <t>R2C</t>
        </is>
      </c>
      <c r="F31" s="9" t="inlineStr">
        <is>
          <t>R2C: unit / HRSG electrical e-house (32 x 40 ft)</t>
        </is>
      </c>
      <c r="G31" s="9" t="inlineStr">
        <is>
          <t>ET-3</t>
        </is>
      </c>
      <c r="H31" s="9" t="inlineStr">
        <is>
          <t>ET-3: excitation transformer (dry type, GTG-3 terminals)</t>
        </is>
      </c>
      <c r="I31" s="9" t="inlineStr">
        <is>
          <t>Control</t>
        </is>
      </c>
      <c r="J31" s="9" t="inlineStr">
        <is>
          <t>Control cable 600 V Type TC-ER, Cu #14 AWG, PVC jacket</t>
        </is>
      </c>
      <c r="K31" s="9" t="inlineStr">
        <is>
          <t>CT|7/C|14</t>
        </is>
      </c>
      <c r="L31" s="9" t="inlineStr">
        <is>
          <t>7/C</t>
        </is>
      </c>
      <c r="M31" s="9" t="inlineStr">
        <is>
          <t>14</t>
        </is>
      </c>
      <c r="N31" s="9" t="n">
        <v>1</v>
      </c>
      <c r="O31" s="9" t="n">
        <v>1</v>
      </c>
      <c r="P31" s="9" t="n"/>
      <c r="Q31" s="9" t="n"/>
      <c r="R31" s="9" t="n"/>
      <c r="S31" s="9" t="inlineStr">
        <is>
          <t>Tray</t>
        </is>
      </c>
      <c r="T31" s="10" t="n">
        <v>1351</v>
      </c>
      <c r="U31" s="10" t="n">
        <v>80</v>
      </c>
      <c r="V31" s="10">
        <f>ROUNDUP((T31+U31+2*'Read Me'!$B$13)*(1+'Read Me'!$B$12),-1)</f>
        <v/>
      </c>
      <c r="W31" s="10">
        <f>V31*N31*O31</f>
        <v/>
      </c>
      <c r="X31" s="9">
        <f>IF(LEFT(I31,2)="MV",2*N31*IF(L31="1/C",O31,1),0)</f>
        <v/>
      </c>
      <c r="Y31" s="9">
        <f>IF(OR(LEFT(K31,4)="LVAX",LEFT(K31,6)="MV15AX",LEFT(K31,4)="CTAX",LEFT(K31,2)="W|"),2*N31*O31,0)</f>
        <v/>
      </c>
      <c r="Z31" s="9" t="inlineStr"/>
    </row>
    <row r="32">
      <c r="A32" s="9" t="inlineStr">
        <is>
          <t>A-C-0020</t>
        </is>
      </c>
      <c r="B32" s="9" t="inlineStr">
        <is>
          <t>A</t>
        </is>
      </c>
      <c r="C32" s="9" t="inlineStr">
        <is>
          <t>Power block</t>
        </is>
      </c>
      <c r="D32" s="9" t="inlineStr">
        <is>
          <t>Control</t>
        </is>
      </c>
      <c r="E32" s="9" t="inlineStr">
        <is>
          <t>R2C</t>
        </is>
      </c>
      <c r="F32" s="9" t="inlineStr">
        <is>
          <t>R2C: unit / HRSG electrical e-house (32 x 40 ft)</t>
        </is>
      </c>
      <c r="G32" s="9" t="inlineStr">
        <is>
          <t>ET-3</t>
        </is>
      </c>
      <c r="H32" s="9" t="inlineStr">
        <is>
          <t>ET-3: excitation transformer (dry type, GTG-3 terminals)</t>
        </is>
      </c>
      <c r="I32" s="9" t="inlineStr">
        <is>
          <t>Control</t>
        </is>
      </c>
      <c r="J32" s="9" t="inlineStr">
        <is>
          <t>Control cable 600 V Type TC-ER, Cu #14 AWG, PVC jacket</t>
        </is>
      </c>
      <c r="K32" s="9" t="inlineStr">
        <is>
          <t>CT|12/C|14</t>
        </is>
      </c>
      <c r="L32" s="9" t="inlineStr">
        <is>
          <t>12/C</t>
        </is>
      </c>
      <c r="M32" s="9" t="inlineStr">
        <is>
          <t>14</t>
        </is>
      </c>
      <c r="N32" s="9" t="n">
        <v>1</v>
      </c>
      <c r="O32" s="9" t="n">
        <v>1</v>
      </c>
      <c r="P32" s="9" t="n"/>
      <c r="Q32" s="9" t="n"/>
      <c r="R32" s="9" t="n"/>
      <c r="S32" s="9" t="inlineStr">
        <is>
          <t>Tray</t>
        </is>
      </c>
      <c r="T32" s="10" t="n">
        <v>1351</v>
      </c>
      <c r="U32" s="10" t="n">
        <v>80</v>
      </c>
      <c r="V32" s="10">
        <f>ROUNDUP((T32+U32+2*'Read Me'!$B$13)*(1+'Read Me'!$B$12),-1)</f>
        <v/>
      </c>
      <c r="W32" s="10">
        <f>V32*N32*O32</f>
        <v/>
      </c>
      <c r="X32" s="9">
        <f>IF(LEFT(I32,2)="MV",2*N32*IF(L32="1/C",O32,1),0)</f>
        <v/>
      </c>
      <c r="Y32" s="9">
        <f>IF(OR(LEFT(K32,4)="LVAX",LEFT(K32,6)="MV15AX",LEFT(K32,4)="CTAX",LEFT(K32,2)="W|"),2*N32*O32,0)</f>
        <v/>
      </c>
      <c r="Z32" s="9" t="inlineStr"/>
    </row>
    <row r="33">
      <c r="A33" s="9" t="inlineStr">
        <is>
          <t>A-C-0021</t>
        </is>
      </c>
      <c r="B33" s="9" t="inlineStr">
        <is>
          <t>A</t>
        </is>
      </c>
      <c r="C33" s="9" t="inlineStr">
        <is>
          <t>Power block</t>
        </is>
      </c>
      <c r="D33" s="9" t="inlineStr">
        <is>
          <t>CT / VT</t>
        </is>
      </c>
      <c r="E33" s="9" t="inlineStr">
        <is>
          <t>R2C</t>
        </is>
      </c>
      <c r="F33" s="9" t="inlineStr">
        <is>
          <t>R2C: unit / HRSG electrical e-house (32 x 40 ft)</t>
        </is>
      </c>
      <c r="G33" s="9" t="inlineStr">
        <is>
          <t>ET-3</t>
        </is>
      </c>
      <c r="H33" s="9" t="inlineStr">
        <is>
          <t>ET-3: excitation transformer (dry type, GTG-3 terminals)</t>
        </is>
      </c>
      <c r="I33" s="9" t="inlineStr">
        <is>
          <t>Control</t>
        </is>
      </c>
      <c r="J33" s="9" t="inlineStr">
        <is>
          <t>Control cable 600 V Type TC-ER, Cu #10 AWG (CT / VT circuits)</t>
        </is>
      </c>
      <c r="K33" s="9" t="inlineStr">
        <is>
          <t>CTCT|4/C|10</t>
        </is>
      </c>
      <c r="L33" s="9" t="inlineStr">
        <is>
          <t>4/C</t>
        </is>
      </c>
      <c r="M33" s="9" t="inlineStr">
        <is>
          <t>10</t>
        </is>
      </c>
      <c r="N33" s="9" t="n">
        <v>1</v>
      </c>
      <c r="O33" s="9" t="n">
        <v>1</v>
      </c>
      <c r="P33" s="9" t="n"/>
      <c r="Q33" s="9" t="n"/>
      <c r="R33" s="9" t="n"/>
      <c r="S33" s="9" t="inlineStr">
        <is>
          <t>Tray</t>
        </is>
      </c>
      <c r="T33" s="10" t="n">
        <v>1351</v>
      </c>
      <c r="U33" s="10" t="n">
        <v>80</v>
      </c>
      <c r="V33" s="10">
        <f>ROUNDUP((T33+U33+2*'Read Me'!$B$13)*(1+'Read Me'!$B$12),-1)</f>
        <v/>
      </c>
      <c r="W33" s="10">
        <f>V33*N33*O33</f>
        <v/>
      </c>
      <c r="X33" s="9">
        <f>IF(LEFT(I33,2)="MV",2*N33*IF(L33="1/C",O33,1),0)</f>
        <v/>
      </c>
      <c r="Y33" s="9">
        <f>IF(OR(LEFT(K33,4)="LVAX",LEFT(K33,6)="MV15AX",LEFT(K33,4)="CTAX",LEFT(K33,2)="W|"),2*N33*O33,0)</f>
        <v/>
      </c>
      <c r="Z33" s="9" t="inlineStr"/>
    </row>
    <row r="34">
      <c r="A34" s="9" t="inlineStr">
        <is>
          <t>A-C-0022</t>
        </is>
      </c>
      <c r="B34" s="9" t="inlineStr">
        <is>
          <t>A</t>
        </is>
      </c>
      <c r="C34" s="9" t="inlineStr">
        <is>
          <t>Power block</t>
        </is>
      </c>
      <c r="D34" s="9" t="inlineStr">
        <is>
          <t>CT / VT</t>
        </is>
      </c>
      <c r="E34" s="9" t="inlineStr">
        <is>
          <t>R2C</t>
        </is>
      </c>
      <c r="F34" s="9" t="inlineStr">
        <is>
          <t>R2C: unit / HRSG electrical e-house (32 x 40 ft)</t>
        </is>
      </c>
      <c r="G34" s="9" t="inlineStr">
        <is>
          <t>ET-3</t>
        </is>
      </c>
      <c r="H34" s="9" t="inlineStr">
        <is>
          <t>ET-3: excitation transformer (dry type, GTG-3 terminals)</t>
        </is>
      </c>
      <c r="I34" s="9" t="inlineStr">
        <is>
          <t>Control</t>
        </is>
      </c>
      <c r="J34" s="9" t="inlineStr">
        <is>
          <t>Control cable 600 V Type TC-ER, Cu #10 AWG (CT / VT circuits)</t>
        </is>
      </c>
      <c r="K34" s="9" t="inlineStr">
        <is>
          <t>CTCT|4/C|10</t>
        </is>
      </c>
      <c r="L34" s="9" t="inlineStr">
        <is>
          <t>4/C</t>
        </is>
      </c>
      <c r="M34" s="9" t="inlineStr">
        <is>
          <t>10</t>
        </is>
      </c>
      <c r="N34" s="9" t="n">
        <v>1</v>
      </c>
      <c r="O34" s="9" t="n">
        <v>1</v>
      </c>
      <c r="P34" s="9" t="n"/>
      <c r="Q34" s="9" t="n"/>
      <c r="R34" s="9" t="n"/>
      <c r="S34" s="9" t="inlineStr">
        <is>
          <t>Tray</t>
        </is>
      </c>
      <c r="T34" s="10" t="n">
        <v>1351</v>
      </c>
      <c r="U34" s="10" t="n">
        <v>80</v>
      </c>
      <c r="V34" s="10">
        <f>ROUNDUP((T34+U34+2*'Read Me'!$B$13)*(1+'Read Me'!$B$12),-1)</f>
        <v/>
      </c>
      <c r="W34" s="10">
        <f>V34*N34*O34</f>
        <v/>
      </c>
      <c r="X34" s="9">
        <f>IF(LEFT(I34,2)="MV",2*N34*IF(L34="1/C",O34,1),0)</f>
        <v/>
      </c>
      <c r="Y34" s="9">
        <f>IF(OR(LEFT(K34,4)="LVAX",LEFT(K34,6)="MV15AX",LEFT(K34,4)="CTAX",LEFT(K34,2)="W|"),2*N34*O34,0)</f>
        <v/>
      </c>
      <c r="Z34" s="9" t="inlineStr"/>
    </row>
    <row r="35">
      <c r="A35" s="9" t="inlineStr">
        <is>
          <t>A-C-0023</t>
        </is>
      </c>
      <c r="B35" s="9" t="inlineStr">
        <is>
          <t>A</t>
        </is>
      </c>
      <c r="C35" s="9" t="inlineStr">
        <is>
          <t>Power block</t>
        </is>
      </c>
      <c r="D35" s="9" t="inlineStr">
        <is>
          <t>Control</t>
        </is>
      </c>
      <c r="E35" s="9" t="inlineStr">
        <is>
          <t>R2B</t>
        </is>
      </c>
      <c r="F35" s="9" t="inlineStr">
        <is>
          <t>R2B: unit / HRSG electrical e-house (32 x 40 ft)</t>
        </is>
      </c>
      <c r="G35" s="9" t="inlineStr">
        <is>
          <t>EXC-1</t>
        </is>
      </c>
      <c r="H35" s="9" t="inlineStr">
        <is>
          <t>EXC-1: static excitation cubicles (GTG-1)</t>
        </is>
      </c>
      <c r="I35" s="9" t="inlineStr">
        <is>
          <t>Control</t>
        </is>
      </c>
      <c r="J35" s="9" t="inlineStr">
        <is>
          <t>Control cable 600 V Type TC-ER, Cu #14 AWG, PVC jacket</t>
        </is>
      </c>
      <c r="K35" s="9" t="inlineStr">
        <is>
          <t>CT|7/C|14</t>
        </is>
      </c>
      <c r="L35" s="9" t="inlineStr">
        <is>
          <t>7/C</t>
        </is>
      </c>
      <c r="M35" s="9" t="inlineStr">
        <is>
          <t>14</t>
        </is>
      </c>
      <c r="N35" s="9" t="n">
        <v>1</v>
      </c>
      <c r="O35" s="9" t="n">
        <v>1</v>
      </c>
      <c r="P35" s="9" t="n"/>
      <c r="Q35" s="9" t="n"/>
      <c r="R35" s="9" t="n"/>
      <c r="S35" s="9" t="inlineStr">
        <is>
          <t>Tray</t>
        </is>
      </c>
      <c r="T35" s="10" t="n">
        <v>960</v>
      </c>
      <c r="U35" s="10" t="n">
        <v>84</v>
      </c>
      <c r="V35" s="10">
        <f>ROUNDUP((T35+U35+2*'Read Me'!$B$13)*(1+'Read Me'!$B$12),-1)</f>
        <v/>
      </c>
      <c r="W35" s="10">
        <f>V35*N35*O35</f>
        <v/>
      </c>
      <c r="X35" s="9">
        <f>IF(LEFT(I35,2)="MV",2*N35*IF(L35="1/C",O35,1),0)</f>
        <v/>
      </c>
      <c r="Y35" s="9">
        <f>IF(OR(LEFT(K35,4)="LVAX",LEFT(K35,6)="MV15AX",LEFT(K35,4)="CTAX",LEFT(K35,2)="W|"),2*N35*O35,0)</f>
        <v/>
      </c>
      <c r="Z35" s="9" t="inlineStr"/>
    </row>
    <row r="36">
      <c r="A36" s="9" t="inlineStr">
        <is>
          <t>A-C-0024</t>
        </is>
      </c>
      <c r="B36" s="9" t="inlineStr">
        <is>
          <t>A</t>
        </is>
      </c>
      <c r="C36" s="9" t="inlineStr">
        <is>
          <t>Power block</t>
        </is>
      </c>
      <c r="D36" s="9" t="inlineStr">
        <is>
          <t>Control</t>
        </is>
      </c>
      <c r="E36" s="9" t="inlineStr">
        <is>
          <t>R2B</t>
        </is>
      </c>
      <c r="F36" s="9" t="inlineStr">
        <is>
          <t>R2B: unit / HRSG electrical e-house (32 x 40 ft)</t>
        </is>
      </c>
      <c r="G36" s="9" t="inlineStr">
        <is>
          <t>EXC-1</t>
        </is>
      </c>
      <c r="H36" s="9" t="inlineStr">
        <is>
          <t>EXC-1: static excitation cubicles (GTG-1)</t>
        </is>
      </c>
      <c r="I36" s="9" t="inlineStr">
        <is>
          <t>Control</t>
        </is>
      </c>
      <c r="J36" s="9" t="inlineStr">
        <is>
          <t>Control cable 600 V Type TC-ER, Cu #14 AWG, PVC jacket</t>
        </is>
      </c>
      <c r="K36" s="9" t="inlineStr">
        <is>
          <t>CT|7/C|14</t>
        </is>
      </c>
      <c r="L36" s="9" t="inlineStr">
        <is>
          <t>7/C</t>
        </is>
      </c>
      <c r="M36" s="9" t="inlineStr">
        <is>
          <t>14</t>
        </is>
      </c>
      <c r="N36" s="9" t="n">
        <v>1</v>
      </c>
      <c r="O36" s="9" t="n">
        <v>1</v>
      </c>
      <c r="P36" s="9" t="n"/>
      <c r="Q36" s="9" t="n"/>
      <c r="R36" s="9" t="n"/>
      <c r="S36" s="9" t="inlineStr">
        <is>
          <t>Tray</t>
        </is>
      </c>
      <c r="T36" s="10" t="n">
        <v>960</v>
      </c>
      <c r="U36" s="10" t="n">
        <v>84</v>
      </c>
      <c r="V36" s="10">
        <f>ROUNDUP((T36+U36+2*'Read Me'!$B$13)*(1+'Read Me'!$B$12),-1)</f>
        <v/>
      </c>
      <c r="W36" s="10">
        <f>V36*N36*O36</f>
        <v/>
      </c>
      <c r="X36" s="9">
        <f>IF(LEFT(I36,2)="MV",2*N36*IF(L36="1/C",O36,1),0)</f>
        <v/>
      </c>
      <c r="Y36" s="9">
        <f>IF(OR(LEFT(K36,4)="LVAX",LEFT(K36,6)="MV15AX",LEFT(K36,4)="CTAX",LEFT(K36,2)="W|"),2*N36*O36,0)</f>
        <v/>
      </c>
      <c r="Z36" s="9" t="inlineStr"/>
    </row>
    <row r="37">
      <c r="A37" s="9" t="inlineStr">
        <is>
          <t>A-C-0025</t>
        </is>
      </c>
      <c r="B37" s="9" t="inlineStr">
        <is>
          <t>A</t>
        </is>
      </c>
      <c r="C37" s="9" t="inlineStr">
        <is>
          <t>Power block</t>
        </is>
      </c>
      <c r="D37" s="9" t="inlineStr">
        <is>
          <t>Control</t>
        </is>
      </c>
      <c r="E37" s="9" t="inlineStr">
        <is>
          <t>R2B</t>
        </is>
      </c>
      <c r="F37" s="9" t="inlineStr">
        <is>
          <t>R2B: unit / HRSG electrical e-house (32 x 40 ft)</t>
        </is>
      </c>
      <c r="G37" s="9" t="inlineStr">
        <is>
          <t>EXC-1</t>
        </is>
      </c>
      <c r="H37" s="9" t="inlineStr">
        <is>
          <t>EXC-1: static excitation cubicles (GTG-1)</t>
        </is>
      </c>
      <c r="I37" s="9" t="inlineStr">
        <is>
          <t>Control</t>
        </is>
      </c>
      <c r="J37" s="9" t="inlineStr">
        <is>
          <t>Control cable 600 V Type TC-ER, Cu #14 AWG, PVC jacket</t>
        </is>
      </c>
      <c r="K37" s="9" t="inlineStr">
        <is>
          <t>CT|12/C|14</t>
        </is>
      </c>
      <c r="L37" s="9" t="inlineStr">
        <is>
          <t>12/C</t>
        </is>
      </c>
      <c r="M37" s="9" t="inlineStr">
        <is>
          <t>14</t>
        </is>
      </c>
      <c r="N37" s="9" t="n">
        <v>1</v>
      </c>
      <c r="O37" s="9" t="n">
        <v>1</v>
      </c>
      <c r="P37" s="9" t="n"/>
      <c r="Q37" s="9" t="n"/>
      <c r="R37" s="9" t="n"/>
      <c r="S37" s="9" t="inlineStr">
        <is>
          <t>Tray</t>
        </is>
      </c>
      <c r="T37" s="10" t="n">
        <v>960</v>
      </c>
      <c r="U37" s="10" t="n">
        <v>84</v>
      </c>
      <c r="V37" s="10">
        <f>ROUNDUP((T37+U37+2*'Read Me'!$B$13)*(1+'Read Me'!$B$12),-1)</f>
        <v/>
      </c>
      <c r="W37" s="10">
        <f>V37*N37*O37</f>
        <v/>
      </c>
      <c r="X37" s="9">
        <f>IF(LEFT(I37,2)="MV",2*N37*IF(L37="1/C",O37,1),0)</f>
        <v/>
      </c>
      <c r="Y37" s="9">
        <f>IF(OR(LEFT(K37,4)="LVAX",LEFT(K37,6)="MV15AX",LEFT(K37,4)="CTAX",LEFT(K37,2)="W|"),2*N37*O37,0)</f>
        <v/>
      </c>
      <c r="Z37" s="9" t="inlineStr"/>
    </row>
    <row r="38">
      <c r="A38" s="9" t="inlineStr">
        <is>
          <t>A-C-0026</t>
        </is>
      </c>
      <c r="B38" s="9" t="inlineStr">
        <is>
          <t>A</t>
        </is>
      </c>
      <c r="C38" s="9" t="inlineStr">
        <is>
          <t>Power block</t>
        </is>
      </c>
      <c r="D38" s="9" t="inlineStr">
        <is>
          <t>Control</t>
        </is>
      </c>
      <c r="E38" s="9" t="inlineStr">
        <is>
          <t>R2B</t>
        </is>
      </c>
      <c r="F38" s="9" t="inlineStr">
        <is>
          <t>R2B: unit / HRSG electrical e-house (32 x 40 ft)</t>
        </is>
      </c>
      <c r="G38" s="9" t="inlineStr">
        <is>
          <t>EXC-1</t>
        </is>
      </c>
      <c r="H38" s="9" t="inlineStr">
        <is>
          <t>EXC-1: static excitation cubicles (GTG-1)</t>
        </is>
      </c>
      <c r="I38" s="9" t="inlineStr">
        <is>
          <t>Control</t>
        </is>
      </c>
      <c r="J38" s="9" t="inlineStr">
        <is>
          <t>Control cable 600 V Type TC-ER, Cu #14 AWG, PVC jacket</t>
        </is>
      </c>
      <c r="K38" s="9" t="inlineStr">
        <is>
          <t>CT|12/C|14</t>
        </is>
      </c>
      <c r="L38" s="9" t="inlineStr">
        <is>
          <t>12/C</t>
        </is>
      </c>
      <c r="M38" s="9" t="inlineStr">
        <is>
          <t>14</t>
        </is>
      </c>
      <c r="N38" s="9" t="n">
        <v>1</v>
      </c>
      <c r="O38" s="9" t="n">
        <v>1</v>
      </c>
      <c r="P38" s="9" t="n"/>
      <c r="Q38" s="9" t="n"/>
      <c r="R38" s="9" t="n"/>
      <c r="S38" s="9" t="inlineStr">
        <is>
          <t>Tray</t>
        </is>
      </c>
      <c r="T38" s="10" t="n">
        <v>960</v>
      </c>
      <c r="U38" s="10" t="n">
        <v>84</v>
      </c>
      <c r="V38" s="10">
        <f>ROUNDUP((T38+U38+2*'Read Me'!$B$13)*(1+'Read Me'!$B$12),-1)</f>
        <v/>
      </c>
      <c r="W38" s="10">
        <f>V38*N38*O38</f>
        <v/>
      </c>
      <c r="X38" s="9">
        <f>IF(LEFT(I38,2)="MV",2*N38*IF(L38="1/C",O38,1),0)</f>
        <v/>
      </c>
      <c r="Y38" s="9">
        <f>IF(OR(LEFT(K38,4)="LVAX",LEFT(K38,6)="MV15AX",LEFT(K38,4)="CTAX",LEFT(K38,2)="W|"),2*N38*O38,0)</f>
        <v/>
      </c>
      <c r="Z38" s="9" t="inlineStr"/>
    </row>
    <row r="39">
      <c r="A39" s="9" t="inlineStr">
        <is>
          <t>A-C-0027</t>
        </is>
      </c>
      <c r="B39" s="9" t="inlineStr">
        <is>
          <t>A</t>
        </is>
      </c>
      <c r="C39" s="9" t="inlineStr">
        <is>
          <t>Power block</t>
        </is>
      </c>
      <c r="D39" s="9" t="inlineStr">
        <is>
          <t>Control</t>
        </is>
      </c>
      <c r="E39" s="9" t="inlineStr">
        <is>
          <t>R2B</t>
        </is>
      </c>
      <c r="F39" s="9" t="inlineStr">
        <is>
          <t>R2B: unit / HRSG electrical e-house (32 x 40 ft)</t>
        </is>
      </c>
      <c r="G39" s="9" t="inlineStr">
        <is>
          <t>EXC-1</t>
        </is>
      </c>
      <c r="H39" s="9" t="inlineStr">
        <is>
          <t>EXC-1: static excitation cubicles (GTG-1)</t>
        </is>
      </c>
      <c r="I39" s="9" t="inlineStr">
        <is>
          <t>Control</t>
        </is>
      </c>
      <c r="J39" s="9" t="inlineStr">
        <is>
          <t>Control cable 600 V Type TC-ER, Cu #14 AWG, PVC jacket</t>
        </is>
      </c>
      <c r="K39" s="9" t="inlineStr">
        <is>
          <t>CT|12/C|14</t>
        </is>
      </c>
      <c r="L39" s="9" t="inlineStr">
        <is>
          <t>12/C</t>
        </is>
      </c>
      <c r="M39" s="9" t="inlineStr">
        <is>
          <t>14</t>
        </is>
      </c>
      <c r="N39" s="9" t="n">
        <v>1</v>
      </c>
      <c r="O39" s="9" t="n">
        <v>1</v>
      </c>
      <c r="P39" s="9" t="n"/>
      <c r="Q39" s="9" t="n"/>
      <c r="R39" s="9" t="n"/>
      <c r="S39" s="9" t="inlineStr">
        <is>
          <t>Tray</t>
        </is>
      </c>
      <c r="T39" s="10" t="n">
        <v>960</v>
      </c>
      <c r="U39" s="10" t="n">
        <v>84</v>
      </c>
      <c r="V39" s="10">
        <f>ROUNDUP((T39+U39+2*'Read Me'!$B$13)*(1+'Read Me'!$B$12),-1)</f>
        <v/>
      </c>
      <c r="W39" s="10">
        <f>V39*N39*O39</f>
        <v/>
      </c>
      <c r="X39" s="9">
        <f>IF(LEFT(I39,2)="MV",2*N39*IF(L39="1/C",O39,1),0)</f>
        <v/>
      </c>
      <c r="Y39" s="9">
        <f>IF(OR(LEFT(K39,4)="LVAX",LEFT(K39,6)="MV15AX",LEFT(K39,4)="CTAX",LEFT(K39,2)="W|"),2*N39*O39,0)</f>
        <v/>
      </c>
      <c r="Z39" s="9" t="inlineStr"/>
    </row>
    <row r="40">
      <c r="A40" s="9" t="inlineStr">
        <is>
          <t>A-C-0028</t>
        </is>
      </c>
      <c r="B40" s="9" t="inlineStr">
        <is>
          <t>A</t>
        </is>
      </c>
      <c r="C40" s="9" t="inlineStr">
        <is>
          <t>Power block</t>
        </is>
      </c>
      <c r="D40" s="9" t="inlineStr">
        <is>
          <t>Control</t>
        </is>
      </c>
      <c r="E40" s="9" t="inlineStr">
        <is>
          <t>R2B</t>
        </is>
      </c>
      <c r="F40" s="9" t="inlineStr">
        <is>
          <t>R2B: unit / HRSG electrical e-house (32 x 40 ft)</t>
        </is>
      </c>
      <c r="G40" s="9" t="inlineStr">
        <is>
          <t>EXC-1</t>
        </is>
      </c>
      <c r="H40" s="9" t="inlineStr">
        <is>
          <t>EXC-1: static excitation cubicles (GTG-1)</t>
        </is>
      </c>
      <c r="I40" s="9" t="inlineStr">
        <is>
          <t>Control</t>
        </is>
      </c>
      <c r="J40" s="9" t="inlineStr">
        <is>
          <t>Control cable 600 V Type TC-ER, Cu #14 AWG, PVC jacket</t>
        </is>
      </c>
      <c r="K40" s="9" t="inlineStr">
        <is>
          <t>CT|12/C|14</t>
        </is>
      </c>
      <c r="L40" s="9" t="inlineStr">
        <is>
          <t>12/C</t>
        </is>
      </c>
      <c r="M40" s="9" t="inlineStr">
        <is>
          <t>14</t>
        </is>
      </c>
      <c r="N40" s="9" t="n">
        <v>1</v>
      </c>
      <c r="O40" s="9" t="n">
        <v>1</v>
      </c>
      <c r="P40" s="9" t="n"/>
      <c r="Q40" s="9" t="n"/>
      <c r="R40" s="9" t="n"/>
      <c r="S40" s="9" t="inlineStr">
        <is>
          <t>Tray</t>
        </is>
      </c>
      <c r="T40" s="10" t="n">
        <v>960</v>
      </c>
      <c r="U40" s="10" t="n">
        <v>84</v>
      </c>
      <c r="V40" s="10">
        <f>ROUNDUP((T40+U40+2*'Read Me'!$B$13)*(1+'Read Me'!$B$12),-1)</f>
        <v/>
      </c>
      <c r="W40" s="10">
        <f>V40*N40*O40</f>
        <v/>
      </c>
      <c r="X40" s="9">
        <f>IF(LEFT(I40,2)="MV",2*N40*IF(L40="1/C",O40,1),0)</f>
        <v/>
      </c>
      <c r="Y40" s="9">
        <f>IF(OR(LEFT(K40,4)="LVAX",LEFT(K40,6)="MV15AX",LEFT(K40,4)="CTAX",LEFT(K40,2)="W|"),2*N40*O40,0)</f>
        <v/>
      </c>
      <c r="Z40" s="9" t="inlineStr"/>
    </row>
    <row r="41">
      <c r="A41" s="9" t="inlineStr">
        <is>
          <t>A-C-0029</t>
        </is>
      </c>
      <c r="B41" s="9" t="inlineStr">
        <is>
          <t>A</t>
        </is>
      </c>
      <c r="C41" s="9" t="inlineStr">
        <is>
          <t>Power block</t>
        </is>
      </c>
      <c r="D41" s="9" t="inlineStr">
        <is>
          <t>Control</t>
        </is>
      </c>
      <c r="E41" s="9" t="inlineStr">
        <is>
          <t>R2B</t>
        </is>
      </c>
      <c r="F41" s="9" t="inlineStr">
        <is>
          <t>R2B: unit / HRSG electrical e-house (32 x 40 ft)</t>
        </is>
      </c>
      <c r="G41" s="9" t="inlineStr">
        <is>
          <t>EXC-1</t>
        </is>
      </c>
      <c r="H41" s="9" t="inlineStr">
        <is>
          <t>EXC-1: static excitation cubicles (GTG-1)</t>
        </is>
      </c>
      <c r="I41" s="9" t="inlineStr">
        <is>
          <t>Control</t>
        </is>
      </c>
      <c r="J41" s="9" t="inlineStr">
        <is>
          <t>Control cable 600 V Type TC-ER, Cu #14 AWG, PVC jacket</t>
        </is>
      </c>
      <c r="K41" s="9" t="inlineStr">
        <is>
          <t>CT|12/C|14</t>
        </is>
      </c>
      <c r="L41" s="9" t="inlineStr">
        <is>
          <t>12/C</t>
        </is>
      </c>
      <c r="M41" s="9" t="inlineStr">
        <is>
          <t>14</t>
        </is>
      </c>
      <c r="N41" s="9" t="n">
        <v>1</v>
      </c>
      <c r="O41" s="9" t="n">
        <v>1</v>
      </c>
      <c r="P41" s="9" t="n"/>
      <c r="Q41" s="9" t="n"/>
      <c r="R41" s="9" t="n"/>
      <c r="S41" s="9" t="inlineStr">
        <is>
          <t>Tray</t>
        </is>
      </c>
      <c r="T41" s="10" t="n">
        <v>960</v>
      </c>
      <c r="U41" s="10" t="n">
        <v>84</v>
      </c>
      <c r="V41" s="10">
        <f>ROUNDUP((T41+U41+2*'Read Me'!$B$13)*(1+'Read Me'!$B$12),-1)</f>
        <v/>
      </c>
      <c r="W41" s="10">
        <f>V41*N41*O41</f>
        <v/>
      </c>
      <c r="X41" s="9">
        <f>IF(LEFT(I41,2)="MV",2*N41*IF(L41="1/C",O41,1),0)</f>
        <v/>
      </c>
      <c r="Y41" s="9">
        <f>IF(OR(LEFT(K41,4)="LVAX",LEFT(K41,6)="MV15AX",LEFT(K41,4)="CTAX",LEFT(K41,2)="W|"),2*N41*O41,0)</f>
        <v/>
      </c>
      <c r="Z41" s="9" t="inlineStr"/>
    </row>
    <row r="42">
      <c r="A42" s="9" t="inlineStr">
        <is>
          <t>A-C-0030</t>
        </is>
      </c>
      <c r="B42" s="9" t="inlineStr">
        <is>
          <t>A</t>
        </is>
      </c>
      <c r="C42" s="9" t="inlineStr">
        <is>
          <t>Power block</t>
        </is>
      </c>
      <c r="D42" s="9" t="inlineStr">
        <is>
          <t>Control</t>
        </is>
      </c>
      <c r="E42" s="9" t="inlineStr">
        <is>
          <t>R2B</t>
        </is>
      </c>
      <c r="F42" s="9" t="inlineStr">
        <is>
          <t>R2B: unit / HRSG electrical e-house (32 x 40 ft)</t>
        </is>
      </c>
      <c r="G42" s="9" t="inlineStr">
        <is>
          <t>EXC-1</t>
        </is>
      </c>
      <c r="H42" s="9" t="inlineStr">
        <is>
          <t>EXC-1: static excitation cubicles (GTG-1)</t>
        </is>
      </c>
      <c r="I42" s="9" t="inlineStr">
        <is>
          <t>Control</t>
        </is>
      </c>
      <c r="J42" s="9" t="inlineStr">
        <is>
          <t>Control cable 600 V Type TC-ER, Cu #14 AWG, PVC jacket</t>
        </is>
      </c>
      <c r="K42" s="9" t="inlineStr">
        <is>
          <t>CT|12/C|14</t>
        </is>
      </c>
      <c r="L42" s="9" t="inlineStr">
        <is>
          <t>12/C</t>
        </is>
      </c>
      <c r="M42" s="9" t="inlineStr">
        <is>
          <t>14</t>
        </is>
      </c>
      <c r="N42" s="9" t="n">
        <v>1</v>
      </c>
      <c r="O42" s="9" t="n">
        <v>1</v>
      </c>
      <c r="P42" s="9" t="n"/>
      <c r="Q42" s="9" t="n"/>
      <c r="R42" s="9" t="n"/>
      <c r="S42" s="9" t="inlineStr">
        <is>
          <t>Tray</t>
        </is>
      </c>
      <c r="T42" s="10" t="n">
        <v>960</v>
      </c>
      <c r="U42" s="10" t="n">
        <v>84</v>
      </c>
      <c r="V42" s="10">
        <f>ROUNDUP((T42+U42+2*'Read Me'!$B$13)*(1+'Read Me'!$B$12),-1)</f>
        <v/>
      </c>
      <c r="W42" s="10">
        <f>V42*N42*O42</f>
        <v/>
      </c>
      <c r="X42" s="9">
        <f>IF(LEFT(I42,2)="MV",2*N42*IF(L42="1/C",O42,1),0)</f>
        <v/>
      </c>
      <c r="Y42" s="9">
        <f>IF(OR(LEFT(K42,4)="LVAX",LEFT(K42,6)="MV15AX",LEFT(K42,4)="CTAX",LEFT(K42,2)="W|"),2*N42*O42,0)</f>
        <v/>
      </c>
      <c r="Z42" s="9" t="inlineStr"/>
    </row>
    <row r="43">
      <c r="A43" s="9" t="inlineStr">
        <is>
          <t>A-C-0031</t>
        </is>
      </c>
      <c r="B43" s="9" t="inlineStr">
        <is>
          <t>A</t>
        </is>
      </c>
      <c r="C43" s="9" t="inlineStr">
        <is>
          <t>Power block</t>
        </is>
      </c>
      <c r="D43" s="9" t="inlineStr">
        <is>
          <t>Control</t>
        </is>
      </c>
      <c r="E43" s="9" t="inlineStr">
        <is>
          <t>R2C</t>
        </is>
      </c>
      <c r="F43" s="9" t="inlineStr">
        <is>
          <t>R2C: unit / HRSG electrical e-house (32 x 40 ft)</t>
        </is>
      </c>
      <c r="G43" s="9" t="inlineStr">
        <is>
          <t>EXC-2</t>
        </is>
      </c>
      <c r="H43" s="9" t="inlineStr">
        <is>
          <t>EXC-2: static excitation cubicles (GTG-2)</t>
        </is>
      </c>
      <c r="I43" s="9" t="inlineStr">
        <is>
          <t>Control</t>
        </is>
      </c>
      <c r="J43" s="9" t="inlineStr">
        <is>
          <t>Control cable 600 V Type TC-ER, Cu #14 AWG, PVC jacket</t>
        </is>
      </c>
      <c r="K43" s="9" t="inlineStr">
        <is>
          <t>CT|7/C|14</t>
        </is>
      </c>
      <c r="L43" s="9" t="inlineStr">
        <is>
          <t>7/C</t>
        </is>
      </c>
      <c r="M43" s="9" t="inlineStr">
        <is>
          <t>14</t>
        </is>
      </c>
      <c r="N43" s="9" t="n">
        <v>1</v>
      </c>
      <c r="O43" s="9" t="n">
        <v>1</v>
      </c>
      <c r="P43" s="9" t="n"/>
      <c r="Q43" s="9" t="n"/>
      <c r="R43" s="9" t="n"/>
      <c r="S43" s="9" t="inlineStr">
        <is>
          <t>Tray</t>
        </is>
      </c>
      <c r="T43" s="10" t="n">
        <v>1280</v>
      </c>
      <c r="U43" s="10" t="n">
        <v>84</v>
      </c>
      <c r="V43" s="10">
        <f>ROUNDUP((T43+U43+2*'Read Me'!$B$13)*(1+'Read Me'!$B$12),-1)</f>
        <v/>
      </c>
      <c r="W43" s="10">
        <f>V43*N43*O43</f>
        <v/>
      </c>
      <c r="X43" s="9">
        <f>IF(LEFT(I43,2)="MV",2*N43*IF(L43="1/C",O43,1),0)</f>
        <v/>
      </c>
      <c r="Y43" s="9">
        <f>IF(OR(LEFT(K43,4)="LVAX",LEFT(K43,6)="MV15AX",LEFT(K43,4)="CTAX",LEFT(K43,2)="W|"),2*N43*O43,0)</f>
        <v/>
      </c>
      <c r="Z43" s="9" t="inlineStr"/>
    </row>
    <row r="44">
      <c r="A44" s="9" t="inlineStr">
        <is>
          <t>A-C-0032</t>
        </is>
      </c>
      <c r="B44" s="9" t="inlineStr">
        <is>
          <t>A</t>
        </is>
      </c>
      <c r="C44" s="9" t="inlineStr">
        <is>
          <t>Power block</t>
        </is>
      </c>
      <c r="D44" s="9" t="inlineStr">
        <is>
          <t>Control</t>
        </is>
      </c>
      <c r="E44" s="9" t="inlineStr">
        <is>
          <t>R2C</t>
        </is>
      </c>
      <c r="F44" s="9" t="inlineStr">
        <is>
          <t>R2C: unit / HRSG electrical e-house (32 x 40 ft)</t>
        </is>
      </c>
      <c r="G44" s="9" t="inlineStr">
        <is>
          <t>EXC-2</t>
        </is>
      </c>
      <c r="H44" s="9" t="inlineStr">
        <is>
          <t>EXC-2: static excitation cubicles (GTG-2)</t>
        </is>
      </c>
      <c r="I44" s="9" t="inlineStr">
        <is>
          <t>Control</t>
        </is>
      </c>
      <c r="J44" s="9" t="inlineStr">
        <is>
          <t>Control cable 600 V Type TC-ER, Cu #14 AWG, PVC jacket</t>
        </is>
      </c>
      <c r="K44" s="9" t="inlineStr">
        <is>
          <t>CT|7/C|14</t>
        </is>
      </c>
      <c r="L44" s="9" t="inlineStr">
        <is>
          <t>7/C</t>
        </is>
      </c>
      <c r="M44" s="9" t="inlineStr">
        <is>
          <t>14</t>
        </is>
      </c>
      <c r="N44" s="9" t="n">
        <v>1</v>
      </c>
      <c r="O44" s="9" t="n">
        <v>1</v>
      </c>
      <c r="P44" s="9" t="n"/>
      <c r="Q44" s="9" t="n"/>
      <c r="R44" s="9" t="n"/>
      <c r="S44" s="9" t="inlineStr">
        <is>
          <t>Tray</t>
        </is>
      </c>
      <c r="T44" s="10" t="n">
        <v>1280</v>
      </c>
      <c r="U44" s="10" t="n">
        <v>84</v>
      </c>
      <c r="V44" s="10">
        <f>ROUNDUP((T44+U44+2*'Read Me'!$B$13)*(1+'Read Me'!$B$12),-1)</f>
        <v/>
      </c>
      <c r="W44" s="10">
        <f>V44*N44*O44</f>
        <v/>
      </c>
      <c r="X44" s="9">
        <f>IF(LEFT(I44,2)="MV",2*N44*IF(L44="1/C",O44,1),0)</f>
        <v/>
      </c>
      <c r="Y44" s="9">
        <f>IF(OR(LEFT(K44,4)="LVAX",LEFT(K44,6)="MV15AX",LEFT(K44,4)="CTAX",LEFT(K44,2)="W|"),2*N44*O44,0)</f>
        <v/>
      </c>
      <c r="Z44" s="9" t="inlineStr"/>
    </row>
    <row r="45">
      <c r="A45" s="9" t="inlineStr">
        <is>
          <t>A-C-0033</t>
        </is>
      </c>
      <c r="B45" s="9" t="inlineStr">
        <is>
          <t>A</t>
        </is>
      </c>
      <c r="C45" s="9" t="inlineStr">
        <is>
          <t>Power block</t>
        </is>
      </c>
      <c r="D45" s="9" t="inlineStr">
        <is>
          <t>Control</t>
        </is>
      </c>
      <c r="E45" s="9" t="inlineStr">
        <is>
          <t>R2C</t>
        </is>
      </c>
      <c r="F45" s="9" t="inlineStr">
        <is>
          <t>R2C: unit / HRSG electrical e-house (32 x 40 ft)</t>
        </is>
      </c>
      <c r="G45" s="9" t="inlineStr">
        <is>
          <t>EXC-2</t>
        </is>
      </c>
      <c r="H45" s="9" t="inlineStr">
        <is>
          <t>EXC-2: static excitation cubicles (GTG-2)</t>
        </is>
      </c>
      <c r="I45" s="9" t="inlineStr">
        <is>
          <t>Control</t>
        </is>
      </c>
      <c r="J45" s="9" t="inlineStr">
        <is>
          <t>Control cable 600 V Type TC-ER, Cu #14 AWG, PVC jacket</t>
        </is>
      </c>
      <c r="K45" s="9" t="inlineStr">
        <is>
          <t>CT|12/C|14</t>
        </is>
      </c>
      <c r="L45" s="9" t="inlineStr">
        <is>
          <t>12/C</t>
        </is>
      </c>
      <c r="M45" s="9" t="inlineStr">
        <is>
          <t>14</t>
        </is>
      </c>
      <c r="N45" s="9" t="n">
        <v>1</v>
      </c>
      <c r="O45" s="9" t="n">
        <v>1</v>
      </c>
      <c r="P45" s="9" t="n"/>
      <c r="Q45" s="9" t="n"/>
      <c r="R45" s="9" t="n"/>
      <c r="S45" s="9" t="inlineStr">
        <is>
          <t>Tray</t>
        </is>
      </c>
      <c r="T45" s="10" t="n">
        <v>1280</v>
      </c>
      <c r="U45" s="10" t="n">
        <v>84</v>
      </c>
      <c r="V45" s="10">
        <f>ROUNDUP((T45+U45+2*'Read Me'!$B$13)*(1+'Read Me'!$B$12),-1)</f>
        <v/>
      </c>
      <c r="W45" s="10">
        <f>V45*N45*O45</f>
        <v/>
      </c>
      <c r="X45" s="9">
        <f>IF(LEFT(I45,2)="MV",2*N45*IF(L45="1/C",O45,1),0)</f>
        <v/>
      </c>
      <c r="Y45" s="9">
        <f>IF(OR(LEFT(K45,4)="LVAX",LEFT(K45,6)="MV15AX",LEFT(K45,4)="CTAX",LEFT(K45,2)="W|"),2*N45*O45,0)</f>
        <v/>
      </c>
      <c r="Z45" s="9" t="inlineStr"/>
    </row>
    <row r="46">
      <c r="A46" s="9" t="inlineStr">
        <is>
          <t>A-C-0034</t>
        </is>
      </c>
      <c r="B46" s="9" t="inlineStr">
        <is>
          <t>A</t>
        </is>
      </c>
      <c r="C46" s="9" t="inlineStr">
        <is>
          <t>Power block</t>
        </is>
      </c>
      <c r="D46" s="9" t="inlineStr">
        <is>
          <t>Control</t>
        </is>
      </c>
      <c r="E46" s="9" t="inlineStr">
        <is>
          <t>R2C</t>
        </is>
      </c>
      <c r="F46" s="9" t="inlineStr">
        <is>
          <t>R2C: unit / HRSG electrical e-house (32 x 40 ft)</t>
        </is>
      </c>
      <c r="G46" s="9" t="inlineStr">
        <is>
          <t>EXC-2</t>
        </is>
      </c>
      <c r="H46" s="9" t="inlineStr">
        <is>
          <t>EXC-2: static excitation cubicles (GTG-2)</t>
        </is>
      </c>
      <c r="I46" s="9" t="inlineStr">
        <is>
          <t>Control</t>
        </is>
      </c>
      <c r="J46" s="9" t="inlineStr">
        <is>
          <t>Control cable 600 V Type TC-ER, Cu #14 AWG, PVC jacket</t>
        </is>
      </c>
      <c r="K46" s="9" t="inlineStr">
        <is>
          <t>CT|12/C|14</t>
        </is>
      </c>
      <c r="L46" s="9" t="inlineStr">
        <is>
          <t>12/C</t>
        </is>
      </c>
      <c r="M46" s="9" t="inlineStr">
        <is>
          <t>14</t>
        </is>
      </c>
      <c r="N46" s="9" t="n">
        <v>1</v>
      </c>
      <c r="O46" s="9" t="n">
        <v>1</v>
      </c>
      <c r="P46" s="9" t="n"/>
      <c r="Q46" s="9" t="n"/>
      <c r="R46" s="9" t="n"/>
      <c r="S46" s="9" t="inlineStr">
        <is>
          <t>Tray</t>
        </is>
      </c>
      <c r="T46" s="10" t="n">
        <v>1280</v>
      </c>
      <c r="U46" s="10" t="n">
        <v>84</v>
      </c>
      <c r="V46" s="10">
        <f>ROUNDUP((T46+U46+2*'Read Me'!$B$13)*(1+'Read Me'!$B$12),-1)</f>
        <v/>
      </c>
      <c r="W46" s="10">
        <f>V46*N46*O46</f>
        <v/>
      </c>
      <c r="X46" s="9">
        <f>IF(LEFT(I46,2)="MV",2*N46*IF(L46="1/C",O46,1),0)</f>
        <v/>
      </c>
      <c r="Y46" s="9">
        <f>IF(OR(LEFT(K46,4)="LVAX",LEFT(K46,6)="MV15AX",LEFT(K46,4)="CTAX",LEFT(K46,2)="W|"),2*N46*O46,0)</f>
        <v/>
      </c>
      <c r="Z46" s="9" t="inlineStr"/>
    </row>
    <row r="47">
      <c r="A47" s="9" t="inlineStr">
        <is>
          <t>A-C-0035</t>
        </is>
      </c>
      <c r="B47" s="9" t="inlineStr">
        <is>
          <t>A</t>
        </is>
      </c>
      <c r="C47" s="9" t="inlineStr">
        <is>
          <t>Power block</t>
        </is>
      </c>
      <c r="D47" s="9" t="inlineStr">
        <is>
          <t>Control</t>
        </is>
      </c>
      <c r="E47" s="9" t="inlineStr">
        <is>
          <t>R2C</t>
        </is>
      </c>
      <c r="F47" s="9" t="inlineStr">
        <is>
          <t>R2C: unit / HRSG electrical e-house (32 x 40 ft)</t>
        </is>
      </c>
      <c r="G47" s="9" t="inlineStr">
        <is>
          <t>EXC-2</t>
        </is>
      </c>
      <c r="H47" s="9" t="inlineStr">
        <is>
          <t>EXC-2: static excitation cubicles (GTG-2)</t>
        </is>
      </c>
      <c r="I47" s="9" t="inlineStr">
        <is>
          <t>Control</t>
        </is>
      </c>
      <c r="J47" s="9" t="inlineStr">
        <is>
          <t>Control cable 600 V Type TC-ER, Cu #14 AWG, PVC jacket</t>
        </is>
      </c>
      <c r="K47" s="9" t="inlineStr">
        <is>
          <t>CT|12/C|14</t>
        </is>
      </c>
      <c r="L47" s="9" t="inlineStr">
        <is>
          <t>12/C</t>
        </is>
      </c>
      <c r="M47" s="9" t="inlineStr">
        <is>
          <t>14</t>
        </is>
      </c>
      <c r="N47" s="9" t="n">
        <v>1</v>
      </c>
      <c r="O47" s="9" t="n">
        <v>1</v>
      </c>
      <c r="P47" s="9" t="n"/>
      <c r="Q47" s="9" t="n"/>
      <c r="R47" s="9" t="n"/>
      <c r="S47" s="9" t="inlineStr">
        <is>
          <t>Tray</t>
        </is>
      </c>
      <c r="T47" s="10" t="n">
        <v>1280</v>
      </c>
      <c r="U47" s="10" t="n">
        <v>84</v>
      </c>
      <c r="V47" s="10">
        <f>ROUNDUP((T47+U47+2*'Read Me'!$B$13)*(1+'Read Me'!$B$12),-1)</f>
        <v/>
      </c>
      <c r="W47" s="10">
        <f>V47*N47*O47</f>
        <v/>
      </c>
      <c r="X47" s="9">
        <f>IF(LEFT(I47,2)="MV",2*N47*IF(L47="1/C",O47,1),0)</f>
        <v/>
      </c>
      <c r="Y47" s="9">
        <f>IF(OR(LEFT(K47,4)="LVAX",LEFT(K47,6)="MV15AX",LEFT(K47,4)="CTAX",LEFT(K47,2)="W|"),2*N47*O47,0)</f>
        <v/>
      </c>
      <c r="Z47" s="9" t="inlineStr"/>
    </row>
    <row r="48">
      <c r="A48" s="9" t="inlineStr">
        <is>
          <t>A-C-0036</t>
        </is>
      </c>
      <c r="B48" s="9" t="inlineStr">
        <is>
          <t>A</t>
        </is>
      </c>
      <c r="C48" s="9" t="inlineStr">
        <is>
          <t>Power block</t>
        </is>
      </c>
      <c r="D48" s="9" t="inlineStr">
        <is>
          <t>Control</t>
        </is>
      </c>
      <c r="E48" s="9" t="inlineStr">
        <is>
          <t>R2C</t>
        </is>
      </c>
      <c r="F48" s="9" t="inlineStr">
        <is>
          <t>R2C: unit / HRSG electrical e-house (32 x 40 ft)</t>
        </is>
      </c>
      <c r="G48" s="9" t="inlineStr">
        <is>
          <t>EXC-2</t>
        </is>
      </c>
      <c r="H48" s="9" t="inlineStr">
        <is>
          <t>EXC-2: static excitation cubicles (GTG-2)</t>
        </is>
      </c>
      <c r="I48" s="9" t="inlineStr">
        <is>
          <t>Control</t>
        </is>
      </c>
      <c r="J48" s="9" t="inlineStr">
        <is>
          <t>Control cable 600 V Type TC-ER, Cu #14 AWG, PVC jacket</t>
        </is>
      </c>
      <c r="K48" s="9" t="inlineStr">
        <is>
          <t>CT|12/C|14</t>
        </is>
      </c>
      <c r="L48" s="9" t="inlineStr">
        <is>
          <t>12/C</t>
        </is>
      </c>
      <c r="M48" s="9" t="inlineStr">
        <is>
          <t>14</t>
        </is>
      </c>
      <c r="N48" s="9" t="n">
        <v>1</v>
      </c>
      <c r="O48" s="9" t="n">
        <v>1</v>
      </c>
      <c r="P48" s="9" t="n"/>
      <c r="Q48" s="9" t="n"/>
      <c r="R48" s="9" t="n"/>
      <c r="S48" s="9" t="inlineStr">
        <is>
          <t>Tray</t>
        </is>
      </c>
      <c r="T48" s="10" t="n">
        <v>1280</v>
      </c>
      <c r="U48" s="10" t="n">
        <v>84</v>
      </c>
      <c r="V48" s="10">
        <f>ROUNDUP((T48+U48+2*'Read Me'!$B$13)*(1+'Read Me'!$B$12),-1)</f>
        <v/>
      </c>
      <c r="W48" s="10">
        <f>V48*N48*O48</f>
        <v/>
      </c>
      <c r="X48" s="9">
        <f>IF(LEFT(I48,2)="MV",2*N48*IF(L48="1/C",O48,1),0)</f>
        <v/>
      </c>
      <c r="Y48" s="9">
        <f>IF(OR(LEFT(K48,4)="LVAX",LEFT(K48,6)="MV15AX",LEFT(K48,4)="CTAX",LEFT(K48,2)="W|"),2*N48*O48,0)</f>
        <v/>
      </c>
      <c r="Z48" s="9" t="inlineStr"/>
    </row>
    <row r="49">
      <c r="A49" s="9" t="inlineStr">
        <is>
          <t>A-C-0037</t>
        </is>
      </c>
      <c r="B49" s="9" t="inlineStr">
        <is>
          <t>A</t>
        </is>
      </c>
      <c r="C49" s="9" t="inlineStr">
        <is>
          <t>Power block</t>
        </is>
      </c>
      <c r="D49" s="9" t="inlineStr">
        <is>
          <t>Control</t>
        </is>
      </c>
      <c r="E49" s="9" t="inlineStr">
        <is>
          <t>R2C</t>
        </is>
      </c>
      <c r="F49" s="9" t="inlineStr">
        <is>
          <t>R2C: unit / HRSG electrical e-house (32 x 40 ft)</t>
        </is>
      </c>
      <c r="G49" s="9" t="inlineStr">
        <is>
          <t>EXC-2</t>
        </is>
      </c>
      <c r="H49" s="9" t="inlineStr">
        <is>
          <t>EXC-2: static excitation cubicles (GTG-2)</t>
        </is>
      </c>
      <c r="I49" s="9" t="inlineStr">
        <is>
          <t>Control</t>
        </is>
      </c>
      <c r="J49" s="9" t="inlineStr">
        <is>
          <t>Control cable 600 V Type TC-ER, Cu #14 AWG, PVC jacket</t>
        </is>
      </c>
      <c r="K49" s="9" t="inlineStr">
        <is>
          <t>CT|12/C|14</t>
        </is>
      </c>
      <c r="L49" s="9" t="inlineStr">
        <is>
          <t>12/C</t>
        </is>
      </c>
      <c r="M49" s="9" t="inlineStr">
        <is>
          <t>14</t>
        </is>
      </c>
      <c r="N49" s="9" t="n">
        <v>1</v>
      </c>
      <c r="O49" s="9" t="n">
        <v>1</v>
      </c>
      <c r="P49" s="9" t="n"/>
      <c r="Q49" s="9" t="n"/>
      <c r="R49" s="9" t="n"/>
      <c r="S49" s="9" t="inlineStr">
        <is>
          <t>Tray</t>
        </is>
      </c>
      <c r="T49" s="10" t="n">
        <v>1280</v>
      </c>
      <c r="U49" s="10" t="n">
        <v>84</v>
      </c>
      <c r="V49" s="10">
        <f>ROUNDUP((T49+U49+2*'Read Me'!$B$13)*(1+'Read Me'!$B$12),-1)</f>
        <v/>
      </c>
      <c r="W49" s="10">
        <f>V49*N49*O49</f>
        <v/>
      </c>
      <c r="X49" s="9">
        <f>IF(LEFT(I49,2)="MV",2*N49*IF(L49="1/C",O49,1),0)</f>
        <v/>
      </c>
      <c r="Y49" s="9">
        <f>IF(OR(LEFT(K49,4)="LVAX",LEFT(K49,6)="MV15AX",LEFT(K49,4)="CTAX",LEFT(K49,2)="W|"),2*N49*O49,0)</f>
        <v/>
      </c>
      <c r="Z49" s="9" t="inlineStr"/>
    </row>
    <row r="50">
      <c r="A50" s="9" t="inlineStr">
        <is>
          <t>A-C-0038</t>
        </is>
      </c>
      <c r="B50" s="9" t="inlineStr">
        <is>
          <t>A</t>
        </is>
      </c>
      <c r="C50" s="9" t="inlineStr">
        <is>
          <t>Power block</t>
        </is>
      </c>
      <c r="D50" s="9" t="inlineStr">
        <is>
          <t>Control</t>
        </is>
      </c>
      <c r="E50" s="9" t="inlineStr">
        <is>
          <t>R2C</t>
        </is>
      </c>
      <c r="F50" s="9" t="inlineStr">
        <is>
          <t>R2C: unit / HRSG electrical e-house (32 x 40 ft)</t>
        </is>
      </c>
      <c r="G50" s="9" t="inlineStr">
        <is>
          <t>EXC-2</t>
        </is>
      </c>
      <c r="H50" s="9" t="inlineStr">
        <is>
          <t>EXC-2: static excitation cubicles (GTG-2)</t>
        </is>
      </c>
      <c r="I50" s="9" t="inlineStr">
        <is>
          <t>Control</t>
        </is>
      </c>
      <c r="J50" s="9" t="inlineStr">
        <is>
          <t>Control cable 600 V Type TC-ER, Cu #14 AWG, PVC jacket</t>
        </is>
      </c>
      <c r="K50" s="9" t="inlineStr">
        <is>
          <t>CT|12/C|14</t>
        </is>
      </c>
      <c r="L50" s="9" t="inlineStr">
        <is>
          <t>12/C</t>
        </is>
      </c>
      <c r="M50" s="9" t="inlineStr">
        <is>
          <t>14</t>
        </is>
      </c>
      <c r="N50" s="9" t="n">
        <v>1</v>
      </c>
      <c r="O50" s="9" t="n">
        <v>1</v>
      </c>
      <c r="P50" s="9" t="n"/>
      <c r="Q50" s="9" t="n"/>
      <c r="R50" s="9" t="n"/>
      <c r="S50" s="9" t="inlineStr">
        <is>
          <t>Tray</t>
        </is>
      </c>
      <c r="T50" s="10" t="n">
        <v>1280</v>
      </c>
      <c r="U50" s="10" t="n">
        <v>84</v>
      </c>
      <c r="V50" s="10">
        <f>ROUNDUP((T50+U50+2*'Read Me'!$B$13)*(1+'Read Me'!$B$12),-1)</f>
        <v/>
      </c>
      <c r="W50" s="10">
        <f>V50*N50*O50</f>
        <v/>
      </c>
      <c r="X50" s="9">
        <f>IF(LEFT(I50,2)="MV",2*N50*IF(L50="1/C",O50,1),0)</f>
        <v/>
      </c>
      <c r="Y50" s="9">
        <f>IF(OR(LEFT(K50,4)="LVAX",LEFT(K50,6)="MV15AX",LEFT(K50,4)="CTAX",LEFT(K50,2)="W|"),2*N50*O50,0)</f>
        <v/>
      </c>
      <c r="Z50" s="9" t="inlineStr"/>
    </row>
    <row r="51">
      <c r="A51" s="9" t="inlineStr">
        <is>
          <t>A-C-0039</t>
        </is>
      </c>
      <c r="B51" s="9" t="inlineStr">
        <is>
          <t>A</t>
        </is>
      </c>
      <c r="C51" s="9" t="inlineStr">
        <is>
          <t>Power block</t>
        </is>
      </c>
      <c r="D51" s="9" t="inlineStr">
        <is>
          <t>Control</t>
        </is>
      </c>
      <c r="E51" s="9" t="inlineStr">
        <is>
          <t>R3</t>
        </is>
      </c>
      <c r="F51" s="9" t="inlineStr">
        <is>
          <t>R3: ST auxiliary electrical e-house (40 x 65 ft)</t>
        </is>
      </c>
      <c r="G51" s="9" t="inlineStr">
        <is>
          <t>EXC-3</t>
        </is>
      </c>
      <c r="H51" s="9" t="inlineStr">
        <is>
          <t>EXC-3: static excitation cubicles (GTG-3)</t>
        </is>
      </c>
      <c r="I51" s="9" t="inlineStr">
        <is>
          <t>Control</t>
        </is>
      </c>
      <c r="J51" s="9" t="inlineStr">
        <is>
          <t>Control cable 600 V Type TC-ER, Cu #14 AWG, PVC jacket</t>
        </is>
      </c>
      <c r="K51" s="9" t="inlineStr">
        <is>
          <t>CT|7/C|14</t>
        </is>
      </c>
      <c r="L51" s="9" t="inlineStr">
        <is>
          <t>7/C</t>
        </is>
      </c>
      <c r="M51" s="9" t="inlineStr">
        <is>
          <t>14</t>
        </is>
      </c>
      <c r="N51" s="9" t="n">
        <v>1</v>
      </c>
      <c r="O51" s="9" t="n">
        <v>1</v>
      </c>
      <c r="P51" s="9" t="n"/>
      <c r="Q51" s="9" t="n"/>
      <c r="R51" s="9" t="n"/>
      <c r="S51" s="9" t="inlineStr">
        <is>
          <t>Tray</t>
        </is>
      </c>
      <c r="T51" s="10" t="n">
        <v>554</v>
      </c>
      <c r="U51" s="10" t="n">
        <v>86</v>
      </c>
      <c r="V51" s="10">
        <f>ROUNDUP((T51+U51+2*'Read Me'!$B$13)*(1+'Read Me'!$B$12),-1)</f>
        <v/>
      </c>
      <c r="W51" s="10">
        <f>V51*N51*O51</f>
        <v/>
      </c>
      <c r="X51" s="9">
        <f>IF(LEFT(I51,2)="MV",2*N51*IF(L51="1/C",O51,1),0)</f>
        <v/>
      </c>
      <c r="Y51" s="9">
        <f>IF(OR(LEFT(K51,4)="LVAX",LEFT(K51,6)="MV15AX",LEFT(K51,4)="CTAX",LEFT(K51,2)="W|"),2*N51*O51,0)</f>
        <v/>
      </c>
      <c r="Z51" s="9" t="inlineStr"/>
    </row>
    <row r="52">
      <c r="A52" s="9" t="inlineStr">
        <is>
          <t>A-C-0040</t>
        </is>
      </c>
      <c r="B52" s="9" t="inlineStr">
        <is>
          <t>A</t>
        </is>
      </c>
      <c r="C52" s="9" t="inlineStr">
        <is>
          <t>Power block</t>
        </is>
      </c>
      <c r="D52" s="9" t="inlineStr">
        <is>
          <t>Control</t>
        </is>
      </c>
      <c r="E52" s="9" t="inlineStr">
        <is>
          <t>R3</t>
        </is>
      </c>
      <c r="F52" s="9" t="inlineStr">
        <is>
          <t>R3: ST auxiliary electrical e-house (40 x 65 ft)</t>
        </is>
      </c>
      <c r="G52" s="9" t="inlineStr">
        <is>
          <t>EXC-3</t>
        </is>
      </c>
      <c r="H52" s="9" t="inlineStr">
        <is>
          <t>EXC-3: static excitation cubicles (GTG-3)</t>
        </is>
      </c>
      <c r="I52" s="9" t="inlineStr">
        <is>
          <t>Control</t>
        </is>
      </c>
      <c r="J52" s="9" t="inlineStr">
        <is>
          <t>Control cable 600 V Type TC-ER, Cu #14 AWG, PVC jacket</t>
        </is>
      </c>
      <c r="K52" s="9" t="inlineStr">
        <is>
          <t>CT|7/C|14</t>
        </is>
      </c>
      <c r="L52" s="9" t="inlineStr">
        <is>
          <t>7/C</t>
        </is>
      </c>
      <c r="M52" s="9" t="inlineStr">
        <is>
          <t>14</t>
        </is>
      </c>
      <c r="N52" s="9" t="n">
        <v>1</v>
      </c>
      <c r="O52" s="9" t="n">
        <v>1</v>
      </c>
      <c r="P52" s="9" t="n"/>
      <c r="Q52" s="9" t="n"/>
      <c r="R52" s="9" t="n"/>
      <c r="S52" s="9" t="inlineStr">
        <is>
          <t>Tray</t>
        </is>
      </c>
      <c r="T52" s="10" t="n">
        <v>554</v>
      </c>
      <c r="U52" s="10" t="n">
        <v>86</v>
      </c>
      <c r="V52" s="10">
        <f>ROUNDUP((T52+U52+2*'Read Me'!$B$13)*(1+'Read Me'!$B$12),-1)</f>
        <v/>
      </c>
      <c r="W52" s="10">
        <f>V52*N52*O52</f>
        <v/>
      </c>
      <c r="X52" s="9">
        <f>IF(LEFT(I52,2)="MV",2*N52*IF(L52="1/C",O52,1),0)</f>
        <v/>
      </c>
      <c r="Y52" s="9">
        <f>IF(OR(LEFT(K52,4)="LVAX",LEFT(K52,6)="MV15AX",LEFT(K52,4)="CTAX",LEFT(K52,2)="W|"),2*N52*O52,0)</f>
        <v/>
      </c>
      <c r="Z52" s="9" t="inlineStr"/>
    </row>
    <row r="53">
      <c r="A53" s="9" t="inlineStr">
        <is>
          <t>A-C-0041</t>
        </is>
      </c>
      <c r="B53" s="9" t="inlineStr">
        <is>
          <t>A</t>
        </is>
      </c>
      <c r="C53" s="9" t="inlineStr">
        <is>
          <t>Power block</t>
        </is>
      </c>
      <c r="D53" s="9" t="inlineStr">
        <is>
          <t>Control</t>
        </is>
      </c>
      <c r="E53" s="9" t="inlineStr">
        <is>
          <t>R3</t>
        </is>
      </c>
      <c r="F53" s="9" t="inlineStr">
        <is>
          <t>R3: ST auxiliary electrical e-house (40 x 65 ft)</t>
        </is>
      </c>
      <c r="G53" s="9" t="inlineStr">
        <is>
          <t>EXC-3</t>
        </is>
      </c>
      <c r="H53" s="9" t="inlineStr">
        <is>
          <t>EXC-3: static excitation cubicles (GTG-3)</t>
        </is>
      </c>
      <c r="I53" s="9" t="inlineStr">
        <is>
          <t>Control</t>
        </is>
      </c>
      <c r="J53" s="9" t="inlineStr">
        <is>
          <t>Control cable 600 V Type TC-ER, Cu #14 AWG, PVC jacket</t>
        </is>
      </c>
      <c r="K53" s="9" t="inlineStr">
        <is>
          <t>CT|12/C|14</t>
        </is>
      </c>
      <c r="L53" s="9" t="inlineStr">
        <is>
          <t>12/C</t>
        </is>
      </c>
      <c r="M53" s="9" t="inlineStr">
        <is>
          <t>14</t>
        </is>
      </c>
      <c r="N53" s="9" t="n">
        <v>1</v>
      </c>
      <c r="O53" s="9" t="n">
        <v>1</v>
      </c>
      <c r="P53" s="9" t="n"/>
      <c r="Q53" s="9" t="n"/>
      <c r="R53" s="9" t="n"/>
      <c r="S53" s="9" t="inlineStr">
        <is>
          <t>Tray</t>
        </is>
      </c>
      <c r="T53" s="10" t="n">
        <v>554</v>
      </c>
      <c r="U53" s="10" t="n">
        <v>86</v>
      </c>
      <c r="V53" s="10">
        <f>ROUNDUP((T53+U53+2*'Read Me'!$B$13)*(1+'Read Me'!$B$12),-1)</f>
        <v/>
      </c>
      <c r="W53" s="10">
        <f>V53*N53*O53</f>
        <v/>
      </c>
      <c r="X53" s="9">
        <f>IF(LEFT(I53,2)="MV",2*N53*IF(L53="1/C",O53,1),0)</f>
        <v/>
      </c>
      <c r="Y53" s="9">
        <f>IF(OR(LEFT(K53,4)="LVAX",LEFT(K53,6)="MV15AX",LEFT(K53,4)="CTAX",LEFT(K53,2)="W|"),2*N53*O53,0)</f>
        <v/>
      </c>
      <c r="Z53" s="9" t="inlineStr"/>
    </row>
    <row r="54">
      <c r="A54" s="9" t="inlineStr">
        <is>
          <t>A-C-0042</t>
        </is>
      </c>
      <c r="B54" s="9" t="inlineStr">
        <is>
          <t>A</t>
        </is>
      </c>
      <c r="C54" s="9" t="inlineStr">
        <is>
          <t>Power block</t>
        </is>
      </c>
      <c r="D54" s="9" t="inlineStr">
        <is>
          <t>Control</t>
        </is>
      </c>
      <c r="E54" s="9" t="inlineStr">
        <is>
          <t>R3</t>
        </is>
      </c>
      <c r="F54" s="9" t="inlineStr">
        <is>
          <t>R3: ST auxiliary electrical e-house (40 x 65 ft)</t>
        </is>
      </c>
      <c r="G54" s="9" t="inlineStr">
        <is>
          <t>EXC-3</t>
        </is>
      </c>
      <c r="H54" s="9" t="inlineStr">
        <is>
          <t>EXC-3: static excitation cubicles (GTG-3)</t>
        </is>
      </c>
      <c r="I54" s="9" t="inlineStr">
        <is>
          <t>Control</t>
        </is>
      </c>
      <c r="J54" s="9" t="inlineStr">
        <is>
          <t>Control cable 600 V Type TC-ER, Cu #14 AWG, PVC jacket</t>
        </is>
      </c>
      <c r="K54" s="9" t="inlineStr">
        <is>
          <t>CT|12/C|14</t>
        </is>
      </c>
      <c r="L54" s="9" t="inlineStr">
        <is>
          <t>12/C</t>
        </is>
      </c>
      <c r="M54" s="9" t="inlineStr">
        <is>
          <t>14</t>
        </is>
      </c>
      <c r="N54" s="9" t="n">
        <v>1</v>
      </c>
      <c r="O54" s="9" t="n">
        <v>1</v>
      </c>
      <c r="P54" s="9" t="n"/>
      <c r="Q54" s="9" t="n"/>
      <c r="R54" s="9" t="n"/>
      <c r="S54" s="9" t="inlineStr">
        <is>
          <t>Tray</t>
        </is>
      </c>
      <c r="T54" s="10" t="n">
        <v>554</v>
      </c>
      <c r="U54" s="10" t="n">
        <v>86</v>
      </c>
      <c r="V54" s="10">
        <f>ROUNDUP((T54+U54+2*'Read Me'!$B$13)*(1+'Read Me'!$B$12),-1)</f>
        <v/>
      </c>
      <c r="W54" s="10">
        <f>V54*N54*O54</f>
        <v/>
      </c>
      <c r="X54" s="9">
        <f>IF(LEFT(I54,2)="MV",2*N54*IF(L54="1/C",O54,1),0)</f>
        <v/>
      </c>
      <c r="Y54" s="9">
        <f>IF(OR(LEFT(K54,4)="LVAX",LEFT(K54,6)="MV15AX",LEFT(K54,4)="CTAX",LEFT(K54,2)="W|"),2*N54*O54,0)</f>
        <v/>
      </c>
      <c r="Z54" s="9" t="inlineStr"/>
    </row>
    <row r="55">
      <c r="A55" s="9" t="inlineStr">
        <is>
          <t>A-C-0043</t>
        </is>
      </c>
      <c r="B55" s="9" t="inlineStr">
        <is>
          <t>A</t>
        </is>
      </c>
      <c r="C55" s="9" t="inlineStr">
        <is>
          <t>Power block</t>
        </is>
      </c>
      <c r="D55" s="9" t="inlineStr">
        <is>
          <t>Control</t>
        </is>
      </c>
      <c r="E55" s="9" t="inlineStr">
        <is>
          <t>R3</t>
        </is>
      </c>
      <c r="F55" s="9" t="inlineStr">
        <is>
          <t>R3: ST auxiliary electrical e-house (40 x 65 ft)</t>
        </is>
      </c>
      <c r="G55" s="9" t="inlineStr">
        <is>
          <t>EXC-3</t>
        </is>
      </c>
      <c r="H55" s="9" t="inlineStr">
        <is>
          <t>EXC-3: static excitation cubicles (GTG-3)</t>
        </is>
      </c>
      <c r="I55" s="9" t="inlineStr">
        <is>
          <t>Control</t>
        </is>
      </c>
      <c r="J55" s="9" t="inlineStr">
        <is>
          <t>Control cable 600 V Type TC-ER, Cu #14 AWG, PVC jacket</t>
        </is>
      </c>
      <c r="K55" s="9" t="inlineStr">
        <is>
          <t>CT|12/C|14</t>
        </is>
      </c>
      <c r="L55" s="9" t="inlineStr">
        <is>
          <t>12/C</t>
        </is>
      </c>
      <c r="M55" s="9" t="inlineStr">
        <is>
          <t>14</t>
        </is>
      </c>
      <c r="N55" s="9" t="n">
        <v>1</v>
      </c>
      <c r="O55" s="9" t="n">
        <v>1</v>
      </c>
      <c r="P55" s="9" t="n"/>
      <c r="Q55" s="9" t="n"/>
      <c r="R55" s="9" t="n"/>
      <c r="S55" s="9" t="inlineStr">
        <is>
          <t>Tray</t>
        </is>
      </c>
      <c r="T55" s="10" t="n">
        <v>554</v>
      </c>
      <c r="U55" s="10" t="n">
        <v>86</v>
      </c>
      <c r="V55" s="10">
        <f>ROUNDUP((T55+U55+2*'Read Me'!$B$13)*(1+'Read Me'!$B$12),-1)</f>
        <v/>
      </c>
      <c r="W55" s="10">
        <f>V55*N55*O55</f>
        <v/>
      </c>
      <c r="X55" s="9">
        <f>IF(LEFT(I55,2)="MV",2*N55*IF(L55="1/C",O55,1),0)</f>
        <v/>
      </c>
      <c r="Y55" s="9">
        <f>IF(OR(LEFT(K55,4)="LVAX",LEFT(K55,6)="MV15AX",LEFT(K55,4)="CTAX",LEFT(K55,2)="W|"),2*N55*O55,0)</f>
        <v/>
      </c>
      <c r="Z55" s="9" t="inlineStr"/>
    </row>
    <row r="56">
      <c r="A56" s="9" t="inlineStr">
        <is>
          <t>A-C-0044</t>
        </is>
      </c>
      <c r="B56" s="9" t="inlineStr">
        <is>
          <t>A</t>
        </is>
      </c>
      <c r="C56" s="9" t="inlineStr">
        <is>
          <t>Power block</t>
        </is>
      </c>
      <c r="D56" s="9" t="inlineStr">
        <is>
          <t>Control</t>
        </is>
      </c>
      <c r="E56" s="9" t="inlineStr">
        <is>
          <t>R3</t>
        </is>
      </c>
      <c r="F56" s="9" t="inlineStr">
        <is>
          <t>R3: ST auxiliary electrical e-house (40 x 65 ft)</t>
        </is>
      </c>
      <c r="G56" s="9" t="inlineStr">
        <is>
          <t>EXC-3</t>
        </is>
      </c>
      <c r="H56" s="9" t="inlineStr">
        <is>
          <t>EXC-3: static excitation cubicles (GTG-3)</t>
        </is>
      </c>
      <c r="I56" s="9" t="inlineStr">
        <is>
          <t>Control</t>
        </is>
      </c>
      <c r="J56" s="9" t="inlineStr">
        <is>
          <t>Control cable 600 V Type TC-ER, Cu #14 AWG, PVC jacket</t>
        </is>
      </c>
      <c r="K56" s="9" t="inlineStr">
        <is>
          <t>CT|12/C|14</t>
        </is>
      </c>
      <c r="L56" s="9" t="inlineStr">
        <is>
          <t>12/C</t>
        </is>
      </c>
      <c r="M56" s="9" t="inlineStr">
        <is>
          <t>14</t>
        </is>
      </c>
      <c r="N56" s="9" t="n">
        <v>1</v>
      </c>
      <c r="O56" s="9" t="n">
        <v>1</v>
      </c>
      <c r="P56" s="9" t="n"/>
      <c r="Q56" s="9" t="n"/>
      <c r="R56" s="9" t="n"/>
      <c r="S56" s="9" t="inlineStr">
        <is>
          <t>Tray</t>
        </is>
      </c>
      <c r="T56" s="10" t="n">
        <v>554</v>
      </c>
      <c r="U56" s="10" t="n">
        <v>86</v>
      </c>
      <c r="V56" s="10">
        <f>ROUNDUP((T56+U56+2*'Read Me'!$B$13)*(1+'Read Me'!$B$12),-1)</f>
        <v/>
      </c>
      <c r="W56" s="10">
        <f>V56*N56*O56</f>
        <v/>
      </c>
      <c r="X56" s="9">
        <f>IF(LEFT(I56,2)="MV",2*N56*IF(L56="1/C",O56,1),0)</f>
        <v/>
      </c>
      <c r="Y56" s="9">
        <f>IF(OR(LEFT(K56,4)="LVAX",LEFT(K56,6)="MV15AX",LEFT(K56,4)="CTAX",LEFT(K56,2)="W|"),2*N56*O56,0)</f>
        <v/>
      </c>
      <c r="Z56" s="9" t="inlineStr"/>
    </row>
    <row r="57">
      <c r="A57" s="9" t="inlineStr">
        <is>
          <t>A-C-0045</t>
        </is>
      </c>
      <c r="B57" s="9" t="inlineStr">
        <is>
          <t>A</t>
        </is>
      </c>
      <c r="C57" s="9" t="inlineStr">
        <is>
          <t>Power block</t>
        </is>
      </c>
      <c r="D57" s="9" t="inlineStr">
        <is>
          <t>Control</t>
        </is>
      </c>
      <c r="E57" s="9" t="inlineStr">
        <is>
          <t>R3</t>
        </is>
      </c>
      <c r="F57" s="9" t="inlineStr">
        <is>
          <t>R3: ST auxiliary electrical e-house (40 x 65 ft)</t>
        </is>
      </c>
      <c r="G57" s="9" t="inlineStr">
        <is>
          <t>EXC-3</t>
        </is>
      </c>
      <c r="H57" s="9" t="inlineStr">
        <is>
          <t>EXC-3: static excitation cubicles (GTG-3)</t>
        </is>
      </c>
      <c r="I57" s="9" t="inlineStr">
        <is>
          <t>Control</t>
        </is>
      </c>
      <c r="J57" s="9" t="inlineStr">
        <is>
          <t>Control cable 600 V Type TC-ER, Cu #14 AWG, PVC jacket</t>
        </is>
      </c>
      <c r="K57" s="9" t="inlineStr">
        <is>
          <t>CT|12/C|14</t>
        </is>
      </c>
      <c r="L57" s="9" t="inlineStr">
        <is>
          <t>12/C</t>
        </is>
      </c>
      <c r="M57" s="9" t="inlineStr">
        <is>
          <t>14</t>
        </is>
      </c>
      <c r="N57" s="9" t="n">
        <v>1</v>
      </c>
      <c r="O57" s="9" t="n">
        <v>1</v>
      </c>
      <c r="P57" s="9" t="n"/>
      <c r="Q57" s="9" t="n"/>
      <c r="R57" s="9" t="n"/>
      <c r="S57" s="9" t="inlineStr">
        <is>
          <t>Tray</t>
        </is>
      </c>
      <c r="T57" s="10" t="n">
        <v>554</v>
      </c>
      <c r="U57" s="10" t="n">
        <v>86</v>
      </c>
      <c r="V57" s="10">
        <f>ROUNDUP((T57+U57+2*'Read Me'!$B$13)*(1+'Read Me'!$B$12),-1)</f>
        <v/>
      </c>
      <c r="W57" s="10">
        <f>V57*N57*O57</f>
        <v/>
      </c>
      <c r="X57" s="9">
        <f>IF(LEFT(I57,2)="MV",2*N57*IF(L57="1/C",O57,1),0)</f>
        <v/>
      </c>
      <c r="Y57" s="9">
        <f>IF(OR(LEFT(K57,4)="LVAX",LEFT(K57,6)="MV15AX",LEFT(K57,4)="CTAX",LEFT(K57,2)="W|"),2*N57*O57,0)</f>
        <v/>
      </c>
      <c r="Z57" s="9" t="inlineStr"/>
    </row>
    <row r="58">
      <c r="A58" s="9" t="inlineStr">
        <is>
          <t>A-C-0046</t>
        </is>
      </c>
      <c r="B58" s="9" t="inlineStr">
        <is>
          <t>A</t>
        </is>
      </c>
      <c r="C58" s="9" t="inlineStr">
        <is>
          <t>Power block</t>
        </is>
      </c>
      <c r="D58" s="9" t="inlineStr">
        <is>
          <t>Control</t>
        </is>
      </c>
      <c r="E58" s="9" t="inlineStr">
        <is>
          <t>R3</t>
        </is>
      </c>
      <c r="F58" s="9" t="inlineStr">
        <is>
          <t>R3: ST auxiliary electrical e-house (40 x 65 ft)</t>
        </is>
      </c>
      <c r="G58" s="9" t="inlineStr">
        <is>
          <t>EXC-3</t>
        </is>
      </c>
      <c r="H58" s="9" t="inlineStr">
        <is>
          <t>EXC-3: static excitation cubicles (GTG-3)</t>
        </is>
      </c>
      <c r="I58" s="9" t="inlineStr">
        <is>
          <t>Control</t>
        </is>
      </c>
      <c r="J58" s="9" t="inlineStr">
        <is>
          <t>Control cable 600 V Type TC-ER, Cu #14 AWG, PVC jacket</t>
        </is>
      </c>
      <c r="K58" s="9" t="inlineStr">
        <is>
          <t>CT|12/C|14</t>
        </is>
      </c>
      <c r="L58" s="9" t="inlineStr">
        <is>
          <t>12/C</t>
        </is>
      </c>
      <c r="M58" s="9" t="inlineStr">
        <is>
          <t>14</t>
        </is>
      </c>
      <c r="N58" s="9" t="n">
        <v>1</v>
      </c>
      <c r="O58" s="9" t="n">
        <v>1</v>
      </c>
      <c r="P58" s="9" t="n"/>
      <c r="Q58" s="9" t="n"/>
      <c r="R58" s="9" t="n"/>
      <c r="S58" s="9" t="inlineStr">
        <is>
          <t>Tray</t>
        </is>
      </c>
      <c r="T58" s="10" t="n">
        <v>554</v>
      </c>
      <c r="U58" s="10" t="n">
        <v>86</v>
      </c>
      <c r="V58" s="10">
        <f>ROUNDUP((T58+U58+2*'Read Me'!$B$13)*(1+'Read Me'!$B$12),-1)</f>
        <v/>
      </c>
      <c r="W58" s="10">
        <f>V58*N58*O58</f>
        <v/>
      </c>
      <c r="X58" s="9">
        <f>IF(LEFT(I58,2)="MV",2*N58*IF(L58="1/C",O58,1),0)</f>
        <v/>
      </c>
      <c r="Y58" s="9">
        <f>IF(OR(LEFT(K58,4)="LVAX",LEFT(K58,6)="MV15AX",LEFT(K58,4)="CTAX",LEFT(K58,2)="W|"),2*N58*O58,0)</f>
        <v/>
      </c>
      <c r="Z58" s="9" t="inlineStr"/>
    </row>
    <row r="59">
      <c r="A59" s="9" t="inlineStr">
        <is>
          <t>A-C-0047</t>
        </is>
      </c>
      <c r="B59" s="9" t="inlineStr">
        <is>
          <t>A</t>
        </is>
      </c>
      <c r="C59" s="9" t="inlineStr">
        <is>
          <t>Power block</t>
        </is>
      </c>
      <c r="D59" s="9" t="inlineStr">
        <is>
          <t>Control</t>
        </is>
      </c>
      <c r="E59" s="9" t="inlineStr">
        <is>
          <t>R3</t>
        </is>
      </c>
      <c r="F59" s="9" t="inlineStr">
        <is>
          <t>R3: ST auxiliary electrical e-house (40 x 65 ft)</t>
        </is>
      </c>
      <c r="G59" s="9" t="inlineStr">
        <is>
          <t>EXC-ST</t>
        </is>
      </c>
      <c r="H59" s="9" t="inlineStr">
        <is>
          <t>EXC-ST: static excitation cubicles (STG)</t>
        </is>
      </c>
      <c r="I59" s="9" t="inlineStr">
        <is>
          <t>Control</t>
        </is>
      </c>
      <c r="J59" s="9" t="inlineStr">
        <is>
          <t>Control cable 600 V Type TC-ER, Cu #14 AWG, PVC jacket</t>
        </is>
      </c>
      <c r="K59" s="9" t="inlineStr">
        <is>
          <t>CT|7/C|14</t>
        </is>
      </c>
      <c r="L59" s="9" t="inlineStr">
        <is>
          <t>7/C</t>
        </is>
      </c>
      <c r="M59" s="9" t="inlineStr">
        <is>
          <t>14</t>
        </is>
      </c>
      <c r="N59" s="9" t="n">
        <v>1</v>
      </c>
      <c r="O59" s="9" t="n">
        <v>1</v>
      </c>
      <c r="P59" s="9" t="n"/>
      <c r="Q59" s="9" t="n"/>
      <c r="R59" s="9" t="n"/>
      <c r="S59" s="9" t="inlineStr">
        <is>
          <t>Tray</t>
        </is>
      </c>
      <c r="T59" s="10" t="n">
        <v>602</v>
      </c>
      <c r="U59" s="10" t="n">
        <v>114</v>
      </c>
      <c r="V59" s="10">
        <f>ROUNDUP((T59+U59+2*'Read Me'!$B$13)*(1+'Read Me'!$B$12),-1)</f>
        <v/>
      </c>
      <c r="W59" s="10">
        <f>V59*N59*O59</f>
        <v/>
      </c>
      <c r="X59" s="9">
        <f>IF(LEFT(I59,2)="MV",2*N59*IF(L59="1/C",O59,1),0)</f>
        <v/>
      </c>
      <c r="Y59" s="9">
        <f>IF(OR(LEFT(K59,4)="LVAX",LEFT(K59,6)="MV15AX",LEFT(K59,4)="CTAX",LEFT(K59,2)="W|"),2*N59*O59,0)</f>
        <v/>
      </c>
      <c r="Z59" s="9" t="inlineStr"/>
    </row>
    <row r="60">
      <c r="A60" s="9" t="inlineStr">
        <is>
          <t>A-C-0048</t>
        </is>
      </c>
      <c r="B60" s="9" t="inlineStr">
        <is>
          <t>A</t>
        </is>
      </c>
      <c r="C60" s="9" t="inlineStr">
        <is>
          <t>Power block</t>
        </is>
      </c>
      <c r="D60" s="9" t="inlineStr">
        <is>
          <t>Control</t>
        </is>
      </c>
      <c r="E60" s="9" t="inlineStr">
        <is>
          <t>R3</t>
        </is>
      </c>
      <c r="F60" s="9" t="inlineStr">
        <is>
          <t>R3: ST auxiliary electrical e-house (40 x 65 ft)</t>
        </is>
      </c>
      <c r="G60" s="9" t="inlineStr">
        <is>
          <t>EXC-ST</t>
        </is>
      </c>
      <c r="H60" s="9" t="inlineStr">
        <is>
          <t>EXC-ST: static excitation cubicles (STG)</t>
        </is>
      </c>
      <c r="I60" s="9" t="inlineStr">
        <is>
          <t>Control</t>
        </is>
      </c>
      <c r="J60" s="9" t="inlineStr">
        <is>
          <t>Control cable 600 V Type TC-ER, Cu #14 AWG, PVC jacket</t>
        </is>
      </c>
      <c r="K60" s="9" t="inlineStr">
        <is>
          <t>CT|7/C|14</t>
        </is>
      </c>
      <c r="L60" s="9" t="inlineStr">
        <is>
          <t>7/C</t>
        </is>
      </c>
      <c r="M60" s="9" t="inlineStr">
        <is>
          <t>14</t>
        </is>
      </c>
      <c r="N60" s="9" t="n">
        <v>1</v>
      </c>
      <c r="O60" s="9" t="n">
        <v>1</v>
      </c>
      <c r="P60" s="9" t="n"/>
      <c r="Q60" s="9" t="n"/>
      <c r="R60" s="9" t="n"/>
      <c r="S60" s="9" t="inlineStr">
        <is>
          <t>Tray</t>
        </is>
      </c>
      <c r="T60" s="10" t="n">
        <v>602</v>
      </c>
      <c r="U60" s="10" t="n">
        <v>114</v>
      </c>
      <c r="V60" s="10">
        <f>ROUNDUP((T60+U60+2*'Read Me'!$B$13)*(1+'Read Me'!$B$12),-1)</f>
        <v/>
      </c>
      <c r="W60" s="10">
        <f>V60*N60*O60</f>
        <v/>
      </c>
      <c r="X60" s="9">
        <f>IF(LEFT(I60,2)="MV",2*N60*IF(L60="1/C",O60,1),0)</f>
        <v/>
      </c>
      <c r="Y60" s="9">
        <f>IF(OR(LEFT(K60,4)="LVAX",LEFT(K60,6)="MV15AX",LEFT(K60,4)="CTAX",LEFT(K60,2)="W|"),2*N60*O60,0)</f>
        <v/>
      </c>
      <c r="Z60" s="9" t="inlineStr"/>
    </row>
    <row r="61">
      <c r="A61" s="9" t="inlineStr">
        <is>
          <t>A-C-0049</t>
        </is>
      </c>
      <c r="B61" s="9" t="inlineStr">
        <is>
          <t>A</t>
        </is>
      </c>
      <c r="C61" s="9" t="inlineStr">
        <is>
          <t>Power block</t>
        </is>
      </c>
      <c r="D61" s="9" t="inlineStr">
        <is>
          <t>Control</t>
        </is>
      </c>
      <c r="E61" s="9" t="inlineStr">
        <is>
          <t>R3</t>
        </is>
      </c>
      <c r="F61" s="9" t="inlineStr">
        <is>
          <t>R3: ST auxiliary electrical e-house (40 x 65 ft)</t>
        </is>
      </c>
      <c r="G61" s="9" t="inlineStr">
        <is>
          <t>EXC-ST</t>
        </is>
      </c>
      <c r="H61" s="9" t="inlineStr">
        <is>
          <t>EXC-ST: static excitation cubicles (STG)</t>
        </is>
      </c>
      <c r="I61" s="9" t="inlineStr">
        <is>
          <t>Control</t>
        </is>
      </c>
      <c r="J61" s="9" t="inlineStr">
        <is>
          <t>Control cable 600 V Type TC-ER, Cu #14 AWG, PVC jacket</t>
        </is>
      </c>
      <c r="K61" s="9" t="inlineStr">
        <is>
          <t>CT|12/C|14</t>
        </is>
      </c>
      <c r="L61" s="9" t="inlineStr">
        <is>
          <t>12/C</t>
        </is>
      </c>
      <c r="M61" s="9" t="inlineStr">
        <is>
          <t>14</t>
        </is>
      </c>
      <c r="N61" s="9" t="n">
        <v>1</v>
      </c>
      <c r="O61" s="9" t="n">
        <v>1</v>
      </c>
      <c r="P61" s="9" t="n"/>
      <c r="Q61" s="9" t="n"/>
      <c r="R61" s="9" t="n"/>
      <c r="S61" s="9" t="inlineStr">
        <is>
          <t>Tray</t>
        </is>
      </c>
      <c r="T61" s="10" t="n">
        <v>602</v>
      </c>
      <c r="U61" s="10" t="n">
        <v>114</v>
      </c>
      <c r="V61" s="10">
        <f>ROUNDUP((T61+U61+2*'Read Me'!$B$13)*(1+'Read Me'!$B$12),-1)</f>
        <v/>
      </c>
      <c r="W61" s="10">
        <f>V61*N61*O61</f>
        <v/>
      </c>
      <c r="X61" s="9">
        <f>IF(LEFT(I61,2)="MV",2*N61*IF(L61="1/C",O61,1),0)</f>
        <v/>
      </c>
      <c r="Y61" s="9">
        <f>IF(OR(LEFT(K61,4)="LVAX",LEFT(K61,6)="MV15AX",LEFT(K61,4)="CTAX",LEFT(K61,2)="W|"),2*N61*O61,0)</f>
        <v/>
      </c>
      <c r="Z61" s="9" t="inlineStr"/>
    </row>
    <row r="62">
      <c r="A62" s="9" t="inlineStr">
        <is>
          <t>A-C-0050</t>
        </is>
      </c>
      <c r="B62" s="9" t="inlineStr">
        <is>
          <t>A</t>
        </is>
      </c>
      <c r="C62" s="9" t="inlineStr">
        <is>
          <t>Power block</t>
        </is>
      </c>
      <c r="D62" s="9" t="inlineStr">
        <is>
          <t>Control</t>
        </is>
      </c>
      <c r="E62" s="9" t="inlineStr">
        <is>
          <t>R3</t>
        </is>
      </c>
      <c r="F62" s="9" t="inlineStr">
        <is>
          <t>R3: ST auxiliary electrical e-house (40 x 65 ft)</t>
        </is>
      </c>
      <c r="G62" s="9" t="inlineStr">
        <is>
          <t>EXC-ST</t>
        </is>
      </c>
      <c r="H62" s="9" t="inlineStr">
        <is>
          <t>EXC-ST: static excitation cubicles (STG)</t>
        </is>
      </c>
      <c r="I62" s="9" t="inlineStr">
        <is>
          <t>Control</t>
        </is>
      </c>
      <c r="J62" s="9" t="inlineStr">
        <is>
          <t>Control cable 600 V Type TC-ER, Cu #14 AWG, PVC jacket</t>
        </is>
      </c>
      <c r="K62" s="9" t="inlineStr">
        <is>
          <t>CT|12/C|14</t>
        </is>
      </c>
      <c r="L62" s="9" t="inlineStr">
        <is>
          <t>12/C</t>
        </is>
      </c>
      <c r="M62" s="9" t="inlineStr">
        <is>
          <t>14</t>
        </is>
      </c>
      <c r="N62" s="9" t="n">
        <v>1</v>
      </c>
      <c r="O62" s="9" t="n">
        <v>1</v>
      </c>
      <c r="P62" s="9" t="n"/>
      <c r="Q62" s="9" t="n"/>
      <c r="R62" s="9" t="n"/>
      <c r="S62" s="9" t="inlineStr">
        <is>
          <t>Tray</t>
        </is>
      </c>
      <c r="T62" s="10" t="n">
        <v>602</v>
      </c>
      <c r="U62" s="10" t="n">
        <v>114</v>
      </c>
      <c r="V62" s="10">
        <f>ROUNDUP((T62+U62+2*'Read Me'!$B$13)*(1+'Read Me'!$B$12),-1)</f>
        <v/>
      </c>
      <c r="W62" s="10">
        <f>V62*N62*O62</f>
        <v/>
      </c>
      <c r="X62" s="9">
        <f>IF(LEFT(I62,2)="MV",2*N62*IF(L62="1/C",O62,1),0)</f>
        <v/>
      </c>
      <c r="Y62" s="9">
        <f>IF(OR(LEFT(K62,4)="LVAX",LEFT(K62,6)="MV15AX",LEFT(K62,4)="CTAX",LEFT(K62,2)="W|"),2*N62*O62,0)</f>
        <v/>
      </c>
      <c r="Z62" s="9" t="inlineStr"/>
    </row>
    <row r="63">
      <c r="A63" s="9" t="inlineStr">
        <is>
          <t>A-C-0051</t>
        </is>
      </c>
      <c r="B63" s="9" t="inlineStr">
        <is>
          <t>A</t>
        </is>
      </c>
      <c r="C63" s="9" t="inlineStr">
        <is>
          <t>Power block</t>
        </is>
      </c>
      <c r="D63" s="9" t="inlineStr">
        <is>
          <t>Control</t>
        </is>
      </c>
      <c r="E63" s="9" t="inlineStr">
        <is>
          <t>R3</t>
        </is>
      </c>
      <c r="F63" s="9" t="inlineStr">
        <is>
          <t>R3: ST auxiliary electrical e-house (40 x 65 ft)</t>
        </is>
      </c>
      <c r="G63" s="9" t="inlineStr">
        <is>
          <t>EXC-ST</t>
        </is>
      </c>
      <c r="H63" s="9" t="inlineStr">
        <is>
          <t>EXC-ST: static excitation cubicles (STG)</t>
        </is>
      </c>
      <c r="I63" s="9" t="inlineStr">
        <is>
          <t>Control</t>
        </is>
      </c>
      <c r="J63" s="9" t="inlineStr">
        <is>
          <t>Control cable 600 V Type TC-ER, Cu #14 AWG, PVC jacket</t>
        </is>
      </c>
      <c r="K63" s="9" t="inlineStr">
        <is>
          <t>CT|12/C|14</t>
        </is>
      </c>
      <c r="L63" s="9" t="inlineStr">
        <is>
          <t>12/C</t>
        </is>
      </c>
      <c r="M63" s="9" t="inlineStr">
        <is>
          <t>14</t>
        </is>
      </c>
      <c r="N63" s="9" t="n">
        <v>1</v>
      </c>
      <c r="O63" s="9" t="n">
        <v>1</v>
      </c>
      <c r="P63" s="9" t="n"/>
      <c r="Q63" s="9" t="n"/>
      <c r="R63" s="9" t="n"/>
      <c r="S63" s="9" t="inlineStr">
        <is>
          <t>Tray</t>
        </is>
      </c>
      <c r="T63" s="10" t="n">
        <v>602</v>
      </c>
      <c r="U63" s="10" t="n">
        <v>114</v>
      </c>
      <c r="V63" s="10">
        <f>ROUNDUP((T63+U63+2*'Read Me'!$B$13)*(1+'Read Me'!$B$12),-1)</f>
        <v/>
      </c>
      <c r="W63" s="10">
        <f>V63*N63*O63</f>
        <v/>
      </c>
      <c r="X63" s="9">
        <f>IF(LEFT(I63,2)="MV",2*N63*IF(L63="1/C",O63,1),0)</f>
        <v/>
      </c>
      <c r="Y63" s="9">
        <f>IF(OR(LEFT(K63,4)="LVAX",LEFT(K63,6)="MV15AX",LEFT(K63,4)="CTAX",LEFT(K63,2)="W|"),2*N63*O63,0)</f>
        <v/>
      </c>
      <c r="Z63" s="9" t="inlineStr"/>
    </row>
    <row r="64">
      <c r="A64" s="9" t="inlineStr">
        <is>
          <t>A-C-0052</t>
        </is>
      </c>
      <c r="B64" s="9" t="inlineStr">
        <is>
          <t>A</t>
        </is>
      </c>
      <c r="C64" s="9" t="inlineStr">
        <is>
          <t>Power block</t>
        </is>
      </c>
      <c r="D64" s="9" t="inlineStr">
        <is>
          <t>Control</t>
        </is>
      </c>
      <c r="E64" s="9" t="inlineStr">
        <is>
          <t>R3</t>
        </is>
      </c>
      <c r="F64" s="9" t="inlineStr">
        <is>
          <t>R3: ST auxiliary electrical e-house (40 x 65 ft)</t>
        </is>
      </c>
      <c r="G64" s="9" t="inlineStr">
        <is>
          <t>EXC-ST</t>
        </is>
      </c>
      <c r="H64" s="9" t="inlineStr">
        <is>
          <t>EXC-ST: static excitation cubicles (STG)</t>
        </is>
      </c>
      <c r="I64" s="9" t="inlineStr">
        <is>
          <t>Control</t>
        </is>
      </c>
      <c r="J64" s="9" t="inlineStr">
        <is>
          <t>Control cable 600 V Type TC-ER, Cu #14 AWG, PVC jacket</t>
        </is>
      </c>
      <c r="K64" s="9" t="inlineStr">
        <is>
          <t>CT|12/C|14</t>
        </is>
      </c>
      <c r="L64" s="9" t="inlineStr">
        <is>
          <t>12/C</t>
        </is>
      </c>
      <c r="M64" s="9" t="inlineStr">
        <is>
          <t>14</t>
        </is>
      </c>
      <c r="N64" s="9" t="n">
        <v>1</v>
      </c>
      <c r="O64" s="9" t="n">
        <v>1</v>
      </c>
      <c r="P64" s="9" t="n"/>
      <c r="Q64" s="9" t="n"/>
      <c r="R64" s="9" t="n"/>
      <c r="S64" s="9" t="inlineStr">
        <is>
          <t>Tray</t>
        </is>
      </c>
      <c r="T64" s="10" t="n">
        <v>602</v>
      </c>
      <c r="U64" s="10" t="n">
        <v>114</v>
      </c>
      <c r="V64" s="10">
        <f>ROUNDUP((T64+U64+2*'Read Me'!$B$13)*(1+'Read Me'!$B$12),-1)</f>
        <v/>
      </c>
      <c r="W64" s="10">
        <f>V64*N64*O64</f>
        <v/>
      </c>
      <c r="X64" s="9">
        <f>IF(LEFT(I64,2)="MV",2*N64*IF(L64="1/C",O64,1),0)</f>
        <v/>
      </c>
      <c r="Y64" s="9">
        <f>IF(OR(LEFT(K64,4)="LVAX",LEFT(K64,6)="MV15AX",LEFT(K64,4)="CTAX",LEFT(K64,2)="W|"),2*N64*O64,0)</f>
        <v/>
      </c>
      <c r="Z64" s="9" t="inlineStr"/>
    </row>
    <row r="65">
      <c r="A65" s="9" t="inlineStr">
        <is>
          <t>A-C-0053</t>
        </is>
      </c>
      <c r="B65" s="9" t="inlineStr">
        <is>
          <t>A</t>
        </is>
      </c>
      <c r="C65" s="9" t="inlineStr">
        <is>
          <t>Power block</t>
        </is>
      </c>
      <c r="D65" s="9" t="inlineStr">
        <is>
          <t>Control</t>
        </is>
      </c>
      <c r="E65" s="9" t="inlineStr">
        <is>
          <t>R3</t>
        </is>
      </c>
      <c r="F65" s="9" t="inlineStr">
        <is>
          <t>R3: ST auxiliary electrical e-house (40 x 65 ft)</t>
        </is>
      </c>
      <c r="G65" s="9" t="inlineStr">
        <is>
          <t>EXC-ST</t>
        </is>
      </c>
      <c r="H65" s="9" t="inlineStr">
        <is>
          <t>EXC-ST: static excitation cubicles (STG)</t>
        </is>
      </c>
      <c r="I65" s="9" t="inlineStr">
        <is>
          <t>Control</t>
        </is>
      </c>
      <c r="J65" s="9" t="inlineStr">
        <is>
          <t>Control cable 600 V Type TC-ER, Cu #14 AWG, PVC jacket</t>
        </is>
      </c>
      <c r="K65" s="9" t="inlineStr">
        <is>
          <t>CT|12/C|14</t>
        </is>
      </c>
      <c r="L65" s="9" t="inlineStr">
        <is>
          <t>12/C</t>
        </is>
      </c>
      <c r="M65" s="9" t="inlineStr">
        <is>
          <t>14</t>
        </is>
      </c>
      <c r="N65" s="9" t="n">
        <v>1</v>
      </c>
      <c r="O65" s="9" t="n">
        <v>1</v>
      </c>
      <c r="P65" s="9" t="n"/>
      <c r="Q65" s="9" t="n"/>
      <c r="R65" s="9" t="n"/>
      <c r="S65" s="9" t="inlineStr">
        <is>
          <t>Tray</t>
        </is>
      </c>
      <c r="T65" s="10" t="n">
        <v>602</v>
      </c>
      <c r="U65" s="10" t="n">
        <v>114</v>
      </c>
      <c r="V65" s="10">
        <f>ROUNDUP((T65+U65+2*'Read Me'!$B$13)*(1+'Read Me'!$B$12),-1)</f>
        <v/>
      </c>
      <c r="W65" s="10">
        <f>V65*N65*O65</f>
        <v/>
      </c>
      <c r="X65" s="9">
        <f>IF(LEFT(I65,2)="MV",2*N65*IF(L65="1/C",O65,1),0)</f>
        <v/>
      </c>
      <c r="Y65" s="9">
        <f>IF(OR(LEFT(K65,4)="LVAX",LEFT(K65,6)="MV15AX",LEFT(K65,4)="CTAX",LEFT(K65,2)="W|"),2*N65*O65,0)</f>
        <v/>
      </c>
      <c r="Z65" s="9" t="inlineStr"/>
    </row>
    <row r="66">
      <c r="A66" s="9" t="inlineStr">
        <is>
          <t>A-C-0054</t>
        </is>
      </c>
      <c r="B66" s="9" t="inlineStr">
        <is>
          <t>A</t>
        </is>
      </c>
      <c r="C66" s="9" t="inlineStr">
        <is>
          <t>Power block</t>
        </is>
      </c>
      <c r="D66" s="9" t="inlineStr">
        <is>
          <t>Control</t>
        </is>
      </c>
      <c r="E66" s="9" t="inlineStr">
        <is>
          <t>R3</t>
        </is>
      </c>
      <c r="F66" s="9" t="inlineStr">
        <is>
          <t>R3: ST auxiliary electrical e-house (40 x 65 ft)</t>
        </is>
      </c>
      <c r="G66" s="9" t="inlineStr">
        <is>
          <t>EXC-ST</t>
        </is>
      </c>
      <c r="H66" s="9" t="inlineStr">
        <is>
          <t>EXC-ST: static excitation cubicles (STG)</t>
        </is>
      </c>
      <c r="I66" s="9" t="inlineStr">
        <is>
          <t>Control</t>
        </is>
      </c>
      <c r="J66" s="9" t="inlineStr">
        <is>
          <t>Control cable 600 V Type TC-ER, Cu #14 AWG, PVC jacket</t>
        </is>
      </c>
      <c r="K66" s="9" t="inlineStr">
        <is>
          <t>CT|12/C|14</t>
        </is>
      </c>
      <c r="L66" s="9" t="inlineStr">
        <is>
          <t>12/C</t>
        </is>
      </c>
      <c r="M66" s="9" t="inlineStr">
        <is>
          <t>14</t>
        </is>
      </c>
      <c r="N66" s="9" t="n">
        <v>1</v>
      </c>
      <c r="O66" s="9" t="n">
        <v>1</v>
      </c>
      <c r="P66" s="9" t="n"/>
      <c r="Q66" s="9" t="n"/>
      <c r="R66" s="9" t="n"/>
      <c r="S66" s="9" t="inlineStr">
        <is>
          <t>Tray</t>
        </is>
      </c>
      <c r="T66" s="10" t="n">
        <v>602</v>
      </c>
      <c r="U66" s="10" t="n">
        <v>114</v>
      </c>
      <c r="V66" s="10">
        <f>ROUNDUP((T66+U66+2*'Read Me'!$B$13)*(1+'Read Me'!$B$12),-1)</f>
        <v/>
      </c>
      <c r="W66" s="10">
        <f>V66*N66*O66</f>
        <v/>
      </c>
      <c r="X66" s="9">
        <f>IF(LEFT(I66,2)="MV",2*N66*IF(L66="1/C",O66,1),0)</f>
        <v/>
      </c>
      <c r="Y66" s="9">
        <f>IF(OR(LEFT(K66,4)="LVAX",LEFT(K66,6)="MV15AX",LEFT(K66,4)="CTAX",LEFT(K66,2)="W|"),2*N66*O66,0)</f>
        <v/>
      </c>
      <c r="Z66" s="9" t="inlineStr"/>
    </row>
    <row r="67">
      <c r="A67" s="9" t="inlineStr">
        <is>
          <t>A-C-0055</t>
        </is>
      </c>
      <c r="B67" s="9" t="inlineStr">
        <is>
          <t>A</t>
        </is>
      </c>
      <c r="C67" s="9" t="inlineStr">
        <is>
          <t>Power block</t>
        </is>
      </c>
      <c r="D67" s="9" t="inlineStr">
        <is>
          <t>Control</t>
        </is>
      </c>
      <c r="E67" s="9" t="inlineStr">
        <is>
          <t>R2A</t>
        </is>
      </c>
      <c r="F67" s="9" t="inlineStr">
        <is>
          <t>R2A: unit / HRSG electrical e-house (32 x 40 ft)</t>
        </is>
      </c>
      <c r="G67" s="9" t="inlineStr">
        <is>
          <t>FH-1</t>
        </is>
      </c>
      <c r="H67" s="9" t="inlineStr">
        <is>
          <t>FH-1: GT inlet filter house on its own frame</t>
        </is>
      </c>
      <c r="I67" s="9" t="inlineStr">
        <is>
          <t>Control</t>
        </is>
      </c>
      <c r="J67" s="9" t="inlineStr">
        <is>
          <t>Control cable 600 V Type TC-ER, Cu #14 AWG, PVC jacket</t>
        </is>
      </c>
      <c r="K67" s="9" t="inlineStr">
        <is>
          <t>CT|7/C|14</t>
        </is>
      </c>
      <c r="L67" s="9" t="inlineStr">
        <is>
          <t>7/C</t>
        </is>
      </c>
      <c r="M67" s="9" t="inlineStr">
        <is>
          <t>14</t>
        </is>
      </c>
      <c r="N67" s="9" t="n">
        <v>1</v>
      </c>
      <c r="O67" s="9" t="n">
        <v>1</v>
      </c>
      <c r="P67" s="9" t="n"/>
      <c r="Q67" s="9" t="n"/>
      <c r="R67" s="9" t="n"/>
      <c r="S67" s="9" t="inlineStr">
        <is>
          <t>Tray</t>
        </is>
      </c>
      <c r="T67" s="10" t="n">
        <v>407</v>
      </c>
      <c r="U67" s="10" t="n">
        <v>62</v>
      </c>
      <c r="V67" s="10">
        <f>ROUNDUP((T67+U67+2*'Read Me'!$B$13)*(1+'Read Me'!$B$12),-1)</f>
        <v/>
      </c>
      <c r="W67" s="10">
        <f>V67*N67*O67</f>
        <v/>
      </c>
      <c r="X67" s="9">
        <f>IF(LEFT(I67,2)="MV",2*N67*IF(L67="1/C",O67,1),0)</f>
        <v/>
      </c>
      <c r="Y67" s="9">
        <f>IF(OR(LEFT(K67,4)="LVAX",LEFT(K67,6)="MV15AX",LEFT(K67,4)="CTAX",LEFT(K67,2)="W|"),2*N67*O67,0)</f>
        <v/>
      </c>
      <c r="Z67" s="9" t="inlineStr"/>
    </row>
    <row r="68">
      <c r="A68" s="9" t="inlineStr">
        <is>
          <t>A-C-0056</t>
        </is>
      </c>
      <c r="B68" s="9" t="inlineStr">
        <is>
          <t>A</t>
        </is>
      </c>
      <c r="C68" s="9" t="inlineStr">
        <is>
          <t>Power block</t>
        </is>
      </c>
      <c r="D68" s="9" t="inlineStr">
        <is>
          <t>Control</t>
        </is>
      </c>
      <c r="E68" s="9" t="inlineStr">
        <is>
          <t>R2B</t>
        </is>
      </c>
      <c r="F68" s="9" t="inlineStr">
        <is>
          <t>R2B: unit / HRSG electrical e-house (32 x 40 ft)</t>
        </is>
      </c>
      <c r="G68" s="9" t="inlineStr">
        <is>
          <t>FH-2</t>
        </is>
      </c>
      <c r="H68" s="9" t="inlineStr">
        <is>
          <t>FH-2: GT inlet filter house on its own frame</t>
        </is>
      </c>
      <c r="I68" s="9" t="inlineStr">
        <is>
          <t>Control</t>
        </is>
      </c>
      <c r="J68" s="9" t="inlineStr">
        <is>
          <t>Control cable 600 V Type TC-ER, Cu #14 AWG, PVC jacket</t>
        </is>
      </c>
      <c r="K68" s="9" t="inlineStr">
        <is>
          <t>CT|7/C|14</t>
        </is>
      </c>
      <c r="L68" s="9" t="inlineStr">
        <is>
          <t>7/C</t>
        </is>
      </c>
      <c r="M68" s="9" t="inlineStr">
        <is>
          <t>14</t>
        </is>
      </c>
      <c r="N68" s="9" t="n">
        <v>1</v>
      </c>
      <c r="O68" s="9" t="n">
        <v>1</v>
      </c>
      <c r="P68" s="9" t="n"/>
      <c r="Q68" s="9" t="n"/>
      <c r="R68" s="9" t="n"/>
      <c r="S68" s="9" t="inlineStr">
        <is>
          <t>Tray</t>
        </is>
      </c>
      <c r="T68" s="10" t="n">
        <v>1146</v>
      </c>
      <c r="U68" s="10" t="n">
        <v>64</v>
      </c>
      <c r="V68" s="10">
        <f>ROUNDUP((T68+U68+2*'Read Me'!$B$13)*(1+'Read Me'!$B$12),-1)</f>
        <v/>
      </c>
      <c r="W68" s="10">
        <f>V68*N68*O68</f>
        <v/>
      </c>
      <c r="X68" s="9">
        <f>IF(LEFT(I68,2)="MV",2*N68*IF(L68="1/C",O68,1),0)</f>
        <v/>
      </c>
      <c r="Y68" s="9">
        <f>IF(OR(LEFT(K68,4)="LVAX",LEFT(K68,6)="MV15AX",LEFT(K68,4)="CTAX",LEFT(K68,2)="W|"),2*N68*O68,0)</f>
        <v/>
      </c>
      <c r="Z68" s="9" t="inlineStr"/>
    </row>
    <row r="69">
      <c r="A69" s="9" t="inlineStr">
        <is>
          <t>A-C-0057</t>
        </is>
      </c>
      <c r="B69" s="9" t="inlineStr">
        <is>
          <t>A</t>
        </is>
      </c>
      <c r="C69" s="9" t="inlineStr">
        <is>
          <t>Power block</t>
        </is>
      </c>
      <c r="D69" s="9" t="inlineStr">
        <is>
          <t>Control</t>
        </is>
      </c>
      <c r="E69" s="9" t="inlineStr">
        <is>
          <t>R3</t>
        </is>
      </c>
      <c r="F69" s="9" t="inlineStr">
        <is>
          <t>R3: ST auxiliary electrical e-house (40 x 65 ft)</t>
        </is>
      </c>
      <c r="G69" s="9" t="inlineStr">
        <is>
          <t>FH-3</t>
        </is>
      </c>
      <c r="H69" s="9" t="inlineStr">
        <is>
          <t>FH-3: GT inlet filter house on its own frame</t>
        </is>
      </c>
      <c r="I69" s="9" t="inlineStr">
        <is>
          <t>Control</t>
        </is>
      </c>
      <c r="J69" s="9" t="inlineStr">
        <is>
          <t>Control cable 600 V Type TC-ER, Cu #14 AWG, PVC jacket</t>
        </is>
      </c>
      <c r="K69" s="9" t="inlineStr">
        <is>
          <t>CT|7/C|14</t>
        </is>
      </c>
      <c r="L69" s="9" t="inlineStr">
        <is>
          <t>7/C</t>
        </is>
      </c>
      <c r="M69" s="9" t="inlineStr">
        <is>
          <t>14</t>
        </is>
      </c>
      <c r="N69" s="9" t="n">
        <v>1</v>
      </c>
      <c r="O69" s="9" t="n">
        <v>1</v>
      </c>
      <c r="P69" s="9" t="n"/>
      <c r="Q69" s="9" t="n"/>
      <c r="R69" s="9" t="n"/>
      <c r="S69" s="9" t="inlineStr">
        <is>
          <t>Tray</t>
        </is>
      </c>
      <c r="T69" s="10" t="n">
        <v>580</v>
      </c>
      <c r="U69" s="10" t="n">
        <v>66</v>
      </c>
      <c r="V69" s="10">
        <f>ROUNDUP((T69+U69+2*'Read Me'!$B$13)*(1+'Read Me'!$B$12),-1)</f>
        <v/>
      </c>
      <c r="W69" s="10">
        <f>V69*N69*O69</f>
        <v/>
      </c>
      <c r="X69" s="9">
        <f>IF(LEFT(I69,2)="MV",2*N69*IF(L69="1/C",O69,1),0)</f>
        <v/>
      </c>
      <c r="Y69" s="9">
        <f>IF(OR(LEFT(K69,4)="LVAX",LEFT(K69,6)="MV15AX",LEFT(K69,4)="CTAX",LEFT(K69,2)="W|"),2*N69*O69,0)</f>
        <v/>
      </c>
      <c r="Z69" s="9" t="inlineStr"/>
    </row>
    <row r="70">
      <c r="A70" s="9" t="inlineStr">
        <is>
          <t>A-C-0058</t>
        </is>
      </c>
      <c r="B70" s="9" t="inlineStr">
        <is>
          <t>A</t>
        </is>
      </c>
      <c r="C70" s="9" t="inlineStr">
        <is>
          <t>Power block</t>
        </is>
      </c>
      <c r="D70" s="9" t="inlineStr">
        <is>
          <t>Control</t>
        </is>
      </c>
      <c r="E70" s="9" t="inlineStr">
        <is>
          <t>R2B</t>
        </is>
      </c>
      <c r="F70" s="9" t="inlineStr">
        <is>
          <t>R2B: unit / HRSG electrical e-house (32 x 40 ft)</t>
        </is>
      </c>
      <c r="G70" s="9" t="inlineStr">
        <is>
          <t>FS-GT1</t>
        </is>
      </c>
      <c r="H70" s="9" t="inlineStr">
        <is>
          <t>FS-GT1: CO2 fire-suppression skid</t>
        </is>
      </c>
      <c r="I70" s="9" t="inlineStr">
        <is>
          <t>Control</t>
        </is>
      </c>
      <c r="J70" s="9" t="inlineStr">
        <is>
          <t>Control cable 600 V Type TC-ER, Cu #14 AWG, PVC jacket</t>
        </is>
      </c>
      <c r="K70" s="9" t="inlineStr">
        <is>
          <t>CT|7/C|14</t>
        </is>
      </c>
      <c r="L70" s="9" t="inlineStr">
        <is>
          <t>7/C</t>
        </is>
      </c>
      <c r="M70" s="9" t="inlineStr">
        <is>
          <t>14</t>
        </is>
      </c>
      <c r="N70" s="9" t="n">
        <v>1</v>
      </c>
      <c r="O70" s="9" t="n">
        <v>1</v>
      </c>
      <c r="P70" s="9" t="n"/>
      <c r="Q70" s="9" t="n"/>
      <c r="R70" s="9" t="n"/>
      <c r="S70" s="9" t="inlineStr">
        <is>
          <t>Tray</t>
        </is>
      </c>
      <c r="T70" s="10" t="n">
        <v>789</v>
      </c>
      <c r="U70" s="10" t="n">
        <v>106</v>
      </c>
      <c r="V70" s="10">
        <f>ROUNDUP((T70+U70+2*'Read Me'!$B$13)*(1+'Read Me'!$B$12),-1)</f>
        <v/>
      </c>
      <c r="W70" s="10">
        <f>V70*N70*O70</f>
        <v/>
      </c>
      <c r="X70" s="9">
        <f>IF(LEFT(I70,2)="MV",2*N70*IF(L70="1/C",O70,1),0)</f>
        <v/>
      </c>
      <c r="Y70" s="9">
        <f>IF(OR(LEFT(K70,4)="LVAX",LEFT(K70,6)="MV15AX",LEFT(K70,4)="CTAX",LEFT(K70,2)="W|"),2*N70*O70,0)</f>
        <v/>
      </c>
      <c r="Z70" s="9" t="inlineStr"/>
    </row>
    <row r="71">
      <c r="A71" s="9" t="inlineStr">
        <is>
          <t>A-C-0059</t>
        </is>
      </c>
      <c r="B71" s="9" t="inlineStr">
        <is>
          <t>A</t>
        </is>
      </c>
      <c r="C71" s="9" t="inlineStr">
        <is>
          <t>Power block</t>
        </is>
      </c>
      <c r="D71" s="9" t="inlineStr">
        <is>
          <t>Control</t>
        </is>
      </c>
      <c r="E71" s="9" t="inlineStr">
        <is>
          <t>R2B</t>
        </is>
      </c>
      <c r="F71" s="9" t="inlineStr">
        <is>
          <t>R2B: unit / HRSG electrical e-house (32 x 40 ft)</t>
        </is>
      </c>
      <c r="G71" s="9" t="inlineStr">
        <is>
          <t>FS-GT1</t>
        </is>
      </c>
      <c r="H71" s="9" t="inlineStr">
        <is>
          <t>FS-GT1: CO2 fire-suppression skid</t>
        </is>
      </c>
      <c r="I71" s="9" t="inlineStr">
        <is>
          <t>Control</t>
        </is>
      </c>
      <c r="J71" s="9" t="inlineStr">
        <is>
          <t>Control cable 600 V Type TC-ER, Cu #14 AWG, PVC jacket</t>
        </is>
      </c>
      <c r="K71" s="9" t="inlineStr">
        <is>
          <t>CT|7/C|14</t>
        </is>
      </c>
      <c r="L71" s="9" t="inlineStr">
        <is>
          <t>7/C</t>
        </is>
      </c>
      <c r="M71" s="9" t="inlineStr">
        <is>
          <t>14</t>
        </is>
      </c>
      <c r="N71" s="9" t="n">
        <v>1</v>
      </c>
      <c r="O71" s="9" t="n">
        <v>1</v>
      </c>
      <c r="P71" s="9" t="n"/>
      <c r="Q71" s="9" t="n"/>
      <c r="R71" s="9" t="n"/>
      <c r="S71" s="9" t="inlineStr">
        <is>
          <t>Tray</t>
        </is>
      </c>
      <c r="T71" s="10" t="n">
        <v>789</v>
      </c>
      <c r="U71" s="10" t="n">
        <v>106</v>
      </c>
      <c r="V71" s="10">
        <f>ROUNDUP((T71+U71+2*'Read Me'!$B$13)*(1+'Read Me'!$B$12),-1)</f>
        <v/>
      </c>
      <c r="W71" s="10">
        <f>V71*N71*O71</f>
        <v/>
      </c>
      <c r="X71" s="9">
        <f>IF(LEFT(I71,2)="MV",2*N71*IF(L71="1/C",O71,1),0)</f>
        <v/>
      </c>
      <c r="Y71" s="9">
        <f>IF(OR(LEFT(K71,4)="LVAX",LEFT(K71,6)="MV15AX",LEFT(K71,4)="CTAX",LEFT(K71,2)="W|"),2*N71*O71,0)</f>
        <v/>
      </c>
      <c r="Z71" s="9" t="inlineStr"/>
    </row>
    <row r="72">
      <c r="A72" s="9" t="inlineStr">
        <is>
          <t>A-C-0060</t>
        </is>
      </c>
      <c r="B72" s="9" t="inlineStr">
        <is>
          <t>A</t>
        </is>
      </c>
      <c r="C72" s="9" t="inlineStr">
        <is>
          <t>Power block</t>
        </is>
      </c>
      <c r="D72" s="9" t="inlineStr">
        <is>
          <t>Control</t>
        </is>
      </c>
      <c r="E72" s="9" t="inlineStr">
        <is>
          <t>R2B</t>
        </is>
      </c>
      <c r="F72" s="9" t="inlineStr">
        <is>
          <t>R2B: unit / HRSG electrical e-house (32 x 40 ft)</t>
        </is>
      </c>
      <c r="G72" s="9" t="inlineStr">
        <is>
          <t>FS-GT1</t>
        </is>
      </c>
      <c r="H72" s="9" t="inlineStr">
        <is>
          <t>FS-GT1: CO2 fire-suppression skid</t>
        </is>
      </c>
      <c r="I72" s="9" t="inlineStr">
        <is>
          <t>Control</t>
        </is>
      </c>
      <c r="J72" s="9" t="inlineStr">
        <is>
          <t>Control cable 600 V Type TC-ER, Cu #14 AWG, PVC jacket</t>
        </is>
      </c>
      <c r="K72" s="9" t="inlineStr">
        <is>
          <t>CT|12/C|14</t>
        </is>
      </c>
      <c r="L72" s="9" t="inlineStr">
        <is>
          <t>12/C</t>
        </is>
      </c>
      <c r="M72" s="9" t="inlineStr">
        <is>
          <t>14</t>
        </is>
      </c>
      <c r="N72" s="9" t="n">
        <v>1</v>
      </c>
      <c r="O72" s="9" t="n">
        <v>1</v>
      </c>
      <c r="P72" s="9" t="n"/>
      <c r="Q72" s="9" t="n"/>
      <c r="R72" s="9" t="n"/>
      <c r="S72" s="9" t="inlineStr">
        <is>
          <t>Tray</t>
        </is>
      </c>
      <c r="T72" s="10" t="n">
        <v>789</v>
      </c>
      <c r="U72" s="10" t="n">
        <v>106</v>
      </c>
      <c r="V72" s="10">
        <f>ROUNDUP((T72+U72+2*'Read Me'!$B$13)*(1+'Read Me'!$B$12),-1)</f>
        <v/>
      </c>
      <c r="W72" s="10">
        <f>V72*N72*O72</f>
        <v/>
      </c>
      <c r="X72" s="9">
        <f>IF(LEFT(I72,2)="MV",2*N72*IF(L72="1/C",O72,1),0)</f>
        <v/>
      </c>
      <c r="Y72" s="9">
        <f>IF(OR(LEFT(K72,4)="LVAX",LEFT(K72,6)="MV15AX",LEFT(K72,4)="CTAX",LEFT(K72,2)="W|"),2*N72*O72,0)</f>
        <v/>
      </c>
      <c r="Z72" s="9" t="inlineStr"/>
    </row>
    <row r="73">
      <c r="A73" s="9" t="inlineStr">
        <is>
          <t>A-C-0061</t>
        </is>
      </c>
      <c r="B73" s="9" t="inlineStr">
        <is>
          <t>A</t>
        </is>
      </c>
      <c r="C73" s="9" t="inlineStr">
        <is>
          <t>Power block</t>
        </is>
      </c>
      <c r="D73" s="9" t="inlineStr">
        <is>
          <t>Control</t>
        </is>
      </c>
      <c r="E73" s="9" t="inlineStr">
        <is>
          <t>R2B</t>
        </is>
      </c>
      <c r="F73" s="9" t="inlineStr">
        <is>
          <t>R2B: unit / HRSG electrical e-house (32 x 40 ft)</t>
        </is>
      </c>
      <c r="G73" s="9" t="inlineStr">
        <is>
          <t>FS-GT1</t>
        </is>
      </c>
      <c r="H73" s="9" t="inlineStr">
        <is>
          <t>FS-GT1: CO2 fire-suppression skid</t>
        </is>
      </c>
      <c r="I73" s="9" t="inlineStr">
        <is>
          <t>Control</t>
        </is>
      </c>
      <c r="J73" s="9" t="inlineStr">
        <is>
          <t>Control cable 600 V Type TC-ER, Cu #14 AWG, PVC jacket</t>
        </is>
      </c>
      <c r="K73" s="9" t="inlineStr">
        <is>
          <t>CT|12/C|14</t>
        </is>
      </c>
      <c r="L73" s="9" t="inlineStr">
        <is>
          <t>12/C</t>
        </is>
      </c>
      <c r="M73" s="9" t="inlineStr">
        <is>
          <t>14</t>
        </is>
      </c>
      <c r="N73" s="9" t="n">
        <v>1</v>
      </c>
      <c r="O73" s="9" t="n">
        <v>1</v>
      </c>
      <c r="P73" s="9" t="n"/>
      <c r="Q73" s="9" t="n"/>
      <c r="R73" s="9" t="n"/>
      <c r="S73" s="9" t="inlineStr">
        <is>
          <t>Tray</t>
        </is>
      </c>
      <c r="T73" s="10" t="n">
        <v>789</v>
      </c>
      <c r="U73" s="10" t="n">
        <v>106</v>
      </c>
      <c r="V73" s="10">
        <f>ROUNDUP((T73+U73+2*'Read Me'!$B$13)*(1+'Read Me'!$B$12),-1)</f>
        <v/>
      </c>
      <c r="W73" s="10">
        <f>V73*N73*O73</f>
        <v/>
      </c>
      <c r="X73" s="9">
        <f>IF(LEFT(I73,2)="MV",2*N73*IF(L73="1/C",O73,1),0)</f>
        <v/>
      </c>
      <c r="Y73" s="9">
        <f>IF(OR(LEFT(K73,4)="LVAX",LEFT(K73,6)="MV15AX",LEFT(K73,4)="CTAX",LEFT(K73,2)="W|"),2*N73*O73,0)</f>
        <v/>
      </c>
      <c r="Z73" s="9" t="inlineStr"/>
    </row>
    <row r="74">
      <c r="A74" s="9" t="inlineStr">
        <is>
          <t>A-C-0062</t>
        </is>
      </c>
      <c r="B74" s="9" t="inlineStr">
        <is>
          <t>A</t>
        </is>
      </c>
      <c r="C74" s="9" t="inlineStr">
        <is>
          <t>Power block</t>
        </is>
      </c>
      <c r="D74" s="9" t="inlineStr">
        <is>
          <t>Control</t>
        </is>
      </c>
      <c r="E74" s="9" t="inlineStr">
        <is>
          <t>R2B</t>
        </is>
      </c>
      <c r="F74" s="9" t="inlineStr">
        <is>
          <t>R2B: unit / HRSG electrical e-house (32 x 40 ft)</t>
        </is>
      </c>
      <c r="G74" s="9" t="inlineStr">
        <is>
          <t>FS-GT1</t>
        </is>
      </c>
      <c r="H74" s="9" t="inlineStr">
        <is>
          <t>FS-GT1: CO2 fire-suppression skid</t>
        </is>
      </c>
      <c r="I74" s="9" t="inlineStr">
        <is>
          <t>Control</t>
        </is>
      </c>
      <c r="J74" s="9" t="inlineStr">
        <is>
          <t>Control cable 600 V Type TC-ER, Cu #14 AWG, PVC jacket</t>
        </is>
      </c>
      <c r="K74" s="9" t="inlineStr">
        <is>
          <t>CT|12/C|14</t>
        </is>
      </c>
      <c r="L74" s="9" t="inlineStr">
        <is>
          <t>12/C</t>
        </is>
      </c>
      <c r="M74" s="9" t="inlineStr">
        <is>
          <t>14</t>
        </is>
      </c>
      <c r="N74" s="9" t="n">
        <v>1</v>
      </c>
      <c r="O74" s="9" t="n">
        <v>1</v>
      </c>
      <c r="P74" s="9" t="n"/>
      <c r="Q74" s="9" t="n"/>
      <c r="R74" s="9" t="n"/>
      <c r="S74" s="9" t="inlineStr">
        <is>
          <t>Tray</t>
        </is>
      </c>
      <c r="T74" s="10" t="n">
        <v>789</v>
      </c>
      <c r="U74" s="10" t="n">
        <v>106</v>
      </c>
      <c r="V74" s="10">
        <f>ROUNDUP((T74+U74+2*'Read Me'!$B$13)*(1+'Read Me'!$B$12),-1)</f>
        <v/>
      </c>
      <c r="W74" s="10">
        <f>V74*N74*O74</f>
        <v/>
      </c>
      <c r="X74" s="9">
        <f>IF(LEFT(I74,2)="MV",2*N74*IF(L74="1/C",O74,1),0)</f>
        <v/>
      </c>
      <c r="Y74" s="9">
        <f>IF(OR(LEFT(K74,4)="LVAX",LEFT(K74,6)="MV15AX",LEFT(K74,4)="CTAX",LEFT(K74,2)="W|"),2*N74*O74,0)</f>
        <v/>
      </c>
      <c r="Z74" s="9" t="inlineStr"/>
    </row>
    <row r="75">
      <c r="A75" s="9" t="inlineStr">
        <is>
          <t>A-C-0063</t>
        </is>
      </c>
      <c r="B75" s="9" t="inlineStr">
        <is>
          <t>A</t>
        </is>
      </c>
      <c r="C75" s="9" t="inlineStr">
        <is>
          <t>Power block</t>
        </is>
      </c>
      <c r="D75" s="9" t="inlineStr">
        <is>
          <t>Control</t>
        </is>
      </c>
      <c r="E75" s="9" t="inlineStr">
        <is>
          <t>R2B</t>
        </is>
      </c>
      <c r="F75" s="9" t="inlineStr">
        <is>
          <t>R2B: unit / HRSG electrical e-house (32 x 40 ft)</t>
        </is>
      </c>
      <c r="G75" s="9" t="inlineStr">
        <is>
          <t>FS-GT1</t>
        </is>
      </c>
      <c r="H75" s="9" t="inlineStr">
        <is>
          <t>FS-GT1: CO2 fire-suppression skid</t>
        </is>
      </c>
      <c r="I75" s="9" t="inlineStr">
        <is>
          <t>Control</t>
        </is>
      </c>
      <c r="J75" s="9" t="inlineStr">
        <is>
          <t>Control cable 600 V Type TC-ER, Cu #14 AWG, PVC jacket</t>
        </is>
      </c>
      <c r="K75" s="9" t="inlineStr">
        <is>
          <t>CT|12/C|14</t>
        </is>
      </c>
      <c r="L75" s="9" t="inlineStr">
        <is>
          <t>12/C</t>
        </is>
      </c>
      <c r="M75" s="9" t="inlineStr">
        <is>
          <t>14</t>
        </is>
      </c>
      <c r="N75" s="9" t="n">
        <v>1</v>
      </c>
      <c r="O75" s="9" t="n">
        <v>1</v>
      </c>
      <c r="P75" s="9" t="n"/>
      <c r="Q75" s="9" t="n"/>
      <c r="R75" s="9" t="n"/>
      <c r="S75" s="9" t="inlineStr">
        <is>
          <t>Tray</t>
        </is>
      </c>
      <c r="T75" s="10" t="n">
        <v>789</v>
      </c>
      <c r="U75" s="10" t="n">
        <v>106</v>
      </c>
      <c r="V75" s="10">
        <f>ROUNDUP((T75+U75+2*'Read Me'!$B$13)*(1+'Read Me'!$B$12),-1)</f>
        <v/>
      </c>
      <c r="W75" s="10">
        <f>V75*N75*O75</f>
        <v/>
      </c>
      <c r="X75" s="9">
        <f>IF(LEFT(I75,2)="MV",2*N75*IF(L75="1/C",O75,1),0)</f>
        <v/>
      </c>
      <c r="Y75" s="9">
        <f>IF(OR(LEFT(K75,4)="LVAX",LEFT(K75,6)="MV15AX",LEFT(K75,4)="CTAX",LEFT(K75,2)="W|"),2*N75*O75,0)</f>
        <v/>
      </c>
      <c r="Z75" s="9" t="inlineStr"/>
    </row>
    <row r="76">
      <c r="A76" s="9" t="inlineStr">
        <is>
          <t>A-C-0064</t>
        </is>
      </c>
      <c r="B76" s="9" t="inlineStr">
        <is>
          <t>A</t>
        </is>
      </c>
      <c r="C76" s="9" t="inlineStr">
        <is>
          <t>Power block</t>
        </is>
      </c>
      <c r="D76" s="9" t="inlineStr">
        <is>
          <t>Control</t>
        </is>
      </c>
      <c r="E76" s="9" t="inlineStr">
        <is>
          <t>R2B</t>
        </is>
      </c>
      <c r="F76" s="9" t="inlineStr">
        <is>
          <t>R2B: unit / HRSG electrical e-house (32 x 40 ft)</t>
        </is>
      </c>
      <c r="G76" s="9" t="inlineStr">
        <is>
          <t>FS-GT1</t>
        </is>
      </c>
      <c r="H76" s="9" t="inlineStr">
        <is>
          <t>FS-GT1: CO2 fire-suppression skid</t>
        </is>
      </c>
      <c r="I76" s="9" t="inlineStr">
        <is>
          <t>Control</t>
        </is>
      </c>
      <c r="J76" s="9" t="inlineStr">
        <is>
          <t>Control cable 600 V Type TC-ER, Cu #14 AWG, PVC jacket</t>
        </is>
      </c>
      <c r="K76" s="9" t="inlineStr">
        <is>
          <t>CT|12/C|14</t>
        </is>
      </c>
      <c r="L76" s="9" t="inlineStr">
        <is>
          <t>12/C</t>
        </is>
      </c>
      <c r="M76" s="9" t="inlineStr">
        <is>
          <t>14</t>
        </is>
      </c>
      <c r="N76" s="9" t="n">
        <v>1</v>
      </c>
      <c r="O76" s="9" t="n">
        <v>1</v>
      </c>
      <c r="P76" s="9" t="n"/>
      <c r="Q76" s="9" t="n"/>
      <c r="R76" s="9" t="n"/>
      <c r="S76" s="9" t="inlineStr">
        <is>
          <t>Tray</t>
        </is>
      </c>
      <c r="T76" s="10" t="n">
        <v>789</v>
      </c>
      <c r="U76" s="10" t="n">
        <v>106</v>
      </c>
      <c r="V76" s="10">
        <f>ROUNDUP((T76+U76+2*'Read Me'!$B$13)*(1+'Read Me'!$B$12),-1)</f>
        <v/>
      </c>
      <c r="W76" s="10">
        <f>V76*N76*O76</f>
        <v/>
      </c>
      <c r="X76" s="9">
        <f>IF(LEFT(I76,2)="MV",2*N76*IF(L76="1/C",O76,1),0)</f>
        <v/>
      </c>
      <c r="Y76" s="9">
        <f>IF(OR(LEFT(K76,4)="LVAX",LEFT(K76,6)="MV15AX",LEFT(K76,4)="CTAX",LEFT(K76,2)="W|"),2*N76*O76,0)</f>
        <v/>
      </c>
      <c r="Z76" s="9" t="inlineStr"/>
    </row>
    <row r="77">
      <c r="A77" s="9" t="inlineStr">
        <is>
          <t>A-C-0065</t>
        </is>
      </c>
      <c r="B77" s="9" t="inlineStr">
        <is>
          <t>A</t>
        </is>
      </c>
      <c r="C77" s="9" t="inlineStr">
        <is>
          <t>Power block</t>
        </is>
      </c>
      <c r="D77" s="9" t="inlineStr">
        <is>
          <t>Control</t>
        </is>
      </c>
      <c r="E77" s="9" t="inlineStr">
        <is>
          <t>R2B</t>
        </is>
      </c>
      <c r="F77" s="9" t="inlineStr">
        <is>
          <t>R2B: unit / HRSG electrical e-house (32 x 40 ft)</t>
        </is>
      </c>
      <c r="G77" s="9" t="inlineStr">
        <is>
          <t>FS-GT1</t>
        </is>
      </c>
      <c r="H77" s="9" t="inlineStr">
        <is>
          <t>FS-GT1: CO2 fire-suppression skid</t>
        </is>
      </c>
      <c r="I77" s="9" t="inlineStr">
        <is>
          <t>Control</t>
        </is>
      </c>
      <c r="J77" s="9" t="inlineStr">
        <is>
          <t>Control cable 600 V Type TC-ER, Cu #14 AWG, PVC jacket</t>
        </is>
      </c>
      <c r="K77" s="9" t="inlineStr">
        <is>
          <t>CT|12/C|14</t>
        </is>
      </c>
      <c r="L77" s="9" t="inlineStr">
        <is>
          <t>12/C</t>
        </is>
      </c>
      <c r="M77" s="9" t="inlineStr">
        <is>
          <t>14</t>
        </is>
      </c>
      <c r="N77" s="9" t="n">
        <v>1</v>
      </c>
      <c r="O77" s="9" t="n">
        <v>1</v>
      </c>
      <c r="P77" s="9" t="n"/>
      <c r="Q77" s="9" t="n"/>
      <c r="R77" s="9" t="n"/>
      <c r="S77" s="9" t="inlineStr">
        <is>
          <t>Tray</t>
        </is>
      </c>
      <c r="T77" s="10" t="n">
        <v>789</v>
      </c>
      <c r="U77" s="10" t="n">
        <v>106</v>
      </c>
      <c r="V77" s="10">
        <f>ROUNDUP((T77+U77+2*'Read Me'!$B$13)*(1+'Read Me'!$B$12),-1)</f>
        <v/>
      </c>
      <c r="W77" s="10">
        <f>V77*N77*O77</f>
        <v/>
      </c>
      <c r="X77" s="9">
        <f>IF(LEFT(I77,2)="MV",2*N77*IF(L77="1/C",O77,1),0)</f>
        <v/>
      </c>
      <c r="Y77" s="9">
        <f>IF(OR(LEFT(K77,4)="LVAX",LEFT(K77,6)="MV15AX",LEFT(K77,4)="CTAX",LEFT(K77,2)="W|"),2*N77*O77,0)</f>
        <v/>
      </c>
      <c r="Z77" s="9" t="inlineStr"/>
    </row>
    <row r="78">
      <c r="A78" s="9" t="inlineStr">
        <is>
          <t>A-C-0066</t>
        </is>
      </c>
      <c r="B78" s="9" t="inlineStr">
        <is>
          <t>A</t>
        </is>
      </c>
      <c r="C78" s="9" t="inlineStr">
        <is>
          <t>Power block</t>
        </is>
      </c>
      <c r="D78" s="9" t="inlineStr">
        <is>
          <t>Control</t>
        </is>
      </c>
      <c r="E78" s="9" t="inlineStr">
        <is>
          <t>R2C</t>
        </is>
      </c>
      <c r="F78" s="9" t="inlineStr">
        <is>
          <t>R2C: unit / HRSG electrical e-house (32 x 40 ft)</t>
        </is>
      </c>
      <c r="G78" s="9" t="inlineStr">
        <is>
          <t>FS-GT2</t>
        </is>
      </c>
      <c r="H78" s="9" t="inlineStr">
        <is>
          <t>FS-GT2: CO2 fire-suppression skid</t>
        </is>
      </c>
      <c r="I78" s="9" t="inlineStr">
        <is>
          <t>Control</t>
        </is>
      </c>
      <c r="J78" s="9" t="inlineStr">
        <is>
          <t>Control cable 600 V Type TC-ER, Cu #14 AWG, PVC jacket</t>
        </is>
      </c>
      <c r="K78" s="9" t="inlineStr">
        <is>
          <t>CT|7/C|14</t>
        </is>
      </c>
      <c r="L78" s="9" t="inlineStr">
        <is>
          <t>7/C</t>
        </is>
      </c>
      <c r="M78" s="9" t="inlineStr">
        <is>
          <t>14</t>
        </is>
      </c>
      <c r="N78" s="9" t="n">
        <v>1</v>
      </c>
      <c r="O78" s="9" t="n">
        <v>1</v>
      </c>
      <c r="P78" s="9" t="n"/>
      <c r="Q78" s="9" t="n"/>
      <c r="R78" s="9" t="n"/>
      <c r="S78" s="9" t="inlineStr">
        <is>
          <t>Tray</t>
        </is>
      </c>
      <c r="T78" s="10" t="n">
        <v>1109</v>
      </c>
      <c r="U78" s="10" t="n">
        <v>106</v>
      </c>
      <c r="V78" s="10">
        <f>ROUNDUP((T78+U78+2*'Read Me'!$B$13)*(1+'Read Me'!$B$12),-1)</f>
        <v/>
      </c>
      <c r="W78" s="10">
        <f>V78*N78*O78</f>
        <v/>
      </c>
      <c r="X78" s="9">
        <f>IF(LEFT(I78,2)="MV",2*N78*IF(L78="1/C",O78,1),0)</f>
        <v/>
      </c>
      <c r="Y78" s="9">
        <f>IF(OR(LEFT(K78,4)="LVAX",LEFT(K78,6)="MV15AX",LEFT(K78,4)="CTAX",LEFT(K78,2)="W|"),2*N78*O78,0)</f>
        <v/>
      </c>
      <c r="Z78" s="9" t="inlineStr"/>
    </row>
    <row r="79">
      <c r="A79" s="9" t="inlineStr">
        <is>
          <t>A-C-0067</t>
        </is>
      </c>
      <c r="B79" s="9" t="inlineStr">
        <is>
          <t>A</t>
        </is>
      </c>
      <c r="C79" s="9" t="inlineStr">
        <is>
          <t>Power block</t>
        </is>
      </c>
      <c r="D79" s="9" t="inlineStr">
        <is>
          <t>Control</t>
        </is>
      </c>
      <c r="E79" s="9" t="inlineStr">
        <is>
          <t>R2C</t>
        </is>
      </c>
      <c r="F79" s="9" t="inlineStr">
        <is>
          <t>R2C: unit / HRSG electrical e-house (32 x 40 ft)</t>
        </is>
      </c>
      <c r="G79" s="9" t="inlineStr">
        <is>
          <t>FS-GT2</t>
        </is>
      </c>
      <c r="H79" s="9" t="inlineStr">
        <is>
          <t>FS-GT2: CO2 fire-suppression skid</t>
        </is>
      </c>
      <c r="I79" s="9" t="inlineStr">
        <is>
          <t>Control</t>
        </is>
      </c>
      <c r="J79" s="9" t="inlineStr">
        <is>
          <t>Control cable 600 V Type TC-ER, Cu #14 AWG, PVC jacket</t>
        </is>
      </c>
      <c r="K79" s="9" t="inlineStr">
        <is>
          <t>CT|7/C|14</t>
        </is>
      </c>
      <c r="L79" s="9" t="inlineStr">
        <is>
          <t>7/C</t>
        </is>
      </c>
      <c r="M79" s="9" t="inlineStr">
        <is>
          <t>14</t>
        </is>
      </c>
      <c r="N79" s="9" t="n">
        <v>1</v>
      </c>
      <c r="O79" s="9" t="n">
        <v>1</v>
      </c>
      <c r="P79" s="9" t="n"/>
      <c r="Q79" s="9" t="n"/>
      <c r="R79" s="9" t="n"/>
      <c r="S79" s="9" t="inlineStr">
        <is>
          <t>Tray</t>
        </is>
      </c>
      <c r="T79" s="10" t="n">
        <v>1109</v>
      </c>
      <c r="U79" s="10" t="n">
        <v>106</v>
      </c>
      <c r="V79" s="10">
        <f>ROUNDUP((T79+U79+2*'Read Me'!$B$13)*(1+'Read Me'!$B$12),-1)</f>
        <v/>
      </c>
      <c r="W79" s="10">
        <f>V79*N79*O79</f>
        <v/>
      </c>
      <c r="X79" s="9">
        <f>IF(LEFT(I79,2)="MV",2*N79*IF(L79="1/C",O79,1),0)</f>
        <v/>
      </c>
      <c r="Y79" s="9">
        <f>IF(OR(LEFT(K79,4)="LVAX",LEFT(K79,6)="MV15AX",LEFT(K79,4)="CTAX",LEFT(K79,2)="W|"),2*N79*O79,0)</f>
        <v/>
      </c>
      <c r="Z79" s="9" t="inlineStr"/>
    </row>
    <row r="80">
      <c r="A80" s="9" t="inlineStr">
        <is>
          <t>A-C-0068</t>
        </is>
      </c>
      <c r="B80" s="9" t="inlineStr">
        <is>
          <t>A</t>
        </is>
      </c>
      <c r="C80" s="9" t="inlineStr">
        <is>
          <t>Power block</t>
        </is>
      </c>
      <c r="D80" s="9" t="inlineStr">
        <is>
          <t>Control</t>
        </is>
      </c>
      <c r="E80" s="9" t="inlineStr">
        <is>
          <t>R2C</t>
        </is>
      </c>
      <c r="F80" s="9" t="inlineStr">
        <is>
          <t>R2C: unit / HRSG electrical e-house (32 x 40 ft)</t>
        </is>
      </c>
      <c r="G80" s="9" t="inlineStr">
        <is>
          <t>FS-GT2</t>
        </is>
      </c>
      <c r="H80" s="9" t="inlineStr">
        <is>
          <t>FS-GT2: CO2 fire-suppression skid</t>
        </is>
      </c>
      <c r="I80" s="9" t="inlineStr">
        <is>
          <t>Control</t>
        </is>
      </c>
      <c r="J80" s="9" t="inlineStr">
        <is>
          <t>Control cable 600 V Type TC-ER, Cu #14 AWG, PVC jacket</t>
        </is>
      </c>
      <c r="K80" s="9" t="inlineStr">
        <is>
          <t>CT|12/C|14</t>
        </is>
      </c>
      <c r="L80" s="9" t="inlineStr">
        <is>
          <t>12/C</t>
        </is>
      </c>
      <c r="M80" s="9" t="inlineStr">
        <is>
          <t>14</t>
        </is>
      </c>
      <c r="N80" s="9" t="n">
        <v>1</v>
      </c>
      <c r="O80" s="9" t="n">
        <v>1</v>
      </c>
      <c r="P80" s="9" t="n"/>
      <c r="Q80" s="9" t="n"/>
      <c r="R80" s="9" t="n"/>
      <c r="S80" s="9" t="inlineStr">
        <is>
          <t>Tray</t>
        </is>
      </c>
      <c r="T80" s="10" t="n">
        <v>1109</v>
      </c>
      <c r="U80" s="10" t="n">
        <v>106</v>
      </c>
      <c r="V80" s="10">
        <f>ROUNDUP((T80+U80+2*'Read Me'!$B$13)*(1+'Read Me'!$B$12),-1)</f>
        <v/>
      </c>
      <c r="W80" s="10">
        <f>V80*N80*O80</f>
        <v/>
      </c>
      <c r="X80" s="9">
        <f>IF(LEFT(I80,2)="MV",2*N80*IF(L80="1/C",O80,1),0)</f>
        <v/>
      </c>
      <c r="Y80" s="9">
        <f>IF(OR(LEFT(K80,4)="LVAX",LEFT(K80,6)="MV15AX",LEFT(K80,4)="CTAX",LEFT(K80,2)="W|"),2*N80*O80,0)</f>
        <v/>
      </c>
      <c r="Z80" s="9" t="inlineStr"/>
    </row>
    <row r="81">
      <c r="A81" s="9" t="inlineStr">
        <is>
          <t>A-C-0069</t>
        </is>
      </c>
      <c r="B81" s="9" t="inlineStr">
        <is>
          <t>A</t>
        </is>
      </c>
      <c r="C81" s="9" t="inlineStr">
        <is>
          <t>Power block</t>
        </is>
      </c>
      <c r="D81" s="9" t="inlineStr">
        <is>
          <t>Control</t>
        </is>
      </c>
      <c r="E81" s="9" t="inlineStr">
        <is>
          <t>R2C</t>
        </is>
      </c>
      <c r="F81" s="9" t="inlineStr">
        <is>
          <t>R2C: unit / HRSG electrical e-house (32 x 40 ft)</t>
        </is>
      </c>
      <c r="G81" s="9" t="inlineStr">
        <is>
          <t>FS-GT2</t>
        </is>
      </c>
      <c r="H81" s="9" t="inlineStr">
        <is>
          <t>FS-GT2: CO2 fire-suppression skid</t>
        </is>
      </c>
      <c r="I81" s="9" t="inlineStr">
        <is>
          <t>Control</t>
        </is>
      </c>
      <c r="J81" s="9" t="inlineStr">
        <is>
          <t>Control cable 600 V Type TC-ER, Cu #14 AWG, PVC jacket</t>
        </is>
      </c>
      <c r="K81" s="9" t="inlineStr">
        <is>
          <t>CT|12/C|14</t>
        </is>
      </c>
      <c r="L81" s="9" t="inlineStr">
        <is>
          <t>12/C</t>
        </is>
      </c>
      <c r="M81" s="9" t="inlineStr">
        <is>
          <t>14</t>
        </is>
      </c>
      <c r="N81" s="9" t="n">
        <v>1</v>
      </c>
      <c r="O81" s="9" t="n">
        <v>1</v>
      </c>
      <c r="P81" s="9" t="n"/>
      <c r="Q81" s="9" t="n"/>
      <c r="R81" s="9" t="n"/>
      <c r="S81" s="9" t="inlineStr">
        <is>
          <t>Tray</t>
        </is>
      </c>
      <c r="T81" s="10" t="n">
        <v>1109</v>
      </c>
      <c r="U81" s="10" t="n">
        <v>106</v>
      </c>
      <c r="V81" s="10">
        <f>ROUNDUP((T81+U81+2*'Read Me'!$B$13)*(1+'Read Me'!$B$12),-1)</f>
        <v/>
      </c>
      <c r="W81" s="10">
        <f>V81*N81*O81</f>
        <v/>
      </c>
      <c r="X81" s="9">
        <f>IF(LEFT(I81,2)="MV",2*N81*IF(L81="1/C",O81,1),0)</f>
        <v/>
      </c>
      <c r="Y81" s="9">
        <f>IF(OR(LEFT(K81,4)="LVAX",LEFT(K81,6)="MV15AX",LEFT(K81,4)="CTAX",LEFT(K81,2)="W|"),2*N81*O81,0)</f>
        <v/>
      </c>
      <c r="Z81" s="9" t="inlineStr"/>
    </row>
    <row r="82">
      <c r="A82" s="9" t="inlineStr">
        <is>
          <t>A-C-0070</t>
        </is>
      </c>
      <c r="B82" s="9" t="inlineStr">
        <is>
          <t>A</t>
        </is>
      </c>
      <c r="C82" s="9" t="inlineStr">
        <is>
          <t>Power block</t>
        </is>
      </c>
      <c r="D82" s="9" t="inlineStr">
        <is>
          <t>Control</t>
        </is>
      </c>
      <c r="E82" s="9" t="inlineStr">
        <is>
          <t>R2C</t>
        </is>
      </c>
      <c r="F82" s="9" t="inlineStr">
        <is>
          <t>R2C: unit / HRSG electrical e-house (32 x 40 ft)</t>
        </is>
      </c>
      <c r="G82" s="9" t="inlineStr">
        <is>
          <t>FS-GT2</t>
        </is>
      </c>
      <c r="H82" s="9" t="inlineStr">
        <is>
          <t>FS-GT2: CO2 fire-suppression skid</t>
        </is>
      </c>
      <c r="I82" s="9" t="inlineStr">
        <is>
          <t>Control</t>
        </is>
      </c>
      <c r="J82" s="9" t="inlineStr">
        <is>
          <t>Control cable 600 V Type TC-ER, Cu #14 AWG, PVC jacket</t>
        </is>
      </c>
      <c r="K82" s="9" t="inlineStr">
        <is>
          <t>CT|12/C|14</t>
        </is>
      </c>
      <c r="L82" s="9" t="inlineStr">
        <is>
          <t>12/C</t>
        </is>
      </c>
      <c r="M82" s="9" t="inlineStr">
        <is>
          <t>14</t>
        </is>
      </c>
      <c r="N82" s="9" t="n">
        <v>1</v>
      </c>
      <c r="O82" s="9" t="n">
        <v>1</v>
      </c>
      <c r="P82" s="9" t="n"/>
      <c r="Q82" s="9" t="n"/>
      <c r="R82" s="9" t="n"/>
      <c r="S82" s="9" t="inlineStr">
        <is>
          <t>Tray</t>
        </is>
      </c>
      <c r="T82" s="10" t="n">
        <v>1109</v>
      </c>
      <c r="U82" s="10" t="n">
        <v>106</v>
      </c>
      <c r="V82" s="10">
        <f>ROUNDUP((T82+U82+2*'Read Me'!$B$13)*(1+'Read Me'!$B$12),-1)</f>
        <v/>
      </c>
      <c r="W82" s="10">
        <f>V82*N82*O82</f>
        <v/>
      </c>
      <c r="X82" s="9">
        <f>IF(LEFT(I82,2)="MV",2*N82*IF(L82="1/C",O82,1),0)</f>
        <v/>
      </c>
      <c r="Y82" s="9">
        <f>IF(OR(LEFT(K82,4)="LVAX",LEFT(K82,6)="MV15AX",LEFT(K82,4)="CTAX",LEFT(K82,2)="W|"),2*N82*O82,0)</f>
        <v/>
      </c>
      <c r="Z82" s="9" t="inlineStr"/>
    </row>
    <row r="83">
      <c r="A83" s="9" t="inlineStr">
        <is>
          <t>A-C-0071</t>
        </is>
      </c>
      <c r="B83" s="9" t="inlineStr">
        <is>
          <t>A</t>
        </is>
      </c>
      <c r="C83" s="9" t="inlineStr">
        <is>
          <t>Power block</t>
        </is>
      </c>
      <c r="D83" s="9" t="inlineStr">
        <is>
          <t>Control</t>
        </is>
      </c>
      <c r="E83" s="9" t="inlineStr">
        <is>
          <t>R2C</t>
        </is>
      </c>
      <c r="F83" s="9" t="inlineStr">
        <is>
          <t>R2C: unit / HRSG electrical e-house (32 x 40 ft)</t>
        </is>
      </c>
      <c r="G83" s="9" t="inlineStr">
        <is>
          <t>FS-GT2</t>
        </is>
      </c>
      <c r="H83" s="9" t="inlineStr">
        <is>
          <t>FS-GT2: CO2 fire-suppression skid</t>
        </is>
      </c>
      <c r="I83" s="9" t="inlineStr">
        <is>
          <t>Control</t>
        </is>
      </c>
      <c r="J83" s="9" t="inlineStr">
        <is>
          <t>Control cable 600 V Type TC-ER, Cu #14 AWG, PVC jacket</t>
        </is>
      </c>
      <c r="K83" s="9" t="inlineStr">
        <is>
          <t>CT|12/C|14</t>
        </is>
      </c>
      <c r="L83" s="9" t="inlineStr">
        <is>
          <t>12/C</t>
        </is>
      </c>
      <c r="M83" s="9" t="inlineStr">
        <is>
          <t>14</t>
        </is>
      </c>
      <c r="N83" s="9" t="n">
        <v>1</v>
      </c>
      <c r="O83" s="9" t="n">
        <v>1</v>
      </c>
      <c r="P83" s="9" t="n"/>
      <c r="Q83" s="9" t="n"/>
      <c r="R83" s="9" t="n"/>
      <c r="S83" s="9" t="inlineStr">
        <is>
          <t>Tray</t>
        </is>
      </c>
      <c r="T83" s="10" t="n">
        <v>1109</v>
      </c>
      <c r="U83" s="10" t="n">
        <v>106</v>
      </c>
      <c r="V83" s="10">
        <f>ROUNDUP((T83+U83+2*'Read Me'!$B$13)*(1+'Read Me'!$B$12),-1)</f>
        <v/>
      </c>
      <c r="W83" s="10">
        <f>V83*N83*O83</f>
        <v/>
      </c>
      <c r="X83" s="9">
        <f>IF(LEFT(I83,2)="MV",2*N83*IF(L83="1/C",O83,1),0)</f>
        <v/>
      </c>
      <c r="Y83" s="9">
        <f>IF(OR(LEFT(K83,4)="LVAX",LEFT(K83,6)="MV15AX",LEFT(K83,4)="CTAX",LEFT(K83,2)="W|"),2*N83*O83,0)</f>
        <v/>
      </c>
      <c r="Z83" s="9" t="inlineStr"/>
    </row>
    <row r="84">
      <c r="A84" s="9" t="inlineStr">
        <is>
          <t>A-C-0072</t>
        </is>
      </c>
      <c r="B84" s="9" t="inlineStr">
        <is>
          <t>A</t>
        </is>
      </c>
      <c r="C84" s="9" t="inlineStr">
        <is>
          <t>Power block</t>
        </is>
      </c>
      <c r="D84" s="9" t="inlineStr">
        <is>
          <t>Control</t>
        </is>
      </c>
      <c r="E84" s="9" t="inlineStr">
        <is>
          <t>R2C</t>
        </is>
      </c>
      <c r="F84" s="9" t="inlineStr">
        <is>
          <t>R2C: unit / HRSG electrical e-house (32 x 40 ft)</t>
        </is>
      </c>
      <c r="G84" s="9" t="inlineStr">
        <is>
          <t>FS-GT2</t>
        </is>
      </c>
      <c r="H84" s="9" t="inlineStr">
        <is>
          <t>FS-GT2: CO2 fire-suppression skid</t>
        </is>
      </c>
      <c r="I84" s="9" t="inlineStr">
        <is>
          <t>Control</t>
        </is>
      </c>
      <c r="J84" s="9" t="inlineStr">
        <is>
          <t>Control cable 600 V Type TC-ER, Cu #14 AWG, PVC jacket</t>
        </is>
      </c>
      <c r="K84" s="9" t="inlineStr">
        <is>
          <t>CT|12/C|14</t>
        </is>
      </c>
      <c r="L84" s="9" t="inlineStr">
        <is>
          <t>12/C</t>
        </is>
      </c>
      <c r="M84" s="9" t="inlineStr">
        <is>
          <t>14</t>
        </is>
      </c>
      <c r="N84" s="9" t="n">
        <v>1</v>
      </c>
      <c r="O84" s="9" t="n">
        <v>1</v>
      </c>
      <c r="P84" s="9" t="n"/>
      <c r="Q84" s="9" t="n"/>
      <c r="R84" s="9" t="n"/>
      <c r="S84" s="9" t="inlineStr">
        <is>
          <t>Tray</t>
        </is>
      </c>
      <c r="T84" s="10" t="n">
        <v>1109</v>
      </c>
      <c r="U84" s="10" t="n">
        <v>106</v>
      </c>
      <c r="V84" s="10">
        <f>ROUNDUP((T84+U84+2*'Read Me'!$B$13)*(1+'Read Me'!$B$12),-1)</f>
        <v/>
      </c>
      <c r="W84" s="10">
        <f>V84*N84*O84</f>
        <v/>
      </c>
      <c r="X84" s="9">
        <f>IF(LEFT(I84,2)="MV",2*N84*IF(L84="1/C",O84,1),0)</f>
        <v/>
      </c>
      <c r="Y84" s="9">
        <f>IF(OR(LEFT(K84,4)="LVAX",LEFT(K84,6)="MV15AX",LEFT(K84,4)="CTAX",LEFT(K84,2)="W|"),2*N84*O84,0)</f>
        <v/>
      </c>
      <c r="Z84" s="9" t="inlineStr"/>
    </row>
    <row r="85">
      <c r="A85" s="9" t="inlineStr">
        <is>
          <t>A-C-0073</t>
        </is>
      </c>
      <c r="B85" s="9" t="inlineStr">
        <is>
          <t>A</t>
        </is>
      </c>
      <c r="C85" s="9" t="inlineStr">
        <is>
          <t>Power block</t>
        </is>
      </c>
      <c r="D85" s="9" t="inlineStr">
        <is>
          <t>Control</t>
        </is>
      </c>
      <c r="E85" s="9" t="inlineStr">
        <is>
          <t>R2C</t>
        </is>
      </c>
      <c r="F85" s="9" t="inlineStr">
        <is>
          <t>R2C: unit / HRSG electrical e-house (32 x 40 ft)</t>
        </is>
      </c>
      <c r="G85" s="9" t="inlineStr">
        <is>
          <t>FS-GT2</t>
        </is>
      </c>
      <c r="H85" s="9" t="inlineStr">
        <is>
          <t>FS-GT2: CO2 fire-suppression skid</t>
        </is>
      </c>
      <c r="I85" s="9" t="inlineStr">
        <is>
          <t>Control</t>
        </is>
      </c>
      <c r="J85" s="9" t="inlineStr">
        <is>
          <t>Control cable 600 V Type TC-ER, Cu #14 AWG, PVC jacket</t>
        </is>
      </c>
      <c r="K85" s="9" t="inlineStr">
        <is>
          <t>CT|12/C|14</t>
        </is>
      </c>
      <c r="L85" s="9" t="inlineStr">
        <is>
          <t>12/C</t>
        </is>
      </c>
      <c r="M85" s="9" t="inlineStr">
        <is>
          <t>14</t>
        </is>
      </c>
      <c r="N85" s="9" t="n">
        <v>1</v>
      </c>
      <c r="O85" s="9" t="n">
        <v>1</v>
      </c>
      <c r="P85" s="9" t="n"/>
      <c r="Q85" s="9" t="n"/>
      <c r="R85" s="9" t="n"/>
      <c r="S85" s="9" t="inlineStr">
        <is>
          <t>Tray</t>
        </is>
      </c>
      <c r="T85" s="10" t="n">
        <v>1109</v>
      </c>
      <c r="U85" s="10" t="n">
        <v>106</v>
      </c>
      <c r="V85" s="10">
        <f>ROUNDUP((T85+U85+2*'Read Me'!$B$13)*(1+'Read Me'!$B$12),-1)</f>
        <v/>
      </c>
      <c r="W85" s="10">
        <f>V85*N85*O85</f>
        <v/>
      </c>
      <c r="X85" s="9">
        <f>IF(LEFT(I85,2)="MV",2*N85*IF(L85="1/C",O85,1),0)</f>
        <v/>
      </c>
      <c r="Y85" s="9">
        <f>IF(OR(LEFT(K85,4)="LVAX",LEFT(K85,6)="MV15AX",LEFT(K85,4)="CTAX",LEFT(K85,2)="W|"),2*N85*O85,0)</f>
        <v/>
      </c>
      <c r="Z85" s="9" t="inlineStr"/>
    </row>
    <row r="86">
      <c r="A86" s="9" t="inlineStr">
        <is>
          <t>A-C-0074</t>
        </is>
      </c>
      <c r="B86" s="9" t="inlineStr">
        <is>
          <t>A</t>
        </is>
      </c>
      <c r="C86" s="9" t="inlineStr">
        <is>
          <t>Power block</t>
        </is>
      </c>
      <c r="D86" s="9" t="inlineStr">
        <is>
          <t>Control</t>
        </is>
      </c>
      <c r="E86" s="9" t="inlineStr">
        <is>
          <t>R3</t>
        </is>
      </c>
      <c r="F86" s="9" t="inlineStr">
        <is>
          <t>R3: ST auxiliary electrical e-house (40 x 65 ft)</t>
        </is>
      </c>
      <c r="G86" s="9" t="inlineStr">
        <is>
          <t>FS-GT3</t>
        </is>
      </c>
      <c r="H86" s="9" t="inlineStr">
        <is>
          <t>FS-GT3: CO2 fire-suppression skid</t>
        </is>
      </c>
      <c r="I86" s="9" t="inlineStr">
        <is>
          <t>Control</t>
        </is>
      </c>
      <c r="J86" s="9" t="inlineStr">
        <is>
          <t>Control cable 600 V Type TC-ER, Cu #14 AWG, PVC jacket</t>
        </is>
      </c>
      <c r="K86" s="9" t="inlineStr">
        <is>
          <t>CT|7/C|14</t>
        </is>
      </c>
      <c r="L86" s="9" t="inlineStr">
        <is>
          <t>7/C</t>
        </is>
      </c>
      <c r="M86" s="9" t="inlineStr">
        <is>
          <t>14</t>
        </is>
      </c>
      <c r="N86" s="9" t="n">
        <v>1</v>
      </c>
      <c r="O86" s="9" t="n">
        <v>1</v>
      </c>
      <c r="P86" s="9" t="n"/>
      <c r="Q86" s="9" t="n"/>
      <c r="R86" s="9" t="n"/>
      <c r="S86" s="9" t="inlineStr">
        <is>
          <t>Tray</t>
        </is>
      </c>
      <c r="T86" s="10" t="n">
        <v>235</v>
      </c>
      <c r="U86" s="10" t="n">
        <v>96</v>
      </c>
      <c r="V86" s="10">
        <f>ROUNDUP((T86+U86+2*'Read Me'!$B$13)*(1+'Read Me'!$B$12),-1)</f>
        <v/>
      </c>
      <c r="W86" s="10">
        <f>V86*N86*O86</f>
        <v/>
      </c>
      <c r="X86" s="9">
        <f>IF(LEFT(I86,2)="MV",2*N86*IF(L86="1/C",O86,1),0)</f>
        <v/>
      </c>
      <c r="Y86" s="9">
        <f>IF(OR(LEFT(K86,4)="LVAX",LEFT(K86,6)="MV15AX",LEFT(K86,4)="CTAX",LEFT(K86,2)="W|"),2*N86*O86,0)</f>
        <v/>
      </c>
      <c r="Z86" s="9" t="inlineStr"/>
    </row>
    <row r="87">
      <c r="A87" s="9" t="inlineStr">
        <is>
          <t>A-C-0075</t>
        </is>
      </c>
      <c r="B87" s="9" t="inlineStr">
        <is>
          <t>A</t>
        </is>
      </c>
      <c r="C87" s="9" t="inlineStr">
        <is>
          <t>Power block</t>
        </is>
      </c>
      <c r="D87" s="9" t="inlineStr">
        <is>
          <t>Control</t>
        </is>
      </c>
      <c r="E87" s="9" t="inlineStr">
        <is>
          <t>R3</t>
        </is>
      </c>
      <c r="F87" s="9" t="inlineStr">
        <is>
          <t>R3: ST auxiliary electrical e-house (40 x 65 ft)</t>
        </is>
      </c>
      <c r="G87" s="9" t="inlineStr">
        <is>
          <t>FS-GT3</t>
        </is>
      </c>
      <c r="H87" s="9" t="inlineStr">
        <is>
          <t>FS-GT3: CO2 fire-suppression skid</t>
        </is>
      </c>
      <c r="I87" s="9" t="inlineStr">
        <is>
          <t>Control</t>
        </is>
      </c>
      <c r="J87" s="9" t="inlineStr">
        <is>
          <t>Control cable 600 V Type TC-ER, Cu #14 AWG, PVC jacket</t>
        </is>
      </c>
      <c r="K87" s="9" t="inlineStr">
        <is>
          <t>CT|7/C|14</t>
        </is>
      </c>
      <c r="L87" s="9" t="inlineStr">
        <is>
          <t>7/C</t>
        </is>
      </c>
      <c r="M87" s="9" t="inlineStr">
        <is>
          <t>14</t>
        </is>
      </c>
      <c r="N87" s="9" t="n">
        <v>1</v>
      </c>
      <c r="O87" s="9" t="n">
        <v>1</v>
      </c>
      <c r="P87" s="9" t="n"/>
      <c r="Q87" s="9" t="n"/>
      <c r="R87" s="9" t="n"/>
      <c r="S87" s="9" t="inlineStr">
        <is>
          <t>Tray</t>
        </is>
      </c>
      <c r="T87" s="10" t="n">
        <v>235</v>
      </c>
      <c r="U87" s="10" t="n">
        <v>96</v>
      </c>
      <c r="V87" s="10">
        <f>ROUNDUP((T87+U87+2*'Read Me'!$B$13)*(1+'Read Me'!$B$12),-1)</f>
        <v/>
      </c>
      <c r="W87" s="10">
        <f>V87*N87*O87</f>
        <v/>
      </c>
      <c r="X87" s="9">
        <f>IF(LEFT(I87,2)="MV",2*N87*IF(L87="1/C",O87,1),0)</f>
        <v/>
      </c>
      <c r="Y87" s="9">
        <f>IF(OR(LEFT(K87,4)="LVAX",LEFT(K87,6)="MV15AX",LEFT(K87,4)="CTAX",LEFT(K87,2)="W|"),2*N87*O87,0)</f>
        <v/>
      </c>
      <c r="Z87" s="9" t="inlineStr"/>
    </row>
    <row r="88">
      <c r="A88" s="9" t="inlineStr">
        <is>
          <t>A-C-0076</t>
        </is>
      </c>
      <c r="B88" s="9" t="inlineStr">
        <is>
          <t>A</t>
        </is>
      </c>
      <c r="C88" s="9" t="inlineStr">
        <is>
          <t>Power block</t>
        </is>
      </c>
      <c r="D88" s="9" t="inlineStr">
        <is>
          <t>Control</t>
        </is>
      </c>
      <c r="E88" s="9" t="inlineStr">
        <is>
          <t>R3</t>
        </is>
      </c>
      <c r="F88" s="9" t="inlineStr">
        <is>
          <t>R3: ST auxiliary electrical e-house (40 x 65 ft)</t>
        </is>
      </c>
      <c r="G88" s="9" t="inlineStr">
        <is>
          <t>FS-GT3</t>
        </is>
      </c>
      <c r="H88" s="9" t="inlineStr">
        <is>
          <t>FS-GT3: CO2 fire-suppression skid</t>
        </is>
      </c>
      <c r="I88" s="9" t="inlineStr">
        <is>
          <t>Control</t>
        </is>
      </c>
      <c r="J88" s="9" t="inlineStr">
        <is>
          <t>Control cable 600 V Type TC-ER, Cu #14 AWG, PVC jacket</t>
        </is>
      </c>
      <c r="K88" s="9" t="inlineStr">
        <is>
          <t>CT|12/C|14</t>
        </is>
      </c>
      <c r="L88" s="9" t="inlineStr">
        <is>
          <t>12/C</t>
        </is>
      </c>
      <c r="M88" s="9" t="inlineStr">
        <is>
          <t>14</t>
        </is>
      </c>
      <c r="N88" s="9" t="n">
        <v>1</v>
      </c>
      <c r="O88" s="9" t="n">
        <v>1</v>
      </c>
      <c r="P88" s="9" t="n"/>
      <c r="Q88" s="9" t="n"/>
      <c r="R88" s="9" t="n"/>
      <c r="S88" s="9" t="inlineStr">
        <is>
          <t>Tray</t>
        </is>
      </c>
      <c r="T88" s="10" t="n">
        <v>235</v>
      </c>
      <c r="U88" s="10" t="n">
        <v>96</v>
      </c>
      <c r="V88" s="10">
        <f>ROUNDUP((T88+U88+2*'Read Me'!$B$13)*(1+'Read Me'!$B$12),-1)</f>
        <v/>
      </c>
      <c r="W88" s="10">
        <f>V88*N88*O88</f>
        <v/>
      </c>
      <c r="X88" s="9">
        <f>IF(LEFT(I88,2)="MV",2*N88*IF(L88="1/C",O88,1),0)</f>
        <v/>
      </c>
      <c r="Y88" s="9">
        <f>IF(OR(LEFT(K88,4)="LVAX",LEFT(K88,6)="MV15AX",LEFT(K88,4)="CTAX",LEFT(K88,2)="W|"),2*N88*O88,0)</f>
        <v/>
      </c>
      <c r="Z88" s="9" t="inlineStr"/>
    </row>
    <row r="89">
      <c r="A89" s="9" t="inlineStr">
        <is>
          <t>A-C-0077</t>
        </is>
      </c>
      <c r="B89" s="9" t="inlineStr">
        <is>
          <t>A</t>
        </is>
      </c>
      <c r="C89" s="9" t="inlineStr">
        <is>
          <t>Power block</t>
        </is>
      </c>
      <c r="D89" s="9" t="inlineStr">
        <is>
          <t>Control</t>
        </is>
      </c>
      <c r="E89" s="9" t="inlineStr">
        <is>
          <t>R3</t>
        </is>
      </c>
      <c r="F89" s="9" t="inlineStr">
        <is>
          <t>R3: ST auxiliary electrical e-house (40 x 65 ft)</t>
        </is>
      </c>
      <c r="G89" s="9" t="inlineStr">
        <is>
          <t>FS-GT3</t>
        </is>
      </c>
      <c r="H89" s="9" t="inlineStr">
        <is>
          <t>FS-GT3: CO2 fire-suppression skid</t>
        </is>
      </c>
      <c r="I89" s="9" t="inlineStr">
        <is>
          <t>Control</t>
        </is>
      </c>
      <c r="J89" s="9" t="inlineStr">
        <is>
          <t>Control cable 600 V Type TC-ER, Cu #14 AWG, PVC jacket</t>
        </is>
      </c>
      <c r="K89" s="9" t="inlineStr">
        <is>
          <t>CT|12/C|14</t>
        </is>
      </c>
      <c r="L89" s="9" t="inlineStr">
        <is>
          <t>12/C</t>
        </is>
      </c>
      <c r="M89" s="9" t="inlineStr">
        <is>
          <t>14</t>
        </is>
      </c>
      <c r="N89" s="9" t="n">
        <v>1</v>
      </c>
      <c r="O89" s="9" t="n">
        <v>1</v>
      </c>
      <c r="P89" s="9" t="n"/>
      <c r="Q89" s="9" t="n"/>
      <c r="R89" s="9" t="n"/>
      <c r="S89" s="9" t="inlineStr">
        <is>
          <t>Tray</t>
        </is>
      </c>
      <c r="T89" s="10" t="n">
        <v>235</v>
      </c>
      <c r="U89" s="10" t="n">
        <v>96</v>
      </c>
      <c r="V89" s="10">
        <f>ROUNDUP((T89+U89+2*'Read Me'!$B$13)*(1+'Read Me'!$B$12),-1)</f>
        <v/>
      </c>
      <c r="W89" s="10">
        <f>V89*N89*O89</f>
        <v/>
      </c>
      <c r="X89" s="9">
        <f>IF(LEFT(I89,2)="MV",2*N89*IF(L89="1/C",O89,1),0)</f>
        <v/>
      </c>
      <c r="Y89" s="9">
        <f>IF(OR(LEFT(K89,4)="LVAX",LEFT(K89,6)="MV15AX",LEFT(K89,4)="CTAX",LEFT(K89,2)="W|"),2*N89*O89,0)</f>
        <v/>
      </c>
      <c r="Z89" s="9" t="inlineStr"/>
    </row>
    <row r="90">
      <c r="A90" s="9" t="inlineStr">
        <is>
          <t>A-C-0078</t>
        </is>
      </c>
      <c r="B90" s="9" t="inlineStr">
        <is>
          <t>A</t>
        </is>
      </c>
      <c r="C90" s="9" t="inlineStr">
        <is>
          <t>Power block</t>
        </is>
      </c>
      <c r="D90" s="9" t="inlineStr">
        <is>
          <t>Control</t>
        </is>
      </c>
      <c r="E90" s="9" t="inlineStr">
        <is>
          <t>R3</t>
        </is>
      </c>
      <c r="F90" s="9" t="inlineStr">
        <is>
          <t>R3: ST auxiliary electrical e-house (40 x 65 ft)</t>
        </is>
      </c>
      <c r="G90" s="9" t="inlineStr">
        <is>
          <t>FS-GT3</t>
        </is>
      </c>
      <c r="H90" s="9" t="inlineStr">
        <is>
          <t>FS-GT3: CO2 fire-suppression skid</t>
        </is>
      </c>
      <c r="I90" s="9" t="inlineStr">
        <is>
          <t>Control</t>
        </is>
      </c>
      <c r="J90" s="9" t="inlineStr">
        <is>
          <t>Control cable 600 V Type TC-ER, Cu #14 AWG, PVC jacket</t>
        </is>
      </c>
      <c r="K90" s="9" t="inlineStr">
        <is>
          <t>CT|12/C|14</t>
        </is>
      </c>
      <c r="L90" s="9" t="inlineStr">
        <is>
          <t>12/C</t>
        </is>
      </c>
      <c r="M90" s="9" t="inlineStr">
        <is>
          <t>14</t>
        </is>
      </c>
      <c r="N90" s="9" t="n">
        <v>1</v>
      </c>
      <c r="O90" s="9" t="n">
        <v>1</v>
      </c>
      <c r="P90" s="9" t="n"/>
      <c r="Q90" s="9" t="n"/>
      <c r="R90" s="9" t="n"/>
      <c r="S90" s="9" t="inlineStr">
        <is>
          <t>Tray</t>
        </is>
      </c>
      <c r="T90" s="10" t="n">
        <v>235</v>
      </c>
      <c r="U90" s="10" t="n">
        <v>96</v>
      </c>
      <c r="V90" s="10">
        <f>ROUNDUP((T90+U90+2*'Read Me'!$B$13)*(1+'Read Me'!$B$12),-1)</f>
        <v/>
      </c>
      <c r="W90" s="10">
        <f>V90*N90*O90</f>
        <v/>
      </c>
      <c r="X90" s="9">
        <f>IF(LEFT(I90,2)="MV",2*N90*IF(L90="1/C",O90,1),0)</f>
        <v/>
      </c>
      <c r="Y90" s="9">
        <f>IF(OR(LEFT(K90,4)="LVAX",LEFT(K90,6)="MV15AX",LEFT(K90,4)="CTAX",LEFT(K90,2)="W|"),2*N90*O90,0)</f>
        <v/>
      </c>
      <c r="Z90" s="9" t="inlineStr"/>
    </row>
    <row r="91">
      <c r="A91" s="9" t="inlineStr">
        <is>
          <t>A-C-0079</t>
        </is>
      </c>
      <c r="B91" s="9" t="inlineStr">
        <is>
          <t>A</t>
        </is>
      </c>
      <c r="C91" s="9" t="inlineStr">
        <is>
          <t>Power block</t>
        </is>
      </c>
      <c r="D91" s="9" t="inlineStr">
        <is>
          <t>Control</t>
        </is>
      </c>
      <c r="E91" s="9" t="inlineStr">
        <is>
          <t>R3</t>
        </is>
      </c>
      <c r="F91" s="9" t="inlineStr">
        <is>
          <t>R3: ST auxiliary electrical e-house (40 x 65 ft)</t>
        </is>
      </c>
      <c r="G91" s="9" t="inlineStr">
        <is>
          <t>FS-GT3</t>
        </is>
      </c>
      <c r="H91" s="9" t="inlineStr">
        <is>
          <t>FS-GT3: CO2 fire-suppression skid</t>
        </is>
      </c>
      <c r="I91" s="9" t="inlineStr">
        <is>
          <t>Control</t>
        </is>
      </c>
      <c r="J91" s="9" t="inlineStr">
        <is>
          <t>Control cable 600 V Type TC-ER, Cu #14 AWG, PVC jacket</t>
        </is>
      </c>
      <c r="K91" s="9" t="inlineStr">
        <is>
          <t>CT|12/C|14</t>
        </is>
      </c>
      <c r="L91" s="9" t="inlineStr">
        <is>
          <t>12/C</t>
        </is>
      </c>
      <c r="M91" s="9" t="inlineStr">
        <is>
          <t>14</t>
        </is>
      </c>
      <c r="N91" s="9" t="n">
        <v>1</v>
      </c>
      <c r="O91" s="9" t="n">
        <v>1</v>
      </c>
      <c r="P91" s="9" t="n"/>
      <c r="Q91" s="9" t="n"/>
      <c r="R91" s="9" t="n"/>
      <c r="S91" s="9" t="inlineStr">
        <is>
          <t>Tray</t>
        </is>
      </c>
      <c r="T91" s="10" t="n">
        <v>235</v>
      </c>
      <c r="U91" s="10" t="n">
        <v>96</v>
      </c>
      <c r="V91" s="10">
        <f>ROUNDUP((T91+U91+2*'Read Me'!$B$13)*(1+'Read Me'!$B$12),-1)</f>
        <v/>
      </c>
      <c r="W91" s="10">
        <f>V91*N91*O91</f>
        <v/>
      </c>
      <c r="X91" s="9">
        <f>IF(LEFT(I91,2)="MV",2*N91*IF(L91="1/C",O91,1),0)</f>
        <v/>
      </c>
      <c r="Y91" s="9">
        <f>IF(OR(LEFT(K91,4)="LVAX",LEFT(K91,6)="MV15AX",LEFT(K91,4)="CTAX",LEFT(K91,2)="W|"),2*N91*O91,0)</f>
        <v/>
      </c>
      <c r="Z91" s="9" t="inlineStr"/>
    </row>
    <row r="92">
      <c r="A92" s="9" t="inlineStr">
        <is>
          <t>A-C-0080</t>
        </is>
      </c>
      <c r="B92" s="9" t="inlineStr">
        <is>
          <t>A</t>
        </is>
      </c>
      <c r="C92" s="9" t="inlineStr">
        <is>
          <t>Power block</t>
        </is>
      </c>
      <c r="D92" s="9" t="inlineStr">
        <is>
          <t>Control</t>
        </is>
      </c>
      <c r="E92" s="9" t="inlineStr">
        <is>
          <t>R3</t>
        </is>
      </c>
      <c r="F92" s="9" t="inlineStr">
        <is>
          <t>R3: ST auxiliary electrical e-house (40 x 65 ft)</t>
        </is>
      </c>
      <c r="G92" s="9" t="inlineStr">
        <is>
          <t>FS-GT3</t>
        </is>
      </c>
      <c r="H92" s="9" t="inlineStr">
        <is>
          <t>FS-GT3: CO2 fire-suppression skid</t>
        </is>
      </c>
      <c r="I92" s="9" t="inlineStr">
        <is>
          <t>Control</t>
        </is>
      </c>
      <c r="J92" s="9" t="inlineStr">
        <is>
          <t>Control cable 600 V Type TC-ER, Cu #14 AWG, PVC jacket</t>
        </is>
      </c>
      <c r="K92" s="9" t="inlineStr">
        <is>
          <t>CT|12/C|14</t>
        </is>
      </c>
      <c r="L92" s="9" t="inlineStr">
        <is>
          <t>12/C</t>
        </is>
      </c>
      <c r="M92" s="9" t="inlineStr">
        <is>
          <t>14</t>
        </is>
      </c>
      <c r="N92" s="9" t="n">
        <v>1</v>
      </c>
      <c r="O92" s="9" t="n">
        <v>1</v>
      </c>
      <c r="P92" s="9" t="n"/>
      <c r="Q92" s="9" t="n"/>
      <c r="R92" s="9" t="n"/>
      <c r="S92" s="9" t="inlineStr">
        <is>
          <t>Tray</t>
        </is>
      </c>
      <c r="T92" s="10" t="n">
        <v>235</v>
      </c>
      <c r="U92" s="10" t="n">
        <v>96</v>
      </c>
      <c r="V92" s="10">
        <f>ROUNDUP((T92+U92+2*'Read Me'!$B$13)*(1+'Read Me'!$B$12),-1)</f>
        <v/>
      </c>
      <c r="W92" s="10">
        <f>V92*N92*O92</f>
        <v/>
      </c>
      <c r="X92" s="9">
        <f>IF(LEFT(I92,2)="MV",2*N92*IF(L92="1/C",O92,1),0)</f>
        <v/>
      </c>
      <c r="Y92" s="9">
        <f>IF(OR(LEFT(K92,4)="LVAX",LEFT(K92,6)="MV15AX",LEFT(K92,4)="CTAX",LEFT(K92,2)="W|"),2*N92*O92,0)</f>
        <v/>
      </c>
      <c r="Z92" s="9" t="inlineStr"/>
    </row>
    <row r="93">
      <c r="A93" s="9" t="inlineStr">
        <is>
          <t>A-C-0081</t>
        </is>
      </c>
      <c r="B93" s="9" t="inlineStr">
        <is>
          <t>A</t>
        </is>
      </c>
      <c r="C93" s="9" t="inlineStr">
        <is>
          <t>Power block</t>
        </is>
      </c>
      <c r="D93" s="9" t="inlineStr">
        <is>
          <t>Control</t>
        </is>
      </c>
      <c r="E93" s="9" t="inlineStr">
        <is>
          <t>R3</t>
        </is>
      </c>
      <c r="F93" s="9" t="inlineStr">
        <is>
          <t>R3: ST auxiliary electrical e-house (40 x 65 ft)</t>
        </is>
      </c>
      <c r="G93" s="9" t="inlineStr">
        <is>
          <t>FS-GT3</t>
        </is>
      </c>
      <c r="H93" s="9" t="inlineStr">
        <is>
          <t>FS-GT3: CO2 fire-suppression skid</t>
        </is>
      </c>
      <c r="I93" s="9" t="inlineStr">
        <is>
          <t>Control</t>
        </is>
      </c>
      <c r="J93" s="9" t="inlineStr">
        <is>
          <t>Control cable 600 V Type TC-ER, Cu #14 AWG, PVC jacket</t>
        </is>
      </c>
      <c r="K93" s="9" t="inlineStr">
        <is>
          <t>CT|12/C|14</t>
        </is>
      </c>
      <c r="L93" s="9" t="inlineStr">
        <is>
          <t>12/C</t>
        </is>
      </c>
      <c r="M93" s="9" t="inlineStr">
        <is>
          <t>14</t>
        </is>
      </c>
      <c r="N93" s="9" t="n">
        <v>1</v>
      </c>
      <c r="O93" s="9" t="n">
        <v>1</v>
      </c>
      <c r="P93" s="9" t="n"/>
      <c r="Q93" s="9" t="n"/>
      <c r="R93" s="9" t="n"/>
      <c r="S93" s="9" t="inlineStr">
        <is>
          <t>Tray</t>
        </is>
      </c>
      <c r="T93" s="10" t="n">
        <v>235</v>
      </c>
      <c r="U93" s="10" t="n">
        <v>96</v>
      </c>
      <c r="V93" s="10">
        <f>ROUNDUP((T93+U93+2*'Read Me'!$B$13)*(1+'Read Me'!$B$12),-1)</f>
        <v/>
      </c>
      <c r="W93" s="10">
        <f>V93*N93*O93</f>
        <v/>
      </c>
      <c r="X93" s="9">
        <f>IF(LEFT(I93,2)="MV",2*N93*IF(L93="1/C",O93,1),0)</f>
        <v/>
      </c>
      <c r="Y93" s="9">
        <f>IF(OR(LEFT(K93,4)="LVAX",LEFT(K93,6)="MV15AX",LEFT(K93,4)="CTAX",LEFT(K93,2)="W|"),2*N93*O93,0)</f>
        <v/>
      </c>
      <c r="Z93" s="9" t="inlineStr"/>
    </row>
    <row r="94">
      <c r="A94" s="9" t="inlineStr">
        <is>
          <t>A-C-0082</t>
        </is>
      </c>
      <c r="B94" s="9" t="inlineStr">
        <is>
          <t>A</t>
        </is>
      </c>
      <c r="C94" s="9" t="inlineStr">
        <is>
          <t>Power block</t>
        </is>
      </c>
      <c r="D94" s="9" t="inlineStr">
        <is>
          <t>Control</t>
        </is>
      </c>
      <c r="E94" s="9" t="inlineStr">
        <is>
          <t>R2A</t>
        </is>
      </c>
      <c r="F94" s="9" t="inlineStr">
        <is>
          <t>R2A: unit / HRSG electrical e-house (32 x 40 ft)</t>
        </is>
      </c>
      <c r="G94" s="9" t="inlineStr">
        <is>
          <t>GCB-1</t>
        </is>
      </c>
      <c r="H94" s="9" t="inlineStr">
        <is>
          <t>GCB-1: generator circuit breaker</t>
        </is>
      </c>
      <c r="I94" s="9" t="inlineStr">
        <is>
          <t>Control</t>
        </is>
      </c>
      <c r="J94" s="9" t="inlineStr">
        <is>
          <t>Control cable 600 V Type TC-ER, Cu #14 AWG, PVC jacket</t>
        </is>
      </c>
      <c r="K94" s="9" t="inlineStr">
        <is>
          <t>CT|12/C|14</t>
        </is>
      </c>
      <c r="L94" s="9" t="inlineStr">
        <is>
          <t>12/C</t>
        </is>
      </c>
      <c r="M94" s="9" t="inlineStr">
        <is>
          <t>14</t>
        </is>
      </c>
      <c r="N94" s="9" t="n">
        <v>1</v>
      </c>
      <c r="O94" s="9" t="n">
        <v>1</v>
      </c>
      <c r="P94" s="9" t="n"/>
      <c r="Q94" s="9" t="n"/>
      <c r="R94" s="9" t="n"/>
      <c r="S94" s="9" t="inlineStr">
        <is>
          <t>Tray</t>
        </is>
      </c>
      <c r="T94" s="10" t="n">
        <v>407</v>
      </c>
      <c r="U94" s="10" t="n">
        <v>74</v>
      </c>
      <c r="V94" s="10">
        <f>ROUNDUP((T94+U94+2*'Read Me'!$B$13)*(1+'Read Me'!$B$12),-1)</f>
        <v/>
      </c>
      <c r="W94" s="10">
        <f>V94*N94*O94</f>
        <v/>
      </c>
      <c r="X94" s="9">
        <f>IF(LEFT(I94,2)="MV",2*N94*IF(L94="1/C",O94,1),0)</f>
        <v/>
      </c>
      <c r="Y94" s="9">
        <f>IF(OR(LEFT(K94,4)="LVAX",LEFT(K94,6)="MV15AX",LEFT(K94,4)="CTAX",LEFT(K94,2)="W|"),2*N94*O94,0)</f>
        <v/>
      </c>
      <c r="Z94" s="9" t="inlineStr"/>
    </row>
    <row r="95">
      <c r="A95" s="9" t="inlineStr">
        <is>
          <t>A-C-0083</t>
        </is>
      </c>
      <c r="B95" s="9" t="inlineStr">
        <is>
          <t>A</t>
        </is>
      </c>
      <c r="C95" s="9" t="inlineStr">
        <is>
          <t>Power block</t>
        </is>
      </c>
      <c r="D95" s="9" t="inlineStr">
        <is>
          <t>Control</t>
        </is>
      </c>
      <c r="E95" s="9" t="inlineStr">
        <is>
          <t>R2A</t>
        </is>
      </c>
      <c r="F95" s="9" t="inlineStr">
        <is>
          <t>R2A: unit / HRSG electrical e-house (32 x 40 ft)</t>
        </is>
      </c>
      <c r="G95" s="9" t="inlineStr">
        <is>
          <t>GCB-1</t>
        </is>
      </c>
      <c r="H95" s="9" t="inlineStr">
        <is>
          <t>GCB-1: generator circuit breaker</t>
        </is>
      </c>
      <c r="I95" s="9" t="inlineStr">
        <is>
          <t>Control</t>
        </is>
      </c>
      <c r="J95" s="9" t="inlineStr">
        <is>
          <t>Control cable 600 V Type TC-ER, Cu #14 AWG, PVC jacket</t>
        </is>
      </c>
      <c r="K95" s="9" t="inlineStr">
        <is>
          <t>CT|12/C|14</t>
        </is>
      </c>
      <c r="L95" s="9" t="inlineStr">
        <is>
          <t>12/C</t>
        </is>
      </c>
      <c r="M95" s="9" t="inlineStr">
        <is>
          <t>14</t>
        </is>
      </c>
      <c r="N95" s="9" t="n">
        <v>1</v>
      </c>
      <c r="O95" s="9" t="n">
        <v>1</v>
      </c>
      <c r="P95" s="9" t="n"/>
      <c r="Q95" s="9" t="n"/>
      <c r="R95" s="9" t="n"/>
      <c r="S95" s="9" t="inlineStr">
        <is>
          <t>Tray</t>
        </is>
      </c>
      <c r="T95" s="10" t="n">
        <v>407</v>
      </c>
      <c r="U95" s="10" t="n">
        <v>74</v>
      </c>
      <c r="V95" s="10">
        <f>ROUNDUP((T95+U95+2*'Read Me'!$B$13)*(1+'Read Me'!$B$12),-1)</f>
        <v/>
      </c>
      <c r="W95" s="10">
        <f>V95*N95*O95</f>
        <v/>
      </c>
      <c r="X95" s="9">
        <f>IF(LEFT(I95,2)="MV",2*N95*IF(L95="1/C",O95,1),0)</f>
        <v/>
      </c>
      <c r="Y95" s="9">
        <f>IF(OR(LEFT(K95,4)="LVAX",LEFT(K95,6)="MV15AX",LEFT(K95,4)="CTAX",LEFT(K95,2)="W|"),2*N95*O95,0)</f>
        <v/>
      </c>
      <c r="Z95" s="9" t="inlineStr"/>
    </row>
    <row r="96">
      <c r="A96" s="9" t="inlineStr">
        <is>
          <t>A-C-0084</t>
        </is>
      </c>
      <c r="B96" s="9" t="inlineStr">
        <is>
          <t>A</t>
        </is>
      </c>
      <c r="C96" s="9" t="inlineStr">
        <is>
          <t>Power block</t>
        </is>
      </c>
      <c r="D96" s="9" t="inlineStr">
        <is>
          <t>Control</t>
        </is>
      </c>
      <c r="E96" s="9" t="inlineStr">
        <is>
          <t>R2A</t>
        </is>
      </c>
      <c r="F96" s="9" t="inlineStr">
        <is>
          <t>R2A: unit / HRSG electrical e-house (32 x 40 ft)</t>
        </is>
      </c>
      <c r="G96" s="9" t="inlineStr">
        <is>
          <t>GCB-1</t>
        </is>
      </c>
      <c r="H96" s="9" t="inlineStr">
        <is>
          <t>GCB-1: generator circuit breaker</t>
        </is>
      </c>
      <c r="I96" s="9" t="inlineStr">
        <is>
          <t>Control</t>
        </is>
      </c>
      <c r="J96" s="9" t="inlineStr">
        <is>
          <t>Control cable 600 V Type TC-ER, Cu #14 AWG, PVC jacket</t>
        </is>
      </c>
      <c r="K96" s="9" t="inlineStr">
        <is>
          <t>CT|12/C|14</t>
        </is>
      </c>
      <c r="L96" s="9" t="inlineStr">
        <is>
          <t>12/C</t>
        </is>
      </c>
      <c r="M96" s="9" t="inlineStr">
        <is>
          <t>14</t>
        </is>
      </c>
      <c r="N96" s="9" t="n">
        <v>1</v>
      </c>
      <c r="O96" s="9" t="n">
        <v>1</v>
      </c>
      <c r="P96" s="9" t="n"/>
      <c r="Q96" s="9" t="n"/>
      <c r="R96" s="9" t="n"/>
      <c r="S96" s="9" t="inlineStr">
        <is>
          <t>Tray</t>
        </is>
      </c>
      <c r="T96" s="10" t="n">
        <v>407</v>
      </c>
      <c r="U96" s="10" t="n">
        <v>74</v>
      </c>
      <c r="V96" s="10">
        <f>ROUNDUP((T96+U96+2*'Read Me'!$B$13)*(1+'Read Me'!$B$12),-1)</f>
        <v/>
      </c>
      <c r="W96" s="10">
        <f>V96*N96*O96</f>
        <v/>
      </c>
      <c r="X96" s="9">
        <f>IF(LEFT(I96,2)="MV",2*N96*IF(L96="1/C",O96,1),0)</f>
        <v/>
      </c>
      <c r="Y96" s="9">
        <f>IF(OR(LEFT(K96,4)="LVAX",LEFT(K96,6)="MV15AX",LEFT(K96,4)="CTAX",LEFT(K96,2)="W|"),2*N96*O96,0)</f>
        <v/>
      </c>
      <c r="Z96" s="9" t="inlineStr"/>
    </row>
    <row r="97">
      <c r="A97" s="9" t="inlineStr">
        <is>
          <t>A-C-0085</t>
        </is>
      </c>
      <c r="B97" s="9" t="inlineStr">
        <is>
          <t>A</t>
        </is>
      </c>
      <c r="C97" s="9" t="inlineStr">
        <is>
          <t>Power block</t>
        </is>
      </c>
      <c r="D97" s="9" t="inlineStr">
        <is>
          <t>CT / VT</t>
        </is>
      </c>
      <c r="E97" s="9" t="inlineStr">
        <is>
          <t>R2A</t>
        </is>
      </c>
      <c r="F97" s="9" t="inlineStr">
        <is>
          <t>R2A: unit / HRSG electrical e-house (32 x 40 ft)</t>
        </is>
      </c>
      <c r="G97" s="9" t="inlineStr">
        <is>
          <t>GCB-1</t>
        </is>
      </c>
      <c r="H97" s="9" t="inlineStr">
        <is>
          <t>GCB-1: generator circuit breaker</t>
        </is>
      </c>
      <c r="I97" s="9" t="inlineStr">
        <is>
          <t>Control</t>
        </is>
      </c>
      <c r="J97" s="9" t="inlineStr">
        <is>
          <t>Control cable 600 V Type TC-ER, Cu #10 AWG (CT / VT circuits)</t>
        </is>
      </c>
      <c r="K97" s="9" t="inlineStr">
        <is>
          <t>CTCT|4/C|10</t>
        </is>
      </c>
      <c r="L97" s="9" t="inlineStr">
        <is>
          <t>4/C</t>
        </is>
      </c>
      <c r="M97" s="9" t="inlineStr">
        <is>
          <t>10</t>
        </is>
      </c>
      <c r="N97" s="9" t="n">
        <v>1</v>
      </c>
      <c r="O97" s="9" t="n">
        <v>1</v>
      </c>
      <c r="P97" s="9" t="n"/>
      <c r="Q97" s="9" t="n"/>
      <c r="R97" s="9" t="n"/>
      <c r="S97" s="9" t="inlineStr">
        <is>
          <t>Tray</t>
        </is>
      </c>
      <c r="T97" s="10" t="n">
        <v>407</v>
      </c>
      <c r="U97" s="10" t="n">
        <v>74</v>
      </c>
      <c r="V97" s="10">
        <f>ROUNDUP((T97+U97+2*'Read Me'!$B$13)*(1+'Read Me'!$B$12),-1)</f>
        <v/>
      </c>
      <c r="W97" s="10">
        <f>V97*N97*O97</f>
        <v/>
      </c>
      <c r="X97" s="9">
        <f>IF(LEFT(I97,2)="MV",2*N97*IF(L97="1/C",O97,1),0)</f>
        <v/>
      </c>
      <c r="Y97" s="9">
        <f>IF(OR(LEFT(K97,4)="LVAX",LEFT(K97,6)="MV15AX",LEFT(K97,4)="CTAX",LEFT(K97,2)="W|"),2*N97*O97,0)</f>
        <v/>
      </c>
      <c r="Z97" s="9" t="inlineStr"/>
    </row>
    <row r="98">
      <c r="A98" s="9" t="inlineStr">
        <is>
          <t>A-C-0086</t>
        </is>
      </c>
      <c r="B98" s="9" t="inlineStr">
        <is>
          <t>A</t>
        </is>
      </c>
      <c r="C98" s="9" t="inlineStr">
        <is>
          <t>Power block</t>
        </is>
      </c>
      <c r="D98" s="9" t="inlineStr">
        <is>
          <t>CT / VT</t>
        </is>
      </c>
      <c r="E98" s="9" t="inlineStr">
        <is>
          <t>R2A</t>
        </is>
      </c>
      <c r="F98" s="9" t="inlineStr">
        <is>
          <t>R2A: unit / HRSG electrical e-house (32 x 40 ft)</t>
        </is>
      </c>
      <c r="G98" s="9" t="inlineStr">
        <is>
          <t>GCB-1</t>
        </is>
      </c>
      <c r="H98" s="9" t="inlineStr">
        <is>
          <t>GCB-1: generator circuit breaker</t>
        </is>
      </c>
      <c r="I98" s="9" t="inlineStr">
        <is>
          <t>Control</t>
        </is>
      </c>
      <c r="J98" s="9" t="inlineStr">
        <is>
          <t>Control cable 600 V Type TC-ER, Cu #10 AWG (CT / VT circuits)</t>
        </is>
      </c>
      <c r="K98" s="9" t="inlineStr">
        <is>
          <t>CTCT|4/C|10</t>
        </is>
      </c>
      <c r="L98" s="9" t="inlineStr">
        <is>
          <t>4/C</t>
        </is>
      </c>
      <c r="M98" s="9" t="inlineStr">
        <is>
          <t>10</t>
        </is>
      </c>
      <c r="N98" s="9" t="n">
        <v>1</v>
      </c>
      <c r="O98" s="9" t="n">
        <v>1</v>
      </c>
      <c r="P98" s="9" t="n"/>
      <c r="Q98" s="9" t="n"/>
      <c r="R98" s="9" t="n"/>
      <c r="S98" s="9" t="inlineStr">
        <is>
          <t>Tray</t>
        </is>
      </c>
      <c r="T98" s="10" t="n">
        <v>407</v>
      </c>
      <c r="U98" s="10" t="n">
        <v>74</v>
      </c>
      <c r="V98" s="10">
        <f>ROUNDUP((T98+U98+2*'Read Me'!$B$13)*(1+'Read Me'!$B$12),-1)</f>
        <v/>
      </c>
      <c r="W98" s="10">
        <f>V98*N98*O98</f>
        <v/>
      </c>
      <c r="X98" s="9">
        <f>IF(LEFT(I98,2)="MV",2*N98*IF(L98="1/C",O98,1),0)</f>
        <v/>
      </c>
      <c r="Y98" s="9">
        <f>IF(OR(LEFT(K98,4)="LVAX",LEFT(K98,6)="MV15AX",LEFT(K98,4)="CTAX",LEFT(K98,2)="W|"),2*N98*O98,0)</f>
        <v/>
      </c>
      <c r="Z98" s="9" t="inlineStr"/>
    </row>
    <row r="99">
      <c r="A99" s="9" t="inlineStr">
        <is>
          <t>A-C-0087</t>
        </is>
      </c>
      <c r="B99" s="9" t="inlineStr">
        <is>
          <t>A</t>
        </is>
      </c>
      <c r="C99" s="9" t="inlineStr">
        <is>
          <t>Power block</t>
        </is>
      </c>
      <c r="D99" s="9" t="inlineStr">
        <is>
          <t>CT / VT</t>
        </is>
      </c>
      <c r="E99" s="9" t="inlineStr">
        <is>
          <t>R2A</t>
        </is>
      </c>
      <c r="F99" s="9" t="inlineStr">
        <is>
          <t>R2A: unit / HRSG electrical e-house (32 x 40 ft)</t>
        </is>
      </c>
      <c r="G99" s="9" t="inlineStr">
        <is>
          <t>GCB-1</t>
        </is>
      </c>
      <c r="H99" s="9" t="inlineStr">
        <is>
          <t>GCB-1: generator circuit breaker</t>
        </is>
      </c>
      <c r="I99" s="9" t="inlineStr">
        <is>
          <t>Control</t>
        </is>
      </c>
      <c r="J99" s="9" t="inlineStr">
        <is>
          <t>Control cable 600 V Type TC-ER, Cu #10 AWG (CT / VT circuits)</t>
        </is>
      </c>
      <c r="K99" s="9" t="inlineStr">
        <is>
          <t>CTCT|4/C|10</t>
        </is>
      </c>
      <c r="L99" s="9" t="inlineStr">
        <is>
          <t>4/C</t>
        </is>
      </c>
      <c r="M99" s="9" t="inlineStr">
        <is>
          <t>10</t>
        </is>
      </c>
      <c r="N99" s="9" t="n">
        <v>1</v>
      </c>
      <c r="O99" s="9" t="n">
        <v>1</v>
      </c>
      <c r="P99" s="9" t="n"/>
      <c r="Q99" s="9" t="n"/>
      <c r="R99" s="9" t="n"/>
      <c r="S99" s="9" t="inlineStr">
        <is>
          <t>Tray</t>
        </is>
      </c>
      <c r="T99" s="10" t="n">
        <v>407</v>
      </c>
      <c r="U99" s="10" t="n">
        <v>74</v>
      </c>
      <c r="V99" s="10">
        <f>ROUNDUP((T99+U99+2*'Read Me'!$B$13)*(1+'Read Me'!$B$12),-1)</f>
        <v/>
      </c>
      <c r="W99" s="10">
        <f>V99*N99*O99</f>
        <v/>
      </c>
      <c r="X99" s="9">
        <f>IF(LEFT(I99,2)="MV",2*N99*IF(L99="1/C",O99,1),0)</f>
        <v/>
      </c>
      <c r="Y99" s="9">
        <f>IF(OR(LEFT(K99,4)="LVAX",LEFT(K99,6)="MV15AX",LEFT(K99,4)="CTAX",LEFT(K99,2)="W|"),2*N99*O99,0)</f>
        <v/>
      </c>
      <c r="Z99" s="9" t="inlineStr"/>
    </row>
    <row r="100">
      <c r="A100" s="9" t="inlineStr">
        <is>
          <t>A-C-0088</t>
        </is>
      </c>
      <c r="B100" s="9" t="inlineStr">
        <is>
          <t>A</t>
        </is>
      </c>
      <c r="C100" s="9" t="inlineStr">
        <is>
          <t>Power block</t>
        </is>
      </c>
      <c r="D100" s="9" t="inlineStr">
        <is>
          <t>CT / VT</t>
        </is>
      </c>
      <c r="E100" s="9" t="inlineStr">
        <is>
          <t>R2A</t>
        </is>
      </c>
      <c r="F100" s="9" t="inlineStr">
        <is>
          <t>R2A: unit / HRSG electrical e-house (32 x 40 ft)</t>
        </is>
      </c>
      <c r="G100" s="9" t="inlineStr">
        <is>
          <t>GCB-1</t>
        </is>
      </c>
      <c r="H100" s="9" t="inlineStr">
        <is>
          <t>GCB-1: generator circuit breaker</t>
        </is>
      </c>
      <c r="I100" s="9" t="inlineStr">
        <is>
          <t>Control</t>
        </is>
      </c>
      <c r="J100" s="9" t="inlineStr">
        <is>
          <t>Control cable 600 V Type TC-ER, Cu #10 AWG (CT / VT circuits)</t>
        </is>
      </c>
      <c r="K100" s="9" t="inlineStr">
        <is>
          <t>CTCT|4/C|10</t>
        </is>
      </c>
      <c r="L100" s="9" t="inlineStr">
        <is>
          <t>4/C</t>
        </is>
      </c>
      <c r="M100" s="9" t="inlineStr">
        <is>
          <t>10</t>
        </is>
      </c>
      <c r="N100" s="9" t="n">
        <v>1</v>
      </c>
      <c r="O100" s="9" t="n">
        <v>1</v>
      </c>
      <c r="P100" s="9" t="n"/>
      <c r="Q100" s="9" t="n"/>
      <c r="R100" s="9" t="n"/>
      <c r="S100" s="9" t="inlineStr">
        <is>
          <t>Tray</t>
        </is>
      </c>
      <c r="T100" s="10" t="n">
        <v>407</v>
      </c>
      <c r="U100" s="10" t="n">
        <v>74</v>
      </c>
      <c r="V100" s="10">
        <f>ROUNDUP((T100+U100+2*'Read Me'!$B$13)*(1+'Read Me'!$B$12),-1)</f>
        <v/>
      </c>
      <c r="W100" s="10">
        <f>V100*N100*O100</f>
        <v/>
      </c>
      <c r="X100" s="9">
        <f>IF(LEFT(I100,2)="MV",2*N100*IF(L100="1/C",O100,1),0)</f>
        <v/>
      </c>
      <c r="Y100" s="9">
        <f>IF(OR(LEFT(K100,4)="LVAX",LEFT(K100,6)="MV15AX",LEFT(K100,4)="CTAX",LEFT(K100,2)="W|"),2*N100*O100,0)</f>
        <v/>
      </c>
      <c r="Z100" s="9" t="inlineStr"/>
    </row>
    <row r="101">
      <c r="A101" s="9" t="inlineStr">
        <is>
          <t>A-C-0089</t>
        </is>
      </c>
      <c r="B101" s="9" t="inlineStr">
        <is>
          <t>A</t>
        </is>
      </c>
      <c r="C101" s="9" t="inlineStr">
        <is>
          <t>Power block</t>
        </is>
      </c>
      <c r="D101" s="9" t="inlineStr">
        <is>
          <t>Control</t>
        </is>
      </c>
      <c r="E101" s="9" t="inlineStr">
        <is>
          <t>R2B</t>
        </is>
      </c>
      <c r="F101" s="9" t="inlineStr">
        <is>
          <t>R2B: unit / HRSG electrical e-house (32 x 40 ft)</t>
        </is>
      </c>
      <c r="G101" s="9" t="inlineStr">
        <is>
          <t>GCB-2</t>
        </is>
      </c>
      <c r="H101" s="9" t="inlineStr">
        <is>
          <t>GCB-2: generator circuit breaker</t>
        </is>
      </c>
      <c r="I101" s="9" t="inlineStr">
        <is>
          <t>Control</t>
        </is>
      </c>
      <c r="J101" s="9" t="inlineStr">
        <is>
          <t>Control cable 600 V Type TC-ER, Cu #14 AWG, PVC jacket</t>
        </is>
      </c>
      <c r="K101" s="9" t="inlineStr">
        <is>
          <t>CT|12/C|14</t>
        </is>
      </c>
      <c r="L101" s="9" t="inlineStr">
        <is>
          <t>12/C</t>
        </is>
      </c>
      <c r="M101" s="9" t="inlineStr">
        <is>
          <t>14</t>
        </is>
      </c>
      <c r="N101" s="9" t="n">
        <v>1</v>
      </c>
      <c r="O101" s="9" t="n">
        <v>1</v>
      </c>
      <c r="P101" s="9" t="n"/>
      <c r="Q101" s="9" t="n"/>
      <c r="R101" s="9" t="n"/>
      <c r="S101" s="9" t="inlineStr">
        <is>
          <t>Tray</t>
        </is>
      </c>
      <c r="T101" s="10" t="n">
        <v>1146</v>
      </c>
      <c r="U101" s="10" t="n">
        <v>76</v>
      </c>
      <c r="V101" s="10">
        <f>ROUNDUP((T101+U101+2*'Read Me'!$B$13)*(1+'Read Me'!$B$12),-1)</f>
        <v/>
      </c>
      <c r="W101" s="10">
        <f>V101*N101*O101</f>
        <v/>
      </c>
      <c r="X101" s="9">
        <f>IF(LEFT(I101,2)="MV",2*N101*IF(L101="1/C",O101,1),0)</f>
        <v/>
      </c>
      <c r="Y101" s="9">
        <f>IF(OR(LEFT(K101,4)="LVAX",LEFT(K101,6)="MV15AX",LEFT(K101,4)="CTAX",LEFT(K101,2)="W|"),2*N101*O101,0)</f>
        <v/>
      </c>
      <c r="Z101" s="9" t="inlineStr"/>
    </row>
    <row r="102">
      <c r="A102" s="9" t="inlineStr">
        <is>
          <t>A-C-0090</t>
        </is>
      </c>
      <c r="B102" s="9" t="inlineStr">
        <is>
          <t>A</t>
        </is>
      </c>
      <c r="C102" s="9" t="inlineStr">
        <is>
          <t>Power block</t>
        </is>
      </c>
      <c r="D102" s="9" t="inlineStr">
        <is>
          <t>Control</t>
        </is>
      </c>
      <c r="E102" s="9" t="inlineStr">
        <is>
          <t>R2B</t>
        </is>
      </c>
      <c r="F102" s="9" t="inlineStr">
        <is>
          <t>R2B: unit / HRSG electrical e-house (32 x 40 ft)</t>
        </is>
      </c>
      <c r="G102" s="9" t="inlineStr">
        <is>
          <t>GCB-2</t>
        </is>
      </c>
      <c r="H102" s="9" t="inlineStr">
        <is>
          <t>GCB-2: generator circuit breaker</t>
        </is>
      </c>
      <c r="I102" s="9" t="inlineStr">
        <is>
          <t>Control</t>
        </is>
      </c>
      <c r="J102" s="9" t="inlineStr">
        <is>
          <t>Control cable 600 V Type TC-ER, Cu #14 AWG, PVC jacket</t>
        </is>
      </c>
      <c r="K102" s="9" t="inlineStr">
        <is>
          <t>CT|12/C|14</t>
        </is>
      </c>
      <c r="L102" s="9" t="inlineStr">
        <is>
          <t>12/C</t>
        </is>
      </c>
      <c r="M102" s="9" t="inlineStr">
        <is>
          <t>14</t>
        </is>
      </c>
      <c r="N102" s="9" t="n">
        <v>1</v>
      </c>
      <c r="O102" s="9" t="n">
        <v>1</v>
      </c>
      <c r="P102" s="9" t="n"/>
      <c r="Q102" s="9" t="n"/>
      <c r="R102" s="9" t="n"/>
      <c r="S102" s="9" t="inlineStr">
        <is>
          <t>Tray</t>
        </is>
      </c>
      <c r="T102" s="10" t="n">
        <v>1146</v>
      </c>
      <c r="U102" s="10" t="n">
        <v>76</v>
      </c>
      <c r="V102" s="10">
        <f>ROUNDUP((T102+U102+2*'Read Me'!$B$13)*(1+'Read Me'!$B$12),-1)</f>
        <v/>
      </c>
      <c r="W102" s="10">
        <f>V102*N102*O102</f>
        <v/>
      </c>
      <c r="X102" s="9">
        <f>IF(LEFT(I102,2)="MV",2*N102*IF(L102="1/C",O102,1),0)</f>
        <v/>
      </c>
      <c r="Y102" s="9">
        <f>IF(OR(LEFT(K102,4)="LVAX",LEFT(K102,6)="MV15AX",LEFT(K102,4)="CTAX",LEFT(K102,2)="W|"),2*N102*O102,0)</f>
        <v/>
      </c>
      <c r="Z102" s="9" t="inlineStr"/>
    </row>
    <row r="103">
      <c r="A103" s="9" t="inlineStr">
        <is>
          <t>A-C-0091</t>
        </is>
      </c>
      <c r="B103" s="9" t="inlineStr">
        <is>
          <t>A</t>
        </is>
      </c>
      <c r="C103" s="9" t="inlineStr">
        <is>
          <t>Power block</t>
        </is>
      </c>
      <c r="D103" s="9" t="inlineStr">
        <is>
          <t>Control</t>
        </is>
      </c>
      <c r="E103" s="9" t="inlineStr">
        <is>
          <t>R2B</t>
        </is>
      </c>
      <c r="F103" s="9" t="inlineStr">
        <is>
          <t>R2B: unit / HRSG electrical e-house (32 x 40 ft)</t>
        </is>
      </c>
      <c r="G103" s="9" t="inlineStr">
        <is>
          <t>GCB-2</t>
        </is>
      </c>
      <c r="H103" s="9" t="inlineStr">
        <is>
          <t>GCB-2: generator circuit breaker</t>
        </is>
      </c>
      <c r="I103" s="9" t="inlineStr">
        <is>
          <t>Control</t>
        </is>
      </c>
      <c r="J103" s="9" t="inlineStr">
        <is>
          <t>Control cable 600 V Type TC-ER, Cu #14 AWG, PVC jacket</t>
        </is>
      </c>
      <c r="K103" s="9" t="inlineStr">
        <is>
          <t>CT|12/C|14</t>
        </is>
      </c>
      <c r="L103" s="9" t="inlineStr">
        <is>
          <t>12/C</t>
        </is>
      </c>
      <c r="M103" s="9" t="inlineStr">
        <is>
          <t>14</t>
        </is>
      </c>
      <c r="N103" s="9" t="n">
        <v>1</v>
      </c>
      <c r="O103" s="9" t="n">
        <v>1</v>
      </c>
      <c r="P103" s="9" t="n"/>
      <c r="Q103" s="9" t="n"/>
      <c r="R103" s="9" t="n"/>
      <c r="S103" s="9" t="inlineStr">
        <is>
          <t>Tray</t>
        </is>
      </c>
      <c r="T103" s="10" t="n">
        <v>1146</v>
      </c>
      <c r="U103" s="10" t="n">
        <v>76</v>
      </c>
      <c r="V103" s="10">
        <f>ROUNDUP((T103+U103+2*'Read Me'!$B$13)*(1+'Read Me'!$B$12),-1)</f>
        <v/>
      </c>
      <c r="W103" s="10">
        <f>V103*N103*O103</f>
        <v/>
      </c>
      <c r="X103" s="9">
        <f>IF(LEFT(I103,2)="MV",2*N103*IF(L103="1/C",O103,1),0)</f>
        <v/>
      </c>
      <c r="Y103" s="9">
        <f>IF(OR(LEFT(K103,4)="LVAX",LEFT(K103,6)="MV15AX",LEFT(K103,4)="CTAX",LEFT(K103,2)="W|"),2*N103*O103,0)</f>
        <v/>
      </c>
      <c r="Z103" s="9" t="inlineStr"/>
    </row>
    <row r="104">
      <c r="A104" s="9" t="inlineStr">
        <is>
          <t>A-C-0092</t>
        </is>
      </c>
      <c r="B104" s="9" t="inlineStr">
        <is>
          <t>A</t>
        </is>
      </c>
      <c r="C104" s="9" t="inlineStr">
        <is>
          <t>Power block</t>
        </is>
      </c>
      <c r="D104" s="9" t="inlineStr">
        <is>
          <t>CT / VT</t>
        </is>
      </c>
      <c r="E104" s="9" t="inlineStr">
        <is>
          <t>R2B</t>
        </is>
      </c>
      <c r="F104" s="9" t="inlineStr">
        <is>
          <t>R2B: unit / HRSG electrical e-house (32 x 40 ft)</t>
        </is>
      </c>
      <c r="G104" s="9" t="inlineStr">
        <is>
          <t>GCB-2</t>
        </is>
      </c>
      <c r="H104" s="9" t="inlineStr">
        <is>
          <t>GCB-2: generator circuit breaker</t>
        </is>
      </c>
      <c r="I104" s="9" t="inlineStr">
        <is>
          <t>Control</t>
        </is>
      </c>
      <c r="J104" s="9" t="inlineStr">
        <is>
          <t>Control cable 600 V Type TC-ER, Cu #10 AWG (CT / VT circuits)</t>
        </is>
      </c>
      <c r="K104" s="9" t="inlineStr">
        <is>
          <t>CTCT|4/C|10</t>
        </is>
      </c>
      <c r="L104" s="9" t="inlineStr">
        <is>
          <t>4/C</t>
        </is>
      </c>
      <c r="M104" s="9" t="inlineStr">
        <is>
          <t>10</t>
        </is>
      </c>
      <c r="N104" s="9" t="n">
        <v>1</v>
      </c>
      <c r="O104" s="9" t="n">
        <v>1</v>
      </c>
      <c r="P104" s="9" t="n"/>
      <c r="Q104" s="9" t="n"/>
      <c r="R104" s="9" t="n"/>
      <c r="S104" s="9" t="inlineStr">
        <is>
          <t>Tray</t>
        </is>
      </c>
      <c r="T104" s="10" t="n">
        <v>1146</v>
      </c>
      <c r="U104" s="10" t="n">
        <v>76</v>
      </c>
      <c r="V104" s="10">
        <f>ROUNDUP((T104+U104+2*'Read Me'!$B$13)*(1+'Read Me'!$B$12),-1)</f>
        <v/>
      </c>
      <c r="W104" s="10">
        <f>V104*N104*O104</f>
        <v/>
      </c>
      <c r="X104" s="9">
        <f>IF(LEFT(I104,2)="MV",2*N104*IF(L104="1/C",O104,1),0)</f>
        <v/>
      </c>
      <c r="Y104" s="9">
        <f>IF(OR(LEFT(K104,4)="LVAX",LEFT(K104,6)="MV15AX",LEFT(K104,4)="CTAX",LEFT(K104,2)="W|"),2*N104*O104,0)</f>
        <v/>
      </c>
      <c r="Z104" s="9" t="inlineStr"/>
    </row>
    <row r="105">
      <c r="A105" s="9" t="inlineStr">
        <is>
          <t>A-C-0093</t>
        </is>
      </c>
      <c r="B105" s="9" t="inlineStr">
        <is>
          <t>A</t>
        </is>
      </c>
      <c r="C105" s="9" t="inlineStr">
        <is>
          <t>Power block</t>
        </is>
      </c>
      <c r="D105" s="9" t="inlineStr">
        <is>
          <t>CT / VT</t>
        </is>
      </c>
      <c r="E105" s="9" t="inlineStr">
        <is>
          <t>R2B</t>
        </is>
      </c>
      <c r="F105" s="9" t="inlineStr">
        <is>
          <t>R2B: unit / HRSG electrical e-house (32 x 40 ft)</t>
        </is>
      </c>
      <c r="G105" s="9" t="inlineStr">
        <is>
          <t>GCB-2</t>
        </is>
      </c>
      <c r="H105" s="9" t="inlineStr">
        <is>
          <t>GCB-2: generator circuit breaker</t>
        </is>
      </c>
      <c r="I105" s="9" t="inlineStr">
        <is>
          <t>Control</t>
        </is>
      </c>
      <c r="J105" s="9" t="inlineStr">
        <is>
          <t>Control cable 600 V Type TC-ER, Cu #10 AWG (CT / VT circuits)</t>
        </is>
      </c>
      <c r="K105" s="9" t="inlineStr">
        <is>
          <t>CTCT|4/C|10</t>
        </is>
      </c>
      <c r="L105" s="9" t="inlineStr">
        <is>
          <t>4/C</t>
        </is>
      </c>
      <c r="M105" s="9" t="inlineStr">
        <is>
          <t>10</t>
        </is>
      </c>
      <c r="N105" s="9" t="n">
        <v>1</v>
      </c>
      <c r="O105" s="9" t="n">
        <v>1</v>
      </c>
      <c r="P105" s="9" t="n"/>
      <c r="Q105" s="9" t="n"/>
      <c r="R105" s="9" t="n"/>
      <c r="S105" s="9" t="inlineStr">
        <is>
          <t>Tray</t>
        </is>
      </c>
      <c r="T105" s="10" t="n">
        <v>1146</v>
      </c>
      <c r="U105" s="10" t="n">
        <v>76</v>
      </c>
      <c r="V105" s="10">
        <f>ROUNDUP((T105+U105+2*'Read Me'!$B$13)*(1+'Read Me'!$B$12),-1)</f>
        <v/>
      </c>
      <c r="W105" s="10">
        <f>V105*N105*O105</f>
        <v/>
      </c>
      <c r="X105" s="9">
        <f>IF(LEFT(I105,2)="MV",2*N105*IF(L105="1/C",O105,1),0)</f>
        <v/>
      </c>
      <c r="Y105" s="9">
        <f>IF(OR(LEFT(K105,4)="LVAX",LEFT(K105,6)="MV15AX",LEFT(K105,4)="CTAX",LEFT(K105,2)="W|"),2*N105*O105,0)</f>
        <v/>
      </c>
      <c r="Z105" s="9" t="inlineStr"/>
    </row>
    <row r="106">
      <c r="A106" s="9" t="inlineStr">
        <is>
          <t>A-C-0094</t>
        </is>
      </c>
      <c r="B106" s="9" t="inlineStr">
        <is>
          <t>A</t>
        </is>
      </c>
      <c r="C106" s="9" t="inlineStr">
        <is>
          <t>Power block</t>
        </is>
      </c>
      <c r="D106" s="9" t="inlineStr">
        <is>
          <t>CT / VT</t>
        </is>
      </c>
      <c r="E106" s="9" t="inlineStr">
        <is>
          <t>R2B</t>
        </is>
      </c>
      <c r="F106" s="9" t="inlineStr">
        <is>
          <t>R2B: unit / HRSG electrical e-house (32 x 40 ft)</t>
        </is>
      </c>
      <c r="G106" s="9" t="inlineStr">
        <is>
          <t>GCB-2</t>
        </is>
      </c>
      <c r="H106" s="9" t="inlineStr">
        <is>
          <t>GCB-2: generator circuit breaker</t>
        </is>
      </c>
      <c r="I106" s="9" t="inlineStr">
        <is>
          <t>Control</t>
        </is>
      </c>
      <c r="J106" s="9" t="inlineStr">
        <is>
          <t>Control cable 600 V Type TC-ER, Cu #10 AWG (CT / VT circuits)</t>
        </is>
      </c>
      <c r="K106" s="9" t="inlineStr">
        <is>
          <t>CTCT|4/C|10</t>
        </is>
      </c>
      <c r="L106" s="9" t="inlineStr">
        <is>
          <t>4/C</t>
        </is>
      </c>
      <c r="M106" s="9" t="inlineStr">
        <is>
          <t>10</t>
        </is>
      </c>
      <c r="N106" s="9" t="n">
        <v>1</v>
      </c>
      <c r="O106" s="9" t="n">
        <v>1</v>
      </c>
      <c r="P106" s="9" t="n"/>
      <c r="Q106" s="9" t="n"/>
      <c r="R106" s="9" t="n"/>
      <c r="S106" s="9" t="inlineStr">
        <is>
          <t>Tray</t>
        </is>
      </c>
      <c r="T106" s="10" t="n">
        <v>1146</v>
      </c>
      <c r="U106" s="10" t="n">
        <v>76</v>
      </c>
      <c r="V106" s="10">
        <f>ROUNDUP((T106+U106+2*'Read Me'!$B$13)*(1+'Read Me'!$B$12),-1)</f>
        <v/>
      </c>
      <c r="W106" s="10">
        <f>V106*N106*O106</f>
        <v/>
      </c>
      <c r="X106" s="9">
        <f>IF(LEFT(I106,2)="MV",2*N106*IF(L106="1/C",O106,1),0)</f>
        <v/>
      </c>
      <c r="Y106" s="9">
        <f>IF(OR(LEFT(K106,4)="LVAX",LEFT(K106,6)="MV15AX",LEFT(K106,4)="CTAX",LEFT(K106,2)="W|"),2*N106*O106,0)</f>
        <v/>
      </c>
      <c r="Z106" s="9" t="inlineStr"/>
    </row>
    <row r="107">
      <c r="A107" s="9" t="inlineStr">
        <is>
          <t>A-C-0095</t>
        </is>
      </c>
      <c r="B107" s="9" t="inlineStr">
        <is>
          <t>A</t>
        </is>
      </c>
      <c r="C107" s="9" t="inlineStr">
        <is>
          <t>Power block</t>
        </is>
      </c>
      <c r="D107" s="9" t="inlineStr">
        <is>
          <t>CT / VT</t>
        </is>
      </c>
      <c r="E107" s="9" t="inlineStr">
        <is>
          <t>R2B</t>
        </is>
      </c>
      <c r="F107" s="9" t="inlineStr">
        <is>
          <t>R2B: unit / HRSG electrical e-house (32 x 40 ft)</t>
        </is>
      </c>
      <c r="G107" s="9" t="inlineStr">
        <is>
          <t>GCB-2</t>
        </is>
      </c>
      <c r="H107" s="9" t="inlineStr">
        <is>
          <t>GCB-2: generator circuit breaker</t>
        </is>
      </c>
      <c r="I107" s="9" t="inlineStr">
        <is>
          <t>Control</t>
        </is>
      </c>
      <c r="J107" s="9" t="inlineStr">
        <is>
          <t>Control cable 600 V Type TC-ER, Cu #10 AWG (CT / VT circuits)</t>
        </is>
      </c>
      <c r="K107" s="9" t="inlineStr">
        <is>
          <t>CTCT|4/C|10</t>
        </is>
      </c>
      <c r="L107" s="9" t="inlineStr">
        <is>
          <t>4/C</t>
        </is>
      </c>
      <c r="M107" s="9" t="inlineStr">
        <is>
          <t>10</t>
        </is>
      </c>
      <c r="N107" s="9" t="n">
        <v>1</v>
      </c>
      <c r="O107" s="9" t="n">
        <v>1</v>
      </c>
      <c r="P107" s="9" t="n"/>
      <c r="Q107" s="9" t="n"/>
      <c r="R107" s="9" t="n"/>
      <c r="S107" s="9" t="inlineStr">
        <is>
          <t>Tray</t>
        </is>
      </c>
      <c r="T107" s="10" t="n">
        <v>1146</v>
      </c>
      <c r="U107" s="10" t="n">
        <v>76</v>
      </c>
      <c r="V107" s="10">
        <f>ROUNDUP((T107+U107+2*'Read Me'!$B$13)*(1+'Read Me'!$B$12),-1)</f>
        <v/>
      </c>
      <c r="W107" s="10">
        <f>V107*N107*O107</f>
        <v/>
      </c>
      <c r="X107" s="9">
        <f>IF(LEFT(I107,2)="MV",2*N107*IF(L107="1/C",O107,1),0)</f>
        <v/>
      </c>
      <c r="Y107" s="9">
        <f>IF(OR(LEFT(K107,4)="LVAX",LEFT(K107,6)="MV15AX",LEFT(K107,4)="CTAX",LEFT(K107,2)="W|"),2*N107*O107,0)</f>
        <v/>
      </c>
      <c r="Z107" s="9" t="inlineStr"/>
    </row>
    <row r="108">
      <c r="A108" s="9" t="inlineStr">
        <is>
          <t>A-C-0096</t>
        </is>
      </c>
      <c r="B108" s="9" t="inlineStr">
        <is>
          <t>A</t>
        </is>
      </c>
      <c r="C108" s="9" t="inlineStr">
        <is>
          <t>Power block</t>
        </is>
      </c>
      <c r="D108" s="9" t="inlineStr">
        <is>
          <t>Control</t>
        </is>
      </c>
      <c r="E108" s="9" t="inlineStr">
        <is>
          <t>R3</t>
        </is>
      </c>
      <c r="F108" s="9" t="inlineStr">
        <is>
          <t>R3: ST auxiliary electrical e-house (40 x 65 ft)</t>
        </is>
      </c>
      <c r="G108" s="9" t="inlineStr">
        <is>
          <t>GCB-3</t>
        </is>
      </c>
      <c r="H108" s="9" t="inlineStr">
        <is>
          <t>GCB-3: generator circuit breaker</t>
        </is>
      </c>
      <c r="I108" s="9" t="inlineStr">
        <is>
          <t>Control</t>
        </is>
      </c>
      <c r="J108" s="9" t="inlineStr">
        <is>
          <t>Control cable 600 V Type TC-ER, Cu #14 AWG, PVC jacket</t>
        </is>
      </c>
      <c r="K108" s="9" t="inlineStr">
        <is>
          <t>CT|12/C|14</t>
        </is>
      </c>
      <c r="L108" s="9" t="inlineStr">
        <is>
          <t>12/C</t>
        </is>
      </c>
      <c r="M108" s="9" t="inlineStr">
        <is>
          <t>14</t>
        </is>
      </c>
      <c r="N108" s="9" t="n">
        <v>1</v>
      </c>
      <c r="O108" s="9" t="n">
        <v>1</v>
      </c>
      <c r="P108" s="9" t="n"/>
      <c r="Q108" s="9" t="n"/>
      <c r="R108" s="9" t="n"/>
      <c r="S108" s="9" t="inlineStr">
        <is>
          <t>Tray</t>
        </is>
      </c>
      <c r="T108" s="10" t="n">
        <v>580</v>
      </c>
      <c r="U108" s="10" t="n">
        <v>78</v>
      </c>
      <c r="V108" s="10">
        <f>ROUNDUP((T108+U108+2*'Read Me'!$B$13)*(1+'Read Me'!$B$12),-1)</f>
        <v/>
      </c>
      <c r="W108" s="10">
        <f>V108*N108*O108</f>
        <v/>
      </c>
      <c r="X108" s="9">
        <f>IF(LEFT(I108,2)="MV",2*N108*IF(L108="1/C",O108,1),0)</f>
        <v/>
      </c>
      <c r="Y108" s="9">
        <f>IF(OR(LEFT(K108,4)="LVAX",LEFT(K108,6)="MV15AX",LEFT(K108,4)="CTAX",LEFT(K108,2)="W|"),2*N108*O108,0)</f>
        <v/>
      </c>
      <c r="Z108" s="9" t="inlineStr"/>
    </row>
    <row r="109">
      <c r="A109" s="9" t="inlineStr">
        <is>
          <t>A-C-0097</t>
        </is>
      </c>
      <c r="B109" s="9" t="inlineStr">
        <is>
          <t>A</t>
        </is>
      </c>
      <c r="C109" s="9" t="inlineStr">
        <is>
          <t>Power block</t>
        </is>
      </c>
      <c r="D109" s="9" t="inlineStr">
        <is>
          <t>Control</t>
        </is>
      </c>
      <c r="E109" s="9" t="inlineStr">
        <is>
          <t>R3</t>
        </is>
      </c>
      <c r="F109" s="9" t="inlineStr">
        <is>
          <t>R3: ST auxiliary electrical e-house (40 x 65 ft)</t>
        </is>
      </c>
      <c r="G109" s="9" t="inlineStr">
        <is>
          <t>GCB-3</t>
        </is>
      </c>
      <c r="H109" s="9" t="inlineStr">
        <is>
          <t>GCB-3: generator circuit breaker</t>
        </is>
      </c>
      <c r="I109" s="9" t="inlineStr">
        <is>
          <t>Control</t>
        </is>
      </c>
      <c r="J109" s="9" t="inlineStr">
        <is>
          <t>Control cable 600 V Type TC-ER, Cu #14 AWG, PVC jacket</t>
        </is>
      </c>
      <c r="K109" s="9" t="inlineStr">
        <is>
          <t>CT|12/C|14</t>
        </is>
      </c>
      <c r="L109" s="9" t="inlineStr">
        <is>
          <t>12/C</t>
        </is>
      </c>
      <c r="M109" s="9" t="inlineStr">
        <is>
          <t>14</t>
        </is>
      </c>
      <c r="N109" s="9" t="n">
        <v>1</v>
      </c>
      <c r="O109" s="9" t="n">
        <v>1</v>
      </c>
      <c r="P109" s="9" t="n"/>
      <c r="Q109" s="9" t="n"/>
      <c r="R109" s="9" t="n"/>
      <c r="S109" s="9" t="inlineStr">
        <is>
          <t>Tray</t>
        </is>
      </c>
      <c r="T109" s="10" t="n">
        <v>580</v>
      </c>
      <c r="U109" s="10" t="n">
        <v>78</v>
      </c>
      <c r="V109" s="10">
        <f>ROUNDUP((T109+U109+2*'Read Me'!$B$13)*(1+'Read Me'!$B$12),-1)</f>
        <v/>
      </c>
      <c r="W109" s="10">
        <f>V109*N109*O109</f>
        <v/>
      </c>
      <c r="X109" s="9">
        <f>IF(LEFT(I109,2)="MV",2*N109*IF(L109="1/C",O109,1),0)</f>
        <v/>
      </c>
      <c r="Y109" s="9">
        <f>IF(OR(LEFT(K109,4)="LVAX",LEFT(K109,6)="MV15AX",LEFT(K109,4)="CTAX",LEFT(K109,2)="W|"),2*N109*O109,0)</f>
        <v/>
      </c>
      <c r="Z109" s="9" t="inlineStr"/>
    </row>
    <row r="110">
      <c r="A110" s="9" t="inlineStr">
        <is>
          <t>A-C-0098</t>
        </is>
      </c>
      <c r="B110" s="9" t="inlineStr">
        <is>
          <t>A</t>
        </is>
      </c>
      <c r="C110" s="9" t="inlineStr">
        <is>
          <t>Power block</t>
        </is>
      </c>
      <c r="D110" s="9" t="inlineStr">
        <is>
          <t>Control</t>
        </is>
      </c>
      <c r="E110" s="9" t="inlineStr">
        <is>
          <t>R3</t>
        </is>
      </c>
      <c r="F110" s="9" t="inlineStr">
        <is>
          <t>R3: ST auxiliary electrical e-house (40 x 65 ft)</t>
        </is>
      </c>
      <c r="G110" s="9" t="inlineStr">
        <is>
          <t>GCB-3</t>
        </is>
      </c>
      <c r="H110" s="9" t="inlineStr">
        <is>
          <t>GCB-3: generator circuit breaker</t>
        </is>
      </c>
      <c r="I110" s="9" t="inlineStr">
        <is>
          <t>Control</t>
        </is>
      </c>
      <c r="J110" s="9" t="inlineStr">
        <is>
          <t>Control cable 600 V Type TC-ER, Cu #14 AWG, PVC jacket</t>
        </is>
      </c>
      <c r="K110" s="9" t="inlineStr">
        <is>
          <t>CT|12/C|14</t>
        </is>
      </c>
      <c r="L110" s="9" t="inlineStr">
        <is>
          <t>12/C</t>
        </is>
      </c>
      <c r="M110" s="9" t="inlineStr">
        <is>
          <t>14</t>
        </is>
      </c>
      <c r="N110" s="9" t="n">
        <v>1</v>
      </c>
      <c r="O110" s="9" t="n">
        <v>1</v>
      </c>
      <c r="P110" s="9" t="n"/>
      <c r="Q110" s="9" t="n"/>
      <c r="R110" s="9" t="n"/>
      <c r="S110" s="9" t="inlineStr">
        <is>
          <t>Tray</t>
        </is>
      </c>
      <c r="T110" s="10" t="n">
        <v>580</v>
      </c>
      <c r="U110" s="10" t="n">
        <v>78</v>
      </c>
      <c r="V110" s="10">
        <f>ROUNDUP((T110+U110+2*'Read Me'!$B$13)*(1+'Read Me'!$B$12),-1)</f>
        <v/>
      </c>
      <c r="W110" s="10">
        <f>V110*N110*O110</f>
        <v/>
      </c>
      <c r="X110" s="9">
        <f>IF(LEFT(I110,2)="MV",2*N110*IF(L110="1/C",O110,1),0)</f>
        <v/>
      </c>
      <c r="Y110" s="9">
        <f>IF(OR(LEFT(K110,4)="LVAX",LEFT(K110,6)="MV15AX",LEFT(K110,4)="CTAX",LEFT(K110,2)="W|"),2*N110*O110,0)</f>
        <v/>
      </c>
      <c r="Z110" s="9" t="inlineStr"/>
    </row>
    <row r="111">
      <c r="A111" s="9" t="inlineStr">
        <is>
          <t>A-C-0099</t>
        </is>
      </c>
      <c r="B111" s="9" t="inlineStr">
        <is>
          <t>A</t>
        </is>
      </c>
      <c r="C111" s="9" t="inlineStr">
        <is>
          <t>Power block</t>
        </is>
      </c>
      <c r="D111" s="9" t="inlineStr">
        <is>
          <t>CT / VT</t>
        </is>
      </c>
      <c r="E111" s="9" t="inlineStr">
        <is>
          <t>R3</t>
        </is>
      </c>
      <c r="F111" s="9" t="inlineStr">
        <is>
          <t>R3: ST auxiliary electrical e-house (40 x 65 ft)</t>
        </is>
      </c>
      <c r="G111" s="9" t="inlineStr">
        <is>
          <t>GCB-3</t>
        </is>
      </c>
      <c r="H111" s="9" t="inlineStr">
        <is>
          <t>GCB-3: generator circuit breaker</t>
        </is>
      </c>
      <c r="I111" s="9" t="inlineStr">
        <is>
          <t>Control</t>
        </is>
      </c>
      <c r="J111" s="9" t="inlineStr">
        <is>
          <t>Control cable 600 V Type TC-ER, Cu #10 AWG (CT / VT circuits)</t>
        </is>
      </c>
      <c r="K111" s="9" t="inlineStr">
        <is>
          <t>CTCT|4/C|10</t>
        </is>
      </c>
      <c r="L111" s="9" t="inlineStr">
        <is>
          <t>4/C</t>
        </is>
      </c>
      <c r="M111" s="9" t="inlineStr">
        <is>
          <t>10</t>
        </is>
      </c>
      <c r="N111" s="9" t="n">
        <v>1</v>
      </c>
      <c r="O111" s="9" t="n">
        <v>1</v>
      </c>
      <c r="P111" s="9" t="n"/>
      <c r="Q111" s="9" t="n"/>
      <c r="R111" s="9" t="n"/>
      <c r="S111" s="9" t="inlineStr">
        <is>
          <t>Tray</t>
        </is>
      </c>
      <c r="T111" s="10" t="n">
        <v>580</v>
      </c>
      <c r="U111" s="10" t="n">
        <v>78</v>
      </c>
      <c r="V111" s="10">
        <f>ROUNDUP((T111+U111+2*'Read Me'!$B$13)*(1+'Read Me'!$B$12),-1)</f>
        <v/>
      </c>
      <c r="W111" s="10">
        <f>V111*N111*O111</f>
        <v/>
      </c>
      <c r="X111" s="9">
        <f>IF(LEFT(I111,2)="MV",2*N111*IF(L111="1/C",O111,1),0)</f>
        <v/>
      </c>
      <c r="Y111" s="9">
        <f>IF(OR(LEFT(K111,4)="LVAX",LEFT(K111,6)="MV15AX",LEFT(K111,4)="CTAX",LEFT(K111,2)="W|"),2*N111*O111,0)</f>
        <v/>
      </c>
      <c r="Z111" s="9" t="inlineStr"/>
    </row>
    <row r="112">
      <c r="A112" s="9" t="inlineStr">
        <is>
          <t>A-C-0100</t>
        </is>
      </c>
      <c r="B112" s="9" t="inlineStr">
        <is>
          <t>A</t>
        </is>
      </c>
      <c r="C112" s="9" t="inlineStr">
        <is>
          <t>Power block</t>
        </is>
      </c>
      <c r="D112" s="9" t="inlineStr">
        <is>
          <t>CT / VT</t>
        </is>
      </c>
      <c r="E112" s="9" t="inlineStr">
        <is>
          <t>R3</t>
        </is>
      </c>
      <c r="F112" s="9" t="inlineStr">
        <is>
          <t>R3: ST auxiliary electrical e-house (40 x 65 ft)</t>
        </is>
      </c>
      <c r="G112" s="9" t="inlineStr">
        <is>
          <t>GCB-3</t>
        </is>
      </c>
      <c r="H112" s="9" t="inlineStr">
        <is>
          <t>GCB-3: generator circuit breaker</t>
        </is>
      </c>
      <c r="I112" s="9" t="inlineStr">
        <is>
          <t>Control</t>
        </is>
      </c>
      <c r="J112" s="9" t="inlineStr">
        <is>
          <t>Control cable 600 V Type TC-ER, Cu #10 AWG (CT / VT circuits)</t>
        </is>
      </c>
      <c r="K112" s="9" t="inlineStr">
        <is>
          <t>CTCT|4/C|10</t>
        </is>
      </c>
      <c r="L112" s="9" t="inlineStr">
        <is>
          <t>4/C</t>
        </is>
      </c>
      <c r="M112" s="9" t="inlineStr">
        <is>
          <t>10</t>
        </is>
      </c>
      <c r="N112" s="9" t="n">
        <v>1</v>
      </c>
      <c r="O112" s="9" t="n">
        <v>1</v>
      </c>
      <c r="P112" s="9" t="n"/>
      <c r="Q112" s="9" t="n"/>
      <c r="R112" s="9" t="n"/>
      <c r="S112" s="9" t="inlineStr">
        <is>
          <t>Tray</t>
        </is>
      </c>
      <c r="T112" s="10" t="n">
        <v>580</v>
      </c>
      <c r="U112" s="10" t="n">
        <v>78</v>
      </c>
      <c r="V112" s="10">
        <f>ROUNDUP((T112+U112+2*'Read Me'!$B$13)*(1+'Read Me'!$B$12),-1)</f>
        <v/>
      </c>
      <c r="W112" s="10">
        <f>V112*N112*O112</f>
        <v/>
      </c>
      <c r="X112" s="9">
        <f>IF(LEFT(I112,2)="MV",2*N112*IF(L112="1/C",O112,1),0)</f>
        <v/>
      </c>
      <c r="Y112" s="9">
        <f>IF(OR(LEFT(K112,4)="LVAX",LEFT(K112,6)="MV15AX",LEFT(K112,4)="CTAX",LEFT(K112,2)="W|"),2*N112*O112,0)</f>
        <v/>
      </c>
      <c r="Z112" s="9" t="inlineStr"/>
    </row>
    <row r="113">
      <c r="A113" s="9" t="inlineStr">
        <is>
          <t>A-C-0101</t>
        </is>
      </c>
      <c r="B113" s="9" t="inlineStr">
        <is>
          <t>A</t>
        </is>
      </c>
      <c r="C113" s="9" t="inlineStr">
        <is>
          <t>Power block</t>
        </is>
      </c>
      <c r="D113" s="9" t="inlineStr">
        <is>
          <t>CT / VT</t>
        </is>
      </c>
      <c r="E113" s="9" t="inlineStr">
        <is>
          <t>R3</t>
        </is>
      </c>
      <c r="F113" s="9" t="inlineStr">
        <is>
          <t>R3: ST auxiliary electrical e-house (40 x 65 ft)</t>
        </is>
      </c>
      <c r="G113" s="9" t="inlineStr">
        <is>
          <t>GCB-3</t>
        </is>
      </c>
      <c r="H113" s="9" t="inlineStr">
        <is>
          <t>GCB-3: generator circuit breaker</t>
        </is>
      </c>
      <c r="I113" s="9" t="inlineStr">
        <is>
          <t>Control</t>
        </is>
      </c>
      <c r="J113" s="9" t="inlineStr">
        <is>
          <t>Control cable 600 V Type TC-ER, Cu #10 AWG (CT / VT circuits)</t>
        </is>
      </c>
      <c r="K113" s="9" t="inlineStr">
        <is>
          <t>CTCT|4/C|10</t>
        </is>
      </c>
      <c r="L113" s="9" t="inlineStr">
        <is>
          <t>4/C</t>
        </is>
      </c>
      <c r="M113" s="9" t="inlineStr">
        <is>
          <t>10</t>
        </is>
      </c>
      <c r="N113" s="9" t="n">
        <v>1</v>
      </c>
      <c r="O113" s="9" t="n">
        <v>1</v>
      </c>
      <c r="P113" s="9" t="n"/>
      <c r="Q113" s="9" t="n"/>
      <c r="R113" s="9" t="n"/>
      <c r="S113" s="9" t="inlineStr">
        <is>
          <t>Tray</t>
        </is>
      </c>
      <c r="T113" s="10" t="n">
        <v>580</v>
      </c>
      <c r="U113" s="10" t="n">
        <v>78</v>
      </c>
      <c r="V113" s="10">
        <f>ROUNDUP((T113+U113+2*'Read Me'!$B$13)*(1+'Read Me'!$B$12),-1)</f>
        <v/>
      </c>
      <c r="W113" s="10">
        <f>V113*N113*O113</f>
        <v/>
      </c>
      <c r="X113" s="9">
        <f>IF(LEFT(I113,2)="MV",2*N113*IF(L113="1/C",O113,1),0)</f>
        <v/>
      </c>
      <c r="Y113" s="9">
        <f>IF(OR(LEFT(K113,4)="LVAX",LEFT(K113,6)="MV15AX",LEFT(K113,4)="CTAX",LEFT(K113,2)="W|"),2*N113*O113,0)</f>
        <v/>
      </c>
      <c r="Z113" s="9" t="inlineStr"/>
    </row>
    <row r="114">
      <c r="A114" s="9" t="inlineStr">
        <is>
          <t>A-C-0102</t>
        </is>
      </c>
      <c r="B114" s="9" t="inlineStr">
        <is>
          <t>A</t>
        </is>
      </c>
      <c r="C114" s="9" t="inlineStr">
        <is>
          <t>Power block</t>
        </is>
      </c>
      <c r="D114" s="9" t="inlineStr">
        <is>
          <t>CT / VT</t>
        </is>
      </c>
      <c r="E114" s="9" t="inlineStr">
        <is>
          <t>R3</t>
        </is>
      </c>
      <c r="F114" s="9" t="inlineStr">
        <is>
          <t>R3: ST auxiliary electrical e-house (40 x 65 ft)</t>
        </is>
      </c>
      <c r="G114" s="9" t="inlineStr">
        <is>
          <t>GCB-3</t>
        </is>
      </c>
      <c r="H114" s="9" t="inlineStr">
        <is>
          <t>GCB-3: generator circuit breaker</t>
        </is>
      </c>
      <c r="I114" s="9" t="inlineStr">
        <is>
          <t>Control</t>
        </is>
      </c>
      <c r="J114" s="9" t="inlineStr">
        <is>
          <t>Control cable 600 V Type TC-ER, Cu #10 AWG (CT / VT circuits)</t>
        </is>
      </c>
      <c r="K114" s="9" t="inlineStr">
        <is>
          <t>CTCT|4/C|10</t>
        </is>
      </c>
      <c r="L114" s="9" t="inlineStr">
        <is>
          <t>4/C</t>
        </is>
      </c>
      <c r="M114" s="9" t="inlineStr">
        <is>
          <t>10</t>
        </is>
      </c>
      <c r="N114" s="9" t="n">
        <v>1</v>
      </c>
      <c r="O114" s="9" t="n">
        <v>1</v>
      </c>
      <c r="P114" s="9" t="n"/>
      <c r="Q114" s="9" t="n"/>
      <c r="R114" s="9" t="n"/>
      <c r="S114" s="9" t="inlineStr">
        <is>
          <t>Tray</t>
        </is>
      </c>
      <c r="T114" s="10" t="n">
        <v>580</v>
      </c>
      <c r="U114" s="10" t="n">
        <v>78</v>
      </c>
      <c r="V114" s="10">
        <f>ROUNDUP((T114+U114+2*'Read Me'!$B$13)*(1+'Read Me'!$B$12),-1)</f>
        <v/>
      </c>
      <c r="W114" s="10">
        <f>V114*N114*O114</f>
        <v/>
      </c>
      <c r="X114" s="9">
        <f>IF(LEFT(I114,2)="MV",2*N114*IF(L114="1/C",O114,1),0)</f>
        <v/>
      </c>
      <c r="Y114" s="9">
        <f>IF(OR(LEFT(K114,4)="LVAX",LEFT(K114,6)="MV15AX",LEFT(K114,4)="CTAX",LEFT(K114,2)="W|"),2*N114*O114,0)</f>
        <v/>
      </c>
      <c r="Z114" s="9" t="inlineStr"/>
    </row>
    <row r="115">
      <c r="A115" s="9" t="inlineStr">
        <is>
          <t>A-C-0103</t>
        </is>
      </c>
      <c r="B115" s="9" t="inlineStr">
        <is>
          <t>A</t>
        </is>
      </c>
      <c r="C115" s="9" t="inlineStr">
        <is>
          <t>Power block</t>
        </is>
      </c>
      <c r="D115" s="9" t="inlineStr">
        <is>
          <t>Control</t>
        </is>
      </c>
      <c r="E115" s="9" t="inlineStr">
        <is>
          <t>R3</t>
        </is>
      </c>
      <c r="F115" s="9" t="inlineStr">
        <is>
          <t>R3: ST auxiliary electrical e-house (40 x 65 ft)</t>
        </is>
      </c>
      <c r="G115" s="9" t="inlineStr">
        <is>
          <t>GCB-ST</t>
        </is>
      </c>
      <c r="H115" s="9" t="inlineStr">
        <is>
          <t>GCB-ST</t>
        </is>
      </c>
      <c r="I115" s="9" t="inlineStr">
        <is>
          <t>Control</t>
        </is>
      </c>
      <c r="J115" s="9" t="inlineStr">
        <is>
          <t>Control cable 600 V Type TC-ER, Cu #14 AWG, PVC jacket</t>
        </is>
      </c>
      <c r="K115" s="9" t="inlineStr">
        <is>
          <t>CT|12/C|14</t>
        </is>
      </c>
      <c r="L115" s="9" t="inlineStr">
        <is>
          <t>12/C</t>
        </is>
      </c>
      <c r="M115" s="9" t="inlineStr">
        <is>
          <t>14</t>
        </is>
      </c>
      <c r="N115" s="9" t="n">
        <v>1</v>
      </c>
      <c r="O115" s="9" t="n">
        <v>1</v>
      </c>
      <c r="P115" s="9" t="n"/>
      <c r="Q115" s="9" t="n"/>
      <c r="R115" s="9" t="n"/>
      <c r="S115" s="9" t="inlineStr">
        <is>
          <t>Tray</t>
        </is>
      </c>
      <c r="T115" s="10" t="n">
        <v>637</v>
      </c>
      <c r="U115" s="10" t="n">
        <v>107</v>
      </c>
      <c r="V115" s="10">
        <f>ROUNDUP((T115+U115+2*'Read Me'!$B$13)*(1+'Read Me'!$B$12),-1)</f>
        <v/>
      </c>
      <c r="W115" s="10">
        <f>V115*N115*O115</f>
        <v/>
      </c>
      <c r="X115" s="9">
        <f>IF(LEFT(I115,2)="MV",2*N115*IF(L115="1/C",O115,1),0)</f>
        <v/>
      </c>
      <c r="Y115" s="9">
        <f>IF(OR(LEFT(K115,4)="LVAX",LEFT(K115,6)="MV15AX",LEFT(K115,4)="CTAX",LEFT(K115,2)="W|"),2*N115*O115,0)</f>
        <v/>
      </c>
      <c r="Z115" s="9" t="inlineStr"/>
    </row>
    <row r="116">
      <c r="A116" s="9" t="inlineStr">
        <is>
          <t>A-C-0104</t>
        </is>
      </c>
      <c r="B116" s="9" t="inlineStr">
        <is>
          <t>A</t>
        </is>
      </c>
      <c r="C116" s="9" t="inlineStr">
        <is>
          <t>Power block</t>
        </is>
      </c>
      <c r="D116" s="9" t="inlineStr">
        <is>
          <t>Control</t>
        </is>
      </c>
      <c r="E116" s="9" t="inlineStr">
        <is>
          <t>R3</t>
        </is>
      </c>
      <c r="F116" s="9" t="inlineStr">
        <is>
          <t>R3: ST auxiliary electrical e-house (40 x 65 ft)</t>
        </is>
      </c>
      <c r="G116" s="9" t="inlineStr">
        <is>
          <t>GCB-ST</t>
        </is>
      </c>
      <c r="H116" s="9" t="inlineStr">
        <is>
          <t>GCB-ST</t>
        </is>
      </c>
      <c r="I116" s="9" t="inlineStr">
        <is>
          <t>Control</t>
        </is>
      </c>
      <c r="J116" s="9" t="inlineStr">
        <is>
          <t>Control cable 600 V Type TC-ER, Cu #14 AWG, PVC jacket</t>
        </is>
      </c>
      <c r="K116" s="9" t="inlineStr">
        <is>
          <t>CT|12/C|14</t>
        </is>
      </c>
      <c r="L116" s="9" t="inlineStr">
        <is>
          <t>12/C</t>
        </is>
      </c>
      <c r="M116" s="9" t="inlineStr">
        <is>
          <t>14</t>
        </is>
      </c>
      <c r="N116" s="9" t="n">
        <v>1</v>
      </c>
      <c r="O116" s="9" t="n">
        <v>1</v>
      </c>
      <c r="P116" s="9" t="n"/>
      <c r="Q116" s="9" t="n"/>
      <c r="R116" s="9" t="n"/>
      <c r="S116" s="9" t="inlineStr">
        <is>
          <t>Tray</t>
        </is>
      </c>
      <c r="T116" s="10" t="n">
        <v>637</v>
      </c>
      <c r="U116" s="10" t="n">
        <v>107</v>
      </c>
      <c r="V116" s="10">
        <f>ROUNDUP((T116+U116+2*'Read Me'!$B$13)*(1+'Read Me'!$B$12),-1)</f>
        <v/>
      </c>
      <c r="W116" s="10">
        <f>V116*N116*O116</f>
        <v/>
      </c>
      <c r="X116" s="9">
        <f>IF(LEFT(I116,2)="MV",2*N116*IF(L116="1/C",O116,1),0)</f>
        <v/>
      </c>
      <c r="Y116" s="9">
        <f>IF(OR(LEFT(K116,4)="LVAX",LEFT(K116,6)="MV15AX",LEFT(K116,4)="CTAX",LEFT(K116,2)="W|"),2*N116*O116,0)</f>
        <v/>
      </c>
      <c r="Z116" s="9" t="inlineStr"/>
    </row>
    <row r="117">
      <c r="A117" s="9" t="inlineStr">
        <is>
          <t>A-C-0105</t>
        </is>
      </c>
      <c r="B117" s="9" t="inlineStr">
        <is>
          <t>A</t>
        </is>
      </c>
      <c r="C117" s="9" t="inlineStr">
        <is>
          <t>Power block</t>
        </is>
      </c>
      <c r="D117" s="9" t="inlineStr">
        <is>
          <t>Control</t>
        </is>
      </c>
      <c r="E117" s="9" t="inlineStr">
        <is>
          <t>R3</t>
        </is>
      </c>
      <c r="F117" s="9" t="inlineStr">
        <is>
          <t>R3: ST auxiliary electrical e-house (40 x 65 ft)</t>
        </is>
      </c>
      <c r="G117" s="9" t="inlineStr">
        <is>
          <t>GCB-ST</t>
        </is>
      </c>
      <c r="H117" s="9" t="inlineStr">
        <is>
          <t>GCB-ST</t>
        </is>
      </c>
      <c r="I117" s="9" t="inlineStr">
        <is>
          <t>Control</t>
        </is>
      </c>
      <c r="J117" s="9" t="inlineStr">
        <is>
          <t>Control cable 600 V Type TC-ER, Cu #14 AWG, PVC jacket</t>
        </is>
      </c>
      <c r="K117" s="9" t="inlineStr">
        <is>
          <t>CT|12/C|14</t>
        </is>
      </c>
      <c r="L117" s="9" t="inlineStr">
        <is>
          <t>12/C</t>
        </is>
      </c>
      <c r="M117" s="9" t="inlineStr">
        <is>
          <t>14</t>
        </is>
      </c>
      <c r="N117" s="9" t="n">
        <v>1</v>
      </c>
      <c r="O117" s="9" t="n">
        <v>1</v>
      </c>
      <c r="P117" s="9" t="n"/>
      <c r="Q117" s="9" t="n"/>
      <c r="R117" s="9" t="n"/>
      <c r="S117" s="9" t="inlineStr">
        <is>
          <t>Tray</t>
        </is>
      </c>
      <c r="T117" s="10" t="n">
        <v>637</v>
      </c>
      <c r="U117" s="10" t="n">
        <v>107</v>
      </c>
      <c r="V117" s="10">
        <f>ROUNDUP((T117+U117+2*'Read Me'!$B$13)*(1+'Read Me'!$B$12),-1)</f>
        <v/>
      </c>
      <c r="W117" s="10">
        <f>V117*N117*O117</f>
        <v/>
      </c>
      <c r="X117" s="9">
        <f>IF(LEFT(I117,2)="MV",2*N117*IF(L117="1/C",O117,1),0)</f>
        <v/>
      </c>
      <c r="Y117" s="9">
        <f>IF(OR(LEFT(K117,4)="LVAX",LEFT(K117,6)="MV15AX",LEFT(K117,4)="CTAX",LEFT(K117,2)="W|"),2*N117*O117,0)</f>
        <v/>
      </c>
      <c r="Z117" s="9" t="inlineStr"/>
    </row>
    <row r="118">
      <c r="A118" s="9" t="inlineStr">
        <is>
          <t>A-C-0106</t>
        </is>
      </c>
      <c r="B118" s="9" t="inlineStr">
        <is>
          <t>A</t>
        </is>
      </c>
      <c r="C118" s="9" t="inlineStr">
        <is>
          <t>Power block</t>
        </is>
      </c>
      <c r="D118" s="9" t="inlineStr">
        <is>
          <t>CT / VT</t>
        </is>
      </c>
      <c r="E118" s="9" t="inlineStr">
        <is>
          <t>R3</t>
        </is>
      </c>
      <c r="F118" s="9" t="inlineStr">
        <is>
          <t>R3: ST auxiliary electrical e-house (40 x 65 ft)</t>
        </is>
      </c>
      <c r="G118" s="9" t="inlineStr">
        <is>
          <t>GCB-ST</t>
        </is>
      </c>
      <c r="H118" s="9" t="inlineStr">
        <is>
          <t>GCB-ST</t>
        </is>
      </c>
      <c r="I118" s="9" t="inlineStr">
        <is>
          <t>Control</t>
        </is>
      </c>
      <c r="J118" s="9" t="inlineStr">
        <is>
          <t>Control cable 600 V Type TC-ER, Cu #10 AWG (CT / VT circuits)</t>
        </is>
      </c>
      <c r="K118" s="9" t="inlineStr">
        <is>
          <t>CTCT|4/C|10</t>
        </is>
      </c>
      <c r="L118" s="9" t="inlineStr">
        <is>
          <t>4/C</t>
        </is>
      </c>
      <c r="M118" s="9" t="inlineStr">
        <is>
          <t>10</t>
        </is>
      </c>
      <c r="N118" s="9" t="n">
        <v>1</v>
      </c>
      <c r="O118" s="9" t="n">
        <v>1</v>
      </c>
      <c r="P118" s="9" t="n"/>
      <c r="Q118" s="9" t="n"/>
      <c r="R118" s="9" t="n"/>
      <c r="S118" s="9" t="inlineStr">
        <is>
          <t>Tray</t>
        </is>
      </c>
      <c r="T118" s="10" t="n">
        <v>637</v>
      </c>
      <c r="U118" s="10" t="n">
        <v>107</v>
      </c>
      <c r="V118" s="10">
        <f>ROUNDUP((T118+U118+2*'Read Me'!$B$13)*(1+'Read Me'!$B$12),-1)</f>
        <v/>
      </c>
      <c r="W118" s="10">
        <f>V118*N118*O118</f>
        <v/>
      </c>
      <c r="X118" s="9">
        <f>IF(LEFT(I118,2)="MV",2*N118*IF(L118="1/C",O118,1),0)</f>
        <v/>
      </c>
      <c r="Y118" s="9">
        <f>IF(OR(LEFT(K118,4)="LVAX",LEFT(K118,6)="MV15AX",LEFT(K118,4)="CTAX",LEFT(K118,2)="W|"),2*N118*O118,0)</f>
        <v/>
      </c>
      <c r="Z118" s="9" t="inlineStr"/>
    </row>
    <row r="119">
      <c r="A119" s="9" t="inlineStr">
        <is>
          <t>A-C-0107</t>
        </is>
      </c>
      <c r="B119" s="9" t="inlineStr">
        <is>
          <t>A</t>
        </is>
      </c>
      <c r="C119" s="9" t="inlineStr">
        <is>
          <t>Power block</t>
        </is>
      </c>
      <c r="D119" s="9" t="inlineStr">
        <is>
          <t>CT / VT</t>
        </is>
      </c>
      <c r="E119" s="9" t="inlineStr">
        <is>
          <t>R3</t>
        </is>
      </c>
      <c r="F119" s="9" t="inlineStr">
        <is>
          <t>R3: ST auxiliary electrical e-house (40 x 65 ft)</t>
        </is>
      </c>
      <c r="G119" s="9" t="inlineStr">
        <is>
          <t>GCB-ST</t>
        </is>
      </c>
      <c r="H119" s="9" t="inlineStr">
        <is>
          <t>GCB-ST</t>
        </is>
      </c>
      <c r="I119" s="9" t="inlineStr">
        <is>
          <t>Control</t>
        </is>
      </c>
      <c r="J119" s="9" t="inlineStr">
        <is>
          <t>Control cable 600 V Type TC-ER, Cu #10 AWG (CT / VT circuits)</t>
        </is>
      </c>
      <c r="K119" s="9" t="inlineStr">
        <is>
          <t>CTCT|4/C|10</t>
        </is>
      </c>
      <c r="L119" s="9" t="inlineStr">
        <is>
          <t>4/C</t>
        </is>
      </c>
      <c r="M119" s="9" t="inlineStr">
        <is>
          <t>10</t>
        </is>
      </c>
      <c r="N119" s="9" t="n">
        <v>1</v>
      </c>
      <c r="O119" s="9" t="n">
        <v>1</v>
      </c>
      <c r="P119" s="9" t="n"/>
      <c r="Q119" s="9" t="n"/>
      <c r="R119" s="9" t="n"/>
      <c r="S119" s="9" t="inlineStr">
        <is>
          <t>Tray</t>
        </is>
      </c>
      <c r="T119" s="10" t="n">
        <v>637</v>
      </c>
      <c r="U119" s="10" t="n">
        <v>107</v>
      </c>
      <c r="V119" s="10">
        <f>ROUNDUP((T119+U119+2*'Read Me'!$B$13)*(1+'Read Me'!$B$12),-1)</f>
        <v/>
      </c>
      <c r="W119" s="10">
        <f>V119*N119*O119</f>
        <v/>
      </c>
      <c r="X119" s="9">
        <f>IF(LEFT(I119,2)="MV",2*N119*IF(L119="1/C",O119,1),0)</f>
        <v/>
      </c>
      <c r="Y119" s="9">
        <f>IF(OR(LEFT(K119,4)="LVAX",LEFT(K119,6)="MV15AX",LEFT(K119,4)="CTAX",LEFT(K119,2)="W|"),2*N119*O119,0)</f>
        <v/>
      </c>
      <c r="Z119" s="9" t="inlineStr"/>
    </row>
    <row r="120">
      <c r="A120" s="9" t="inlineStr">
        <is>
          <t>A-C-0108</t>
        </is>
      </c>
      <c r="B120" s="9" t="inlineStr">
        <is>
          <t>A</t>
        </is>
      </c>
      <c r="C120" s="9" t="inlineStr">
        <is>
          <t>Power block</t>
        </is>
      </c>
      <c r="D120" s="9" t="inlineStr">
        <is>
          <t>CT / VT</t>
        </is>
      </c>
      <c r="E120" s="9" t="inlineStr">
        <is>
          <t>R3</t>
        </is>
      </c>
      <c r="F120" s="9" t="inlineStr">
        <is>
          <t>R3: ST auxiliary electrical e-house (40 x 65 ft)</t>
        </is>
      </c>
      <c r="G120" s="9" t="inlineStr">
        <is>
          <t>GCB-ST</t>
        </is>
      </c>
      <c r="H120" s="9" t="inlineStr">
        <is>
          <t>GCB-ST</t>
        </is>
      </c>
      <c r="I120" s="9" t="inlineStr">
        <is>
          <t>Control</t>
        </is>
      </c>
      <c r="J120" s="9" t="inlineStr">
        <is>
          <t>Control cable 600 V Type TC-ER, Cu #10 AWG (CT / VT circuits)</t>
        </is>
      </c>
      <c r="K120" s="9" t="inlineStr">
        <is>
          <t>CTCT|4/C|10</t>
        </is>
      </c>
      <c r="L120" s="9" t="inlineStr">
        <is>
          <t>4/C</t>
        </is>
      </c>
      <c r="M120" s="9" t="inlineStr">
        <is>
          <t>10</t>
        </is>
      </c>
      <c r="N120" s="9" t="n">
        <v>1</v>
      </c>
      <c r="O120" s="9" t="n">
        <v>1</v>
      </c>
      <c r="P120" s="9" t="n"/>
      <c r="Q120" s="9" t="n"/>
      <c r="R120" s="9" t="n"/>
      <c r="S120" s="9" t="inlineStr">
        <is>
          <t>Tray</t>
        </is>
      </c>
      <c r="T120" s="10" t="n">
        <v>637</v>
      </c>
      <c r="U120" s="10" t="n">
        <v>107</v>
      </c>
      <c r="V120" s="10">
        <f>ROUNDUP((T120+U120+2*'Read Me'!$B$13)*(1+'Read Me'!$B$12),-1)</f>
        <v/>
      </c>
      <c r="W120" s="10">
        <f>V120*N120*O120</f>
        <v/>
      </c>
      <c r="X120" s="9">
        <f>IF(LEFT(I120,2)="MV",2*N120*IF(L120="1/C",O120,1),0)</f>
        <v/>
      </c>
      <c r="Y120" s="9">
        <f>IF(OR(LEFT(K120,4)="LVAX",LEFT(K120,6)="MV15AX",LEFT(K120,4)="CTAX",LEFT(K120,2)="W|"),2*N120*O120,0)</f>
        <v/>
      </c>
      <c r="Z120" s="9" t="inlineStr"/>
    </row>
    <row r="121">
      <c r="A121" s="9" t="inlineStr">
        <is>
          <t>A-C-0109</t>
        </is>
      </c>
      <c r="B121" s="9" t="inlineStr">
        <is>
          <t>A</t>
        </is>
      </c>
      <c r="C121" s="9" t="inlineStr">
        <is>
          <t>Power block</t>
        </is>
      </c>
      <c r="D121" s="9" t="inlineStr">
        <is>
          <t>CT / VT</t>
        </is>
      </c>
      <c r="E121" s="9" t="inlineStr">
        <is>
          <t>R3</t>
        </is>
      </c>
      <c r="F121" s="9" t="inlineStr">
        <is>
          <t>R3: ST auxiliary electrical e-house (40 x 65 ft)</t>
        </is>
      </c>
      <c r="G121" s="9" t="inlineStr">
        <is>
          <t>GCB-ST</t>
        </is>
      </c>
      <c r="H121" s="9" t="inlineStr">
        <is>
          <t>GCB-ST</t>
        </is>
      </c>
      <c r="I121" s="9" t="inlineStr">
        <is>
          <t>Control</t>
        </is>
      </c>
      <c r="J121" s="9" t="inlineStr">
        <is>
          <t>Control cable 600 V Type TC-ER, Cu #10 AWG (CT / VT circuits)</t>
        </is>
      </c>
      <c r="K121" s="9" t="inlineStr">
        <is>
          <t>CTCT|4/C|10</t>
        </is>
      </c>
      <c r="L121" s="9" t="inlineStr">
        <is>
          <t>4/C</t>
        </is>
      </c>
      <c r="M121" s="9" t="inlineStr">
        <is>
          <t>10</t>
        </is>
      </c>
      <c r="N121" s="9" t="n">
        <v>1</v>
      </c>
      <c r="O121" s="9" t="n">
        <v>1</v>
      </c>
      <c r="P121" s="9" t="n"/>
      <c r="Q121" s="9" t="n"/>
      <c r="R121" s="9" t="n"/>
      <c r="S121" s="9" t="inlineStr">
        <is>
          <t>Tray</t>
        </is>
      </c>
      <c r="T121" s="10" t="n">
        <v>637</v>
      </c>
      <c r="U121" s="10" t="n">
        <v>107</v>
      </c>
      <c r="V121" s="10">
        <f>ROUNDUP((T121+U121+2*'Read Me'!$B$13)*(1+'Read Me'!$B$12),-1)</f>
        <v/>
      </c>
      <c r="W121" s="10">
        <f>V121*N121*O121</f>
        <v/>
      </c>
      <c r="X121" s="9">
        <f>IF(LEFT(I121,2)="MV",2*N121*IF(L121="1/C",O121,1),0)</f>
        <v/>
      </c>
      <c r="Y121" s="9">
        <f>IF(OR(LEFT(K121,4)="LVAX",LEFT(K121,6)="MV15AX",LEFT(K121,4)="CTAX",LEFT(K121,2)="W|"),2*N121*O121,0)</f>
        <v/>
      </c>
      <c r="Z121" s="9" t="inlineStr"/>
    </row>
    <row r="122">
      <c r="A122" s="9" t="inlineStr">
        <is>
          <t>A-C-0110</t>
        </is>
      </c>
      <c r="B122" s="9" t="inlineStr">
        <is>
          <t>A</t>
        </is>
      </c>
      <c r="C122" s="9" t="inlineStr">
        <is>
          <t>Power block</t>
        </is>
      </c>
      <c r="D122" s="9" t="inlineStr">
        <is>
          <t>Control</t>
        </is>
      </c>
      <c r="E122" s="9" t="inlineStr">
        <is>
          <t>R2B</t>
        </is>
      </c>
      <c r="F122" s="9" t="inlineStr">
        <is>
          <t>R2B: unit / HRSG electrical e-house (32 x 40 ft)</t>
        </is>
      </c>
      <c r="G122" s="9" t="inlineStr">
        <is>
          <t>GFM-1</t>
        </is>
      </c>
      <c r="H122" s="9" t="inlineStr">
        <is>
          <t>GFM-1: GT1 gas fuel module (stop / control valves, final strainer)</t>
        </is>
      </c>
      <c r="I122" s="9" t="inlineStr">
        <is>
          <t>Control</t>
        </is>
      </c>
      <c r="J122" s="9" t="inlineStr">
        <is>
          <t>ARMOR-X MC-HL 600 V control, Cu #14 AWG (Class I Div 2)</t>
        </is>
      </c>
      <c r="K122" s="9" t="inlineStr">
        <is>
          <t>CTAX|7/C|14</t>
        </is>
      </c>
      <c r="L122" s="9" t="inlineStr">
        <is>
          <t>7/C</t>
        </is>
      </c>
      <c r="M122" s="9" t="inlineStr">
        <is>
          <t>14</t>
        </is>
      </c>
      <c r="N122" s="9" t="n">
        <v>1</v>
      </c>
      <c r="O122" s="9" t="n">
        <v>1</v>
      </c>
      <c r="P122" s="9" t="n"/>
      <c r="Q122" s="9" t="n"/>
      <c r="R122" s="9" t="n"/>
      <c r="S122" s="9" t="inlineStr">
        <is>
          <t>Tray</t>
        </is>
      </c>
      <c r="T122" s="10" t="n">
        <v>799</v>
      </c>
      <c r="U122" s="10" t="n">
        <v>96</v>
      </c>
      <c r="V122" s="10">
        <f>ROUNDUP((T122+U122+2*'Read Me'!$B$13)*(1+'Read Me'!$B$12),-1)</f>
        <v/>
      </c>
      <c r="W122" s="10">
        <f>V122*N122*O122</f>
        <v/>
      </c>
      <c r="X122" s="9">
        <f>IF(LEFT(I122,2)="MV",2*N122*IF(L122="1/C",O122,1),0)</f>
        <v/>
      </c>
      <c r="Y122" s="9">
        <f>IF(OR(LEFT(K122,4)="LVAX",LEFT(K122,6)="MV15AX",LEFT(K122,4)="CTAX",LEFT(K122,2)="W|"),2*N122*O122,0)</f>
        <v/>
      </c>
      <c r="Z122" s="9" t="inlineStr"/>
    </row>
    <row r="123">
      <c r="A123" s="9" t="inlineStr">
        <is>
          <t>A-C-0111</t>
        </is>
      </c>
      <c r="B123" s="9" t="inlineStr">
        <is>
          <t>A</t>
        </is>
      </c>
      <c r="C123" s="9" t="inlineStr">
        <is>
          <t>Power block</t>
        </is>
      </c>
      <c r="D123" s="9" t="inlineStr">
        <is>
          <t>Control</t>
        </is>
      </c>
      <c r="E123" s="9" t="inlineStr">
        <is>
          <t>R2C</t>
        </is>
      </c>
      <c r="F123" s="9" t="inlineStr">
        <is>
          <t>R2C: unit / HRSG electrical e-house (32 x 40 ft)</t>
        </is>
      </c>
      <c r="G123" s="9" t="inlineStr">
        <is>
          <t>GFM-2</t>
        </is>
      </c>
      <c r="H123" s="9" t="inlineStr">
        <is>
          <t>GFM-2: GT2 gas fuel module (stop / control valves, final strainer)</t>
        </is>
      </c>
      <c r="I123" s="9" t="inlineStr">
        <is>
          <t>Control</t>
        </is>
      </c>
      <c r="J123" s="9" t="inlineStr">
        <is>
          <t>ARMOR-X MC-HL 600 V control, Cu #14 AWG (Class I Div 2)</t>
        </is>
      </c>
      <c r="K123" s="9" t="inlineStr">
        <is>
          <t>CTAX|7/C|14</t>
        </is>
      </c>
      <c r="L123" s="9" t="inlineStr">
        <is>
          <t>7/C</t>
        </is>
      </c>
      <c r="M123" s="9" t="inlineStr">
        <is>
          <t>14</t>
        </is>
      </c>
      <c r="N123" s="9" t="n">
        <v>1</v>
      </c>
      <c r="O123" s="9" t="n">
        <v>1</v>
      </c>
      <c r="P123" s="9" t="n"/>
      <c r="Q123" s="9" t="n"/>
      <c r="R123" s="9" t="n"/>
      <c r="S123" s="9" t="inlineStr">
        <is>
          <t>Tray</t>
        </is>
      </c>
      <c r="T123" s="10" t="n">
        <v>1119</v>
      </c>
      <c r="U123" s="10" t="n">
        <v>96</v>
      </c>
      <c r="V123" s="10">
        <f>ROUNDUP((T123+U123+2*'Read Me'!$B$13)*(1+'Read Me'!$B$12),-1)</f>
        <v/>
      </c>
      <c r="W123" s="10">
        <f>V123*N123*O123</f>
        <v/>
      </c>
      <c r="X123" s="9">
        <f>IF(LEFT(I123,2)="MV",2*N123*IF(L123="1/C",O123,1),0)</f>
        <v/>
      </c>
      <c r="Y123" s="9">
        <f>IF(OR(LEFT(K123,4)="LVAX",LEFT(K123,6)="MV15AX",LEFT(K123,4)="CTAX",LEFT(K123,2)="W|"),2*N123*O123,0)</f>
        <v/>
      </c>
      <c r="Z123" s="9" t="inlineStr"/>
    </row>
    <row r="124">
      <c r="A124" s="9" t="inlineStr">
        <is>
          <t>A-C-0112</t>
        </is>
      </c>
      <c r="B124" s="9" t="inlineStr">
        <is>
          <t>A</t>
        </is>
      </c>
      <c r="C124" s="9" t="inlineStr">
        <is>
          <t>Power block</t>
        </is>
      </c>
      <c r="D124" s="9" t="inlineStr">
        <is>
          <t>Control</t>
        </is>
      </c>
      <c r="E124" s="9" t="inlineStr">
        <is>
          <t>R3</t>
        </is>
      </c>
      <c r="F124" s="9" t="inlineStr">
        <is>
          <t>R3: ST auxiliary electrical e-house (40 x 65 ft)</t>
        </is>
      </c>
      <c r="G124" s="9" t="inlineStr">
        <is>
          <t>GFM-3</t>
        </is>
      </c>
      <c r="H124" s="9" t="inlineStr">
        <is>
          <t>GFM-3: GT3 gas fuel module (stop / control valves, final strainer)</t>
        </is>
      </c>
      <c r="I124" s="9" t="inlineStr">
        <is>
          <t>Control</t>
        </is>
      </c>
      <c r="J124" s="9" t="inlineStr">
        <is>
          <t>ARMOR-X MC-HL 600 V control, Cu #14 AWG (Class I Div 2)</t>
        </is>
      </c>
      <c r="K124" s="9" t="inlineStr">
        <is>
          <t>CTAX|7/C|14</t>
        </is>
      </c>
      <c r="L124" s="9" t="inlineStr">
        <is>
          <t>7/C</t>
        </is>
      </c>
      <c r="M124" s="9" t="inlineStr">
        <is>
          <t>14</t>
        </is>
      </c>
      <c r="N124" s="9" t="n">
        <v>1</v>
      </c>
      <c r="O124" s="9" t="n">
        <v>1</v>
      </c>
      <c r="P124" s="9" t="n"/>
      <c r="Q124" s="9" t="n"/>
      <c r="R124" s="9" t="n"/>
      <c r="S124" s="9" t="inlineStr">
        <is>
          <t>Tray</t>
        </is>
      </c>
      <c r="T124" s="10" t="n">
        <v>223</v>
      </c>
      <c r="U124" s="10" t="n">
        <v>70</v>
      </c>
      <c r="V124" s="10">
        <f>ROUNDUP((T124+U124+2*'Read Me'!$B$13)*(1+'Read Me'!$B$12),-1)</f>
        <v/>
      </c>
      <c r="W124" s="10">
        <f>V124*N124*O124</f>
        <v/>
      </c>
      <c r="X124" s="9">
        <f>IF(LEFT(I124,2)="MV",2*N124*IF(L124="1/C",O124,1),0)</f>
        <v/>
      </c>
      <c r="Y124" s="9">
        <f>IF(OR(LEFT(K124,4)="LVAX",LEFT(K124,6)="MV15AX",LEFT(K124,4)="CTAX",LEFT(K124,2)="W|"),2*N124*O124,0)</f>
        <v/>
      </c>
      <c r="Z124" s="9" t="inlineStr"/>
    </row>
    <row r="125">
      <c r="A125" s="9" t="inlineStr">
        <is>
          <t>A-C-0113</t>
        </is>
      </c>
      <c r="B125" s="9" t="inlineStr">
        <is>
          <t>A</t>
        </is>
      </c>
      <c r="C125" s="9" t="inlineStr">
        <is>
          <t>Power block</t>
        </is>
      </c>
      <c r="D125" s="9" t="inlineStr">
        <is>
          <t>Control</t>
        </is>
      </c>
      <c r="E125" s="9" t="inlineStr">
        <is>
          <t>R3</t>
        </is>
      </c>
      <c r="F125" s="9" t="inlineStr">
        <is>
          <t>R3: ST auxiliary electrical e-house (40 x 65 ft)</t>
        </is>
      </c>
      <c r="G125" s="9" t="inlineStr">
        <is>
          <t>GSC-ST</t>
        </is>
      </c>
      <c r="H125" s="9" t="inlineStr">
        <is>
          <t>GSC-ST: gland-steam condenser and exhausters</t>
        </is>
      </c>
      <c r="I125" s="9" t="inlineStr">
        <is>
          <t>Control</t>
        </is>
      </c>
      <c r="J125" s="9" t="inlineStr">
        <is>
          <t>Control cable 600 V Type TC-ER, Cu #14 AWG, PVC jacket</t>
        </is>
      </c>
      <c r="K125" s="9" t="inlineStr">
        <is>
          <t>CT|7/C|14</t>
        </is>
      </c>
      <c r="L125" s="9" t="inlineStr">
        <is>
          <t>7/C</t>
        </is>
      </c>
      <c r="M125" s="9" t="inlineStr">
        <is>
          <t>14</t>
        </is>
      </c>
      <c r="N125" s="9" t="n">
        <v>1</v>
      </c>
      <c r="O125" s="9" t="n">
        <v>1</v>
      </c>
      <c r="P125" s="9" t="n"/>
      <c r="Q125" s="9" t="n"/>
      <c r="R125" s="9" t="n"/>
      <c r="S125" s="9" t="inlineStr">
        <is>
          <t>Tray</t>
        </is>
      </c>
      <c r="T125" s="10" t="n">
        <v>91</v>
      </c>
      <c r="U125" s="10" t="n">
        <v>113</v>
      </c>
      <c r="V125" s="10">
        <f>ROUNDUP((T125+U125+2*'Read Me'!$B$13)*(1+'Read Me'!$B$12),-1)</f>
        <v/>
      </c>
      <c r="W125" s="10">
        <f>V125*N125*O125</f>
        <v/>
      </c>
      <c r="X125" s="9">
        <f>IF(LEFT(I125,2)="MV",2*N125*IF(L125="1/C",O125,1),0)</f>
        <v/>
      </c>
      <c r="Y125" s="9">
        <f>IF(OR(LEFT(K125,4)="LVAX",LEFT(K125,6)="MV15AX",LEFT(K125,4)="CTAX",LEFT(K125,2)="W|"),2*N125*O125,0)</f>
        <v/>
      </c>
      <c r="Z125" s="9" t="inlineStr"/>
    </row>
    <row r="126">
      <c r="A126" s="9" t="inlineStr">
        <is>
          <t>A-C-0114</t>
        </is>
      </c>
      <c r="B126" s="9" t="inlineStr">
        <is>
          <t>A</t>
        </is>
      </c>
      <c r="C126" s="9" t="inlineStr">
        <is>
          <t>Power block</t>
        </is>
      </c>
      <c r="D126" s="9" t="inlineStr">
        <is>
          <t>Control</t>
        </is>
      </c>
      <c r="E126" s="9" t="inlineStr">
        <is>
          <t>R2A</t>
        </is>
      </c>
      <c r="F126" s="9" t="inlineStr">
        <is>
          <t>R2A: unit / HRSG electrical e-house (32 x 40 ft)</t>
        </is>
      </c>
      <c r="G126" s="9" t="inlineStr">
        <is>
          <t>GSU-1</t>
        </is>
      </c>
      <c r="H126" s="9" t="inlineStr">
        <is>
          <t>GSU-1: 21/230 kV generator step-up transformer</t>
        </is>
      </c>
      <c r="I126" s="9" t="inlineStr">
        <is>
          <t>Control</t>
        </is>
      </c>
      <c r="J126" s="9" t="inlineStr">
        <is>
          <t>Control cable 600 V Type TC-ER, Cu #14 AWG, PVC jacket</t>
        </is>
      </c>
      <c r="K126" s="9" t="inlineStr">
        <is>
          <t>CT|7/C|14</t>
        </is>
      </c>
      <c r="L126" s="9" t="inlineStr">
        <is>
          <t>7/C</t>
        </is>
      </c>
      <c r="M126" s="9" t="inlineStr">
        <is>
          <t>14</t>
        </is>
      </c>
      <c r="N126" s="9" t="n">
        <v>1</v>
      </c>
      <c r="O126" s="9" t="n">
        <v>1</v>
      </c>
      <c r="P126" s="9" t="n"/>
      <c r="Q126" s="9" t="n"/>
      <c r="R126" s="9" t="n"/>
      <c r="S126" s="9" t="inlineStr">
        <is>
          <t>Tray</t>
        </is>
      </c>
      <c r="T126" s="10" t="n">
        <v>395</v>
      </c>
      <c r="U126" s="10" t="n">
        <v>130</v>
      </c>
      <c r="V126" s="10">
        <f>ROUNDUP((T126+U126+2*'Read Me'!$B$13)*(1+'Read Me'!$B$12),-1)</f>
        <v/>
      </c>
      <c r="W126" s="10">
        <f>V126*N126*O126</f>
        <v/>
      </c>
      <c r="X126" s="9">
        <f>IF(LEFT(I126,2)="MV",2*N126*IF(L126="1/C",O126,1),0)</f>
        <v/>
      </c>
      <c r="Y126" s="9">
        <f>IF(OR(LEFT(K126,4)="LVAX",LEFT(K126,6)="MV15AX",LEFT(K126,4)="CTAX",LEFT(K126,2)="W|"),2*N126*O126,0)</f>
        <v/>
      </c>
      <c r="Z126" s="9" t="inlineStr"/>
    </row>
    <row r="127">
      <c r="A127" s="9" t="inlineStr">
        <is>
          <t>A-C-0115</t>
        </is>
      </c>
      <c r="B127" s="9" t="inlineStr">
        <is>
          <t>A</t>
        </is>
      </c>
      <c r="C127" s="9" t="inlineStr">
        <is>
          <t>Power block</t>
        </is>
      </c>
      <c r="D127" s="9" t="inlineStr">
        <is>
          <t>Control</t>
        </is>
      </c>
      <c r="E127" s="9" t="inlineStr">
        <is>
          <t>R2A</t>
        </is>
      </c>
      <c r="F127" s="9" t="inlineStr">
        <is>
          <t>R2A: unit / HRSG electrical e-house (32 x 40 ft)</t>
        </is>
      </c>
      <c r="G127" s="9" t="inlineStr">
        <is>
          <t>GSU-1</t>
        </is>
      </c>
      <c r="H127" s="9" t="inlineStr">
        <is>
          <t>GSU-1: 21/230 kV generator step-up transformer</t>
        </is>
      </c>
      <c r="I127" s="9" t="inlineStr">
        <is>
          <t>Control</t>
        </is>
      </c>
      <c r="J127" s="9" t="inlineStr">
        <is>
          <t>Control cable 600 V Type TC-ER, Cu #14 AWG, PVC jacket</t>
        </is>
      </c>
      <c r="K127" s="9" t="inlineStr">
        <is>
          <t>CT|12/C|14</t>
        </is>
      </c>
      <c r="L127" s="9" t="inlineStr">
        <is>
          <t>12/C</t>
        </is>
      </c>
      <c r="M127" s="9" t="inlineStr">
        <is>
          <t>14</t>
        </is>
      </c>
      <c r="N127" s="9" t="n">
        <v>1</v>
      </c>
      <c r="O127" s="9" t="n">
        <v>1</v>
      </c>
      <c r="P127" s="9" t="n"/>
      <c r="Q127" s="9" t="n"/>
      <c r="R127" s="9" t="n"/>
      <c r="S127" s="9" t="inlineStr">
        <is>
          <t>Tray</t>
        </is>
      </c>
      <c r="T127" s="10" t="n">
        <v>395</v>
      </c>
      <c r="U127" s="10" t="n">
        <v>130</v>
      </c>
      <c r="V127" s="10">
        <f>ROUNDUP((T127+U127+2*'Read Me'!$B$13)*(1+'Read Me'!$B$12),-1)</f>
        <v/>
      </c>
      <c r="W127" s="10">
        <f>V127*N127*O127</f>
        <v/>
      </c>
      <c r="X127" s="9">
        <f>IF(LEFT(I127,2)="MV",2*N127*IF(L127="1/C",O127,1),0)</f>
        <v/>
      </c>
      <c r="Y127" s="9">
        <f>IF(OR(LEFT(K127,4)="LVAX",LEFT(K127,6)="MV15AX",LEFT(K127,4)="CTAX",LEFT(K127,2)="W|"),2*N127*O127,0)</f>
        <v/>
      </c>
      <c r="Z127" s="9" t="inlineStr"/>
    </row>
    <row r="128">
      <c r="A128" s="9" t="inlineStr">
        <is>
          <t>A-C-0116</t>
        </is>
      </c>
      <c r="B128" s="9" t="inlineStr">
        <is>
          <t>A</t>
        </is>
      </c>
      <c r="C128" s="9" t="inlineStr">
        <is>
          <t>Power block</t>
        </is>
      </c>
      <c r="D128" s="9" t="inlineStr">
        <is>
          <t>CT / VT</t>
        </is>
      </c>
      <c r="E128" s="9" t="inlineStr">
        <is>
          <t>R2A</t>
        </is>
      </c>
      <c r="F128" s="9" t="inlineStr">
        <is>
          <t>R2A: unit / HRSG electrical e-house (32 x 40 ft)</t>
        </is>
      </c>
      <c r="G128" s="9" t="inlineStr">
        <is>
          <t>GSU-1</t>
        </is>
      </c>
      <c r="H128" s="9" t="inlineStr">
        <is>
          <t>GSU-1: 21/230 kV generator step-up transformer</t>
        </is>
      </c>
      <c r="I128" s="9" t="inlineStr">
        <is>
          <t>Control</t>
        </is>
      </c>
      <c r="J128" s="9" t="inlineStr">
        <is>
          <t>Control cable 600 V Type TC-ER, Cu #10 AWG (CT / VT circuits)</t>
        </is>
      </c>
      <c r="K128" s="9" t="inlineStr">
        <is>
          <t>CTCT|4/C|10</t>
        </is>
      </c>
      <c r="L128" s="9" t="inlineStr">
        <is>
          <t>4/C</t>
        </is>
      </c>
      <c r="M128" s="9" t="inlineStr">
        <is>
          <t>10</t>
        </is>
      </c>
      <c r="N128" s="9" t="n">
        <v>1</v>
      </c>
      <c r="O128" s="9" t="n">
        <v>1</v>
      </c>
      <c r="P128" s="9" t="n"/>
      <c r="Q128" s="9" t="n"/>
      <c r="R128" s="9" t="n"/>
      <c r="S128" s="9" t="inlineStr">
        <is>
          <t>Tray</t>
        </is>
      </c>
      <c r="T128" s="10" t="n">
        <v>395</v>
      </c>
      <c r="U128" s="10" t="n">
        <v>130</v>
      </c>
      <c r="V128" s="10">
        <f>ROUNDUP((T128+U128+2*'Read Me'!$B$13)*(1+'Read Me'!$B$12),-1)</f>
        <v/>
      </c>
      <c r="W128" s="10">
        <f>V128*N128*O128</f>
        <v/>
      </c>
      <c r="X128" s="9">
        <f>IF(LEFT(I128,2)="MV",2*N128*IF(L128="1/C",O128,1),0)</f>
        <v/>
      </c>
      <c r="Y128" s="9">
        <f>IF(OR(LEFT(K128,4)="LVAX",LEFT(K128,6)="MV15AX",LEFT(K128,4)="CTAX",LEFT(K128,2)="W|"),2*N128*O128,0)</f>
        <v/>
      </c>
      <c r="Z128" s="9" t="inlineStr"/>
    </row>
    <row r="129">
      <c r="A129" s="9" t="inlineStr">
        <is>
          <t>A-C-0117</t>
        </is>
      </c>
      <c r="B129" s="9" t="inlineStr">
        <is>
          <t>A</t>
        </is>
      </c>
      <c r="C129" s="9" t="inlineStr">
        <is>
          <t>Power block</t>
        </is>
      </c>
      <c r="D129" s="9" t="inlineStr">
        <is>
          <t>CT / VT</t>
        </is>
      </c>
      <c r="E129" s="9" t="inlineStr">
        <is>
          <t>R2A</t>
        </is>
      </c>
      <c r="F129" s="9" t="inlineStr">
        <is>
          <t>R2A: unit / HRSG electrical e-house (32 x 40 ft)</t>
        </is>
      </c>
      <c r="G129" s="9" t="inlineStr">
        <is>
          <t>GSU-1</t>
        </is>
      </c>
      <c r="H129" s="9" t="inlineStr">
        <is>
          <t>GSU-1: 21/230 kV generator step-up transformer</t>
        </is>
      </c>
      <c r="I129" s="9" t="inlineStr">
        <is>
          <t>Control</t>
        </is>
      </c>
      <c r="J129" s="9" t="inlineStr">
        <is>
          <t>Control cable 600 V Type TC-ER, Cu #10 AWG (CT / VT circuits)</t>
        </is>
      </c>
      <c r="K129" s="9" t="inlineStr">
        <is>
          <t>CTCT|4/C|10</t>
        </is>
      </c>
      <c r="L129" s="9" t="inlineStr">
        <is>
          <t>4/C</t>
        </is>
      </c>
      <c r="M129" s="9" t="inlineStr">
        <is>
          <t>10</t>
        </is>
      </c>
      <c r="N129" s="9" t="n">
        <v>1</v>
      </c>
      <c r="O129" s="9" t="n">
        <v>1</v>
      </c>
      <c r="P129" s="9" t="n"/>
      <c r="Q129" s="9" t="n"/>
      <c r="R129" s="9" t="n"/>
      <c r="S129" s="9" t="inlineStr">
        <is>
          <t>Tray</t>
        </is>
      </c>
      <c r="T129" s="10" t="n">
        <v>395</v>
      </c>
      <c r="U129" s="10" t="n">
        <v>130</v>
      </c>
      <c r="V129" s="10">
        <f>ROUNDUP((T129+U129+2*'Read Me'!$B$13)*(1+'Read Me'!$B$12),-1)</f>
        <v/>
      </c>
      <c r="W129" s="10">
        <f>V129*N129*O129</f>
        <v/>
      </c>
      <c r="X129" s="9">
        <f>IF(LEFT(I129,2)="MV",2*N129*IF(L129="1/C",O129,1),0)</f>
        <v/>
      </c>
      <c r="Y129" s="9">
        <f>IF(OR(LEFT(K129,4)="LVAX",LEFT(K129,6)="MV15AX",LEFT(K129,4)="CTAX",LEFT(K129,2)="W|"),2*N129*O129,0)</f>
        <v/>
      </c>
      <c r="Z129" s="9" t="inlineStr"/>
    </row>
    <row r="130">
      <c r="A130" s="9" t="inlineStr">
        <is>
          <t>A-C-0118</t>
        </is>
      </c>
      <c r="B130" s="9" t="inlineStr">
        <is>
          <t>A</t>
        </is>
      </c>
      <c r="C130" s="9" t="inlineStr">
        <is>
          <t>Power block</t>
        </is>
      </c>
      <c r="D130" s="9" t="inlineStr">
        <is>
          <t>Control</t>
        </is>
      </c>
      <c r="E130" s="9" t="inlineStr">
        <is>
          <t>R2B</t>
        </is>
      </c>
      <c r="F130" s="9" t="inlineStr">
        <is>
          <t>R2B: unit / HRSG electrical e-house (32 x 40 ft)</t>
        </is>
      </c>
      <c r="G130" s="9" t="inlineStr">
        <is>
          <t>GSU-2</t>
        </is>
      </c>
      <c r="H130" s="9" t="inlineStr">
        <is>
          <t>GSU-2: 21/230 kV generator step-up transformer</t>
        </is>
      </c>
      <c r="I130" s="9" t="inlineStr">
        <is>
          <t>Control</t>
        </is>
      </c>
      <c r="J130" s="9" t="inlineStr">
        <is>
          <t>Control cable 600 V Type TC-ER, Cu #14 AWG, PVC jacket</t>
        </is>
      </c>
      <c r="K130" s="9" t="inlineStr">
        <is>
          <t>CT|7/C|14</t>
        </is>
      </c>
      <c r="L130" s="9" t="inlineStr">
        <is>
          <t>7/C</t>
        </is>
      </c>
      <c r="M130" s="9" t="inlineStr">
        <is>
          <t>14</t>
        </is>
      </c>
      <c r="N130" s="9" t="n">
        <v>1</v>
      </c>
      <c r="O130" s="9" t="n">
        <v>1</v>
      </c>
      <c r="P130" s="9" t="n"/>
      <c r="Q130" s="9" t="n"/>
      <c r="R130" s="9" t="n"/>
      <c r="S130" s="9" t="inlineStr">
        <is>
          <t>Tray</t>
        </is>
      </c>
      <c r="T130" s="10" t="n">
        <v>1134</v>
      </c>
      <c r="U130" s="10" t="n">
        <v>132</v>
      </c>
      <c r="V130" s="10">
        <f>ROUNDUP((T130+U130+2*'Read Me'!$B$13)*(1+'Read Me'!$B$12),-1)</f>
        <v/>
      </c>
      <c r="W130" s="10">
        <f>V130*N130*O130</f>
        <v/>
      </c>
      <c r="X130" s="9">
        <f>IF(LEFT(I130,2)="MV",2*N130*IF(L130="1/C",O130,1),0)</f>
        <v/>
      </c>
      <c r="Y130" s="9">
        <f>IF(OR(LEFT(K130,4)="LVAX",LEFT(K130,6)="MV15AX",LEFT(K130,4)="CTAX",LEFT(K130,2)="W|"),2*N130*O130,0)</f>
        <v/>
      </c>
      <c r="Z130" s="9" t="inlineStr"/>
    </row>
    <row r="131">
      <c r="A131" s="9" t="inlineStr">
        <is>
          <t>A-C-0119</t>
        </is>
      </c>
      <c r="B131" s="9" t="inlineStr">
        <is>
          <t>A</t>
        </is>
      </c>
      <c r="C131" s="9" t="inlineStr">
        <is>
          <t>Power block</t>
        </is>
      </c>
      <c r="D131" s="9" t="inlineStr">
        <is>
          <t>Control</t>
        </is>
      </c>
      <c r="E131" s="9" t="inlineStr">
        <is>
          <t>R2B</t>
        </is>
      </c>
      <c r="F131" s="9" t="inlineStr">
        <is>
          <t>R2B: unit / HRSG electrical e-house (32 x 40 ft)</t>
        </is>
      </c>
      <c r="G131" s="9" t="inlineStr">
        <is>
          <t>GSU-2</t>
        </is>
      </c>
      <c r="H131" s="9" t="inlineStr">
        <is>
          <t>GSU-2: 21/230 kV generator step-up transformer</t>
        </is>
      </c>
      <c r="I131" s="9" t="inlineStr">
        <is>
          <t>Control</t>
        </is>
      </c>
      <c r="J131" s="9" t="inlineStr">
        <is>
          <t>Control cable 600 V Type TC-ER, Cu #14 AWG, PVC jacket</t>
        </is>
      </c>
      <c r="K131" s="9" t="inlineStr">
        <is>
          <t>CT|12/C|14</t>
        </is>
      </c>
      <c r="L131" s="9" t="inlineStr">
        <is>
          <t>12/C</t>
        </is>
      </c>
      <c r="M131" s="9" t="inlineStr">
        <is>
          <t>14</t>
        </is>
      </c>
      <c r="N131" s="9" t="n">
        <v>1</v>
      </c>
      <c r="O131" s="9" t="n">
        <v>1</v>
      </c>
      <c r="P131" s="9" t="n"/>
      <c r="Q131" s="9" t="n"/>
      <c r="R131" s="9" t="n"/>
      <c r="S131" s="9" t="inlineStr">
        <is>
          <t>Tray</t>
        </is>
      </c>
      <c r="T131" s="10" t="n">
        <v>1134</v>
      </c>
      <c r="U131" s="10" t="n">
        <v>132</v>
      </c>
      <c r="V131" s="10">
        <f>ROUNDUP((T131+U131+2*'Read Me'!$B$13)*(1+'Read Me'!$B$12),-1)</f>
        <v/>
      </c>
      <c r="W131" s="10">
        <f>V131*N131*O131</f>
        <v/>
      </c>
      <c r="X131" s="9">
        <f>IF(LEFT(I131,2)="MV",2*N131*IF(L131="1/C",O131,1),0)</f>
        <v/>
      </c>
      <c r="Y131" s="9">
        <f>IF(OR(LEFT(K131,4)="LVAX",LEFT(K131,6)="MV15AX",LEFT(K131,4)="CTAX",LEFT(K131,2)="W|"),2*N131*O131,0)</f>
        <v/>
      </c>
      <c r="Z131" s="9" t="inlineStr"/>
    </row>
    <row r="132">
      <c r="A132" s="9" t="inlineStr">
        <is>
          <t>A-C-0120</t>
        </is>
      </c>
      <c r="B132" s="9" t="inlineStr">
        <is>
          <t>A</t>
        </is>
      </c>
      <c r="C132" s="9" t="inlineStr">
        <is>
          <t>Power block</t>
        </is>
      </c>
      <c r="D132" s="9" t="inlineStr">
        <is>
          <t>CT / VT</t>
        </is>
      </c>
      <c r="E132" s="9" t="inlineStr">
        <is>
          <t>R2B</t>
        </is>
      </c>
      <c r="F132" s="9" t="inlineStr">
        <is>
          <t>R2B: unit / HRSG electrical e-house (32 x 40 ft)</t>
        </is>
      </c>
      <c r="G132" s="9" t="inlineStr">
        <is>
          <t>GSU-2</t>
        </is>
      </c>
      <c r="H132" s="9" t="inlineStr">
        <is>
          <t>GSU-2: 21/230 kV generator step-up transformer</t>
        </is>
      </c>
      <c r="I132" s="9" t="inlineStr">
        <is>
          <t>Control</t>
        </is>
      </c>
      <c r="J132" s="9" t="inlineStr">
        <is>
          <t>Control cable 600 V Type TC-ER, Cu #10 AWG (CT / VT circuits)</t>
        </is>
      </c>
      <c r="K132" s="9" t="inlineStr">
        <is>
          <t>CTCT|4/C|10</t>
        </is>
      </c>
      <c r="L132" s="9" t="inlineStr">
        <is>
          <t>4/C</t>
        </is>
      </c>
      <c r="M132" s="9" t="inlineStr">
        <is>
          <t>10</t>
        </is>
      </c>
      <c r="N132" s="9" t="n">
        <v>1</v>
      </c>
      <c r="O132" s="9" t="n">
        <v>1</v>
      </c>
      <c r="P132" s="9" t="n"/>
      <c r="Q132" s="9" t="n"/>
      <c r="R132" s="9" t="n"/>
      <c r="S132" s="9" t="inlineStr">
        <is>
          <t>Tray</t>
        </is>
      </c>
      <c r="T132" s="10" t="n">
        <v>1134</v>
      </c>
      <c r="U132" s="10" t="n">
        <v>132</v>
      </c>
      <c r="V132" s="10">
        <f>ROUNDUP((T132+U132+2*'Read Me'!$B$13)*(1+'Read Me'!$B$12),-1)</f>
        <v/>
      </c>
      <c r="W132" s="10">
        <f>V132*N132*O132</f>
        <v/>
      </c>
      <c r="X132" s="9">
        <f>IF(LEFT(I132,2)="MV",2*N132*IF(L132="1/C",O132,1),0)</f>
        <v/>
      </c>
      <c r="Y132" s="9">
        <f>IF(OR(LEFT(K132,4)="LVAX",LEFT(K132,6)="MV15AX",LEFT(K132,4)="CTAX",LEFT(K132,2)="W|"),2*N132*O132,0)</f>
        <v/>
      </c>
      <c r="Z132" s="9" t="inlineStr"/>
    </row>
    <row r="133">
      <c r="A133" s="9" t="inlineStr">
        <is>
          <t>A-C-0121</t>
        </is>
      </c>
      <c r="B133" s="9" t="inlineStr">
        <is>
          <t>A</t>
        </is>
      </c>
      <c r="C133" s="9" t="inlineStr">
        <is>
          <t>Power block</t>
        </is>
      </c>
      <c r="D133" s="9" t="inlineStr">
        <is>
          <t>CT / VT</t>
        </is>
      </c>
      <c r="E133" s="9" t="inlineStr">
        <is>
          <t>R2B</t>
        </is>
      </c>
      <c r="F133" s="9" t="inlineStr">
        <is>
          <t>R2B: unit / HRSG electrical e-house (32 x 40 ft)</t>
        </is>
      </c>
      <c r="G133" s="9" t="inlineStr">
        <is>
          <t>GSU-2</t>
        </is>
      </c>
      <c r="H133" s="9" t="inlineStr">
        <is>
          <t>GSU-2: 21/230 kV generator step-up transformer</t>
        </is>
      </c>
      <c r="I133" s="9" t="inlineStr">
        <is>
          <t>Control</t>
        </is>
      </c>
      <c r="J133" s="9" t="inlineStr">
        <is>
          <t>Control cable 600 V Type TC-ER, Cu #10 AWG (CT / VT circuits)</t>
        </is>
      </c>
      <c r="K133" s="9" t="inlineStr">
        <is>
          <t>CTCT|4/C|10</t>
        </is>
      </c>
      <c r="L133" s="9" t="inlineStr">
        <is>
          <t>4/C</t>
        </is>
      </c>
      <c r="M133" s="9" t="inlineStr">
        <is>
          <t>10</t>
        </is>
      </c>
      <c r="N133" s="9" t="n">
        <v>1</v>
      </c>
      <c r="O133" s="9" t="n">
        <v>1</v>
      </c>
      <c r="P133" s="9" t="n"/>
      <c r="Q133" s="9" t="n"/>
      <c r="R133" s="9" t="n"/>
      <c r="S133" s="9" t="inlineStr">
        <is>
          <t>Tray</t>
        </is>
      </c>
      <c r="T133" s="10" t="n">
        <v>1134</v>
      </c>
      <c r="U133" s="10" t="n">
        <v>132</v>
      </c>
      <c r="V133" s="10">
        <f>ROUNDUP((T133+U133+2*'Read Me'!$B$13)*(1+'Read Me'!$B$12),-1)</f>
        <v/>
      </c>
      <c r="W133" s="10">
        <f>V133*N133*O133</f>
        <v/>
      </c>
      <c r="X133" s="9">
        <f>IF(LEFT(I133,2)="MV",2*N133*IF(L133="1/C",O133,1),0)</f>
        <v/>
      </c>
      <c r="Y133" s="9">
        <f>IF(OR(LEFT(K133,4)="LVAX",LEFT(K133,6)="MV15AX",LEFT(K133,4)="CTAX",LEFT(K133,2)="W|"),2*N133*O133,0)</f>
        <v/>
      </c>
      <c r="Z133" s="9" t="inlineStr"/>
    </row>
    <row r="134">
      <c r="A134" s="9" t="inlineStr">
        <is>
          <t>A-C-0122</t>
        </is>
      </c>
      <c r="B134" s="9" t="inlineStr">
        <is>
          <t>A</t>
        </is>
      </c>
      <c r="C134" s="9" t="inlineStr">
        <is>
          <t>Power block</t>
        </is>
      </c>
      <c r="D134" s="9" t="inlineStr">
        <is>
          <t>Control</t>
        </is>
      </c>
      <c r="E134" s="9" t="inlineStr">
        <is>
          <t>R3</t>
        </is>
      </c>
      <c r="F134" s="9" t="inlineStr">
        <is>
          <t>R3: ST auxiliary electrical e-house (40 x 65 ft)</t>
        </is>
      </c>
      <c r="G134" s="9" t="inlineStr">
        <is>
          <t>GSU-3</t>
        </is>
      </c>
      <c r="H134" s="9" t="inlineStr">
        <is>
          <t>GSU-3: 21/230 kV generator step-up transformer</t>
        </is>
      </c>
      <c r="I134" s="9" t="inlineStr">
        <is>
          <t>Control</t>
        </is>
      </c>
      <c r="J134" s="9" t="inlineStr">
        <is>
          <t>Control cable 600 V Type TC-ER, Cu #14 AWG, PVC jacket</t>
        </is>
      </c>
      <c r="K134" s="9" t="inlineStr">
        <is>
          <t>CT|7/C|14</t>
        </is>
      </c>
      <c r="L134" s="9" t="inlineStr">
        <is>
          <t>7/C</t>
        </is>
      </c>
      <c r="M134" s="9" t="inlineStr">
        <is>
          <t>14</t>
        </is>
      </c>
      <c r="N134" s="9" t="n">
        <v>1</v>
      </c>
      <c r="O134" s="9" t="n">
        <v>1</v>
      </c>
      <c r="P134" s="9" t="n"/>
      <c r="Q134" s="9" t="n"/>
      <c r="R134" s="9" t="n"/>
      <c r="S134" s="9" t="inlineStr">
        <is>
          <t>Tray</t>
        </is>
      </c>
      <c r="T134" s="10" t="n">
        <v>568</v>
      </c>
      <c r="U134" s="10" t="n">
        <v>134</v>
      </c>
      <c r="V134" s="10">
        <f>ROUNDUP((T134+U134+2*'Read Me'!$B$13)*(1+'Read Me'!$B$12),-1)</f>
        <v/>
      </c>
      <c r="W134" s="10">
        <f>V134*N134*O134</f>
        <v/>
      </c>
      <c r="X134" s="9">
        <f>IF(LEFT(I134,2)="MV",2*N134*IF(L134="1/C",O134,1),0)</f>
        <v/>
      </c>
      <c r="Y134" s="9">
        <f>IF(OR(LEFT(K134,4)="LVAX",LEFT(K134,6)="MV15AX",LEFT(K134,4)="CTAX",LEFT(K134,2)="W|"),2*N134*O134,0)</f>
        <v/>
      </c>
      <c r="Z134" s="9" t="inlineStr"/>
    </row>
    <row r="135">
      <c r="A135" s="9" t="inlineStr">
        <is>
          <t>A-C-0123</t>
        </is>
      </c>
      <c r="B135" s="9" t="inlineStr">
        <is>
          <t>A</t>
        </is>
      </c>
      <c r="C135" s="9" t="inlineStr">
        <is>
          <t>Power block</t>
        </is>
      </c>
      <c r="D135" s="9" t="inlineStr">
        <is>
          <t>Control</t>
        </is>
      </c>
      <c r="E135" s="9" t="inlineStr">
        <is>
          <t>R3</t>
        </is>
      </c>
      <c r="F135" s="9" t="inlineStr">
        <is>
          <t>R3: ST auxiliary electrical e-house (40 x 65 ft)</t>
        </is>
      </c>
      <c r="G135" s="9" t="inlineStr">
        <is>
          <t>GSU-3</t>
        </is>
      </c>
      <c r="H135" s="9" t="inlineStr">
        <is>
          <t>GSU-3: 21/230 kV generator step-up transformer</t>
        </is>
      </c>
      <c r="I135" s="9" t="inlineStr">
        <is>
          <t>Control</t>
        </is>
      </c>
      <c r="J135" s="9" t="inlineStr">
        <is>
          <t>Control cable 600 V Type TC-ER, Cu #14 AWG, PVC jacket</t>
        </is>
      </c>
      <c r="K135" s="9" t="inlineStr">
        <is>
          <t>CT|12/C|14</t>
        </is>
      </c>
      <c r="L135" s="9" t="inlineStr">
        <is>
          <t>12/C</t>
        </is>
      </c>
      <c r="M135" s="9" t="inlineStr">
        <is>
          <t>14</t>
        </is>
      </c>
      <c r="N135" s="9" t="n">
        <v>1</v>
      </c>
      <c r="O135" s="9" t="n">
        <v>1</v>
      </c>
      <c r="P135" s="9" t="n"/>
      <c r="Q135" s="9" t="n"/>
      <c r="R135" s="9" t="n"/>
      <c r="S135" s="9" t="inlineStr">
        <is>
          <t>Tray</t>
        </is>
      </c>
      <c r="T135" s="10" t="n">
        <v>568</v>
      </c>
      <c r="U135" s="10" t="n">
        <v>134</v>
      </c>
      <c r="V135" s="10">
        <f>ROUNDUP((T135+U135+2*'Read Me'!$B$13)*(1+'Read Me'!$B$12),-1)</f>
        <v/>
      </c>
      <c r="W135" s="10">
        <f>V135*N135*O135</f>
        <v/>
      </c>
      <c r="X135" s="9">
        <f>IF(LEFT(I135,2)="MV",2*N135*IF(L135="1/C",O135,1),0)</f>
        <v/>
      </c>
      <c r="Y135" s="9">
        <f>IF(OR(LEFT(K135,4)="LVAX",LEFT(K135,6)="MV15AX",LEFT(K135,4)="CTAX",LEFT(K135,2)="W|"),2*N135*O135,0)</f>
        <v/>
      </c>
      <c r="Z135" s="9" t="inlineStr"/>
    </row>
    <row r="136">
      <c r="A136" s="9" t="inlineStr">
        <is>
          <t>A-C-0124</t>
        </is>
      </c>
      <c r="B136" s="9" t="inlineStr">
        <is>
          <t>A</t>
        </is>
      </c>
      <c r="C136" s="9" t="inlineStr">
        <is>
          <t>Power block</t>
        </is>
      </c>
      <c r="D136" s="9" t="inlineStr">
        <is>
          <t>CT / VT</t>
        </is>
      </c>
      <c r="E136" s="9" t="inlineStr">
        <is>
          <t>R3</t>
        </is>
      </c>
      <c r="F136" s="9" t="inlineStr">
        <is>
          <t>R3: ST auxiliary electrical e-house (40 x 65 ft)</t>
        </is>
      </c>
      <c r="G136" s="9" t="inlineStr">
        <is>
          <t>GSU-3</t>
        </is>
      </c>
      <c r="H136" s="9" t="inlineStr">
        <is>
          <t>GSU-3: 21/230 kV generator step-up transformer</t>
        </is>
      </c>
      <c r="I136" s="9" t="inlineStr">
        <is>
          <t>Control</t>
        </is>
      </c>
      <c r="J136" s="9" t="inlineStr">
        <is>
          <t>Control cable 600 V Type TC-ER, Cu #10 AWG (CT / VT circuits)</t>
        </is>
      </c>
      <c r="K136" s="9" t="inlineStr">
        <is>
          <t>CTCT|4/C|10</t>
        </is>
      </c>
      <c r="L136" s="9" t="inlineStr">
        <is>
          <t>4/C</t>
        </is>
      </c>
      <c r="M136" s="9" t="inlineStr">
        <is>
          <t>10</t>
        </is>
      </c>
      <c r="N136" s="9" t="n">
        <v>1</v>
      </c>
      <c r="O136" s="9" t="n">
        <v>1</v>
      </c>
      <c r="P136" s="9" t="n"/>
      <c r="Q136" s="9" t="n"/>
      <c r="R136" s="9" t="n"/>
      <c r="S136" s="9" t="inlineStr">
        <is>
          <t>Tray</t>
        </is>
      </c>
      <c r="T136" s="10" t="n">
        <v>568</v>
      </c>
      <c r="U136" s="10" t="n">
        <v>134</v>
      </c>
      <c r="V136" s="10">
        <f>ROUNDUP((T136+U136+2*'Read Me'!$B$13)*(1+'Read Me'!$B$12),-1)</f>
        <v/>
      </c>
      <c r="W136" s="10">
        <f>V136*N136*O136</f>
        <v/>
      </c>
      <c r="X136" s="9">
        <f>IF(LEFT(I136,2)="MV",2*N136*IF(L136="1/C",O136,1),0)</f>
        <v/>
      </c>
      <c r="Y136" s="9">
        <f>IF(OR(LEFT(K136,4)="LVAX",LEFT(K136,6)="MV15AX",LEFT(K136,4)="CTAX",LEFT(K136,2)="W|"),2*N136*O136,0)</f>
        <v/>
      </c>
      <c r="Z136" s="9" t="inlineStr"/>
    </row>
    <row r="137">
      <c r="A137" s="9" t="inlineStr">
        <is>
          <t>A-C-0125</t>
        </is>
      </c>
      <c r="B137" s="9" t="inlineStr">
        <is>
          <t>A</t>
        </is>
      </c>
      <c r="C137" s="9" t="inlineStr">
        <is>
          <t>Power block</t>
        </is>
      </c>
      <c r="D137" s="9" t="inlineStr">
        <is>
          <t>CT / VT</t>
        </is>
      </c>
      <c r="E137" s="9" t="inlineStr">
        <is>
          <t>R3</t>
        </is>
      </c>
      <c r="F137" s="9" t="inlineStr">
        <is>
          <t>R3: ST auxiliary electrical e-house (40 x 65 ft)</t>
        </is>
      </c>
      <c r="G137" s="9" t="inlineStr">
        <is>
          <t>GSU-3</t>
        </is>
      </c>
      <c r="H137" s="9" t="inlineStr">
        <is>
          <t>GSU-3: 21/230 kV generator step-up transformer</t>
        </is>
      </c>
      <c r="I137" s="9" t="inlineStr">
        <is>
          <t>Control</t>
        </is>
      </c>
      <c r="J137" s="9" t="inlineStr">
        <is>
          <t>Control cable 600 V Type TC-ER, Cu #10 AWG (CT / VT circuits)</t>
        </is>
      </c>
      <c r="K137" s="9" t="inlineStr">
        <is>
          <t>CTCT|4/C|10</t>
        </is>
      </c>
      <c r="L137" s="9" t="inlineStr">
        <is>
          <t>4/C</t>
        </is>
      </c>
      <c r="M137" s="9" t="inlineStr">
        <is>
          <t>10</t>
        </is>
      </c>
      <c r="N137" s="9" t="n">
        <v>1</v>
      </c>
      <c r="O137" s="9" t="n">
        <v>1</v>
      </c>
      <c r="P137" s="9" t="n"/>
      <c r="Q137" s="9" t="n"/>
      <c r="R137" s="9" t="n"/>
      <c r="S137" s="9" t="inlineStr">
        <is>
          <t>Tray</t>
        </is>
      </c>
      <c r="T137" s="10" t="n">
        <v>568</v>
      </c>
      <c r="U137" s="10" t="n">
        <v>134</v>
      </c>
      <c r="V137" s="10">
        <f>ROUNDUP((T137+U137+2*'Read Me'!$B$13)*(1+'Read Me'!$B$12),-1)</f>
        <v/>
      </c>
      <c r="W137" s="10">
        <f>V137*N137*O137</f>
        <v/>
      </c>
      <c r="X137" s="9">
        <f>IF(LEFT(I137,2)="MV",2*N137*IF(L137="1/C",O137,1),0)</f>
        <v/>
      </c>
      <c r="Y137" s="9">
        <f>IF(OR(LEFT(K137,4)="LVAX",LEFT(K137,6)="MV15AX",LEFT(K137,4)="CTAX",LEFT(K137,2)="W|"),2*N137*O137,0)</f>
        <v/>
      </c>
      <c r="Z137" s="9" t="inlineStr"/>
    </row>
    <row r="138">
      <c r="A138" s="9" t="inlineStr">
        <is>
          <t>A-C-0126</t>
        </is>
      </c>
      <c r="B138" s="9" t="inlineStr">
        <is>
          <t>A</t>
        </is>
      </c>
      <c r="C138" s="9" t="inlineStr">
        <is>
          <t>Power block</t>
        </is>
      </c>
      <c r="D138" s="9" t="inlineStr">
        <is>
          <t>Control</t>
        </is>
      </c>
      <c r="E138" s="9" t="inlineStr">
        <is>
          <t>R3</t>
        </is>
      </c>
      <c r="F138" s="9" t="inlineStr">
        <is>
          <t>R3: ST auxiliary electrical e-house (40 x 65 ft)</t>
        </is>
      </c>
      <c r="G138" s="9" t="inlineStr">
        <is>
          <t>GSU-ST</t>
        </is>
      </c>
      <c r="H138" s="9" t="inlineStr">
        <is>
          <t>GSU-ST: 21/230 kV (one ST GSU, baseline)</t>
        </is>
      </c>
      <c r="I138" s="9" t="inlineStr">
        <is>
          <t>Control</t>
        </is>
      </c>
      <c r="J138" s="9" t="inlineStr">
        <is>
          <t>Control cable 600 V Type TC-ER, Cu #14 AWG, PVC jacket</t>
        </is>
      </c>
      <c r="K138" s="9" t="inlineStr">
        <is>
          <t>CT|7/C|14</t>
        </is>
      </c>
      <c r="L138" s="9" t="inlineStr">
        <is>
          <t>7/C</t>
        </is>
      </c>
      <c r="M138" s="9" t="inlineStr">
        <is>
          <t>14</t>
        </is>
      </c>
      <c r="N138" s="9" t="n">
        <v>1</v>
      </c>
      <c r="O138" s="9" t="n">
        <v>1</v>
      </c>
      <c r="P138" s="9" t="n"/>
      <c r="Q138" s="9" t="n"/>
      <c r="R138" s="9" t="n"/>
      <c r="S138" s="9" t="inlineStr">
        <is>
          <t>Tray</t>
        </is>
      </c>
      <c r="T138" s="10" t="n">
        <v>687</v>
      </c>
      <c r="U138" s="10" t="n">
        <v>110</v>
      </c>
      <c r="V138" s="10">
        <f>ROUNDUP((T138+U138+2*'Read Me'!$B$13)*(1+'Read Me'!$B$12),-1)</f>
        <v/>
      </c>
      <c r="W138" s="10">
        <f>V138*N138*O138</f>
        <v/>
      </c>
      <c r="X138" s="9">
        <f>IF(LEFT(I138,2)="MV",2*N138*IF(L138="1/C",O138,1),0)</f>
        <v/>
      </c>
      <c r="Y138" s="9">
        <f>IF(OR(LEFT(K138,4)="LVAX",LEFT(K138,6)="MV15AX",LEFT(K138,4)="CTAX",LEFT(K138,2)="W|"),2*N138*O138,0)</f>
        <v/>
      </c>
      <c r="Z138" s="9" t="inlineStr"/>
    </row>
    <row r="139">
      <c r="A139" s="9" t="inlineStr">
        <is>
          <t>A-C-0127</t>
        </is>
      </c>
      <c r="B139" s="9" t="inlineStr">
        <is>
          <t>A</t>
        </is>
      </c>
      <c r="C139" s="9" t="inlineStr">
        <is>
          <t>Power block</t>
        </is>
      </c>
      <c r="D139" s="9" t="inlineStr">
        <is>
          <t>Control</t>
        </is>
      </c>
      <c r="E139" s="9" t="inlineStr">
        <is>
          <t>R3</t>
        </is>
      </c>
      <c r="F139" s="9" t="inlineStr">
        <is>
          <t>R3: ST auxiliary electrical e-house (40 x 65 ft)</t>
        </is>
      </c>
      <c r="G139" s="9" t="inlineStr">
        <is>
          <t>GSU-ST</t>
        </is>
      </c>
      <c r="H139" s="9" t="inlineStr">
        <is>
          <t>GSU-ST: 21/230 kV (one ST GSU, baseline)</t>
        </is>
      </c>
      <c r="I139" s="9" t="inlineStr">
        <is>
          <t>Control</t>
        </is>
      </c>
      <c r="J139" s="9" t="inlineStr">
        <is>
          <t>Control cable 600 V Type TC-ER, Cu #14 AWG, PVC jacket</t>
        </is>
      </c>
      <c r="K139" s="9" t="inlineStr">
        <is>
          <t>CT|12/C|14</t>
        </is>
      </c>
      <c r="L139" s="9" t="inlineStr">
        <is>
          <t>12/C</t>
        </is>
      </c>
      <c r="M139" s="9" t="inlineStr">
        <is>
          <t>14</t>
        </is>
      </c>
      <c r="N139" s="9" t="n">
        <v>1</v>
      </c>
      <c r="O139" s="9" t="n">
        <v>1</v>
      </c>
      <c r="P139" s="9" t="n"/>
      <c r="Q139" s="9" t="n"/>
      <c r="R139" s="9" t="n"/>
      <c r="S139" s="9" t="inlineStr">
        <is>
          <t>Tray</t>
        </is>
      </c>
      <c r="T139" s="10" t="n">
        <v>687</v>
      </c>
      <c r="U139" s="10" t="n">
        <v>110</v>
      </c>
      <c r="V139" s="10">
        <f>ROUNDUP((T139+U139+2*'Read Me'!$B$13)*(1+'Read Me'!$B$12),-1)</f>
        <v/>
      </c>
      <c r="W139" s="10">
        <f>V139*N139*O139</f>
        <v/>
      </c>
      <c r="X139" s="9">
        <f>IF(LEFT(I139,2)="MV",2*N139*IF(L139="1/C",O139,1),0)</f>
        <v/>
      </c>
      <c r="Y139" s="9">
        <f>IF(OR(LEFT(K139,4)="LVAX",LEFT(K139,6)="MV15AX",LEFT(K139,4)="CTAX",LEFT(K139,2)="W|"),2*N139*O139,0)</f>
        <v/>
      </c>
      <c r="Z139" s="9" t="inlineStr"/>
    </row>
    <row r="140">
      <c r="A140" s="9" t="inlineStr">
        <is>
          <t>A-C-0128</t>
        </is>
      </c>
      <c r="B140" s="9" t="inlineStr">
        <is>
          <t>A</t>
        </is>
      </c>
      <c r="C140" s="9" t="inlineStr">
        <is>
          <t>Power block</t>
        </is>
      </c>
      <c r="D140" s="9" t="inlineStr">
        <is>
          <t>CT / VT</t>
        </is>
      </c>
      <c r="E140" s="9" t="inlineStr">
        <is>
          <t>R3</t>
        </is>
      </c>
      <c r="F140" s="9" t="inlineStr">
        <is>
          <t>R3: ST auxiliary electrical e-house (40 x 65 ft)</t>
        </is>
      </c>
      <c r="G140" s="9" t="inlineStr">
        <is>
          <t>GSU-ST</t>
        </is>
      </c>
      <c r="H140" s="9" t="inlineStr">
        <is>
          <t>GSU-ST: 21/230 kV (one ST GSU, baseline)</t>
        </is>
      </c>
      <c r="I140" s="9" t="inlineStr">
        <is>
          <t>Control</t>
        </is>
      </c>
      <c r="J140" s="9" t="inlineStr">
        <is>
          <t>Control cable 600 V Type TC-ER, Cu #10 AWG (CT / VT circuits)</t>
        </is>
      </c>
      <c r="K140" s="9" t="inlineStr">
        <is>
          <t>CTCT|4/C|10</t>
        </is>
      </c>
      <c r="L140" s="9" t="inlineStr">
        <is>
          <t>4/C</t>
        </is>
      </c>
      <c r="M140" s="9" t="inlineStr">
        <is>
          <t>10</t>
        </is>
      </c>
      <c r="N140" s="9" t="n">
        <v>1</v>
      </c>
      <c r="O140" s="9" t="n">
        <v>1</v>
      </c>
      <c r="P140" s="9" t="n"/>
      <c r="Q140" s="9" t="n"/>
      <c r="R140" s="9" t="n"/>
      <c r="S140" s="9" t="inlineStr">
        <is>
          <t>Tray</t>
        </is>
      </c>
      <c r="T140" s="10" t="n">
        <v>687</v>
      </c>
      <c r="U140" s="10" t="n">
        <v>110</v>
      </c>
      <c r="V140" s="10">
        <f>ROUNDUP((T140+U140+2*'Read Me'!$B$13)*(1+'Read Me'!$B$12),-1)</f>
        <v/>
      </c>
      <c r="W140" s="10">
        <f>V140*N140*O140</f>
        <v/>
      </c>
      <c r="X140" s="9">
        <f>IF(LEFT(I140,2)="MV",2*N140*IF(L140="1/C",O140,1),0)</f>
        <v/>
      </c>
      <c r="Y140" s="9">
        <f>IF(OR(LEFT(K140,4)="LVAX",LEFT(K140,6)="MV15AX",LEFT(K140,4)="CTAX",LEFT(K140,2)="W|"),2*N140*O140,0)</f>
        <v/>
      </c>
      <c r="Z140" s="9" t="inlineStr"/>
    </row>
    <row r="141">
      <c r="A141" s="9" t="inlineStr">
        <is>
          <t>A-C-0129</t>
        </is>
      </c>
      <c r="B141" s="9" t="inlineStr">
        <is>
          <t>A</t>
        </is>
      </c>
      <c r="C141" s="9" t="inlineStr">
        <is>
          <t>Power block</t>
        </is>
      </c>
      <c r="D141" s="9" t="inlineStr">
        <is>
          <t>CT / VT</t>
        </is>
      </c>
      <c r="E141" s="9" t="inlineStr">
        <is>
          <t>R3</t>
        </is>
      </c>
      <c r="F141" s="9" t="inlineStr">
        <is>
          <t>R3: ST auxiliary electrical e-house (40 x 65 ft)</t>
        </is>
      </c>
      <c r="G141" s="9" t="inlineStr">
        <is>
          <t>GSU-ST</t>
        </is>
      </c>
      <c r="H141" s="9" t="inlineStr">
        <is>
          <t>GSU-ST: 21/230 kV (one ST GSU, baseline)</t>
        </is>
      </c>
      <c r="I141" s="9" t="inlineStr">
        <is>
          <t>Control</t>
        </is>
      </c>
      <c r="J141" s="9" t="inlineStr">
        <is>
          <t>Control cable 600 V Type TC-ER, Cu #10 AWG (CT / VT circuits)</t>
        </is>
      </c>
      <c r="K141" s="9" t="inlineStr">
        <is>
          <t>CTCT|4/C|10</t>
        </is>
      </c>
      <c r="L141" s="9" t="inlineStr">
        <is>
          <t>4/C</t>
        </is>
      </c>
      <c r="M141" s="9" t="inlineStr">
        <is>
          <t>10</t>
        </is>
      </c>
      <c r="N141" s="9" t="n">
        <v>1</v>
      </c>
      <c r="O141" s="9" t="n">
        <v>1</v>
      </c>
      <c r="P141" s="9" t="n"/>
      <c r="Q141" s="9" t="n"/>
      <c r="R141" s="9" t="n"/>
      <c r="S141" s="9" t="inlineStr">
        <is>
          <t>Tray</t>
        </is>
      </c>
      <c r="T141" s="10" t="n">
        <v>687</v>
      </c>
      <c r="U141" s="10" t="n">
        <v>110</v>
      </c>
      <c r="V141" s="10">
        <f>ROUNDUP((T141+U141+2*'Read Me'!$B$13)*(1+'Read Me'!$B$12),-1)</f>
        <v/>
      </c>
      <c r="W141" s="10">
        <f>V141*N141*O141</f>
        <v/>
      </c>
      <c r="X141" s="9">
        <f>IF(LEFT(I141,2)="MV",2*N141*IF(L141="1/C",O141,1),0)</f>
        <v/>
      </c>
      <c r="Y141" s="9">
        <f>IF(OR(LEFT(K141,4)="LVAX",LEFT(K141,6)="MV15AX",LEFT(K141,4)="CTAX",LEFT(K141,2)="W|"),2*N141*O141,0)</f>
        <v/>
      </c>
      <c r="Z141" s="9" t="inlineStr"/>
    </row>
    <row r="142">
      <c r="A142" s="9" t="inlineStr">
        <is>
          <t>A-C-0130</t>
        </is>
      </c>
      <c r="B142" s="9" t="inlineStr">
        <is>
          <t>A</t>
        </is>
      </c>
      <c r="C142" s="9" t="inlineStr">
        <is>
          <t>Power block</t>
        </is>
      </c>
      <c r="D142" s="9" t="inlineStr">
        <is>
          <t>Control</t>
        </is>
      </c>
      <c r="E142" s="9" t="inlineStr">
        <is>
          <t>R2B</t>
        </is>
      </c>
      <c r="F142" s="9" t="inlineStr">
        <is>
          <t>R2B: unit / HRSG electrical e-house (32 x 40 ft)</t>
        </is>
      </c>
      <c r="G142" s="9" t="inlineStr">
        <is>
          <t>GT1 aux</t>
        </is>
      </c>
      <c r="H142" s="9" t="inlineStr">
        <is>
          <t>GT1 aux: lube oil, hydraulics, enclosure fans</t>
        </is>
      </c>
      <c r="I142" s="9" t="inlineStr">
        <is>
          <t>Control</t>
        </is>
      </c>
      <c r="J142" s="9" t="inlineStr">
        <is>
          <t>ARMOR-X MC-HL 600 V control, Cu #14 AWG (Class I Div 2)</t>
        </is>
      </c>
      <c r="K142" s="9" t="inlineStr">
        <is>
          <t>CTAX|7/C|14</t>
        </is>
      </c>
      <c r="L142" s="9" t="inlineStr">
        <is>
          <t>7/C</t>
        </is>
      </c>
      <c r="M142" s="9" t="inlineStr">
        <is>
          <t>14</t>
        </is>
      </c>
      <c r="N142" s="9" t="n">
        <v>1</v>
      </c>
      <c r="O142" s="9" t="n">
        <v>1</v>
      </c>
      <c r="P142" s="9" t="n"/>
      <c r="Q142" s="9" t="n"/>
      <c r="R142" s="9" t="n"/>
      <c r="S142" s="9" t="inlineStr">
        <is>
          <t>Tray</t>
        </is>
      </c>
      <c r="T142" s="10" t="n">
        <v>803</v>
      </c>
      <c r="U142" s="10" t="n">
        <v>121</v>
      </c>
      <c r="V142" s="10">
        <f>ROUNDUP((T142+U142+2*'Read Me'!$B$13)*(1+'Read Me'!$B$12),-1)</f>
        <v/>
      </c>
      <c r="W142" s="10">
        <f>V142*N142*O142</f>
        <v/>
      </c>
      <c r="X142" s="9">
        <f>IF(LEFT(I142,2)="MV",2*N142*IF(L142="1/C",O142,1),0)</f>
        <v/>
      </c>
      <c r="Y142" s="9">
        <f>IF(OR(LEFT(K142,4)="LVAX",LEFT(K142,6)="MV15AX",LEFT(K142,4)="CTAX",LEFT(K142,2)="W|"),2*N142*O142,0)</f>
        <v/>
      </c>
      <c r="Z142" s="9" t="inlineStr"/>
    </row>
    <row r="143">
      <c r="A143" s="9" t="inlineStr">
        <is>
          <t>A-C-0131</t>
        </is>
      </c>
      <c r="B143" s="9" t="inlineStr">
        <is>
          <t>A</t>
        </is>
      </c>
      <c r="C143" s="9" t="inlineStr">
        <is>
          <t>Power block</t>
        </is>
      </c>
      <c r="D143" s="9" t="inlineStr">
        <is>
          <t>Control</t>
        </is>
      </c>
      <c r="E143" s="9" t="inlineStr">
        <is>
          <t>R2A</t>
        </is>
      </c>
      <c r="F143" s="9" t="inlineStr">
        <is>
          <t>R2A: unit / HRSG electrical e-house (32 x 40 ft)</t>
        </is>
      </c>
      <c r="G143" s="9" t="inlineStr">
        <is>
          <t>GT1</t>
        </is>
      </c>
      <c r="H143" s="9" t="inlineStr">
        <is>
          <t>GT1: H-class gas turbine (60 Hz)</t>
        </is>
      </c>
      <c r="I143" s="9" t="inlineStr">
        <is>
          <t>Control</t>
        </is>
      </c>
      <c r="J143" s="9" t="inlineStr">
        <is>
          <t>ARMOR-X MC-HL 600 V control, Cu #14 AWG (Class I Div 2)</t>
        </is>
      </c>
      <c r="K143" s="9" t="inlineStr">
        <is>
          <t>CTAX|7/C|14</t>
        </is>
      </c>
      <c r="L143" s="9" t="inlineStr">
        <is>
          <t>7/C</t>
        </is>
      </c>
      <c r="M143" s="9" t="inlineStr">
        <is>
          <t>14</t>
        </is>
      </c>
      <c r="N143" s="9" t="n">
        <v>1</v>
      </c>
      <c r="O143" s="9" t="n">
        <v>1</v>
      </c>
      <c r="P143" s="9" t="n"/>
      <c r="Q143" s="9" t="n"/>
      <c r="R143" s="9" t="n"/>
      <c r="S143" s="9" t="inlineStr">
        <is>
          <t>Tray</t>
        </is>
      </c>
      <c r="T143" s="10" t="n">
        <v>154</v>
      </c>
      <c r="U143" s="10" t="n">
        <v>103</v>
      </c>
      <c r="V143" s="10">
        <f>ROUNDUP((T143+U143+2*'Read Me'!$B$13)*(1+'Read Me'!$B$12),-1)</f>
        <v/>
      </c>
      <c r="W143" s="10">
        <f>V143*N143*O143</f>
        <v/>
      </c>
      <c r="X143" s="9">
        <f>IF(LEFT(I143,2)="MV",2*N143*IF(L143="1/C",O143,1),0)</f>
        <v/>
      </c>
      <c r="Y143" s="9">
        <f>IF(OR(LEFT(K143,4)="LVAX",LEFT(K143,6)="MV15AX",LEFT(K143,4)="CTAX",LEFT(K143,2)="W|"),2*N143*O143,0)</f>
        <v/>
      </c>
      <c r="Z143" s="9" t="inlineStr"/>
    </row>
    <row r="144">
      <c r="A144" s="9" t="inlineStr">
        <is>
          <t>A-C-0132</t>
        </is>
      </c>
      <c r="B144" s="9" t="inlineStr">
        <is>
          <t>A</t>
        </is>
      </c>
      <c r="C144" s="9" t="inlineStr">
        <is>
          <t>Power block</t>
        </is>
      </c>
      <c r="D144" s="9" t="inlineStr">
        <is>
          <t>Control</t>
        </is>
      </c>
      <c r="E144" s="9" t="inlineStr">
        <is>
          <t>R2A</t>
        </is>
      </c>
      <c r="F144" s="9" t="inlineStr">
        <is>
          <t>R2A: unit / HRSG electrical e-house (32 x 40 ft)</t>
        </is>
      </c>
      <c r="G144" s="9" t="inlineStr">
        <is>
          <t>GT1</t>
        </is>
      </c>
      <c r="H144" s="9" t="inlineStr">
        <is>
          <t>GT1: H-class gas turbine (60 Hz)</t>
        </is>
      </c>
      <c r="I144" s="9" t="inlineStr">
        <is>
          <t>Control</t>
        </is>
      </c>
      <c r="J144" s="9" t="inlineStr">
        <is>
          <t>ARMOR-X MC-HL 600 V control, Cu #14 AWG (Class I Div 2)</t>
        </is>
      </c>
      <c r="K144" s="9" t="inlineStr">
        <is>
          <t>CTAX|7/C|14</t>
        </is>
      </c>
      <c r="L144" s="9" t="inlineStr">
        <is>
          <t>7/C</t>
        </is>
      </c>
      <c r="M144" s="9" t="inlineStr">
        <is>
          <t>14</t>
        </is>
      </c>
      <c r="N144" s="9" t="n">
        <v>1</v>
      </c>
      <c r="O144" s="9" t="n">
        <v>1</v>
      </c>
      <c r="P144" s="9" t="n"/>
      <c r="Q144" s="9" t="n"/>
      <c r="R144" s="9" t="n"/>
      <c r="S144" s="9" t="inlineStr">
        <is>
          <t>Tray</t>
        </is>
      </c>
      <c r="T144" s="10" t="n">
        <v>154</v>
      </c>
      <c r="U144" s="10" t="n">
        <v>103</v>
      </c>
      <c r="V144" s="10">
        <f>ROUNDUP((T144+U144+2*'Read Me'!$B$13)*(1+'Read Me'!$B$12),-1)</f>
        <v/>
      </c>
      <c r="W144" s="10">
        <f>V144*N144*O144</f>
        <v/>
      </c>
      <c r="X144" s="9">
        <f>IF(LEFT(I144,2)="MV",2*N144*IF(L144="1/C",O144,1),0)</f>
        <v/>
      </c>
      <c r="Y144" s="9">
        <f>IF(OR(LEFT(K144,4)="LVAX",LEFT(K144,6)="MV15AX",LEFT(K144,4)="CTAX",LEFT(K144,2)="W|"),2*N144*O144,0)</f>
        <v/>
      </c>
      <c r="Z144" s="9" t="inlineStr"/>
    </row>
    <row r="145">
      <c r="A145" s="9" t="inlineStr">
        <is>
          <t>A-C-0133</t>
        </is>
      </c>
      <c r="B145" s="9" t="inlineStr">
        <is>
          <t>A</t>
        </is>
      </c>
      <c r="C145" s="9" t="inlineStr">
        <is>
          <t>Power block</t>
        </is>
      </c>
      <c r="D145" s="9" t="inlineStr">
        <is>
          <t>Control</t>
        </is>
      </c>
      <c r="E145" s="9" t="inlineStr">
        <is>
          <t>R2A</t>
        </is>
      </c>
      <c r="F145" s="9" t="inlineStr">
        <is>
          <t>R2A: unit / HRSG electrical e-house (32 x 40 ft)</t>
        </is>
      </c>
      <c r="G145" s="9" t="inlineStr">
        <is>
          <t>GT1</t>
        </is>
      </c>
      <c r="H145" s="9" t="inlineStr">
        <is>
          <t>GT1: H-class gas turbine (60 Hz)</t>
        </is>
      </c>
      <c r="I145" s="9" t="inlineStr">
        <is>
          <t>Control</t>
        </is>
      </c>
      <c r="J145" s="9" t="inlineStr">
        <is>
          <t>ARMOR-X MC-HL 600 V control, Cu #14 AWG (Class I Div 2)</t>
        </is>
      </c>
      <c r="K145" s="9" t="inlineStr">
        <is>
          <t>CTAX|12/C|14</t>
        </is>
      </c>
      <c r="L145" s="9" t="inlineStr">
        <is>
          <t>12/C</t>
        </is>
      </c>
      <c r="M145" s="9" t="inlineStr">
        <is>
          <t>14</t>
        </is>
      </c>
      <c r="N145" s="9" t="n">
        <v>1</v>
      </c>
      <c r="O145" s="9" t="n">
        <v>1</v>
      </c>
      <c r="P145" s="9" t="n"/>
      <c r="Q145" s="9" t="n"/>
      <c r="R145" s="9" t="n"/>
      <c r="S145" s="9" t="inlineStr">
        <is>
          <t>Tray</t>
        </is>
      </c>
      <c r="T145" s="10" t="n">
        <v>154</v>
      </c>
      <c r="U145" s="10" t="n">
        <v>103</v>
      </c>
      <c r="V145" s="10">
        <f>ROUNDUP((T145+U145+2*'Read Me'!$B$13)*(1+'Read Me'!$B$12),-1)</f>
        <v/>
      </c>
      <c r="W145" s="10">
        <f>V145*N145*O145</f>
        <v/>
      </c>
      <c r="X145" s="9">
        <f>IF(LEFT(I145,2)="MV",2*N145*IF(L145="1/C",O145,1),0)</f>
        <v/>
      </c>
      <c r="Y145" s="9">
        <f>IF(OR(LEFT(K145,4)="LVAX",LEFT(K145,6)="MV15AX",LEFT(K145,4)="CTAX",LEFT(K145,2)="W|"),2*N145*O145,0)</f>
        <v/>
      </c>
      <c r="Z145" s="9" t="inlineStr"/>
    </row>
    <row r="146">
      <c r="A146" s="9" t="inlineStr">
        <is>
          <t>A-C-0134</t>
        </is>
      </c>
      <c r="B146" s="9" t="inlineStr">
        <is>
          <t>A</t>
        </is>
      </c>
      <c r="C146" s="9" t="inlineStr">
        <is>
          <t>Power block</t>
        </is>
      </c>
      <c r="D146" s="9" t="inlineStr">
        <is>
          <t>Control</t>
        </is>
      </c>
      <c r="E146" s="9" t="inlineStr">
        <is>
          <t>R2A</t>
        </is>
      </c>
      <c r="F146" s="9" t="inlineStr">
        <is>
          <t>R2A: unit / HRSG electrical e-house (32 x 40 ft)</t>
        </is>
      </c>
      <c r="G146" s="9" t="inlineStr">
        <is>
          <t>GT1</t>
        </is>
      </c>
      <c r="H146" s="9" t="inlineStr">
        <is>
          <t>GT1: H-class gas turbine (60 Hz)</t>
        </is>
      </c>
      <c r="I146" s="9" t="inlineStr">
        <is>
          <t>Control</t>
        </is>
      </c>
      <c r="J146" s="9" t="inlineStr">
        <is>
          <t>ARMOR-X MC-HL 600 V control, Cu #14 AWG (Class I Div 2)</t>
        </is>
      </c>
      <c r="K146" s="9" t="inlineStr">
        <is>
          <t>CTAX|12/C|14</t>
        </is>
      </c>
      <c r="L146" s="9" t="inlineStr">
        <is>
          <t>12/C</t>
        </is>
      </c>
      <c r="M146" s="9" t="inlineStr">
        <is>
          <t>14</t>
        </is>
      </c>
      <c r="N146" s="9" t="n">
        <v>1</v>
      </c>
      <c r="O146" s="9" t="n">
        <v>1</v>
      </c>
      <c r="P146" s="9" t="n"/>
      <c r="Q146" s="9" t="n"/>
      <c r="R146" s="9" t="n"/>
      <c r="S146" s="9" t="inlineStr">
        <is>
          <t>Tray</t>
        </is>
      </c>
      <c r="T146" s="10" t="n">
        <v>154</v>
      </c>
      <c r="U146" s="10" t="n">
        <v>103</v>
      </c>
      <c r="V146" s="10">
        <f>ROUNDUP((T146+U146+2*'Read Me'!$B$13)*(1+'Read Me'!$B$12),-1)</f>
        <v/>
      </c>
      <c r="W146" s="10">
        <f>V146*N146*O146</f>
        <v/>
      </c>
      <c r="X146" s="9">
        <f>IF(LEFT(I146,2)="MV",2*N146*IF(L146="1/C",O146,1),0)</f>
        <v/>
      </c>
      <c r="Y146" s="9">
        <f>IF(OR(LEFT(K146,4)="LVAX",LEFT(K146,6)="MV15AX",LEFT(K146,4)="CTAX",LEFT(K146,2)="W|"),2*N146*O146,0)</f>
        <v/>
      </c>
      <c r="Z146" s="9" t="inlineStr"/>
    </row>
    <row r="147">
      <c r="A147" s="9" t="inlineStr">
        <is>
          <t>A-C-0135</t>
        </is>
      </c>
      <c r="B147" s="9" t="inlineStr">
        <is>
          <t>A</t>
        </is>
      </c>
      <c r="C147" s="9" t="inlineStr">
        <is>
          <t>Power block</t>
        </is>
      </c>
      <c r="D147" s="9" t="inlineStr">
        <is>
          <t>Control</t>
        </is>
      </c>
      <c r="E147" s="9" t="inlineStr">
        <is>
          <t>R2A</t>
        </is>
      </c>
      <c r="F147" s="9" t="inlineStr">
        <is>
          <t>R2A: unit / HRSG electrical e-house (32 x 40 ft)</t>
        </is>
      </c>
      <c r="G147" s="9" t="inlineStr">
        <is>
          <t>GT1</t>
        </is>
      </c>
      <c r="H147" s="9" t="inlineStr">
        <is>
          <t>GT1: H-class gas turbine (60 Hz)</t>
        </is>
      </c>
      <c r="I147" s="9" t="inlineStr">
        <is>
          <t>Control</t>
        </is>
      </c>
      <c r="J147" s="9" t="inlineStr">
        <is>
          <t>ARMOR-X MC-HL 600 V control, Cu #14 AWG (Class I Div 2)</t>
        </is>
      </c>
      <c r="K147" s="9" t="inlineStr">
        <is>
          <t>CTAX|12/C|14</t>
        </is>
      </c>
      <c r="L147" s="9" t="inlineStr">
        <is>
          <t>12/C</t>
        </is>
      </c>
      <c r="M147" s="9" t="inlineStr">
        <is>
          <t>14</t>
        </is>
      </c>
      <c r="N147" s="9" t="n">
        <v>1</v>
      </c>
      <c r="O147" s="9" t="n">
        <v>1</v>
      </c>
      <c r="P147" s="9" t="n"/>
      <c r="Q147" s="9" t="n"/>
      <c r="R147" s="9" t="n"/>
      <c r="S147" s="9" t="inlineStr">
        <is>
          <t>Tray</t>
        </is>
      </c>
      <c r="T147" s="10" t="n">
        <v>154</v>
      </c>
      <c r="U147" s="10" t="n">
        <v>103</v>
      </c>
      <c r="V147" s="10">
        <f>ROUNDUP((T147+U147+2*'Read Me'!$B$13)*(1+'Read Me'!$B$12),-1)</f>
        <v/>
      </c>
      <c r="W147" s="10">
        <f>V147*N147*O147</f>
        <v/>
      </c>
      <c r="X147" s="9">
        <f>IF(LEFT(I147,2)="MV",2*N147*IF(L147="1/C",O147,1),0)</f>
        <v/>
      </c>
      <c r="Y147" s="9">
        <f>IF(OR(LEFT(K147,4)="LVAX",LEFT(K147,6)="MV15AX",LEFT(K147,4)="CTAX",LEFT(K147,2)="W|"),2*N147*O147,0)</f>
        <v/>
      </c>
      <c r="Z147" s="9" t="inlineStr"/>
    </row>
    <row r="148">
      <c r="A148" s="9" t="inlineStr">
        <is>
          <t>A-C-0136</t>
        </is>
      </c>
      <c r="B148" s="9" t="inlineStr">
        <is>
          <t>A</t>
        </is>
      </c>
      <c r="C148" s="9" t="inlineStr">
        <is>
          <t>Power block</t>
        </is>
      </c>
      <c r="D148" s="9" t="inlineStr">
        <is>
          <t>Control</t>
        </is>
      </c>
      <c r="E148" s="9" t="inlineStr">
        <is>
          <t>R2A</t>
        </is>
      </c>
      <c r="F148" s="9" t="inlineStr">
        <is>
          <t>R2A: unit / HRSG electrical e-house (32 x 40 ft)</t>
        </is>
      </c>
      <c r="G148" s="9" t="inlineStr">
        <is>
          <t>GT1</t>
        </is>
      </c>
      <c r="H148" s="9" t="inlineStr">
        <is>
          <t>GT1: H-class gas turbine (60 Hz)</t>
        </is>
      </c>
      <c r="I148" s="9" t="inlineStr">
        <is>
          <t>Control</t>
        </is>
      </c>
      <c r="J148" s="9" t="inlineStr">
        <is>
          <t>ARMOR-X MC-HL 600 V control, Cu #14 AWG (Class I Div 2)</t>
        </is>
      </c>
      <c r="K148" s="9" t="inlineStr">
        <is>
          <t>CTAX|12/C|14</t>
        </is>
      </c>
      <c r="L148" s="9" t="inlineStr">
        <is>
          <t>12/C</t>
        </is>
      </c>
      <c r="M148" s="9" t="inlineStr">
        <is>
          <t>14</t>
        </is>
      </c>
      <c r="N148" s="9" t="n">
        <v>1</v>
      </c>
      <c r="O148" s="9" t="n">
        <v>1</v>
      </c>
      <c r="P148" s="9" t="n"/>
      <c r="Q148" s="9" t="n"/>
      <c r="R148" s="9" t="n"/>
      <c r="S148" s="9" t="inlineStr">
        <is>
          <t>Tray</t>
        </is>
      </c>
      <c r="T148" s="10" t="n">
        <v>154</v>
      </c>
      <c r="U148" s="10" t="n">
        <v>103</v>
      </c>
      <c r="V148" s="10">
        <f>ROUNDUP((T148+U148+2*'Read Me'!$B$13)*(1+'Read Me'!$B$12),-1)</f>
        <v/>
      </c>
      <c r="W148" s="10">
        <f>V148*N148*O148</f>
        <v/>
      </c>
      <c r="X148" s="9">
        <f>IF(LEFT(I148,2)="MV",2*N148*IF(L148="1/C",O148,1),0)</f>
        <v/>
      </c>
      <c r="Y148" s="9">
        <f>IF(OR(LEFT(K148,4)="LVAX",LEFT(K148,6)="MV15AX",LEFT(K148,4)="CTAX",LEFT(K148,2)="W|"),2*N148*O148,0)</f>
        <v/>
      </c>
      <c r="Z148" s="9" t="inlineStr"/>
    </row>
    <row r="149">
      <c r="A149" s="9" t="inlineStr">
        <is>
          <t>A-C-0137</t>
        </is>
      </c>
      <c r="B149" s="9" t="inlineStr">
        <is>
          <t>A</t>
        </is>
      </c>
      <c r="C149" s="9" t="inlineStr">
        <is>
          <t>Power block</t>
        </is>
      </c>
      <c r="D149" s="9" t="inlineStr">
        <is>
          <t>Control</t>
        </is>
      </c>
      <c r="E149" s="9" t="inlineStr">
        <is>
          <t>R2A</t>
        </is>
      </c>
      <c r="F149" s="9" t="inlineStr">
        <is>
          <t>R2A: unit / HRSG electrical e-house (32 x 40 ft)</t>
        </is>
      </c>
      <c r="G149" s="9" t="inlineStr">
        <is>
          <t>GT1</t>
        </is>
      </c>
      <c r="H149" s="9" t="inlineStr">
        <is>
          <t>GT1: H-class gas turbine (60 Hz)</t>
        </is>
      </c>
      <c r="I149" s="9" t="inlineStr">
        <is>
          <t>Control</t>
        </is>
      </c>
      <c r="J149" s="9" t="inlineStr">
        <is>
          <t>ARMOR-X MC-HL 600 V control, Cu #14 AWG (Class I Div 2)</t>
        </is>
      </c>
      <c r="K149" s="9" t="inlineStr">
        <is>
          <t>CTAX|12/C|14</t>
        </is>
      </c>
      <c r="L149" s="9" t="inlineStr">
        <is>
          <t>12/C</t>
        </is>
      </c>
      <c r="M149" s="9" t="inlineStr">
        <is>
          <t>14</t>
        </is>
      </c>
      <c r="N149" s="9" t="n">
        <v>1</v>
      </c>
      <c r="O149" s="9" t="n">
        <v>1</v>
      </c>
      <c r="P149" s="9" t="n"/>
      <c r="Q149" s="9" t="n"/>
      <c r="R149" s="9" t="n"/>
      <c r="S149" s="9" t="inlineStr">
        <is>
          <t>Tray</t>
        </is>
      </c>
      <c r="T149" s="10" t="n">
        <v>154</v>
      </c>
      <c r="U149" s="10" t="n">
        <v>103</v>
      </c>
      <c r="V149" s="10">
        <f>ROUNDUP((T149+U149+2*'Read Me'!$B$13)*(1+'Read Me'!$B$12),-1)</f>
        <v/>
      </c>
      <c r="W149" s="10">
        <f>V149*N149*O149</f>
        <v/>
      </c>
      <c r="X149" s="9">
        <f>IF(LEFT(I149,2)="MV",2*N149*IF(L149="1/C",O149,1),0)</f>
        <v/>
      </c>
      <c r="Y149" s="9">
        <f>IF(OR(LEFT(K149,4)="LVAX",LEFT(K149,6)="MV15AX",LEFT(K149,4)="CTAX",LEFT(K149,2)="W|"),2*N149*O149,0)</f>
        <v/>
      </c>
      <c r="Z149" s="9" t="inlineStr"/>
    </row>
    <row r="150">
      <c r="A150" s="9" t="inlineStr">
        <is>
          <t>A-C-0138</t>
        </is>
      </c>
      <c r="B150" s="9" t="inlineStr">
        <is>
          <t>A</t>
        </is>
      </c>
      <c r="C150" s="9" t="inlineStr">
        <is>
          <t>Power block</t>
        </is>
      </c>
      <c r="D150" s="9" t="inlineStr">
        <is>
          <t>Control</t>
        </is>
      </c>
      <c r="E150" s="9" t="inlineStr">
        <is>
          <t>R2A</t>
        </is>
      </c>
      <c r="F150" s="9" t="inlineStr">
        <is>
          <t>R2A: unit / HRSG electrical e-house (32 x 40 ft)</t>
        </is>
      </c>
      <c r="G150" s="9" t="inlineStr">
        <is>
          <t>GT1</t>
        </is>
      </c>
      <c r="H150" s="9" t="inlineStr">
        <is>
          <t>GT1: H-class gas turbine (60 Hz)</t>
        </is>
      </c>
      <c r="I150" s="9" t="inlineStr">
        <is>
          <t>Control</t>
        </is>
      </c>
      <c r="J150" s="9" t="inlineStr">
        <is>
          <t>ARMOR-X MC-HL 600 V control, Cu #14 AWG (Class I Div 2)</t>
        </is>
      </c>
      <c r="K150" s="9" t="inlineStr">
        <is>
          <t>CTAX|12/C|14</t>
        </is>
      </c>
      <c r="L150" s="9" t="inlineStr">
        <is>
          <t>12/C</t>
        </is>
      </c>
      <c r="M150" s="9" t="inlineStr">
        <is>
          <t>14</t>
        </is>
      </c>
      <c r="N150" s="9" t="n">
        <v>1</v>
      </c>
      <c r="O150" s="9" t="n">
        <v>1</v>
      </c>
      <c r="P150" s="9" t="n"/>
      <c r="Q150" s="9" t="n"/>
      <c r="R150" s="9" t="n"/>
      <c r="S150" s="9" t="inlineStr">
        <is>
          <t>Tray</t>
        </is>
      </c>
      <c r="T150" s="10" t="n">
        <v>154</v>
      </c>
      <c r="U150" s="10" t="n">
        <v>103</v>
      </c>
      <c r="V150" s="10">
        <f>ROUNDUP((T150+U150+2*'Read Me'!$B$13)*(1+'Read Me'!$B$12),-1)</f>
        <v/>
      </c>
      <c r="W150" s="10">
        <f>V150*N150*O150</f>
        <v/>
      </c>
      <c r="X150" s="9">
        <f>IF(LEFT(I150,2)="MV",2*N150*IF(L150="1/C",O150,1),0)</f>
        <v/>
      </c>
      <c r="Y150" s="9">
        <f>IF(OR(LEFT(K150,4)="LVAX",LEFT(K150,6)="MV15AX",LEFT(K150,4)="CTAX",LEFT(K150,2)="W|"),2*N150*O150,0)</f>
        <v/>
      </c>
      <c r="Z150" s="9" t="inlineStr"/>
    </row>
    <row r="151">
      <c r="A151" s="9" t="inlineStr">
        <is>
          <t>A-C-0139</t>
        </is>
      </c>
      <c r="B151" s="9" t="inlineStr">
        <is>
          <t>A</t>
        </is>
      </c>
      <c r="C151" s="9" t="inlineStr">
        <is>
          <t>Power block</t>
        </is>
      </c>
      <c r="D151" s="9" t="inlineStr">
        <is>
          <t>Control</t>
        </is>
      </c>
      <c r="E151" s="9" t="inlineStr">
        <is>
          <t>R2C</t>
        </is>
      </c>
      <c r="F151" s="9" t="inlineStr">
        <is>
          <t>R2C: unit / HRSG electrical e-house (32 x 40 ft)</t>
        </is>
      </c>
      <c r="G151" s="9" t="inlineStr">
        <is>
          <t>GT2 aux</t>
        </is>
      </c>
      <c r="H151" s="9" t="inlineStr">
        <is>
          <t>GT2 aux: lube oil, hydraulics, enclosure fans</t>
        </is>
      </c>
      <c r="I151" s="9" t="inlineStr">
        <is>
          <t>Control</t>
        </is>
      </c>
      <c r="J151" s="9" t="inlineStr">
        <is>
          <t>ARMOR-X MC-HL 600 V control, Cu #14 AWG (Class I Div 2)</t>
        </is>
      </c>
      <c r="K151" s="9" t="inlineStr">
        <is>
          <t>CTAX|7/C|14</t>
        </is>
      </c>
      <c r="L151" s="9" t="inlineStr">
        <is>
          <t>7/C</t>
        </is>
      </c>
      <c r="M151" s="9" t="inlineStr">
        <is>
          <t>14</t>
        </is>
      </c>
      <c r="N151" s="9" t="n">
        <v>1</v>
      </c>
      <c r="O151" s="9" t="n">
        <v>1</v>
      </c>
      <c r="P151" s="9" t="n"/>
      <c r="Q151" s="9" t="n"/>
      <c r="R151" s="9" t="n"/>
      <c r="S151" s="9" t="inlineStr">
        <is>
          <t>Tray</t>
        </is>
      </c>
      <c r="T151" s="10" t="n">
        <v>1123</v>
      </c>
      <c r="U151" s="10" t="n">
        <v>121</v>
      </c>
      <c r="V151" s="10">
        <f>ROUNDUP((T151+U151+2*'Read Me'!$B$13)*(1+'Read Me'!$B$12),-1)</f>
        <v/>
      </c>
      <c r="W151" s="10">
        <f>V151*N151*O151</f>
        <v/>
      </c>
      <c r="X151" s="9">
        <f>IF(LEFT(I151,2)="MV",2*N151*IF(L151="1/C",O151,1),0)</f>
        <v/>
      </c>
      <c r="Y151" s="9">
        <f>IF(OR(LEFT(K151,4)="LVAX",LEFT(K151,6)="MV15AX",LEFT(K151,4)="CTAX",LEFT(K151,2)="W|"),2*N151*O151,0)</f>
        <v/>
      </c>
      <c r="Z151" s="9" t="inlineStr"/>
    </row>
    <row r="152">
      <c r="A152" s="9" t="inlineStr">
        <is>
          <t>A-C-0140</t>
        </is>
      </c>
      <c r="B152" s="9" t="inlineStr">
        <is>
          <t>A</t>
        </is>
      </c>
      <c r="C152" s="9" t="inlineStr">
        <is>
          <t>Power block</t>
        </is>
      </c>
      <c r="D152" s="9" t="inlineStr">
        <is>
          <t>Control</t>
        </is>
      </c>
      <c r="E152" s="9" t="inlineStr">
        <is>
          <t>R2B</t>
        </is>
      </c>
      <c r="F152" s="9" t="inlineStr">
        <is>
          <t>R2B: unit / HRSG electrical e-house (32 x 40 ft)</t>
        </is>
      </c>
      <c r="G152" s="9" t="inlineStr">
        <is>
          <t>GT2</t>
        </is>
      </c>
      <c r="H152" s="9" t="inlineStr">
        <is>
          <t>GT2: H-class gas turbine (60 Hz)</t>
        </is>
      </c>
      <c r="I152" s="9" t="inlineStr">
        <is>
          <t>Control</t>
        </is>
      </c>
      <c r="J152" s="9" t="inlineStr">
        <is>
          <t>ARMOR-X MC-HL 600 V control, Cu #14 AWG (Class I Div 2)</t>
        </is>
      </c>
      <c r="K152" s="9" t="inlineStr">
        <is>
          <t>CTAX|7/C|14</t>
        </is>
      </c>
      <c r="L152" s="9" t="inlineStr">
        <is>
          <t>7/C</t>
        </is>
      </c>
      <c r="M152" s="9" t="inlineStr">
        <is>
          <t>14</t>
        </is>
      </c>
      <c r="N152" s="9" t="n">
        <v>1</v>
      </c>
      <c r="O152" s="9" t="n">
        <v>1</v>
      </c>
      <c r="P152" s="9" t="n"/>
      <c r="Q152" s="9" t="n"/>
      <c r="R152" s="9" t="n"/>
      <c r="S152" s="9" t="inlineStr">
        <is>
          <t>Tray</t>
        </is>
      </c>
      <c r="T152" s="10" t="n">
        <v>893</v>
      </c>
      <c r="U152" s="10" t="n">
        <v>105</v>
      </c>
      <c r="V152" s="10">
        <f>ROUNDUP((T152+U152+2*'Read Me'!$B$13)*(1+'Read Me'!$B$12),-1)</f>
        <v/>
      </c>
      <c r="W152" s="10">
        <f>V152*N152*O152</f>
        <v/>
      </c>
      <c r="X152" s="9">
        <f>IF(LEFT(I152,2)="MV",2*N152*IF(L152="1/C",O152,1),0)</f>
        <v/>
      </c>
      <c r="Y152" s="9">
        <f>IF(OR(LEFT(K152,4)="LVAX",LEFT(K152,6)="MV15AX",LEFT(K152,4)="CTAX",LEFT(K152,2)="W|"),2*N152*O152,0)</f>
        <v/>
      </c>
      <c r="Z152" s="9" t="inlineStr"/>
    </row>
    <row r="153">
      <c r="A153" s="9" t="inlineStr">
        <is>
          <t>A-C-0141</t>
        </is>
      </c>
      <c r="B153" s="9" t="inlineStr">
        <is>
          <t>A</t>
        </is>
      </c>
      <c r="C153" s="9" t="inlineStr">
        <is>
          <t>Power block</t>
        </is>
      </c>
      <c r="D153" s="9" t="inlineStr">
        <is>
          <t>Control</t>
        </is>
      </c>
      <c r="E153" s="9" t="inlineStr">
        <is>
          <t>R2B</t>
        </is>
      </c>
      <c r="F153" s="9" t="inlineStr">
        <is>
          <t>R2B: unit / HRSG electrical e-house (32 x 40 ft)</t>
        </is>
      </c>
      <c r="G153" s="9" t="inlineStr">
        <is>
          <t>GT2</t>
        </is>
      </c>
      <c r="H153" s="9" t="inlineStr">
        <is>
          <t>GT2: H-class gas turbine (60 Hz)</t>
        </is>
      </c>
      <c r="I153" s="9" t="inlineStr">
        <is>
          <t>Control</t>
        </is>
      </c>
      <c r="J153" s="9" t="inlineStr">
        <is>
          <t>ARMOR-X MC-HL 600 V control, Cu #14 AWG (Class I Div 2)</t>
        </is>
      </c>
      <c r="K153" s="9" t="inlineStr">
        <is>
          <t>CTAX|7/C|14</t>
        </is>
      </c>
      <c r="L153" s="9" t="inlineStr">
        <is>
          <t>7/C</t>
        </is>
      </c>
      <c r="M153" s="9" t="inlineStr">
        <is>
          <t>14</t>
        </is>
      </c>
      <c r="N153" s="9" t="n">
        <v>1</v>
      </c>
      <c r="O153" s="9" t="n">
        <v>1</v>
      </c>
      <c r="P153" s="9" t="n"/>
      <c r="Q153" s="9" t="n"/>
      <c r="R153" s="9" t="n"/>
      <c r="S153" s="9" t="inlineStr">
        <is>
          <t>Tray</t>
        </is>
      </c>
      <c r="T153" s="10" t="n">
        <v>893</v>
      </c>
      <c r="U153" s="10" t="n">
        <v>105</v>
      </c>
      <c r="V153" s="10">
        <f>ROUNDUP((T153+U153+2*'Read Me'!$B$13)*(1+'Read Me'!$B$12),-1)</f>
        <v/>
      </c>
      <c r="W153" s="10">
        <f>V153*N153*O153</f>
        <v/>
      </c>
      <c r="X153" s="9">
        <f>IF(LEFT(I153,2)="MV",2*N153*IF(L153="1/C",O153,1),0)</f>
        <v/>
      </c>
      <c r="Y153" s="9">
        <f>IF(OR(LEFT(K153,4)="LVAX",LEFT(K153,6)="MV15AX",LEFT(K153,4)="CTAX",LEFT(K153,2)="W|"),2*N153*O153,0)</f>
        <v/>
      </c>
      <c r="Z153" s="9" t="inlineStr"/>
    </row>
    <row r="154">
      <c r="A154" s="9" t="inlineStr">
        <is>
          <t>A-C-0142</t>
        </is>
      </c>
      <c r="B154" s="9" t="inlineStr">
        <is>
          <t>A</t>
        </is>
      </c>
      <c r="C154" s="9" t="inlineStr">
        <is>
          <t>Power block</t>
        </is>
      </c>
      <c r="D154" s="9" t="inlineStr">
        <is>
          <t>Control</t>
        </is>
      </c>
      <c r="E154" s="9" t="inlineStr">
        <is>
          <t>R2B</t>
        </is>
      </c>
      <c r="F154" s="9" t="inlineStr">
        <is>
          <t>R2B: unit / HRSG electrical e-house (32 x 40 ft)</t>
        </is>
      </c>
      <c r="G154" s="9" t="inlineStr">
        <is>
          <t>GT2</t>
        </is>
      </c>
      <c r="H154" s="9" t="inlineStr">
        <is>
          <t>GT2: H-class gas turbine (60 Hz)</t>
        </is>
      </c>
      <c r="I154" s="9" t="inlineStr">
        <is>
          <t>Control</t>
        </is>
      </c>
      <c r="J154" s="9" t="inlineStr">
        <is>
          <t>ARMOR-X MC-HL 600 V control, Cu #14 AWG (Class I Div 2)</t>
        </is>
      </c>
      <c r="K154" s="9" t="inlineStr">
        <is>
          <t>CTAX|12/C|14</t>
        </is>
      </c>
      <c r="L154" s="9" t="inlineStr">
        <is>
          <t>12/C</t>
        </is>
      </c>
      <c r="M154" s="9" t="inlineStr">
        <is>
          <t>14</t>
        </is>
      </c>
      <c r="N154" s="9" t="n">
        <v>1</v>
      </c>
      <c r="O154" s="9" t="n">
        <v>1</v>
      </c>
      <c r="P154" s="9" t="n"/>
      <c r="Q154" s="9" t="n"/>
      <c r="R154" s="9" t="n"/>
      <c r="S154" s="9" t="inlineStr">
        <is>
          <t>Tray</t>
        </is>
      </c>
      <c r="T154" s="10" t="n">
        <v>893</v>
      </c>
      <c r="U154" s="10" t="n">
        <v>105</v>
      </c>
      <c r="V154" s="10">
        <f>ROUNDUP((T154+U154+2*'Read Me'!$B$13)*(1+'Read Me'!$B$12),-1)</f>
        <v/>
      </c>
      <c r="W154" s="10">
        <f>V154*N154*O154</f>
        <v/>
      </c>
      <c r="X154" s="9">
        <f>IF(LEFT(I154,2)="MV",2*N154*IF(L154="1/C",O154,1),0)</f>
        <v/>
      </c>
      <c r="Y154" s="9">
        <f>IF(OR(LEFT(K154,4)="LVAX",LEFT(K154,6)="MV15AX",LEFT(K154,4)="CTAX",LEFT(K154,2)="W|"),2*N154*O154,0)</f>
        <v/>
      </c>
      <c r="Z154" s="9" t="inlineStr"/>
    </row>
    <row r="155">
      <c r="A155" s="9" t="inlineStr">
        <is>
          <t>A-C-0143</t>
        </is>
      </c>
      <c r="B155" s="9" t="inlineStr">
        <is>
          <t>A</t>
        </is>
      </c>
      <c r="C155" s="9" t="inlineStr">
        <is>
          <t>Power block</t>
        </is>
      </c>
      <c r="D155" s="9" t="inlineStr">
        <is>
          <t>Control</t>
        </is>
      </c>
      <c r="E155" s="9" t="inlineStr">
        <is>
          <t>R2B</t>
        </is>
      </c>
      <c r="F155" s="9" t="inlineStr">
        <is>
          <t>R2B: unit / HRSG electrical e-house (32 x 40 ft)</t>
        </is>
      </c>
      <c r="G155" s="9" t="inlineStr">
        <is>
          <t>GT2</t>
        </is>
      </c>
      <c r="H155" s="9" t="inlineStr">
        <is>
          <t>GT2: H-class gas turbine (60 Hz)</t>
        </is>
      </c>
      <c r="I155" s="9" t="inlineStr">
        <is>
          <t>Control</t>
        </is>
      </c>
      <c r="J155" s="9" t="inlineStr">
        <is>
          <t>ARMOR-X MC-HL 600 V control, Cu #14 AWG (Class I Div 2)</t>
        </is>
      </c>
      <c r="K155" s="9" t="inlineStr">
        <is>
          <t>CTAX|12/C|14</t>
        </is>
      </c>
      <c r="L155" s="9" t="inlineStr">
        <is>
          <t>12/C</t>
        </is>
      </c>
      <c r="M155" s="9" t="inlineStr">
        <is>
          <t>14</t>
        </is>
      </c>
      <c r="N155" s="9" t="n">
        <v>1</v>
      </c>
      <c r="O155" s="9" t="n">
        <v>1</v>
      </c>
      <c r="P155" s="9" t="n"/>
      <c r="Q155" s="9" t="n"/>
      <c r="R155" s="9" t="n"/>
      <c r="S155" s="9" t="inlineStr">
        <is>
          <t>Tray</t>
        </is>
      </c>
      <c r="T155" s="10" t="n">
        <v>893</v>
      </c>
      <c r="U155" s="10" t="n">
        <v>105</v>
      </c>
      <c r="V155" s="10">
        <f>ROUNDUP((T155+U155+2*'Read Me'!$B$13)*(1+'Read Me'!$B$12),-1)</f>
        <v/>
      </c>
      <c r="W155" s="10">
        <f>V155*N155*O155</f>
        <v/>
      </c>
      <c r="X155" s="9">
        <f>IF(LEFT(I155,2)="MV",2*N155*IF(L155="1/C",O155,1),0)</f>
        <v/>
      </c>
      <c r="Y155" s="9">
        <f>IF(OR(LEFT(K155,4)="LVAX",LEFT(K155,6)="MV15AX",LEFT(K155,4)="CTAX",LEFT(K155,2)="W|"),2*N155*O155,0)</f>
        <v/>
      </c>
      <c r="Z155" s="9" t="inlineStr"/>
    </row>
    <row r="156">
      <c r="A156" s="9" t="inlineStr">
        <is>
          <t>A-C-0144</t>
        </is>
      </c>
      <c r="B156" s="9" t="inlineStr">
        <is>
          <t>A</t>
        </is>
      </c>
      <c r="C156" s="9" t="inlineStr">
        <is>
          <t>Power block</t>
        </is>
      </c>
      <c r="D156" s="9" t="inlineStr">
        <is>
          <t>Control</t>
        </is>
      </c>
      <c r="E156" s="9" t="inlineStr">
        <is>
          <t>R2B</t>
        </is>
      </c>
      <c r="F156" s="9" t="inlineStr">
        <is>
          <t>R2B: unit / HRSG electrical e-house (32 x 40 ft)</t>
        </is>
      </c>
      <c r="G156" s="9" t="inlineStr">
        <is>
          <t>GT2</t>
        </is>
      </c>
      <c r="H156" s="9" t="inlineStr">
        <is>
          <t>GT2: H-class gas turbine (60 Hz)</t>
        </is>
      </c>
      <c r="I156" s="9" t="inlineStr">
        <is>
          <t>Control</t>
        </is>
      </c>
      <c r="J156" s="9" t="inlineStr">
        <is>
          <t>ARMOR-X MC-HL 600 V control, Cu #14 AWG (Class I Div 2)</t>
        </is>
      </c>
      <c r="K156" s="9" t="inlineStr">
        <is>
          <t>CTAX|12/C|14</t>
        </is>
      </c>
      <c r="L156" s="9" t="inlineStr">
        <is>
          <t>12/C</t>
        </is>
      </c>
      <c r="M156" s="9" t="inlineStr">
        <is>
          <t>14</t>
        </is>
      </c>
      <c r="N156" s="9" t="n">
        <v>1</v>
      </c>
      <c r="O156" s="9" t="n">
        <v>1</v>
      </c>
      <c r="P156" s="9" t="n"/>
      <c r="Q156" s="9" t="n"/>
      <c r="R156" s="9" t="n"/>
      <c r="S156" s="9" t="inlineStr">
        <is>
          <t>Tray</t>
        </is>
      </c>
      <c r="T156" s="10" t="n">
        <v>893</v>
      </c>
      <c r="U156" s="10" t="n">
        <v>105</v>
      </c>
      <c r="V156" s="10">
        <f>ROUNDUP((T156+U156+2*'Read Me'!$B$13)*(1+'Read Me'!$B$12),-1)</f>
        <v/>
      </c>
      <c r="W156" s="10">
        <f>V156*N156*O156</f>
        <v/>
      </c>
      <c r="X156" s="9">
        <f>IF(LEFT(I156,2)="MV",2*N156*IF(L156="1/C",O156,1),0)</f>
        <v/>
      </c>
      <c r="Y156" s="9">
        <f>IF(OR(LEFT(K156,4)="LVAX",LEFT(K156,6)="MV15AX",LEFT(K156,4)="CTAX",LEFT(K156,2)="W|"),2*N156*O156,0)</f>
        <v/>
      </c>
      <c r="Z156" s="9" t="inlineStr"/>
    </row>
    <row r="157">
      <c r="A157" s="9" t="inlineStr">
        <is>
          <t>A-C-0145</t>
        </is>
      </c>
      <c r="B157" s="9" t="inlineStr">
        <is>
          <t>A</t>
        </is>
      </c>
      <c r="C157" s="9" t="inlineStr">
        <is>
          <t>Power block</t>
        </is>
      </c>
      <c r="D157" s="9" t="inlineStr">
        <is>
          <t>Control</t>
        </is>
      </c>
      <c r="E157" s="9" t="inlineStr">
        <is>
          <t>R2B</t>
        </is>
      </c>
      <c r="F157" s="9" t="inlineStr">
        <is>
          <t>R2B: unit / HRSG electrical e-house (32 x 40 ft)</t>
        </is>
      </c>
      <c r="G157" s="9" t="inlineStr">
        <is>
          <t>GT2</t>
        </is>
      </c>
      <c r="H157" s="9" t="inlineStr">
        <is>
          <t>GT2: H-class gas turbine (60 Hz)</t>
        </is>
      </c>
      <c r="I157" s="9" t="inlineStr">
        <is>
          <t>Control</t>
        </is>
      </c>
      <c r="J157" s="9" t="inlineStr">
        <is>
          <t>ARMOR-X MC-HL 600 V control, Cu #14 AWG (Class I Div 2)</t>
        </is>
      </c>
      <c r="K157" s="9" t="inlineStr">
        <is>
          <t>CTAX|12/C|14</t>
        </is>
      </c>
      <c r="L157" s="9" t="inlineStr">
        <is>
          <t>12/C</t>
        </is>
      </c>
      <c r="M157" s="9" t="inlineStr">
        <is>
          <t>14</t>
        </is>
      </c>
      <c r="N157" s="9" t="n">
        <v>1</v>
      </c>
      <c r="O157" s="9" t="n">
        <v>1</v>
      </c>
      <c r="P157" s="9" t="n"/>
      <c r="Q157" s="9" t="n"/>
      <c r="R157" s="9" t="n"/>
      <c r="S157" s="9" t="inlineStr">
        <is>
          <t>Tray</t>
        </is>
      </c>
      <c r="T157" s="10" t="n">
        <v>893</v>
      </c>
      <c r="U157" s="10" t="n">
        <v>105</v>
      </c>
      <c r="V157" s="10">
        <f>ROUNDUP((T157+U157+2*'Read Me'!$B$13)*(1+'Read Me'!$B$12),-1)</f>
        <v/>
      </c>
      <c r="W157" s="10">
        <f>V157*N157*O157</f>
        <v/>
      </c>
      <c r="X157" s="9">
        <f>IF(LEFT(I157,2)="MV",2*N157*IF(L157="1/C",O157,1),0)</f>
        <v/>
      </c>
      <c r="Y157" s="9">
        <f>IF(OR(LEFT(K157,4)="LVAX",LEFT(K157,6)="MV15AX",LEFT(K157,4)="CTAX",LEFT(K157,2)="W|"),2*N157*O157,0)</f>
        <v/>
      </c>
      <c r="Z157" s="9" t="inlineStr"/>
    </row>
    <row r="158">
      <c r="A158" s="9" t="inlineStr">
        <is>
          <t>A-C-0146</t>
        </is>
      </c>
      <c r="B158" s="9" t="inlineStr">
        <is>
          <t>A</t>
        </is>
      </c>
      <c r="C158" s="9" t="inlineStr">
        <is>
          <t>Power block</t>
        </is>
      </c>
      <c r="D158" s="9" t="inlineStr">
        <is>
          <t>Control</t>
        </is>
      </c>
      <c r="E158" s="9" t="inlineStr">
        <is>
          <t>R2B</t>
        </is>
      </c>
      <c r="F158" s="9" t="inlineStr">
        <is>
          <t>R2B: unit / HRSG electrical e-house (32 x 40 ft)</t>
        </is>
      </c>
      <c r="G158" s="9" t="inlineStr">
        <is>
          <t>GT2</t>
        </is>
      </c>
      <c r="H158" s="9" t="inlineStr">
        <is>
          <t>GT2: H-class gas turbine (60 Hz)</t>
        </is>
      </c>
      <c r="I158" s="9" t="inlineStr">
        <is>
          <t>Control</t>
        </is>
      </c>
      <c r="J158" s="9" t="inlineStr">
        <is>
          <t>ARMOR-X MC-HL 600 V control, Cu #14 AWG (Class I Div 2)</t>
        </is>
      </c>
      <c r="K158" s="9" t="inlineStr">
        <is>
          <t>CTAX|12/C|14</t>
        </is>
      </c>
      <c r="L158" s="9" t="inlineStr">
        <is>
          <t>12/C</t>
        </is>
      </c>
      <c r="M158" s="9" t="inlineStr">
        <is>
          <t>14</t>
        </is>
      </c>
      <c r="N158" s="9" t="n">
        <v>1</v>
      </c>
      <c r="O158" s="9" t="n">
        <v>1</v>
      </c>
      <c r="P158" s="9" t="n"/>
      <c r="Q158" s="9" t="n"/>
      <c r="R158" s="9" t="n"/>
      <c r="S158" s="9" t="inlineStr">
        <is>
          <t>Tray</t>
        </is>
      </c>
      <c r="T158" s="10" t="n">
        <v>893</v>
      </c>
      <c r="U158" s="10" t="n">
        <v>105</v>
      </c>
      <c r="V158" s="10">
        <f>ROUNDUP((T158+U158+2*'Read Me'!$B$13)*(1+'Read Me'!$B$12),-1)</f>
        <v/>
      </c>
      <c r="W158" s="10">
        <f>V158*N158*O158</f>
        <v/>
      </c>
      <c r="X158" s="9">
        <f>IF(LEFT(I158,2)="MV",2*N158*IF(L158="1/C",O158,1),0)</f>
        <v/>
      </c>
      <c r="Y158" s="9">
        <f>IF(OR(LEFT(K158,4)="LVAX",LEFT(K158,6)="MV15AX",LEFT(K158,4)="CTAX",LEFT(K158,2)="W|"),2*N158*O158,0)</f>
        <v/>
      </c>
      <c r="Z158" s="9" t="inlineStr"/>
    </row>
    <row r="159">
      <c r="A159" s="9" t="inlineStr">
        <is>
          <t>A-C-0147</t>
        </is>
      </c>
      <c r="B159" s="9" t="inlineStr">
        <is>
          <t>A</t>
        </is>
      </c>
      <c r="C159" s="9" t="inlineStr">
        <is>
          <t>Power block</t>
        </is>
      </c>
      <c r="D159" s="9" t="inlineStr">
        <is>
          <t>Control</t>
        </is>
      </c>
      <c r="E159" s="9" t="inlineStr">
        <is>
          <t>R2B</t>
        </is>
      </c>
      <c r="F159" s="9" t="inlineStr">
        <is>
          <t>R2B: unit / HRSG electrical e-house (32 x 40 ft)</t>
        </is>
      </c>
      <c r="G159" s="9" t="inlineStr">
        <is>
          <t>GT2</t>
        </is>
      </c>
      <c r="H159" s="9" t="inlineStr">
        <is>
          <t>GT2: H-class gas turbine (60 Hz)</t>
        </is>
      </c>
      <c r="I159" s="9" t="inlineStr">
        <is>
          <t>Control</t>
        </is>
      </c>
      <c r="J159" s="9" t="inlineStr">
        <is>
          <t>ARMOR-X MC-HL 600 V control, Cu #14 AWG (Class I Div 2)</t>
        </is>
      </c>
      <c r="K159" s="9" t="inlineStr">
        <is>
          <t>CTAX|12/C|14</t>
        </is>
      </c>
      <c r="L159" s="9" t="inlineStr">
        <is>
          <t>12/C</t>
        </is>
      </c>
      <c r="M159" s="9" t="inlineStr">
        <is>
          <t>14</t>
        </is>
      </c>
      <c r="N159" s="9" t="n">
        <v>1</v>
      </c>
      <c r="O159" s="9" t="n">
        <v>1</v>
      </c>
      <c r="P159" s="9" t="n"/>
      <c r="Q159" s="9" t="n"/>
      <c r="R159" s="9" t="n"/>
      <c r="S159" s="9" t="inlineStr">
        <is>
          <t>Tray</t>
        </is>
      </c>
      <c r="T159" s="10" t="n">
        <v>893</v>
      </c>
      <c r="U159" s="10" t="n">
        <v>105</v>
      </c>
      <c r="V159" s="10">
        <f>ROUNDUP((T159+U159+2*'Read Me'!$B$13)*(1+'Read Me'!$B$12),-1)</f>
        <v/>
      </c>
      <c r="W159" s="10">
        <f>V159*N159*O159</f>
        <v/>
      </c>
      <c r="X159" s="9">
        <f>IF(LEFT(I159,2)="MV",2*N159*IF(L159="1/C",O159,1),0)</f>
        <v/>
      </c>
      <c r="Y159" s="9">
        <f>IF(OR(LEFT(K159,4)="LVAX",LEFT(K159,6)="MV15AX",LEFT(K159,4)="CTAX",LEFT(K159,2)="W|"),2*N159*O159,0)</f>
        <v/>
      </c>
      <c r="Z159" s="9" t="inlineStr"/>
    </row>
    <row r="160">
      <c r="A160" s="9" t="inlineStr">
        <is>
          <t>A-C-0148</t>
        </is>
      </c>
      <c r="B160" s="9" t="inlineStr">
        <is>
          <t>A</t>
        </is>
      </c>
      <c r="C160" s="9" t="inlineStr">
        <is>
          <t>Power block</t>
        </is>
      </c>
      <c r="D160" s="9" t="inlineStr">
        <is>
          <t>Control</t>
        </is>
      </c>
      <c r="E160" s="9" t="inlineStr">
        <is>
          <t>R3</t>
        </is>
      </c>
      <c r="F160" s="9" t="inlineStr">
        <is>
          <t>R3: ST auxiliary electrical e-house (40 x 65 ft)</t>
        </is>
      </c>
      <c r="G160" s="9" t="inlineStr">
        <is>
          <t>GT3 aux</t>
        </is>
      </c>
      <c r="H160" s="9" t="inlineStr">
        <is>
          <t>GT3 aux: lube oil, hydraulics, enclosure fans</t>
        </is>
      </c>
      <c r="I160" s="9" t="inlineStr">
        <is>
          <t>Control</t>
        </is>
      </c>
      <c r="J160" s="9" t="inlineStr">
        <is>
          <t>ARMOR-X MC-HL 600 V control, Cu #14 AWG (Class I Div 2)</t>
        </is>
      </c>
      <c r="K160" s="9" t="inlineStr">
        <is>
          <t>CTAX|7/C|14</t>
        </is>
      </c>
      <c r="L160" s="9" t="inlineStr">
        <is>
          <t>7/C</t>
        </is>
      </c>
      <c r="M160" s="9" t="inlineStr">
        <is>
          <t>14</t>
        </is>
      </c>
      <c r="N160" s="9" t="n">
        <v>1</v>
      </c>
      <c r="O160" s="9" t="n">
        <v>1</v>
      </c>
      <c r="P160" s="9" t="n"/>
      <c r="Q160" s="9" t="n"/>
      <c r="R160" s="9" t="n"/>
      <c r="S160" s="9" t="inlineStr">
        <is>
          <t>Tray</t>
        </is>
      </c>
      <c r="T160" s="10" t="n">
        <v>253</v>
      </c>
      <c r="U160" s="10" t="n">
        <v>106</v>
      </c>
      <c r="V160" s="10">
        <f>ROUNDUP((T160+U160+2*'Read Me'!$B$13)*(1+'Read Me'!$B$12),-1)</f>
        <v/>
      </c>
      <c r="W160" s="10">
        <f>V160*N160*O160</f>
        <v/>
      </c>
      <c r="X160" s="9">
        <f>IF(LEFT(I160,2)="MV",2*N160*IF(L160="1/C",O160,1),0)</f>
        <v/>
      </c>
      <c r="Y160" s="9">
        <f>IF(OR(LEFT(K160,4)="LVAX",LEFT(K160,6)="MV15AX",LEFT(K160,4)="CTAX",LEFT(K160,2)="W|"),2*N160*O160,0)</f>
        <v/>
      </c>
      <c r="Z160" s="9" t="inlineStr"/>
    </row>
    <row r="161">
      <c r="A161" s="9" t="inlineStr">
        <is>
          <t>A-C-0149</t>
        </is>
      </c>
      <c r="B161" s="9" t="inlineStr">
        <is>
          <t>A</t>
        </is>
      </c>
      <c r="C161" s="9" t="inlineStr">
        <is>
          <t>Power block</t>
        </is>
      </c>
      <c r="D161" s="9" t="inlineStr">
        <is>
          <t>Control</t>
        </is>
      </c>
      <c r="E161" s="9" t="inlineStr">
        <is>
          <t>R2C</t>
        </is>
      </c>
      <c r="F161" s="9" t="inlineStr">
        <is>
          <t>R2C: unit / HRSG electrical e-house (32 x 40 ft)</t>
        </is>
      </c>
      <c r="G161" s="9" t="inlineStr">
        <is>
          <t>GT3</t>
        </is>
      </c>
      <c r="H161" s="9" t="inlineStr">
        <is>
          <t>GT3: H-class gas turbine (60 Hz)</t>
        </is>
      </c>
      <c r="I161" s="9" t="inlineStr">
        <is>
          <t>Control</t>
        </is>
      </c>
      <c r="J161" s="9" t="inlineStr">
        <is>
          <t>ARMOR-X MC-HL 600 V control, Cu #14 AWG (Class I Div 2)</t>
        </is>
      </c>
      <c r="K161" s="9" t="inlineStr">
        <is>
          <t>CTAX|7/C|14</t>
        </is>
      </c>
      <c r="L161" s="9" t="inlineStr">
        <is>
          <t>7/C</t>
        </is>
      </c>
      <c r="M161" s="9" t="inlineStr">
        <is>
          <t>14</t>
        </is>
      </c>
      <c r="N161" s="9" t="n">
        <v>1</v>
      </c>
      <c r="O161" s="9" t="n">
        <v>1</v>
      </c>
      <c r="P161" s="9" t="n"/>
      <c r="Q161" s="9" t="n"/>
      <c r="R161" s="9" t="n"/>
      <c r="S161" s="9" t="inlineStr">
        <is>
          <t>Tray</t>
        </is>
      </c>
      <c r="T161" s="10" t="n">
        <v>1054</v>
      </c>
      <c r="U161" s="10" t="n">
        <v>121</v>
      </c>
      <c r="V161" s="10">
        <f>ROUNDUP((T161+U161+2*'Read Me'!$B$13)*(1+'Read Me'!$B$12),-1)</f>
        <v/>
      </c>
      <c r="W161" s="10">
        <f>V161*N161*O161</f>
        <v/>
      </c>
      <c r="X161" s="9">
        <f>IF(LEFT(I161,2)="MV",2*N161*IF(L161="1/C",O161,1),0)</f>
        <v/>
      </c>
      <c r="Y161" s="9">
        <f>IF(OR(LEFT(K161,4)="LVAX",LEFT(K161,6)="MV15AX",LEFT(K161,4)="CTAX",LEFT(K161,2)="W|"),2*N161*O161,0)</f>
        <v/>
      </c>
      <c r="Z161" s="9" t="inlineStr"/>
    </row>
    <row r="162">
      <c r="A162" s="9" t="inlineStr">
        <is>
          <t>A-C-0150</t>
        </is>
      </c>
      <c r="B162" s="9" t="inlineStr">
        <is>
          <t>A</t>
        </is>
      </c>
      <c r="C162" s="9" t="inlineStr">
        <is>
          <t>Power block</t>
        </is>
      </c>
      <c r="D162" s="9" t="inlineStr">
        <is>
          <t>Control</t>
        </is>
      </c>
      <c r="E162" s="9" t="inlineStr">
        <is>
          <t>R2C</t>
        </is>
      </c>
      <c r="F162" s="9" t="inlineStr">
        <is>
          <t>R2C: unit / HRSG electrical e-house (32 x 40 ft)</t>
        </is>
      </c>
      <c r="G162" s="9" t="inlineStr">
        <is>
          <t>GT3</t>
        </is>
      </c>
      <c r="H162" s="9" t="inlineStr">
        <is>
          <t>GT3: H-class gas turbine (60 Hz)</t>
        </is>
      </c>
      <c r="I162" s="9" t="inlineStr">
        <is>
          <t>Control</t>
        </is>
      </c>
      <c r="J162" s="9" t="inlineStr">
        <is>
          <t>ARMOR-X MC-HL 600 V control, Cu #14 AWG (Class I Div 2)</t>
        </is>
      </c>
      <c r="K162" s="9" t="inlineStr">
        <is>
          <t>CTAX|7/C|14</t>
        </is>
      </c>
      <c r="L162" s="9" t="inlineStr">
        <is>
          <t>7/C</t>
        </is>
      </c>
      <c r="M162" s="9" t="inlineStr">
        <is>
          <t>14</t>
        </is>
      </c>
      <c r="N162" s="9" t="n">
        <v>1</v>
      </c>
      <c r="O162" s="9" t="n">
        <v>1</v>
      </c>
      <c r="P162" s="9" t="n"/>
      <c r="Q162" s="9" t="n"/>
      <c r="R162" s="9" t="n"/>
      <c r="S162" s="9" t="inlineStr">
        <is>
          <t>Tray</t>
        </is>
      </c>
      <c r="T162" s="10" t="n">
        <v>1054</v>
      </c>
      <c r="U162" s="10" t="n">
        <v>121</v>
      </c>
      <c r="V162" s="10">
        <f>ROUNDUP((T162+U162+2*'Read Me'!$B$13)*(1+'Read Me'!$B$12),-1)</f>
        <v/>
      </c>
      <c r="W162" s="10">
        <f>V162*N162*O162</f>
        <v/>
      </c>
      <c r="X162" s="9">
        <f>IF(LEFT(I162,2)="MV",2*N162*IF(L162="1/C",O162,1),0)</f>
        <v/>
      </c>
      <c r="Y162" s="9">
        <f>IF(OR(LEFT(K162,4)="LVAX",LEFT(K162,6)="MV15AX",LEFT(K162,4)="CTAX",LEFT(K162,2)="W|"),2*N162*O162,0)</f>
        <v/>
      </c>
      <c r="Z162" s="9" t="inlineStr"/>
    </row>
    <row r="163">
      <c r="A163" s="9" t="inlineStr">
        <is>
          <t>A-C-0151</t>
        </is>
      </c>
      <c r="B163" s="9" t="inlineStr">
        <is>
          <t>A</t>
        </is>
      </c>
      <c r="C163" s="9" t="inlineStr">
        <is>
          <t>Power block</t>
        </is>
      </c>
      <c r="D163" s="9" t="inlineStr">
        <is>
          <t>Control</t>
        </is>
      </c>
      <c r="E163" s="9" t="inlineStr">
        <is>
          <t>R2C</t>
        </is>
      </c>
      <c r="F163" s="9" t="inlineStr">
        <is>
          <t>R2C: unit / HRSG electrical e-house (32 x 40 ft)</t>
        </is>
      </c>
      <c r="G163" s="9" t="inlineStr">
        <is>
          <t>GT3</t>
        </is>
      </c>
      <c r="H163" s="9" t="inlineStr">
        <is>
          <t>GT3: H-class gas turbine (60 Hz)</t>
        </is>
      </c>
      <c r="I163" s="9" t="inlineStr">
        <is>
          <t>Control</t>
        </is>
      </c>
      <c r="J163" s="9" t="inlineStr">
        <is>
          <t>ARMOR-X MC-HL 600 V control, Cu #14 AWG (Class I Div 2)</t>
        </is>
      </c>
      <c r="K163" s="9" t="inlineStr">
        <is>
          <t>CTAX|12/C|14</t>
        </is>
      </c>
      <c r="L163" s="9" t="inlineStr">
        <is>
          <t>12/C</t>
        </is>
      </c>
      <c r="M163" s="9" t="inlineStr">
        <is>
          <t>14</t>
        </is>
      </c>
      <c r="N163" s="9" t="n">
        <v>1</v>
      </c>
      <c r="O163" s="9" t="n">
        <v>1</v>
      </c>
      <c r="P163" s="9" t="n"/>
      <c r="Q163" s="9" t="n"/>
      <c r="R163" s="9" t="n"/>
      <c r="S163" s="9" t="inlineStr">
        <is>
          <t>Tray</t>
        </is>
      </c>
      <c r="T163" s="10" t="n">
        <v>1054</v>
      </c>
      <c r="U163" s="10" t="n">
        <v>121</v>
      </c>
      <c r="V163" s="10">
        <f>ROUNDUP((T163+U163+2*'Read Me'!$B$13)*(1+'Read Me'!$B$12),-1)</f>
        <v/>
      </c>
      <c r="W163" s="10">
        <f>V163*N163*O163</f>
        <v/>
      </c>
      <c r="X163" s="9">
        <f>IF(LEFT(I163,2)="MV",2*N163*IF(L163="1/C",O163,1),0)</f>
        <v/>
      </c>
      <c r="Y163" s="9">
        <f>IF(OR(LEFT(K163,4)="LVAX",LEFT(K163,6)="MV15AX",LEFT(K163,4)="CTAX",LEFT(K163,2)="W|"),2*N163*O163,0)</f>
        <v/>
      </c>
      <c r="Z163" s="9" t="inlineStr"/>
    </row>
    <row r="164">
      <c r="A164" s="9" t="inlineStr">
        <is>
          <t>A-C-0152</t>
        </is>
      </c>
      <c r="B164" s="9" t="inlineStr">
        <is>
          <t>A</t>
        </is>
      </c>
      <c r="C164" s="9" t="inlineStr">
        <is>
          <t>Power block</t>
        </is>
      </c>
      <c r="D164" s="9" t="inlineStr">
        <is>
          <t>Control</t>
        </is>
      </c>
      <c r="E164" s="9" t="inlineStr">
        <is>
          <t>R2C</t>
        </is>
      </c>
      <c r="F164" s="9" t="inlineStr">
        <is>
          <t>R2C: unit / HRSG electrical e-house (32 x 40 ft)</t>
        </is>
      </c>
      <c r="G164" s="9" t="inlineStr">
        <is>
          <t>GT3</t>
        </is>
      </c>
      <c r="H164" s="9" t="inlineStr">
        <is>
          <t>GT3: H-class gas turbine (60 Hz)</t>
        </is>
      </c>
      <c r="I164" s="9" t="inlineStr">
        <is>
          <t>Control</t>
        </is>
      </c>
      <c r="J164" s="9" t="inlineStr">
        <is>
          <t>ARMOR-X MC-HL 600 V control, Cu #14 AWG (Class I Div 2)</t>
        </is>
      </c>
      <c r="K164" s="9" t="inlineStr">
        <is>
          <t>CTAX|12/C|14</t>
        </is>
      </c>
      <c r="L164" s="9" t="inlineStr">
        <is>
          <t>12/C</t>
        </is>
      </c>
      <c r="M164" s="9" t="inlineStr">
        <is>
          <t>14</t>
        </is>
      </c>
      <c r="N164" s="9" t="n">
        <v>1</v>
      </c>
      <c r="O164" s="9" t="n">
        <v>1</v>
      </c>
      <c r="P164" s="9" t="n"/>
      <c r="Q164" s="9" t="n"/>
      <c r="R164" s="9" t="n"/>
      <c r="S164" s="9" t="inlineStr">
        <is>
          <t>Tray</t>
        </is>
      </c>
      <c r="T164" s="10" t="n">
        <v>1054</v>
      </c>
      <c r="U164" s="10" t="n">
        <v>121</v>
      </c>
      <c r="V164" s="10">
        <f>ROUNDUP((T164+U164+2*'Read Me'!$B$13)*(1+'Read Me'!$B$12),-1)</f>
        <v/>
      </c>
      <c r="W164" s="10">
        <f>V164*N164*O164</f>
        <v/>
      </c>
      <c r="X164" s="9">
        <f>IF(LEFT(I164,2)="MV",2*N164*IF(L164="1/C",O164,1),0)</f>
        <v/>
      </c>
      <c r="Y164" s="9">
        <f>IF(OR(LEFT(K164,4)="LVAX",LEFT(K164,6)="MV15AX",LEFT(K164,4)="CTAX",LEFT(K164,2)="W|"),2*N164*O164,0)</f>
        <v/>
      </c>
      <c r="Z164" s="9" t="inlineStr"/>
    </row>
    <row r="165">
      <c r="A165" s="9" t="inlineStr">
        <is>
          <t>A-C-0153</t>
        </is>
      </c>
      <c r="B165" s="9" t="inlineStr">
        <is>
          <t>A</t>
        </is>
      </c>
      <c r="C165" s="9" t="inlineStr">
        <is>
          <t>Power block</t>
        </is>
      </c>
      <c r="D165" s="9" t="inlineStr">
        <is>
          <t>Control</t>
        </is>
      </c>
      <c r="E165" s="9" t="inlineStr">
        <is>
          <t>R2C</t>
        </is>
      </c>
      <c r="F165" s="9" t="inlineStr">
        <is>
          <t>R2C: unit / HRSG electrical e-house (32 x 40 ft)</t>
        </is>
      </c>
      <c r="G165" s="9" t="inlineStr">
        <is>
          <t>GT3</t>
        </is>
      </c>
      <c r="H165" s="9" t="inlineStr">
        <is>
          <t>GT3: H-class gas turbine (60 Hz)</t>
        </is>
      </c>
      <c r="I165" s="9" t="inlineStr">
        <is>
          <t>Control</t>
        </is>
      </c>
      <c r="J165" s="9" t="inlineStr">
        <is>
          <t>ARMOR-X MC-HL 600 V control, Cu #14 AWG (Class I Div 2)</t>
        </is>
      </c>
      <c r="K165" s="9" t="inlineStr">
        <is>
          <t>CTAX|12/C|14</t>
        </is>
      </c>
      <c r="L165" s="9" t="inlineStr">
        <is>
          <t>12/C</t>
        </is>
      </c>
      <c r="M165" s="9" t="inlineStr">
        <is>
          <t>14</t>
        </is>
      </c>
      <c r="N165" s="9" t="n">
        <v>1</v>
      </c>
      <c r="O165" s="9" t="n">
        <v>1</v>
      </c>
      <c r="P165" s="9" t="n"/>
      <c r="Q165" s="9" t="n"/>
      <c r="R165" s="9" t="n"/>
      <c r="S165" s="9" t="inlineStr">
        <is>
          <t>Tray</t>
        </is>
      </c>
      <c r="T165" s="10" t="n">
        <v>1054</v>
      </c>
      <c r="U165" s="10" t="n">
        <v>121</v>
      </c>
      <c r="V165" s="10">
        <f>ROUNDUP((T165+U165+2*'Read Me'!$B$13)*(1+'Read Me'!$B$12),-1)</f>
        <v/>
      </c>
      <c r="W165" s="10">
        <f>V165*N165*O165</f>
        <v/>
      </c>
      <c r="X165" s="9">
        <f>IF(LEFT(I165,2)="MV",2*N165*IF(L165="1/C",O165,1),0)</f>
        <v/>
      </c>
      <c r="Y165" s="9">
        <f>IF(OR(LEFT(K165,4)="LVAX",LEFT(K165,6)="MV15AX",LEFT(K165,4)="CTAX",LEFT(K165,2)="W|"),2*N165*O165,0)</f>
        <v/>
      </c>
      <c r="Z165" s="9" t="inlineStr"/>
    </row>
    <row r="166">
      <c r="A166" s="9" t="inlineStr">
        <is>
          <t>A-C-0154</t>
        </is>
      </c>
      <c r="B166" s="9" t="inlineStr">
        <is>
          <t>A</t>
        </is>
      </c>
      <c r="C166" s="9" t="inlineStr">
        <is>
          <t>Power block</t>
        </is>
      </c>
      <c r="D166" s="9" t="inlineStr">
        <is>
          <t>Control</t>
        </is>
      </c>
      <c r="E166" s="9" t="inlineStr">
        <is>
          <t>R2C</t>
        </is>
      </c>
      <c r="F166" s="9" t="inlineStr">
        <is>
          <t>R2C: unit / HRSG electrical e-house (32 x 40 ft)</t>
        </is>
      </c>
      <c r="G166" s="9" t="inlineStr">
        <is>
          <t>GT3</t>
        </is>
      </c>
      <c r="H166" s="9" t="inlineStr">
        <is>
          <t>GT3: H-class gas turbine (60 Hz)</t>
        </is>
      </c>
      <c r="I166" s="9" t="inlineStr">
        <is>
          <t>Control</t>
        </is>
      </c>
      <c r="J166" s="9" t="inlineStr">
        <is>
          <t>ARMOR-X MC-HL 600 V control, Cu #14 AWG (Class I Div 2)</t>
        </is>
      </c>
      <c r="K166" s="9" t="inlineStr">
        <is>
          <t>CTAX|12/C|14</t>
        </is>
      </c>
      <c r="L166" s="9" t="inlineStr">
        <is>
          <t>12/C</t>
        </is>
      </c>
      <c r="M166" s="9" t="inlineStr">
        <is>
          <t>14</t>
        </is>
      </c>
      <c r="N166" s="9" t="n">
        <v>1</v>
      </c>
      <c r="O166" s="9" t="n">
        <v>1</v>
      </c>
      <c r="P166" s="9" t="n"/>
      <c r="Q166" s="9" t="n"/>
      <c r="R166" s="9" t="n"/>
      <c r="S166" s="9" t="inlineStr">
        <is>
          <t>Tray</t>
        </is>
      </c>
      <c r="T166" s="10" t="n">
        <v>1054</v>
      </c>
      <c r="U166" s="10" t="n">
        <v>121</v>
      </c>
      <c r="V166" s="10">
        <f>ROUNDUP((T166+U166+2*'Read Me'!$B$13)*(1+'Read Me'!$B$12),-1)</f>
        <v/>
      </c>
      <c r="W166" s="10">
        <f>V166*N166*O166</f>
        <v/>
      </c>
      <c r="X166" s="9">
        <f>IF(LEFT(I166,2)="MV",2*N166*IF(L166="1/C",O166,1),0)</f>
        <v/>
      </c>
      <c r="Y166" s="9">
        <f>IF(OR(LEFT(K166,4)="LVAX",LEFT(K166,6)="MV15AX",LEFT(K166,4)="CTAX",LEFT(K166,2)="W|"),2*N166*O166,0)</f>
        <v/>
      </c>
      <c r="Z166" s="9" t="inlineStr"/>
    </row>
    <row r="167">
      <c r="A167" s="9" t="inlineStr">
        <is>
          <t>A-C-0155</t>
        </is>
      </c>
      <c r="B167" s="9" t="inlineStr">
        <is>
          <t>A</t>
        </is>
      </c>
      <c r="C167" s="9" t="inlineStr">
        <is>
          <t>Power block</t>
        </is>
      </c>
      <c r="D167" s="9" t="inlineStr">
        <is>
          <t>Control</t>
        </is>
      </c>
      <c r="E167" s="9" t="inlineStr">
        <is>
          <t>R2C</t>
        </is>
      </c>
      <c r="F167" s="9" t="inlineStr">
        <is>
          <t>R2C: unit / HRSG electrical e-house (32 x 40 ft)</t>
        </is>
      </c>
      <c r="G167" s="9" t="inlineStr">
        <is>
          <t>GT3</t>
        </is>
      </c>
      <c r="H167" s="9" t="inlineStr">
        <is>
          <t>GT3: H-class gas turbine (60 Hz)</t>
        </is>
      </c>
      <c r="I167" s="9" t="inlineStr">
        <is>
          <t>Control</t>
        </is>
      </c>
      <c r="J167" s="9" t="inlineStr">
        <is>
          <t>ARMOR-X MC-HL 600 V control, Cu #14 AWG (Class I Div 2)</t>
        </is>
      </c>
      <c r="K167" s="9" t="inlineStr">
        <is>
          <t>CTAX|12/C|14</t>
        </is>
      </c>
      <c r="L167" s="9" t="inlineStr">
        <is>
          <t>12/C</t>
        </is>
      </c>
      <c r="M167" s="9" t="inlineStr">
        <is>
          <t>14</t>
        </is>
      </c>
      <c r="N167" s="9" t="n">
        <v>1</v>
      </c>
      <c r="O167" s="9" t="n">
        <v>1</v>
      </c>
      <c r="P167" s="9" t="n"/>
      <c r="Q167" s="9" t="n"/>
      <c r="R167" s="9" t="n"/>
      <c r="S167" s="9" t="inlineStr">
        <is>
          <t>Tray</t>
        </is>
      </c>
      <c r="T167" s="10" t="n">
        <v>1054</v>
      </c>
      <c r="U167" s="10" t="n">
        <v>121</v>
      </c>
      <c r="V167" s="10">
        <f>ROUNDUP((T167+U167+2*'Read Me'!$B$13)*(1+'Read Me'!$B$12),-1)</f>
        <v/>
      </c>
      <c r="W167" s="10">
        <f>V167*N167*O167</f>
        <v/>
      </c>
      <c r="X167" s="9">
        <f>IF(LEFT(I167,2)="MV",2*N167*IF(L167="1/C",O167,1),0)</f>
        <v/>
      </c>
      <c r="Y167" s="9">
        <f>IF(OR(LEFT(K167,4)="LVAX",LEFT(K167,6)="MV15AX",LEFT(K167,4)="CTAX",LEFT(K167,2)="W|"),2*N167*O167,0)</f>
        <v/>
      </c>
      <c r="Z167" s="9" t="inlineStr"/>
    </row>
    <row r="168">
      <c r="A168" s="9" t="inlineStr">
        <is>
          <t>A-C-0156</t>
        </is>
      </c>
      <c r="B168" s="9" t="inlineStr">
        <is>
          <t>A</t>
        </is>
      </c>
      <c r="C168" s="9" t="inlineStr">
        <is>
          <t>Power block</t>
        </is>
      </c>
      <c r="D168" s="9" t="inlineStr">
        <is>
          <t>Control</t>
        </is>
      </c>
      <c r="E168" s="9" t="inlineStr">
        <is>
          <t>R2C</t>
        </is>
      </c>
      <c r="F168" s="9" t="inlineStr">
        <is>
          <t>R2C: unit / HRSG electrical e-house (32 x 40 ft)</t>
        </is>
      </c>
      <c r="G168" s="9" t="inlineStr">
        <is>
          <t>GT3</t>
        </is>
      </c>
      <c r="H168" s="9" t="inlineStr">
        <is>
          <t>GT3: H-class gas turbine (60 Hz)</t>
        </is>
      </c>
      <c r="I168" s="9" t="inlineStr">
        <is>
          <t>Control</t>
        </is>
      </c>
      <c r="J168" s="9" t="inlineStr">
        <is>
          <t>ARMOR-X MC-HL 600 V control, Cu #14 AWG (Class I Div 2)</t>
        </is>
      </c>
      <c r="K168" s="9" t="inlineStr">
        <is>
          <t>CTAX|12/C|14</t>
        </is>
      </c>
      <c r="L168" s="9" t="inlineStr">
        <is>
          <t>12/C</t>
        </is>
      </c>
      <c r="M168" s="9" t="inlineStr">
        <is>
          <t>14</t>
        </is>
      </c>
      <c r="N168" s="9" t="n">
        <v>1</v>
      </c>
      <c r="O168" s="9" t="n">
        <v>1</v>
      </c>
      <c r="P168" s="9" t="n"/>
      <c r="Q168" s="9" t="n"/>
      <c r="R168" s="9" t="n"/>
      <c r="S168" s="9" t="inlineStr">
        <is>
          <t>Tray</t>
        </is>
      </c>
      <c r="T168" s="10" t="n">
        <v>1054</v>
      </c>
      <c r="U168" s="10" t="n">
        <v>121</v>
      </c>
      <c r="V168" s="10">
        <f>ROUNDUP((T168+U168+2*'Read Me'!$B$13)*(1+'Read Me'!$B$12),-1)</f>
        <v/>
      </c>
      <c r="W168" s="10">
        <f>V168*N168*O168</f>
        <v/>
      </c>
      <c r="X168" s="9">
        <f>IF(LEFT(I168,2)="MV",2*N168*IF(L168="1/C",O168,1),0)</f>
        <v/>
      </c>
      <c r="Y168" s="9">
        <f>IF(OR(LEFT(K168,4)="LVAX",LEFT(K168,6)="MV15AX",LEFT(K168,4)="CTAX",LEFT(K168,2)="W|"),2*N168*O168,0)</f>
        <v/>
      </c>
      <c r="Z168" s="9" t="inlineStr"/>
    </row>
    <row r="169">
      <c r="A169" s="9" t="inlineStr">
        <is>
          <t>A-C-0157</t>
        </is>
      </c>
      <c r="B169" s="9" t="inlineStr">
        <is>
          <t>A</t>
        </is>
      </c>
      <c r="C169" s="9" t="inlineStr">
        <is>
          <t>Power block</t>
        </is>
      </c>
      <c r="D169" s="9" t="inlineStr">
        <is>
          <t>Control</t>
        </is>
      </c>
      <c r="E169" s="9" t="inlineStr">
        <is>
          <t>R2A</t>
        </is>
      </c>
      <c r="F169" s="9" t="inlineStr">
        <is>
          <t>R2A: unit / HRSG electrical e-house (32 x 40 ft)</t>
        </is>
      </c>
      <c r="G169" s="9" t="inlineStr">
        <is>
          <t>GTG-1</t>
        </is>
      </c>
      <c r="H169" s="9" t="inlineStr">
        <is>
          <t>GTG-1: GT generator</t>
        </is>
      </c>
      <c r="I169" s="9" t="inlineStr">
        <is>
          <t>Control</t>
        </is>
      </c>
      <c r="J169" s="9" t="inlineStr">
        <is>
          <t>Control cable 600 V Type TC-ER, Cu #14 AWG, PVC jacket</t>
        </is>
      </c>
      <c r="K169" s="9" t="inlineStr">
        <is>
          <t>CT|7/C|14</t>
        </is>
      </c>
      <c r="L169" s="9" t="inlineStr">
        <is>
          <t>7/C</t>
        </is>
      </c>
      <c r="M169" s="9" t="inlineStr">
        <is>
          <t>14</t>
        </is>
      </c>
      <c r="N169" s="9" t="n">
        <v>1</v>
      </c>
      <c r="O169" s="9" t="n">
        <v>1</v>
      </c>
      <c r="P169" s="9" t="n"/>
      <c r="Q169" s="9" t="n"/>
      <c r="R169" s="9" t="n"/>
      <c r="S169" s="9" t="inlineStr">
        <is>
          <t>Tray</t>
        </is>
      </c>
      <c r="T169" s="10" t="n">
        <v>401</v>
      </c>
      <c r="U169" s="10" t="n">
        <v>85</v>
      </c>
      <c r="V169" s="10">
        <f>ROUNDUP((T169+U169+2*'Read Me'!$B$13)*(1+'Read Me'!$B$12),-1)</f>
        <v/>
      </c>
      <c r="W169" s="10">
        <f>V169*N169*O169</f>
        <v/>
      </c>
      <c r="X169" s="9">
        <f>IF(LEFT(I169,2)="MV",2*N169*IF(L169="1/C",O169,1),0)</f>
        <v/>
      </c>
      <c r="Y169" s="9">
        <f>IF(OR(LEFT(K169,4)="LVAX",LEFT(K169,6)="MV15AX",LEFT(K169,4)="CTAX",LEFT(K169,2)="W|"),2*N169*O169,0)</f>
        <v/>
      </c>
      <c r="Z169" s="9" t="inlineStr"/>
    </row>
    <row r="170">
      <c r="A170" s="9" t="inlineStr">
        <is>
          <t>A-C-0158</t>
        </is>
      </c>
      <c r="B170" s="9" t="inlineStr">
        <is>
          <t>A</t>
        </is>
      </c>
      <c r="C170" s="9" t="inlineStr">
        <is>
          <t>Power block</t>
        </is>
      </c>
      <c r="D170" s="9" t="inlineStr">
        <is>
          <t>Control</t>
        </is>
      </c>
      <c r="E170" s="9" t="inlineStr">
        <is>
          <t>R2A</t>
        </is>
      </c>
      <c r="F170" s="9" t="inlineStr">
        <is>
          <t>R2A: unit / HRSG electrical e-house (32 x 40 ft)</t>
        </is>
      </c>
      <c r="G170" s="9" t="inlineStr">
        <is>
          <t>GTG-1</t>
        </is>
      </c>
      <c r="H170" s="9" t="inlineStr">
        <is>
          <t>GTG-1: GT generator</t>
        </is>
      </c>
      <c r="I170" s="9" t="inlineStr">
        <is>
          <t>Control</t>
        </is>
      </c>
      <c r="J170" s="9" t="inlineStr">
        <is>
          <t>Control cable 600 V Type TC-ER, Cu #14 AWG, PVC jacket</t>
        </is>
      </c>
      <c r="K170" s="9" t="inlineStr">
        <is>
          <t>CT|7/C|14</t>
        </is>
      </c>
      <c r="L170" s="9" t="inlineStr">
        <is>
          <t>7/C</t>
        </is>
      </c>
      <c r="M170" s="9" t="inlineStr">
        <is>
          <t>14</t>
        </is>
      </c>
      <c r="N170" s="9" t="n">
        <v>1</v>
      </c>
      <c r="O170" s="9" t="n">
        <v>1</v>
      </c>
      <c r="P170" s="9" t="n"/>
      <c r="Q170" s="9" t="n"/>
      <c r="R170" s="9" t="n"/>
      <c r="S170" s="9" t="inlineStr">
        <is>
          <t>Tray</t>
        </is>
      </c>
      <c r="T170" s="10" t="n">
        <v>401</v>
      </c>
      <c r="U170" s="10" t="n">
        <v>85</v>
      </c>
      <c r="V170" s="10">
        <f>ROUNDUP((T170+U170+2*'Read Me'!$B$13)*(1+'Read Me'!$B$12),-1)</f>
        <v/>
      </c>
      <c r="W170" s="10">
        <f>V170*N170*O170</f>
        <v/>
      </c>
      <c r="X170" s="9">
        <f>IF(LEFT(I170,2)="MV",2*N170*IF(L170="1/C",O170,1),0)</f>
        <v/>
      </c>
      <c r="Y170" s="9">
        <f>IF(OR(LEFT(K170,4)="LVAX",LEFT(K170,6)="MV15AX",LEFT(K170,4)="CTAX",LEFT(K170,2)="W|"),2*N170*O170,0)</f>
        <v/>
      </c>
      <c r="Z170" s="9" t="inlineStr"/>
    </row>
    <row r="171">
      <c r="A171" s="9" t="inlineStr">
        <is>
          <t>A-C-0159</t>
        </is>
      </c>
      <c r="B171" s="9" t="inlineStr">
        <is>
          <t>A</t>
        </is>
      </c>
      <c r="C171" s="9" t="inlineStr">
        <is>
          <t>Power block</t>
        </is>
      </c>
      <c r="D171" s="9" t="inlineStr">
        <is>
          <t>Control</t>
        </is>
      </c>
      <c r="E171" s="9" t="inlineStr">
        <is>
          <t>R2A</t>
        </is>
      </c>
      <c r="F171" s="9" t="inlineStr">
        <is>
          <t>R2A: unit / HRSG electrical e-house (32 x 40 ft)</t>
        </is>
      </c>
      <c r="G171" s="9" t="inlineStr">
        <is>
          <t>GTG-1</t>
        </is>
      </c>
      <c r="H171" s="9" t="inlineStr">
        <is>
          <t>GTG-1: GT generator</t>
        </is>
      </c>
      <c r="I171" s="9" t="inlineStr">
        <is>
          <t>Control</t>
        </is>
      </c>
      <c r="J171" s="9" t="inlineStr">
        <is>
          <t>Control cable 600 V Type TC-ER, Cu #14 AWG, PVC jacket</t>
        </is>
      </c>
      <c r="K171" s="9" t="inlineStr">
        <is>
          <t>CT|12/C|14</t>
        </is>
      </c>
      <c r="L171" s="9" t="inlineStr">
        <is>
          <t>12/C</t>
        </is>
      </c>
      <c r="M171" s="9" t="inlineStr">
        <is>
          <t>14</t>
        </is>
      </c>
      <c r="N171" s="9" t="n">
        <v>1</v>
      </c>
      <c r="O171" s="9" t="n">
        <v>1</v>
      </c>
      <c r="P171" s="9" t="n"/>
      <c r="Q171" s="9" t="n"/>
      <c r="R171" s="9" t="n"/>
      <c r="S171" s="9" t="inlineStr">
        <is>
          <t>Tray</t>
        </is>
      </c>
      <c r="T171" s="10" t="n">
        <v>401</v>
      </c>
      <c r="U171" s="10" t="n">
        <v>85</v>
      </c>
      <c r="V171" s="10">
        <f>ROUNDUP((T171+U171+2*'Read Me'!$B$13)*(1+'Read Me'!$B$12),-1)</f>
        <v/>
      </c>
      <c r="W171" s="10">
        <f>V171*N171*O171</f>
        <v/>
      </c>
      <c r="X171" s="9">
        <f>IF(LEFT(I171,2)="MV",2*N171*IF(L171="1/C",O171,1),0)</f>
        <v/>
      </c>
      <c r="Y171" s="9">
        <f>IF(OR(LEFT(K171,4)="LVAX",LEFT(K171,6)="MV15AX",LEFT(K171,4)="CTAX",LEFT(K171,2)="W|"),2*N171*O171,0)</f>
        <v/>
      </c>
      <c r="Z171" s="9" t="inlineStr"/>
    </row>
    <row r="172">
      <c r="A172" s="9" t="inlineStr">
        <is>
          <t>A-C-0160</t>
        </is>
      </c>
      <c r="B172" s="9" t="inlineStr">
        <is>
          <t>A</t>
        </is>
      </c>
      <c r="C172" s="9" t="inlineStr">
        <is>
          <t>Power block</t>
        </is>
      </c>
      <c r="D172" s="9" t="inlineStr">
        <is>
          <t>Control</t>
        </is>
      </c>
      <c r="E172" s="9" t="inlineStr">
        <is>
          <t>R2A</t>
        </is>
      </c>
      <c r="F172" s="9" t="inlineStr">
        <is>
          <t>R2A: unit / HRSG electrical e-house (32 x 40 ft)</t>
        </is>
      </c>
      <c r="G172" s="9" t="inlineStr">
        <is>
          <t>GTG-1</t>
        </is>
      </c>
      <c r="H172" s="9" t="inlineStr">
        <is>
          <t>GTG-1: GT generator</t>
        </is>
      </c>
      <c r="I172" s="9" t="inlineStr">
        <is>
          <t>Control</t>
        </is>
      </c>
      <c r="J172" s="9" t="inlineStr">
        <is>
          <t>Control cable 600 V Type TC-ER, Cu #14 AWG, PVC jacket</t>
        </is>
      </c>
      <c r="K172" s="9" t="inlineStr">
        <is>
          <t>CT|12/C|14</t>
        </is>
      </c>
      <c r="L172" s="9" t="inlineStr">
        <is>
          <t>12/C</t>
        </is>
      </c>
      <c r="M172" s="9" t="inlineStr">
        <is>
          <t>14</t>
        </is>
      </c>
      <c r="N172" s="9" t="n">
        <v>1</v>
      </c>
      <c r="O172" s="9" t="n">
        <v>1</v>
      </c>
      <c r="P172" s="9" t="n"/>
      <c r="Q172" s="9" t="n"/>
      <c r="R172" s="9" t="n"/>
      <c r="S172" s="9" t="inlineStr">
        <is>
          <t>Tray</t>
        </is>
      </c>
      <c r="T172" s="10" t="n">
        <v>401</v>
      </c>
      <c r="U172" s="10" t="n">
        <v>85</v>
      </c>
      <c r="V172" s="10">
        <f>ROUNDUP((T172+U172+2*'Read Me'!$B$13)*(1+'Read Me'!$B$12),-1)</f>
        <v/>
      </c>
      <c r="W172" s="10">
        <f>V172*N172*O172</f>
        <v/>
      </c>
      <c r="X172" s="9">
        <f>IF(LEFT(I172,2)="MV",2*N172*IF(L172="1/C",O172,1),0)</f>
        <v/>
      </c>
      <c r="Y172" s="9">
        <f>IF(OR(LEFT(K172,4)="LVAX",LEFT(K172,6)="MV15AX",LEFT(K172,4)="CTAX",LEFT(K172,2)="W|"),2*N172*O172,0)</f>
        <v/>
      </c>
      <c r="Z172" s="9" t="inlineStr"/>
    </row>
    <row r="173">
      <c r="A173" s="9" t="inlineStr">
        <is>
          <t>A-C-0161</t>
        </is>
      </c>
      <c r="B173" s="9" t="inlineStr">
        <is>
          <t>A</t>
        </is>
      </c>
      <c r="C173" s="9" t="inlineStr">
        <is>
          <t>Power block</t>
        </is>
      </c>
      <c r="D173" s="9" t="inlineStr">
        <is>
          <t>Control</t>
        </is>
      </c>
      <c r="E173" s="9" t="inlineStr">
        <is>
          <t>R2A</t>
        </is>
      </c>
      <c r="F173" s="9" t="inlineStr">
        <is>
          <t>R2A: unit / HRSG electrical e-house (32 x 40 ft)</t>
        </is>
      </c>
      <c r="G173" s="9" t="inlineStr">
        <is>
          <t>GTG-1</t>
        </is>
      </c>
      <c r="H173" s="9" t="inlineStr">
        <is>
          <t>GTG-1: GT generator</t>
        </is>
      </c>
      <c r="I173" s="9" t="inlineStr">
        <is>
          <t>Control</t>
        </is>
      </c>
      <c r="J173" s="9" t="inlineStr">
        <is>
          <t>Control cable 600 V Type TC-ER, Cu #14 AWG, PVC jacket</t>
        </is>
      </c>
      <c r="K173" s="9" t="inlineStr">
        <is>
          <t>CT|12/C|14</t>
        </is>
      </c>
      <c r="L173" s="9" t="inlineStr">
        <is>
          <t>12/C</t>
        </is>
      </c>
      <c r="M173" s="9" t="inlineStr">
        <is>
          <t>14</t>
        </is>
      </c>
      <c r="N173" s="9" t="n">
        <v>1</v>
      </c>
      <c r="O173" s="9" t="n">
        <v>1</v>
      </c>
      <c r="P173" s="9" t="n"/>
      <c r="Q173" s="9" t="n"/>
      <c r="R173" s="9" t="n"/>
      <c r="S173" s="9" t="inlineStr">
        <is>
          <t>Tray</t>
        </is>
      </c>
      <c r="T173" s="10" t="n">
        <v>401</v>
      </c>
      <c r="U173" s="10" t="n">
        <v>85</v>
      </c>
      <c r="V173" s="10">
        <f>ROUNDUP((T173+U173+2*'Read Me'!$B$13)*(1+'Read Me'!$B$12),-1)</f>
        <v/>
      </c>
      <c r="W173" s="10">
        <f>V173*N173*O173</f>
        <v/>
      </c>
      <c r="X173" s="9">
        <f>IF(LEFT(I173,2)="MV",2*N173*IF(L173="1/C",O173,1),0)</f>
        <v/>
      </c>
      <c r="Y173" s="9">
        <f>IF(OR(LEFT(K173,4)="LVAX",LEFT(K173,6)="MV15AX",LEFT(K173,4)="CTAX",LEFT(K173,2)="W|"),2*N173*O173,0)</f>
        <v/>
      </c>
      <c r="Z173" s="9" t="inlineStr"/>
    </row>
    <row r="174">
      <c r="A174" s="9" t="inlineStr">
        <is>
          <t>A-C-0162</t>
        </is>
      </c>
      <c r="B174" s="9" t="inlineStr">
        <is>
          <t>A</t>
        </is>
      </c>
      <c r="C174" s="9" t="inlineStr">
        <is>
          <t>Power block</t>
        </is>
      </c>
      <c r="D174" s="9" t="inlineStr">
        <is>
          <t>Control</t>
        </is>
      </c>
      <c r="E174" s="9" t="inlineStr">
        <is>
          <t>R2A</t>
        </is>
      </c>
      <c r="F174" s="9" t="inlineStr">
        <is>
          <t>R2A: unit / HRSG electrical e-house (32 x 40 ft)</t>
        </is>
      </c>
      <c r="G174" s="9" t="inlineStr">
        <is>
          <t>GTG-1</t>
        </is>
      </c>
      <c r="H174" s="9" t="inlineStr">
        <is>
          <t>GTG-1: GT generator</t>
        </is>
      </c>
      <c r="I174" s="9" t="inlineStr">
        <is>
          <t>Control</t>
        </is>
      </c>
      <c r="J174" s="9" t="inlineStr">
        <is>
          <t>Control cable 600 V Type TC-ER, Cu #14 AWG, PVC jacket</t>
        </is>
      </c>
      <c r="K174" s="9" t="inlineStr">
        <is>
          <t>CT|12/C|14</t>
        </is>
      </c>
      <c r="L174" s="9" t="inlineStr">
        <is>
          <t>12/C</t>
        </is>
      </c>
      <c r="M174" s="9" t="inlineStr">
        <is>
          <t>14</t>
        </is>
      </c>
      <c r="N174" s="9" t="n">
        <v>1</v>
      </c>
      <c r="O174" s="9" t="n">
        <v>1</v>
      </c>
      <c r="P174" s="9" t="n"/>
      <c r="Q174" s="9" t="n"/>
      <c r="R174" s="9" t="n"/>
      <c r="S174" s="9" t="inlineStr">
        <is>
          <t>Tray</t>
        </is>
      </c>
      <c r="T174" s="10" t="n">
        <v>401</v>
      </c>
      <c r="U174" s="10" t="n">
        <v>85</v>
      </c>
      <c r="V174" s="10">
        <f>ROUNDUP((T174+U174+2*'Read Me'!$B$13)*(1+'Read Me'!$B$12),-1)</f>
        <v/>
      </c>
      <c r="W174" s="10">
        <f>V174*N174*O174</f>
        <v/>
      </c>
      <c r="X174" s="9">
        <f>IF(LEFT(I174,2)="MV",2*N174*IF(L174="1/C",O174,1),0)</f>
        <v/>
      </c>
      <c r="Y174" s="9">
        <f>IF(OR(LEFT(K174,4)="LVAX",LEFT(K174,6)="MV15AX",LEFT(K174,4)="CTAX",LEFT(K174,2)="W|"),2*N174*O174,0)</f>
        <v/>
      </c>
      <c r="Z174" s="9" t="inlineStr"/>
    </row>
    <row r="175">
      <c r="A175" s="9" t="inlineStr">
        <is>
          <t>A-C-0163</t>
        </is>
      </c>
      <c r="B175" s="9" t="inlineStr">
        <is>
          <t>A</t>
        </is>
      </c>
      <c r="C175" s="9" t="inlineStr">
        <is>
          <t>Power block</t>
        </is>
      </c>
      <c r="D175" s="9" t="inlineStr">
        <is>
          <t>Control</t>
        </is>
      </c>
      <c r="E175" s="9" t="inlineStr">
        <is>
          <t>R2A</t>
        </is>
      </c>
      <c r="F175" s="9" t="inlineStr">
        <is>
          <t>R2A: unit / HRSG electrical e-house (32 x 40 ft)</t>
        </is>
      </c>
      <c r="G175" s="9" t="inlineStr">
        <is>
          <t>GTG-1</t>
        </is>
      </c>
      <c r="H175" s="9" t="inlineStr">
        <is>
          <t>GTG-1: GT generator</t>
        </is>
      </c>
      <c r="I175" s="9" t="inlineStr">
        <is>
          <t>Control</t>
        </is>
      </c>
      <c r="J175" s="9" t="inlineStr">
        <is>
          <t>Control cable 600 V Type TC-ER, Cu #14 AWG, PVC jacket</t>
        </is>
      </c>
      <c r="K175" s="9" t="inlineStr">
        <is>
          <t>CT|12/C|14</t>
        </is>
      </c>
      <c r="L175" s="9" t="inlineStr">
        <is>
          <t>12/C</t>
        </is>
      </c>
      <c r="M175" s="9" t="inlineStr">
        <is>
          <t>14</t>
        </is>
      </c>
      <c r="N175" s="9" t="n">
        <v>1</v>
      </c>
      <c r="O175" s="9" t="n">
        <v>1</v>
      </c>
      <c r="P175" s="9" t="n"/>
      <c r="Q175" s="9" t="n"/>
      <c r="R175" s="9" t="n"/>
      <c r="S175" s="9" t="inlineStr">
        <is>
          <t>Tray</t>
        </is>
      </c>
      <c r="T175" s="10" t="n">
        <v>401</v>
      </c>
      <c r="U175" s="10" t="n">
        <v>85</v>
      </c>
      <c r="V175" s="10">
        <f>ROUNDUP((T175+U175+2*'Read Me'!$B$13)*(1+'Read Me'!$B$12),-1)</f>
        <v/>
      </c>
      <c r="W175" s="10">
        <f>V175*N175*O175</f>
        <v/>
      </c>
      <c r="X175" s="9">
        <f>IF(LEFT(I175,2)="MV",2*N175*IF(L175="1/C",O175,1),0)</f>
        <v/>
      </c>
      <c r="Y175" s="9">
        <f>IF(OR(LEFT(K175,4)="LVAX",LEFT(K175,6)="MV15AX",LEFT(K175,4)="CTAX",LEFT(K175,2)="W|"),2*N175*O175,0)</f>
        <v/>
      </c>
      <c r="Z175" s="9" t="inlineStr"/>
    </row>
    <row r="176">
      <c r="A176" s="9" t="inlineStr">
        <is>
          <t>A-C-0164</t>
        </is>
      </c>
      <c r="B176" s="9" t="inlineStr">
        <is>
          <t>A</t>
        </is>
      </c>
      <c r="C176" s="9" t="inlineStr">
        <is>
          <t>Power block</t>
        </is>
      </c>
      <c r="D176" s="9" t="inlineStr">
        <is>
          <t>Control</t>
        </is>
      </c>
      <c r="E176" s="9" t="inlineStr">
        <is>
          <t>R2A</t>
        </is>
      </c>
      <c r="F176" s="9" t="inlineStr">
        <is>
          <t>R2A: unit / HRSG electrical e-house (32 x 40 ft)</t>
        </is>
      </c>
      <c r="G176" s="9" t="inlineStr">
        <is>
          <t>GTG-1</t>
        </is>
      </c>
      <c r="H176" s="9" t="inlineStr">
        <is>
          <t>GTG-1: GT generator</t>
        </is>
      </c>
      <c r="I176" s="9" t="inlineStr">
        <is>
          <t>Control</t>
        </is>
      </c>
      <c r="J176" s="9" t="inlineStr">
        <is>
          <t>Control cable 600 V Type TC-ER, Cu #14 AWG, PVC jacket</t>
        </is>
      </c>
      <c r="K176" s="9" t="inlineStr">
        <is>
          <t>CT|12/C|14</t>
        </is>
      </c>
      <c r="L176" s="9" t="inlineStr">
        <is>
          <t>12/C</t>
        </is>
      </c>
      <c r="M176" s="9" t="inlineStr">
        <is>
          <t>14</t>
        </is>
      </c>
      <c r="N176" s="9" t="n">
        <v>1</v>
      </c>
      <c r="O176" s="9" t="n">
        <v>1</v>
      </c>
      <c r="P176" s="9" t="n"/>
      <c r="Q176" s="9" t="n"/>
      <c r="R176" s="9" t="n"/>
      <c r="S176" s="9" t="inlineStr">
        <is>
          <t>Tray</t>
        </is>
      </c>
      <c r="T176" s="10" t="n">
        <v>401</v>
      </c>
      <c r="U176" s="10" t="n">
        <v>85</v>
      </c>
      <c r="V176" s="10">
        <f>ROUNDUP((T176+U176+2*'Read Me'!$B$13)*(1+'Read Me'!$B$12),-1)</f>
        <v/>
      </c>
      <c r="W176" s="10">
        <f>V176*N176*O176</f>
        <v/>
      </c>
      <c r="X176" s="9">
        <f>IF(LEFT(I176,2)="MV",2*N176*IF(L176="1/C",O176,1),0)</f>
        <v/>
      </c>
      <c r="Y176" s="9">
        <f>IF(OR(LEFT(K176,4)="LVAX",LEFT(K176,6)="MV15AX",LEFT(K176,4)="CTAX",LEFT(K176,2)="W|"),2*N176*O176,0)</f>
        <v/>
      </c>
      <c r="Z176" s="9" t="inlineStr"/>
    </row>
    <row r="177">
      <c r="A177" s="9" t="inlineStr">
        <is>
          <t>A-C-0165</t>
        </is>
      </c>
      <c r="B177" s="9" t="inlineStr">
        <is>
          <t>A</t>
        </is>
      </c>
      <c r="C177" s="9" t="inlineStr">
        <is>
          <t>Power block</t>
        </is>
      </c>
      <c r="D177" s="9" t="inlineStr">
        <is>
          <t>Control</t>
        </is>
      </c>
      <c r="E177" s="9" t="inlineStr">
        <is>
          <t>R2B</t>
        </is>
      </c>
      <c r="F177" s="9" t="inlineStr">
        <is>
          <t>R2B: unit / HRSG electrical e-house (32 x 40 ft)</t>
        </is>
      </c>
      <c r="G177" s="9" t="inlineStr">
        <is>
          <t>GTG-2</t>
        </is>
      </c>
      <c r="H177" s="9" t="inlineStr">
        <is>
          <t>GTG-2: GT generator</t>
        </is>
      </c>
      <c r="I177" s="9" t="inlineStr">
        <is>
          <t>Control</t>
        </is>
      </c>
      <c r="J177" s="9" t="inlineStr">
        <is>
          <t>Control cable 600 V Type TC-ER, Cu #14 AWG, PVC jacket</t>
        </is>
      </c>
      <c r="K177" s="9" t="inlineStr">
        <is>
          <t>CT|7/C|14</t>
        </is>
      </c>
      <c r="L177" s="9" t="inlineStr">
        <is>
          <t>7/C</t>
        </is>
      </c>
      <c r="M177" s="9" t="inlineStr">
        <is>
          <t>14</t>
        </is>
      </c>
      <c r="N177" s="9" t="n">
        <v>1</v>
      </c>
      <c r="O177" s="9" t="n">
        <v>1</v>
      </c>
      <c r="P177" s="9" t="n"/>
      <c r="Q177" s="9" t="n"/>
      <c r="R177" s="9" t="n"/>
      <c r="S177" s="9" t="inlineStr">
        <is>
          <t>Tray</t>
        </is>
      </c>
      <c r="T177" s="10" t="n">
        <v>1140</v>
      </c>
      <c r="U177" s="10" t="n">
        <v>87</v>
      </c>
      <c r="V177" s="10">
        <f>ROUNDUP((T177+U177+2*'Read Me'!$B$13)*(1+'Read Me'!$B$12),-1)</f>
        <v/>
      </c>
      <c r="W177" s="10">
        <f>V177*N177*O177</f>
        <v/>
      </c>
      <c r="X177" s="9">
        <f>IF(LEFT(I177,2)="MV",2*N177*IF(L177="1/C",O177,1),0)</f>
        <v/>
      </c>
      <c r="Y177" s="9">
        <f>IF(OR(LEFT(K177,4)="LVAX",LEFT(K177,6)="MV15AX",LEFT(K177,4)="CTAX",LEFT(K177,2)="W|"),2*N177*O177,0)</f>
        <v/>
      </c>
      <c r="Z177" s="9" t="inlineStr"/>
    </row>
    <row r="178">
      <c r="A178" s="9" t="inlineStr">
        <is>
          <t>A-C-0166</t>
        </is>
      </c>
      <c r="B178" s="9" t="inlineStr">
        <is>
          <t>A</t>
        </is>
      </c>
      <c r="C178" s="9" t="inlineStr">
        <is>
          <t>Power block</t>
        </is>
      </c>
      <c r="D178" s="9" t="inlineStr">
        <is>
          <t>Control</t>
        </is>
      </c>
      <c r="E178" s="9" t="inlineStr">
        <is>
          <t>R2B</t>
        </is>
      </c>
      <c r="F178" s="9" t="inlineStr">
        <is>
          <t>R2B: unit / HRSG electrical e-house (32 x 40 ft)</t>
        </is>
      </c>
      <c r="G178" s="9" t="inlineStr">
        <is>
          <t>GTG-2</t>
        </is>
      </c>
      <c r="H178" s="9" t="inlineStr">
        <is>
          <t>GTG-2: GT generator</t>
        </is>
      </c>
      <c r="I178" s="9" t="inlineStr">
        <is>
          <t>Control</t>
        </is>
      </c>
      <c r="J178" s="9" t="inlineStr">
        <is>
          <t>Control cable 600 V Type TC-ER, Cu #14 AWG, PVC jacket</t>
        </is>
      </c>
      <c r="K178" s="9" t="inlineStr">
        <is>
          <t>CT|7/C|14</t>
        </is>
      </c>
      <c r="L178" s="9" t="inlineStr">
        <is>
          <t>7/C</t>
        </is>
      </c>
      <c r="M178" s="9" t="inlineStr">
        <is>
          <t>14</t>
        </is>
      </c>
      <c r="N178" s="9" t="n">
        <v>1</v>
      </c>
      <c r="O178" s="9" t="n">
        <v>1</v>
      </c>
      <c r="P178" s="9" t="n"/>
      <c r="Q178" s="9" t="n"/>
      <c r="R178" s="9" t="n"/>
      <c r="S178" s="9" t="inlineStr">
        <is>
          <t>Tray</t>
        </is>
      </c>
      <c r="T178" s="10" t="n">
        <v>1140</v>
      </c>
      <c r="U178" s="10" t="n">
        <v>87</v>
      </c>
      <c r="V178" s="10">
        <f>ROUNDUP((T178+U178+2*'Read Me'!$B$13)*(1+'Read Me'!$B$12),-1)</f>
        <v/>
      </c>
      <c r="W178" s="10">
        <f>V178*N178*O178</f>
        <v/>
      </c>
      <c r="X178" s="9">
        <f>IF(LEFT(I178,2)="MV",2*N178*IF(L178="1/C",O178,1),0)</f>
        <v/>
      </c>
      <c r="Y178" s="9">
        <f>IF(OR(LEFT(K178,4)="LVAX",LEFT(K178,6)="MV15AX",LEFT(K178,4)="CTAX",LEFT(K178,2)="W|"),2*N178*O178,0)</f>
        <v/>
      </c>
      <c r="Z178" s="9" t="inlineStr"/>
    </row>
    <row r="179">
      <c r="A179" s="9" t="inlineStr">
        <is>
          <t>A-C-0167</t>
        </is>
      </c>
      <c r="B179" s="9" t="inlineStr">
        <is>
          <t>A</t>
        </is>
      </c>
      <c r="C179" s="9" t="inlineStr">
        <is>
          <t>Power block</t>
        </is>
      </c>
      <c r="D179" s="9" t="inlineStr">
        <is>
          <t>Control</t>
        </is>
      </c>
      <c r="E179" s="9" t="inlineStr">
        <is>
          <t>R2B</t>
        </is>
      </c>
      <c r="F179" s="9" t="inlineStr">
        <is>
          <t>R2B: unit / HRSG electrical e-house (32 x 40 ft)</t>
        </is>
      </c>
      <c r="G179" s="9" t="inlineStr">
        <is>
          <t>GTG-2</t>
        </is>
      </c>
      <c r="H179" s="9" t="inlineStr">
        <is>
          <t>GTG-2: GT generator</t>
        </is>
      </c>
      <c r="I179" s="9" t="inlineStr">
        <is>
          <t>Control</t>
        </is>
      </c>
      <c r="J179" s="9" t="inlineStr">
        <is>
          <t>Control cable 600 V Type TC-ER, Cu #14 AWG, PVC jacket</t>
        </is>
      </c>
      <c r="K179" s="9" t="inlineStr">
        <is>
          <t>CT|12/C|14</t>
        </is>
      </c>
      <c r="L179" s="9" t="inlineStr">
        <is>
          <t>12/C</t>
        </is>
      </c>
      <c r="M179" s="9" t="inlineStr">
        <is>
          <t>14</t>
        </is>
      </c>
      <c r="N179" s="9" t="n">
        <v>1</v>
      </c>
      <c r="O179" s="9" t="n">
        <v>1</v>
      </c>
      <c r="P179" s="9" t="n"/>
      <c r="Q179" s="9" t="n"/>
      <c r="R179" s="9" t="n"/>
      <c r="S179" s="9" t="inlineStr">
        <is>
          <t>Tray</t>
        </is>
      </c>
      <c r="T179" s="10" t="n">
        <v>1140</v>
      </c>
      <c r="U179" s="10" t="n">
        <v>87</v>
      </c>
      <c r="V179" s="10">
        <f>ROUNDUP((T179+U179+2*'Read Me'!$B$13)*(1+'Read Me'!$B$12),-1)</f>
        <v/>
      </c>
      <c r="W179" s="10">
        <f>V179*N179*O179</f>
        <v/>
      </c>
      <c r="X179" s="9">
        <f>IF(LEFT(I179,2)="MV",2*N179*IF(L179="1/C",O179,1),0)</f>
        <v/>
      </c>
      <c r="Y179" s="9">
        <f>IF(OR(LEFT(K179,4)="LVAX",LEFT(K179,6)="MV15AX",LEFT(K179,4)="CTAX",LEFT(K179,2)="W|"),2*N179*O179,0)</f>
        <v/>
      </c>
      <c r="Z179" s="9" t="inlineStr"/>
    </row>
    <row r="180">
      <c r="A180" s="9" t="inlineStr">
        <is>
          <t>A-C-0168</t>
        </is>
      </c>
      <c r="B180" s="9" t="inlineStr">
        <is>
          <t>A</t>
        </is>
      </c>
      <c r="C180" s="9" t="inlineStr">
        <is>
          <t>Power block</t>
        </is>
      </c>
      <c r="D180" s="9" t="inlineStr">
        <is>
          <t>Control</t>
        </is>
      </c>
      <c r="E180" s="9" t="inlineStr">
        <is>
          <t>R2B</t>
        </is>
      </c>
      <c r="F180" s="9" t="inlineStr">
        <is>
          <t>R2B: unit / HRSG electrical e-house (32 x 40 ft)</t>
        </is>
      </c>
      <c r="G180" s="9" t="inlineStr">
        <is>
          <t>GTG-2</t>
        </is>
      </c>
      <c r="H180" s="9" t="inlineStr">
        <is>
          <t>GTG-2: GT generator</t>
        </is>
      </c>
      <c r="I180" s="9" t="inlineStr">
        <is>
          <t>Control</t>
        </is>
      </c>
      <c r="J180" s="9" t="inlineStr">
        <is>
          <t>Control cable 600 V Type TC-ER, Cu #14 AWG, PVC jacket</t>
        </is>
      </c>
      <c r="K180" s="9" t="inlineStr">
        <is>
          <t>CT|12/C|14</t>
        </is>
      </c>
      <c r="L180" s="9" t="inlineStr">
        <is>
          <t>12/C</t>
        </is>
      </c>
      <c r="M180" s="9" t="inlineStr">
        <is>
          <t>14</t>
        </is>
      </c>
      <c r="N180" s="9" t="n">
        <v>1</v>
      </c>
      <c r="O180" s="9" t="n">
        <v>1</v>
      </c>
      <c r="P180" s="9" t="n"/>
      <c r="Q180" s="9" t="n"/>
      <c r="R180" s="9" t="n"/>
      <c r="S180" s="9" t="inlineStr">
        <is>
          <t>Tray</t>
        </is>
      </c>
      <c r="T180" s="10" t="n">
        <v>1140</v>
      </c>
      <c r="U180" s="10" t="n">
        <v>87</v>
      </c>
      <c r="V180" s="10">
        <f>ROUNDUP((T180+U180+2*'Read Me'!$B$13)*(1+'Read Me'!$B$12),-1)</f>
        <v/>
      </c>
      <c r="W180" s="10">
        <f>V180*N180*O180</f>
        <v/>
      </c>
      <c r="X180" s="9">
        <f>IF(LEFT(I180,2)="MV",2*N180*IF(L180="1/C",O180,1),0)</f>
        <v/>
      </c>
      <c r="Y180" s="9">
        <f>IF(OR(LEFT(K180,4)="LVAX",LEFT(K180,6)="MV15AX",LEFT(K180,4)="CTAX",LEFT(K180,2)="W|"),2*N180*O180,0)</f>
        <v/>
      </c>
      <c r="Z180" s="9" t="inlineStr"/>
    </row>
    <row r="181">
      <c r="A181" s="9" t="inlineStr">
        <is>
          <t>A-C-0169</t>
        </is>
      </c>
      <c r="B181" s="9" t="inlineStr">
        <is>
          <t>A</t>
        </is>
      </c>
      <c r="C181" s="9" t="inlineStr">
        <is>
          <t>Power block</t>
        </is>
      </c>
      <c r="D181" s="9" t="inlineStr">
        <is>
          <t>Control</t>
        </is>
      </c>
      <c r="E181" s="9" t="inlineStr">
        <is>
          <t>R2B</t>
        </is>
      </c>
      <c r="F181" s="9" t="inlineStr">
        <is>
          <t>R2B: unit / HRSG electrical e-house (32 x 40 ft)</t>
        </is>
      </c>
      <c r="G181" s="9" t="inlineStr">
        <is>
          <t>GTG-2</t>
        </is>
      </c>
      <c r="H181" s="9" t="inlineStr">
        <is>
          <t>GTG-2: GT generator</t>
        </is>
      </c>
      <c r="I181" s="9" t="inlineStr">
        <is>
          <t>Control</t>
        </is>
      </c>
      <c r="J181" s="9" t="inlineStr">
        <is>
          <t>Control cable 600 V Type TC-ER, Cu #14 AWG, PVC jacket</t>
        </is>
      </c>
      <c r="K181" s="9" t="inlineStr">
        <is>
          <t>CT|12/C|14</t>
        </is>
      </c>
      <c r="L181" s="9" t="inlineStr">
        <is>
          <t>12/C</t>
        </is>
      </c>
      <c r="M181" s="9" t="inlineStr">
        <is>
          <t>14</t>
        </is>
      </c>
      <c r="N181" s="9" t="n">
        <v>1</v>
      </c>
      <c r="O181" s="9" t="n">
        <v>1</v>
      </c>
      <c r="P181" s="9" t="n"/>
      <c r="Q181" s="9" t="n"/>
      <c r="R181" s="9" t="n"/>
      <c r="S181" s="9" t="inlineStr">
        <is>
          <t>Tray</t>
        </is>
      </c>
      <c r="T181" s="10" t="n">
        <v>1140</v>
      </c>
      <c r="U181" s="10" t="n">
        <v>87</v>
      </c>
      <c r="V181" s="10">
        <f>ROUNDUP((T181+U181+2*'Read Me'!$B$13)*(1+'Read Me'!$B$12),-1)</f>
        <v/>
      </c>
      <c r="W181" s="10">
        <f>V181*N181*O181</f>
        <v/>
      </c>
      <c r="X181" s="9">
        <f>IF(LEFT(I181,2)="MV",2*N181*IF(L181="1/C",O181,1),0)</f>
        <v/>
      </c>
      <c r="Y181" s="9">
        <f>IF(OR(LEFT(K181,4)="LVAX",LEFT(K181,6)="MV15AX",LEFT(K181,4)="CTAX",LEFT(K181,2)="W|"),2*N181*O181,0)</f>
        <v/>
      </c>
      <c r="Z181" s="9" t="inlineStr"/>
    </row>
    <row r="182">
      <c r="A182" s="9" t="inlineStr">
        <is>
          <t>A-C-0170</t>
        </is>
      </c>
      <c r="B182" s="9" t="inlineStr">
        <is>
          <t>A</t>
        </is>
      </c>
      <c r="C182" s="9" t="inlineStr">
        <is>
          <t>Power block</t>
        </is>
      </c>
      <c r="D182" s="9" t="inlineStr">
        <is>
          <t>Control</t>
        </is>
      </c>
      <c r="E182" s="9" t="inlineStr">
        <is>
          <t>R2B</t>
        </is>
      </c>
      <c r="F182" s="9" t="inlineStr">
        <is>
          <t>R2B: unit / HRSG electrical e-house (32 x 40 ft)</t>
        </is>
      </c>
      <c r="G182" s="9" t="inlineStr">
        <is>
          <t>GTG-2</t>
        </is>
      </c>
      <c r="H182" s="9" t="inlineStr">
        <is>
          <t>GTG-2: GT generator</t>
        </is>
      </c>
      <c r="I182" s="9" t="inlineStr">
        <is>
          <t>Control</t>
        </is>
      </c>
      <c r="J182" s="9" t="inlineStr">
        <is>
          <t>Control cable 600 V Type TC-ER, Cu #14 AWG, PVC jacket</t>
        </is>
      </c>
      <c r="K182" s="9" t="inlineStr">
        <is>
          <t>CT|12/C|14</t>
        </is>
      </c>
      <c r="L182" s="9" t="inlineStr">
        <is>
          <t>12/C</t>
        </is>
      </c>
      <c r="M182" s="9" t="inlineStr">
        <is>
          <t>14</t>
        </is>
      </c>
      <c r="N182" s="9" t="n">
        <v>1</v>
      </c>
      <c r="O182" s="9" t="n">
        <v>1</v>
      </c>
      <c r="P182" s="9" t="n"/>
      <c r="Q182" s="9" t="n"/>
      <c r="R182" s="9" t="n"/>
      <c r="S182" s="9" t="inlineStr">
        <is>
          <t>Tray</t>
        </is>
      </c>
      <c r="T182" s="10" t="n">
        <v>1140</v>
      </c>
      <c r="U182" s="10" t="n">
        <v>87</v>
      </c>
      <c r="V182" s="10">
        <f>ROUNDUP((T182+U182+2*'Read Me'!$B$13)*(1+'Read Me'!$B$12),-1)</f>
        <v/>
      </c>
      <c r="W182" s="10">
        <f>V182*N182*O182</f>
        <v/>
      </c>
      <c r="X182" s="9">
        <f>IF(LEFT(I182,2)="MV",2*N182*IF(L182="1/C",O182,1),0)</f>
        <v/>
      </c>
      <c r="Y182" s="9">
        <f>IF(OR(LEFT(K182,4)="LVAX",LEFT(K182,6)="MV15AX",LEFT(K182,4)="CTAX",LEFT(K182,2)="W|"),2*N182*O182,0)</f>
        <v/>
      </c>
      <c r="Z182" s="9" t="inlineStr"/>
    </row>
    <row r="183">
      <c r="A183" s="9" t="inlineStr">
        <is>
          <t>A-C-0171</t>
        </is>
      </c>
      <c r="B183" s="9" t="inlineStr">
        <is>
          <t>A</t>
        </is>
      </c>
      <c r="C183" s="9" t="inlineStr">
        <is>
          <t>Power block</t>
        </is>
      </c>
      <c r="D183" s="9" t="inlineStr">
        <is>
          <t>Control</t>
        </is>
      </c>
      <c r="E183" s="9" t="inlineStr">
        <is>
          <t>R2B</t>
        </is>
      </c>
      <c r="F183" s="9" t="inlineStr">
        <is>
          <t>R2B: unit / HRSG electrical e-house (32 x 40 ft)</t>
        </is>
      </c>
      <c r="G183" s="9" t="inlineStr">
        <is>
          <t>GTG-2</t>
        </is>
      </c>
      <c r="H183" s="9" t="inlineStr">
        <is>
          <t>GTG-2: GT generator</t>
        </is>
      </c>
      <c r="I183" s="9" t="inlineStr">
        <is>
          <t>Control</t>
        </is>
      </c>
      <c r="J183" s="9" t="inlineStr">
        <is>
          <t>Control cable 600 V Type TC-ER, Cu #14 AWG, PVC jacket</t>
        </is>
      </c>
      <c r="K183" s="9" t="inlineStr">
        <is>
          <t>CT|12/C|14</t>
        </is>
      </c>
      <c r="L183" s="9" t="inlineStr">
        <is>
          <t>12/C</t>
        </is>
      </c>
      <c r="M183" s="9" t="inlineStr">
        <is>
          <t>14</t>
        </is>
      </c>
      <c r="N183" s="9" t="n">
        <v>1</v>
      </c>
      <c r="O183" s="9" t="n">
        <v>1</v>
      </c>
      <c r="P183" s="9" t="n"/>
      <c r="Q183" s="9" t="n"/>
      <c r="R183" s="9" t="n"/>
      <c r="S183" s="9" t="inlineStr">
        <is>
          <t>Tray</t>
        </is>
      </c>
      <c r="T183" s="10" t="n">
        <v>1140</v>
      </c>
      <c r="U183" s="10" t="n">
        <v>87</v>
      </c>
      <c r="V183" s="10">
        <f>ROUNDUP((T183+U183+2*'Read Me'!$B$13)*(1+'Read Me'!$B$12),-1)</f>
        <v/>
      </c>
      <c r="W183" s="10">
        <f>V183*N183*O183</f>
        <v/>
      </c>
      <c r="X183" s="9">
        <f>IF(LEFT(I183,2)="MV",2*N183*IF(L183="1/C",O183,1),0)</f>
        <v/>
      </c>
      <c r="Y183" s="9">
        <f>IF(OR(LEFT(K183,4)="LVAX",LEFT(K183,6)="MV15AX",LEFT(K183,4)="CTAX",LEFT(K183,2)="W|"),2*N183*O183,0)</f>
        <v/>
      </c>
      <c r="Z183" s="9" t="inlineStr"/>
    </row>
    <row r="184">
      <c r="A184" s="9" t="inlineStr">
        <is>
          <t>A-C-0172</t>
        </is>
      </c>
      <c r="B184" s="9" t="inlineStr">
        <is>
          <t>A</t>
        </is>
      </c>
      <c r="C184" s="9" t="inlineStr">
        <is>
          <t>Power block</t>
        </is>
      </c>
      <c r="D184" s="9" t="inlineStr">
        <is>
          <t>Control</t>
        </is>
      </c>
      <c r="E184" s="9" t="inlineStr">
        <is>
          <t>R2B</t>
        </is>
      </c>
      <c r="F184" s="9" t="inlineStr">
        <is>
          <t>R2B: unit / HRSG electrical e-house (32 x 40 ft)</t>
        </is>
      </c>
      <c r="G184" s="9" t="inlineStr">
        <is>
          <t>GTG-2</t>
        </is>
      </c>
      <c r="H184" s="9" t="inlineStr">
        <is>
          <t>GTG-2: GT generator</t>
        </is>
      </c>
      <c r="I184" s="9" t="inlineStr">
        <is>
          <t>Control</t>
        </is>
      </c>
      <c r="J184" s="9" t="inlineStr">
        <is>
          <t>Control cable 600 V Type TC-ER, Cu #14 AWG, PVC jacket</t>
        </is>
      </c>
      <c r="K184" s="9" t="inlineStr">
        <is>
          <t>CT|12/C|14</t>
        </is>
      </c>
      <c r="L184" s="9" t="inlineStr">
        <is>
          <t>12/C</t>
        </is>
      </c>
      <c r="M184" s="9" t="inlineStr">
        <is>
          <t>14</t>
        </is>
      </c>
      <c r="N184" s="9" t="n">
        <v>1</v>
      </c>
      <c r="O184" s="9" t="n">
        <v>1</v>
      </c>
      <c r="P184" s="9" t="n"/>
      <c r="Q184" s="9" t="n"/>
      <c r="R184" s="9" t="n"/>
      <c r="S184" s="9" t="inlineStr">
        <is>
          <t>Tray</t>
        </is>
      </c>
      <c r="T184" s="10" t="n">
        <v>1140</v>
      </c>
      <c r="U184" s="10" t="n">
        <v>87</v>
      </c>
      <c r="V184" s="10">
        <f>ROUNDUP((T184+U184+2*'Read Me'!$B$13)*(1+'Read Me'!$B$12),-1)</f>
        <v/>
      </c>
      <c r="W184" s="10">
        <f>V184*N184*O184</f>
        <v/>
      </c>
      <c r="X184" s="9">
        <f>IF(LEFT(I184,2)="MV",2*N184*IF(L184="1/C",O184,1),0)</f>
        <v/>
      </c>
      <c r="Y184" s="9">
        <f>IF(OR(LEFT(K184,4)="LVAX",LEFT(K184,6)="MV15AX",LEFT(K184,4)="CTAX",LEFT(K184,2)="W|"),2*N184*O184,0)</f>
        <v/>
      </c>
      <c r="Z184" s="9" t="inlineStr"/>
    </row>
    <row r="185">
      <c r="A185" s="9" t="inlineStr">
        <is>
          <t>A-C-0173</t>
        </is>
      </c>
      <c r="B185" s="9" t="inlineStr">
        <is>
          <t>A</t>
        </is>
      </c>
      <c r="C185" s="9" t="inlineStr">
        <is>
          <t>Power block</t>
        </is>
      </c>
      <c r="D185" s="9" t="inlineStr">
        <is>
          <t>Control</t>
        </is>
      </c>
      <c r="E185" s="9" t="inlineStr">
        <is>
          <t>R3</t>
        </is>
      </c>
      <c r="F185" s="9" t="inlineStr">
        <is>
          <t>R3: ST auxiliary electrical e-house (40 x 65 ft)</t>
        </is>
      </c>
      <c r="G185" s="9" t="inlineStr">
        <is>
          <t>GTG-3</t>
        </is>
      </c>
      <c r="H185" s="9" t="inlineStr">
        <is>
          <t>GTG-3: GT generator</t>
        </is>
      </c>
      <c r="I185" s="9" t="inlineStr">
        <is>
          <t>Control</t>
        </is>
      </c>
      <c r="J185" s="9" t="inlineStr">
        <is>
          <t>Control cable 600 V Type TC-ER, Cu #14 AWG, PVC jacket</t>
        </is>
      </c>
      <c r="K185" s="9" t="inlineStr">
        <is>
          <t>CT|7/C|14</t>
        </is>
      </c>
      <c r="L185" s="9" t="inlineStr">
        <is>
          <t>7/C</t>
        </is>
      </c>
      <c r="M185" s="9" t="inlineStr">
        <is>
          <t>14</t>
        </is>
      </c>
      <c r="N185" s="9" t="n">
        <v>1</v>
      </c>
      <c r="O185" s="9" t="n">
        <v>1</v>
      </c>
      <c r="P185" s="9" t="n"/>
      <c r="Q185" s="9" t="n"/>
      <c r="R185" s="9" t="n"/>
      <c r="S185" s="9" t="inlineStr">
        <is>
          <t>Tray</t>
        </is>
      </c>
      <c r="T185" s="10" t="n">
        <v>574</v>
      </c>
      <c r="U185" s="10" t="n">
        <v>89</v>
      </c>
      <c r="V185" s="10">
        <f>ROUNDUP((T185+U185+2*'Read Me'!$B$13)*(1+'Read Me'!$B$12),-1)</f>
        <v/>
      </c>
      <c r="W185" s="10">
        <f>V185*N185*O185</f>
        <v/>
      </c>
      <c r="X185" s="9">
        <f>IF(LEFT(I185,2)="MV",2*N185*IF(L185="1/C",O185,1),0)</f>
        <v/>
      </c>
      <c r="Y185" s="9">
        <f>IF(OR(LEFT(K185,4)="LVAX",LEFT(K185,6)="MV15AX",LEFT(K185,4)="CTAX",LEFT(K185,2)="W|"),2*N185*O185,0)</f>
        <v/>
      </c>
      <c r="Z185" s="9" t="inlineStr"/>
    </row>
    <row r="186">
      <c r="A186" s="9" t="inlineStr">
        <is>
          <t>A-C-0174</t>
        </is>
      </c>
      <c r="B186" s="9" t="inlineStr">
        <is>
          <t>A</t>
        </is>
      </c>
      <c r="C186" s="9" t="inlineStr">
        <is>
          <t>Power block</t>
        </is>
      </c>
      <c r="D186" s="9" t="inlineStr">
        <is>
          <t>Control</t>
        </is>
      </c>
      <c r="E186" s="9" t="inlineStr">
        <is>
          <t>R3</t>
        </is>
      </c>
      <c r="F186" s="9" t="inlineStr">
        <is>
          <t>R3: ST auxiliary electrical e-house (40 x 65 ft)</t>
        </is>
      </c>
      <c r="G186" s="9" t="inlineStr">
        <is>
          <t>GTG-3</t>
        </is>
      </c>
      <c r="H186" s="9" t="inlineStr">
        <is>
          <t>GTG-3: GT generator</t>
        </is>
      </c>
      <c r="I186" s="9" t="inlineStr">
        <is>
          <t>Control</t>
        </is>
      </c>
      <c r="J186" s="9" t="inlineStr">
        <is>
          <t>Control cable 600 V Type TC-ER, Cu #14 AWG, PVC jacket</t>
        </is>
      </c>
      <c r="K186" s="9" t="inlineStr">
        <is>
          <t>CT|7/C|14</t>
        </is>
      </c>
      <c r="L186" s="9" t="inlineStr">
        <is>
          <t>7/C</t>
        </is>
      </c>
      <c r="M186" s="9" t="inlineStr">
        <is>
          <t>14</t>
        </is>
      </c>
      <c r="N186" s="9" t="n">
        <v>1</v>
      </c>
      <c r="O186" s="9" t="n">
        <v>1</v>
      </c>
      <c r="P186" s="9" t="n"/>
      <c r="Q186" s="9" t="n"/>
      <c r="R186" s="9" t="n"/>
      <c r="S186" s="9" t="inlineStr">
        <is>
          <t>Tray</t>
        </is>
      </c>
      <c r="T186" s="10" t="n">
        <v>574</v>
      </c>
      <c r="U186" s="10" t="n">
        <v>89</v>
      </c>
      <c r="V186" s="10">
        <f>ROUNDUP((T186+U186+2*'Read Me'!$B$13)*(1+'Read Me'!$B$12),-1)</f>
        <v/>
      </c>
      <c r="W186" s="10">
        <f>V186*N186*O186</f>
        <v/>
      </c>
      <c r="X186" s="9">
        <f>IF(LEFT(I186,2)="MV",2*N186*IF(L186="1/C",O186,1),0)</f>
        <v/>
      </c>
      <c r="Y186" s="9">
        <f>IF(OR(LEFT(K186,4)="LVAX",LEFT(K186,6)="MV15AX",LEFT(K186,4)="CTAX",LEFT(K186,2)="W|"),2*N186*O186,0)</f>
        <v/>
      </c>
      <c r="Z186" s="9" t="inlineStr"/>
    </row>
    <row r="187">
      <c r="A187" s="9" t="inlineStr">
        <is>
          <t>A-C-0175</t>
        </is>
      </c>
      <c r="B187" s="9" t="inlineStr">
        <is>
          <t>A</t>
        </is>
      </c>
      <c r="C187" s="9" t="inlineStr">
        <is>
          <t>Power block</t>
        </is>
      </c>
      <c r="D187" s="9" t="inlineStr">
        <is>
          <t>Control</t>
        </is>
      </c>
      <c r="E187" s="9" t="inlineStr">
        <is>
          <t>R3</t>
        </is>
      </c>
      <c r="F187" s="9" t="inlineStr">
        <is>
          <t>R3: ST auxiliary electrical e-house (40 x 65 ft)</t>
        </is>
      </c>
      <c r="G187" s="9" t="inlineStr">
        <is>
          <t>GTG-3</t>
        </is>
      </c>
      <c r="H187" s="9" t="inlineStr">
        <is>
          <t>GTG-3: GT generator</t>
        </is>
      </c>
      <c r="I187" s="9" t="inlineStr">
        <is>
          <t>Control</t>
        </is>
      </c>
      <c r="J187" s="9" t="inlineStr">
        <is>
          <t>Control cable 600 V Type TC-ER, Cu #14 AWG, PVC jacket</t>
        </is>
      </c>
      <c r="K187" s="9" t="inlineStr">
        <is>
          <t>CT|12/C|14</t>
        </is>
      </c>
      <c r="L187" s="9" t="inlineStr">
        <is>
          <t>12/C</t>
        </is>
      </c>
      <c r="M187" s="9" t="inlineStr">
        <is>
          <t>14</t>
        </is>
      </c>
      <c r="N187" s="9" t="n">
        <v>1</v>
      </c>
      <c r="O187" s="9" t="n">
        <v>1</v>
      </c>
      <c r="P187" s="9" t="n"/>
      <c r="Q187" s="9" t="n"/>
      <c r="R187" s="9" t="n"/>
      <c r="S187" s="9" t="inlineStr">
        <is>
          <t>Tray</t>
        </is>
      </c>
      <c r="T187" s="10" t="n">
        <v>574</v>
      </c>
      <c r="U187" s="10" t="n">
        <v>89</v>
      </c>
      <c r="V187" s="10">
        <f>ROUNDUP((T187+U187+2*'Read Me'!$B$13)*(1+'Read Me'!$B$12),-1)</f>
        <v/>
      </c>
      <c r="W187" s="10">
        <f>V187*N187*O187</f>
        <v/>
      </c>
      <c r="X187" s="9">
        <f>IF(LEFT(I187,2)="MV",2*N187*IF(L187="1/C",O187,1),0)</f>
        <v/>
      </c>
      <c r="Y187" s="9">
        <f>IF(OR(LEFT(K187,4)="LVAX",LEFT(K187,6)="MV15AX",LEFT(K187,4)="CTAX",LEFT(K187,2)="W|"),2*N187*O187,0)</f>
        <v/>
      </c>
      <c r="Z187" s="9" t="inlineStr"/>
    </row>
    <row r="188">
      <c r="A188" s="9" t="inlineStr">
        <is>
          <t>A-C-0176</t>
        </is>
      </c>
      <c r="B188" s="9" t="inlineStr">
        <is>
          <t>A</t>
        </is>
      </c>
      <c r="C188" s="9" t="inlineStr">
        <is>
          <t>Power block</t>
        </is>
      </c>
      <c r="D188" s="9" t="inlineStr">
        <is>
          <t>Control</t>
        </is>
      </c>
      <c r="E188" s="9" t="inlineStr">
        <is>
          <t>R3</t>
        </is>
      </c>
      <c r="F188" s="9" t="inlineStr">
        <is>
          <t>R3: ST auxiliary electrical e-house (40 x 65 ft)</t>
        </is>
      </c>
      <c r="G188" s="9" t="inlineStr">
        <is>
          <t>GTG-3</t>
        </is>
      </c>
      <c r="H188" s="9" t="inlineStr">
        <is>
          <t>GTG-3: GT generator</t>
        </is>
      </c>
      <c r="I188" s="9" t="inlineStr">
        <is>
          <t>Control</t>
        </is>
      </c>
      <c r="J188" s="9" t="inlineStr">
        <is>
          <t>Control cable 600 V Type TC-ER, Cu #14 AWG, PVC jacket</t>
        </is>
      </c>
      <c r="K188" s="9" t="inlineStr">
        <is>
          <t>CT|12/C|14</t>
        </is>
      </c>
      <c r="L188" s="9" t="inlineStr">
        <is>
          <t>12/C</t>
        </is>
      </c>
      <c r="M188" s="9" t="inlineStr">
        <is>
          <t>14</t>
        </is>
      </c>
      <c r="N188" s="9" t="n">
        <v>1</v>
      </c>
      <c r="O188" s="9" t="n">
        <v>1</v>
      </c>
      <c r="P188" s="9" t="n"/>
      <c r="Q188" s="9" t="n"/>
      <c r="R188" s="9" t="n"/>
      <c r="S188" s="9" t="inlineStr">
        <is>
          <t>Tray</t>
        </is>
      </c>
      <c r="T188" s="10" t="n">
        <v>574</v>
      </c>
      <c r="U188" s="10" t="n">
        <v>89</v>
      </c>
      <c r="V188" s="10">
        <f>ROUNDUP((T188+U188+2*'Read Me'!$B$13)*(1+'Read Me'!$B$12),-1)</f>
        <v/>
      </c>
      <c r="W188" s="10">
        <f>V188*N188*O188</f>
        <v/>
      </c>
      <c r="X188" s="9">
        <f>IF(LEFT(I188,2)="MV",2*N188*IF(L188="1/C",O188,1),0)</f>
        <v/>
      </c>
      <c r="Y188" s="9">
        <f>IF(OR(LEFT(K188,4)="LVAX",LEFT(K188,6)="MV15AX",LEFT(K188,4)="CTAX",LEFT(K188,2)="W|"),2*N188*O188,0)</f>
        <v/>
      </c>
      <c r="Z188" s="9" t="inlineStr"/>
    </row>
    <row r="189">
      <c r="A189" s="9" t="inlineStr">
        <is>
          <t>A-C-0177</t>
        </is>
      </c>
      <c r="B189" s="9" t="inlineStr">
        <is>
          <t>A</t>
        </is>
      </c>
      <c r="C189" s="9" t="inlineStr">
        <is>
          <t>Power block</t>
        </is>
      </c>
      <c r="D189" s="9" t="inlineStr">
        <is>
          <t>Control</t>
        </is>
      </c>
      <c r="E189" s="9" t="inlineStr">
        <is>
          <t>R3</t>
        </is>
      </c>
      <c r="F189" s="9" t="inlineStr">
        <is>
          <t>R3: ST auxiliary electrical e-house (40 x 65 ft)</t>
        </is>
      </c>
      <c r="G189" s="9" t="inlineStr">
        <is>
          <t>GTG-3</t>
        </is>
      </c>
      <c r="H189" s="9" t="inlineStr">
        <is>
          <t>GTG-3: GT generator</t>
        </is>
      </c>
      <c r="I189" s="9" t="inlineStr">
        <is>
          <t>Control</t>
        </is>
      </c>
      <c r="J189" s="9" t="inlineStr">
        <is>
          <t>Control cable 600 V Type TC-ER, Cu #14 AWG, PVC jacket</t>
        </is>
      </c>
      <c r="K189" s="9" t="inlineStr">
        <is>
          <t>CT|12/C|14</t>
        </is>
      </c>
      <c r="L189" s="9" t="inlineStr">
        <is>
          <t>12/C</t>
        </is>
      </c>
      <c r="M189" s="9" t="inlineStr">
        <is>
          <t>14</t>
        </is>
      </c>
      <c r="N189" s="9" t="n">
        <v>1</v>
      </c>
      <c r="O189" s="9" t="n">
        <v>1</v>
      </c>
      <c r="P189" s="9" t="n"/>
      <c r="Q189" s="9" t="n"/>
      <c r="R189" s="9" t="n"/>
      <c r="S189" s="9" t="inlineStr">
        <is>
          <t>Tray</t>
        </is>
      </c>
      <c r="T189" s="10" t="n">
        <v>574</v>
      </c>
      <c r="U189" s="10" t="n">
        <v>89</v>
      </c>
      <c r="V189" s="10">
        <f>ROUNDUP((T189+U189+2*'Read Me'!$B$13)*(1+'Read Me'!$B$12),-1)</f>
        <v/>
      </c>
      <c r="W189" s="10">
        <f>V189*N189*O189</f>
        <v/>
      </c>
      <c r="X189" s="9">
        <f>IF(LEFT(I189,2)="MV",2*N189*IF(L189="1/C",O189,1),0)</f>
        <v/>
      </c>
      <c r="Y189" s="9">
        <f>IF(OR(LEFT(K189,4)="LVAX",LEFT(K189,6)="MV15AX",LEFT(K189,4)="CTAX",LEFT(K189,2)="W|"),2*N189*O189,0)</f>
        <v/>
      </c>
      <c r="Z189" s="9" t="inlineStr"/>
    </row>
    <row r="190">
      <c r="A190" s="9" t="inlineStr">
        <is>
          <t>A-C-0178</t>
        </is>
      </c>
      <c r="B190" s="9" t="inlineStr">
        <is>
          <t>A</t>
        </is>
      </c>
      <c r="C190" s="9" t="inlineStr">
        <is>
          <t>Power block</t>
        </is>
      </c>
      <c r="D190" s="9" t="inlineStr">
        <is>
          <t>Control</t>
        </is>
      </c>
      <c r="E190" s="9" t="inlineStr">
        <is>
          <t>R3</t>
        </is>
      </c>
      <c r="F190" s="9" t="inlineStr">
        <is>
          <t>R3: ST auxiliary electrical e-house (40 x 65 ft)</t>
        </is>
      </c>
      <c r="G190" s="9" t="inlineStr">
        <is>
          <t>GTG-3</t>
        </is>
      </c>
      <c r="H190" s="9" t="inlineStr">
        <is>
          <t>GTG-3: GT generator</t>
        </is>
      </c>
      <c r="I190" s="9" t="inlineStr">
        <is>
          <t>Control</t>
        </is>
      </c>
      <c r="J190" s="9" t="inlineStr">
        <is>
          <t>Control cable 600 V Type TC-ER, Cu #14 AWG, PVC jacket</t>
        </is>
      </c>
      <c r="K190" s="9" t="inlineStr">
        <is>
          <t>CT|12/C|14</t>
        </is>
      </c>
      <c r="L190" s="9" t="inlineStr">
        <is>
          <t>12/C</t>
        </is>
      </c>
      <c r="M190" s="9" t="inlineStr">
        <is>
          <t>14</t>
        </is>
      </c>
      <c r="N190" s="9" t="n">
        <v>1</v>
      </c>
      <c r="O190" s="9" t="n">
        <v>1</v>
      </c>
      <c r="P190" s="9" t="n"/>
      <c r="Q190" s="9" t="n"/>
      <c r="R190" s="9" t="n"/>
      <c r="S190" s="9" t="inlineStr">
        <is>
          <t>Tray</t>
        </is>
      </c>
      <c r="T190" s="10" t="n">
        <v>574</v>
      </c>
      <c r="U190" s="10" t="n">
        <v>89</v>
      </c>
      <c r="V190" s="10">
        <f>ROUNDUP((T190+U190+2*'Read Me'!$B$13)*(1+'Read Me'!$B$12),-1)</f>
        <v/>
      </c>
      <c r="W190" s="10">
        <f>V190*N190*O190</f>
        <v/>
      </c>
      <c r="X190" s="9">
        <f>IF(LEFT(I190,2)="MV",2*N190*IF(L190="1/C",O190,1),0)</f>
        <v/>
      </c>
      <c r="Y190" s="9">
        <f>IF(OR(LEFT(K190,4)="LVAX",LEFT(K190,6)="MV15AX",LEFT(K190,4)="CTAX",LEFT(K190,2)="W|"),2*N190*O190,0)</f>
        <v/>
      </c>
      <c r="Z190" s="9" t="inlineStr"/>
    </row>
    <row r="191">
      <c r="A191" s="9" t="inlineStr">
        <is>
          <t>A-C-0179</t>
        </is>
      </c>
      <c r="B191" s="9" t="inlineStr">
        <is>
          <t>A</t>
        </is>
      </c>
      <c r="C191" s="9" t="inlineStr">
        <is>
          <t>Power block</t>
        </is>
      </c>
      <c r="D191" s="9" t="inlineStr">
        <is>
          <t>Control</t>
        </is>
      </c>
      <c r="E191" s="9" t="inlineStr">
        <is>
          <t>R3</t>
        </is>
      </c>
      <c r="F191" s="9" t="inlineStr">
        <is>
          <t>R3: ST auxiliary electrical e-house (40 x 65 ft)</t>
        </is>
      </c>
      <c r="G191" s="9" t="inlineStr">
        <is>
          <t>GTG-3</t>
        </is>
      </c>
      <c r="H191" s="9" t="inlineStr">
        <is>
          <t>GTG-3: GT generator</t>
        </is>
      </c>
      <c r="I191" s="9" t="inlineStr">
        <is>
          <t>Control</t>
        </is>
      </c>
      <c r="J191" s="9" t="inlineStr">
        <is>
          <t>Control cable 600 V Type TC-ER, Cu #14 AWG, PVC jacket</t>
        </is>
      </c>
      <c r="K191" s="9" t="inlineStr">
        <is>
          <t>CT|12/C|14</t>
        </is>
      </c>
      <c r="L191" s="9" t="inlineStr">
        <is>
          <t>12/C</t>
        </is>
      </c>
      <c r="M191" s="9" t="inlineStr">
        <is>
          <t>14</t>
        </is>
      </c>
      <c r="N191" s="9" t="n">
        <v>1</v>
      </c>
      <c r="O191" s="9" t="n">
        <v>1</v>
      </c>
      <c r="P191" s="9" t="n"/>
      <c r="Q191" s="9" t="n"/>
      <c r="R191" s="9" t="n"/>
      <c r="S191" s="9" t="inlineStr">
        <is>
          <t>Tray</t>
        </is>
      </c>
      <c r="T191" s="10" t="n">
        <v>574</v>
      </c>
      <c r="U191" s="10" t="n">
        <v>89</v>
      </c>
      <c r="V191" s="10">
        <f>ROUNDUP((T191+U191+2*'Read Me'!$B$13)*(1+'Read Me'!$B$12),-1)</f>
        <v/>
      </c>
      <c r="W191" s="10">
        <f>V191*N191*O191</f>
        <v/>
      </c>
      <c r="X191" s="9">
        <f>IF(LEFT(I191,2)="MV",2*N191*IF(L191="1/C",O191,1),0)</f>
        <v/>
      </c>
      <c r="Y191" s="9">
        <f>IF(OR(LEFT(K191,4)="LVAX",LEFT(K191,6)="MV15AX",LEFT(K191,4)="CTAX",LEFT(K191,2)="W|"),2*N191*O191,0)</f>
        <v/>
      </c>
      <c r="Z191" s="9" t="inlineStr"/>
    </row>
    <row r="192">
      <c r="A192" s="9" t="inlineStr">
        <is>
          <t>A-C-0180</t>
        </is>
      </c>
      <c r="B192" s="9" t="inlineStr">
        <is>
          <t>A</t>
        </is>
      </c>
      <c r="C192" s="9" t="inlineStr">
        <is>
          <t>Power block</t>
        </is>
      </c>
      <c r="D192" s="9" t="inlineStr">
        <is>
          <t>Control</t>
        </is>
      </c>
      <c r="E192" s="9" t="inlineStr">
        <is>
          <t>R3</t>
        </is>
      </c>
      <c r="F192" s="9" t="inlineStr">
        <is>
          <t>R3: ST auxiliary electrical e-house (40 x 65 ft)</t>
        </is>
      </c>
      <c r="G192" s="9" t="inlineStr">
        <is>
          <t>GTG-3</t>
        </is>
      </c>
      <c r="H192" s="9" t="inlineStr">
        <is>
          <t>GTG-3: GT generator</t>
        </is>
      </c>
      <c r="I192" s="9" t="inlineStr">
        <is>
          <t>Control</t>
        </is>
      </c>
      <c r="J192" s="9" t="inlineStr">
        <is>
          <t>Control cable 600 V Type TC-ER, Cu #14 AWG, PVC jacket</t>
        </is>
      </c>
      <c r="K192" s="9" t="inlineStr">
        <is>
          <t>CT|12/C|14</t>
        </is>
      </c>
      <c r="L192" s="9" t="inlineStr">
        <is>
          <t>12/C</t>
        </is>
      </c>
      <c r="M192" s="9" t="inlineStr">
        <is>
          <t>14</t>
        </is>
      </c>
      <c r="N192" s="9" t="n">
        <v>1</v>
      </c>
      <c r="O192" s="9" t="n">
        <v>1</v>
      </c>
      <c r="P192" s="9" t="n"/>
      <c r="Q192" s="9" t="n"/>
      <c r="R192" s="9" t="n"/>
      <c r="S192" s="9" t="inlineStr">
        <is>
          <t>Tray</t>
        </is>
      </c>
      <c r="T192" s="10" t="n">
        <v>574</v>
      </c>
      <c r="U192" s="10" t="n">
        <v>89</v>
      </c>
      <c r="V192" s="10">
        <f>ROUNDUP((T192+U192+2*'Read Me'!$B$13)*(1+'Read Me'!$B$12),-1)</f>
        <v/>
      </c>
      <c r="W192" s="10">
        <f>V192*N192*O192</f>
        <v/>
      </c>
      <c r="X192" s="9">
        <f>IF(LEFT(I192,2)="MV",2*N192*IF(L192="1/C",O192,1),0)</f>
        <v/>
      </c>
      <c r="Y192" s="9">
        <f>IF(OR(LEFT(K192,4)="LVAX",LEFT(K192,6)="MV15AX",LEFT(K192,4)="CTAX",LEFT(K192,2)="W|"),2*N192*O192,0)</f>
        <v/>
      </c>
      <c r="Z192" s="9" t="inlineStr"/>
    </row>
    <row r="193">
      <c r="A193" s="9" t="inlineStr">
        <is>
          <t>A-C-0181</t>
        </is>
      </c>
      <c r="B193" s="9" t="inlineStr">
        <is>
          <t>A</t>
        </is>
      </c>
      <c r="C193" s="9" t="inlineStr">
        <is>
          <t>Power block</t>
        </is>
      </c>
      <c r="D193" s="9" t="inlineStr">
        <is>
          <t>Control</t>
        </is>
      </c>
      <c r="E193" s="9" t="inlineStr">
        <is>
          <t>R2A</t>
        </is>
      </c>
      <c r="F193" s="9" t="inlineStr">
        <is>
          <t>R2A: unit / HRSG electrical e-house (32 x 40 ft)</t>
        </is>
      </c>
      <c r="G193" s="9" t="inlineStr">
        <is>
          <t>HRSG-1</t>
        </is>
      </c>
      <c r="H193" s="9" t="inlineStr">
        <is>
          <t>HRSG 1 + SCR (3P reheat, horizontal)</t>
        </is>
      </c>
      <c r="I193" s="9" t="inlineStr">
        <is>
          <t>Control</t>
        </is>
      </c>
      <c r="J193" s="9" t="inlineStr">
        <is>
          <t>Control cable 600 V Type TC-ER, Cu #14 AWG, PVC jacket</t>
        </is>
      </c>
      <c r="K193" s="9" t="inlineStr">
        <is>
          <t>CT|7/C|14</t>
        </is>
      </c>
      <c r="L193" s="9" t="inlineStr">
        <is>
          <t>7/C</t>
        </is>
      </c>
      <c r="M193" s="9" t="inlineStr">
        <is>
          <t>14</t>
        </is>
      </c>
      <c r="N193" s="9" t="n">
        <v>1</v>
      </c>
      <c r="O193" s="9" t="n">
        <v>1</v>
      </c>
      <c r="P193" s="9" t="n"/>
      <c r="Q193" s="9" t="n"/>
      <c r="R193" s="9" t="n"/>
      <c r="S193" s="9" t="inlineStr">
        <is>
          <t>Tray</t>
        </is>
      </c>
      <c r="T193" s="10" t="n">
        <v>0</v>
      </c>
      <c r="U193" s="10" t="n">
        <v>87</v>
      </c>
      <c r="V193" s="10">
        <f>ROUNDUP((T193+U193+2*'Read Me'!$B$13)*(1+'Read Me'!$B$12),-1)</f>
        <v/>
      </c>
      <c r="W193" s="10">
        <f>V193*N193*O193</f>
        <v/>
      </c>
      <c r="X193" s="9">
        <f>IF(LEFT(I193,2)="MV",2*N193*IF(L193="1/C",O193,1),0)</f>
        <v/>
      </c>
      <c r="Y193" s="9">
        <f>IF(OR(LEFT(K193,4)="LVAX",LEFT(K193,6)="MV15AX",LEFT(K193,4)="CTAX",LEFT(K193,2)="W|"),2*N193*O193,0)</f>
        <v/>
      </c>
      <c r="Z193" s="9" t="inlineStr"/>
    </row>
    <row r="194">
      <c r="A194" s="9" t="inlineStr">
        <is>
          <t>A-C-0182</t>
        </is>
      </c>
      <c r="B194" s="9" t="inlineStr">
        <is>
          <t>A</t>
        </is>
      </c>
      <c r="C194" s="9" t="inlineStr">
        <is>
          <t>Power block</t>
        </is>
      </c>
      <c r="D194" s="9" t="inlineStr">
        <is>
          <t>Control</t>
        </is>
      </c>
      <c r="E194" s="9" t="inlineStr">
        <is>
          <t>R2A</t>
        </is>
      </c>
      <c r="F194" s="9" t="inlineStr">
        <is>
          <t>R2A: unit / HRSG electrical e-house (32 x 40 ft)</t>
        </is>
      </c>
      <c r="G194" s="9" t="inlineStr">
        <is>
          <t>HRSG-1</t>
        </is>
      </c>
      <c r="H194" s="9" t="inlineStr">
        <is>
          <t>HRSG 1 + SCR (3P reheat, horizontal)</t>
        </is>
      </c>
      <c r="I194" s="9" t="inlineStr">
        <is>
          <t>Control</t>
        </is>
      </c>
      <c r="J194" s="9" t="inlineStr">
        <is>
          <t>Control cable 600 V Type TC-ER, Cu #14 AWG, PVC jacket</t>
        </is>
      </c>
      <c r="K194" s="9" t="inlineStr">
        <is>
          <t>CT|7/C|14</t>
        </is>
      </c>
      <c r="L194" s="9" t="inlineStr">
        <is>
          <t>7/C</t>
        </is>
      </c>
      <c r="M194" s="9" t="inlineStr">
        <is>
          <t>14</t>
        </is>
      </c>
      <c r="N194" s="9" t="n">
        <v>1</v>
      </c>
      <c r="O194" s="9" t="n">
        <v>1</v>
      </c>
      <c r="P194" s="9" t="n"/>
      <c r="Q194" s="9" t="n"/>
      <c r="R194" s="9" t="n"/>
      <c r="S194" s="9" t="inlineStr">
        <is>
          <t>Tray</t>
        </is>
      </c>
      <c r="T194" s="10" t="n">
        <v>0</v>
      </c>
      <c r="U194" s="10" t="n">
        <v>87</v>
      </c>
      <c r="V194" s="10">
        <f>ROUNDUP((T194+U194+2*'Read Me'!$B$13)*(1+'Read Me'!$B$12),-1)</f>
        <v/>
      </c>
      <c r="W194" s="10">
        <f>V194*N194*O194</f>
        <v/>
      </c>
      <c r="X194" s="9">
        <f>IF(LEFT(I194,2)="MV",2*N194*IF(L194="1/C",O194,1),0)</f>
        <v/>
      </c>
      <c r="Y194" s="9">
        <f>IF(OR(LEFT(K194,4)="LVAX",LEFT(K194,6)="MV15AX",LEFT(K194,4)="CTAX",LEFT(K194,2)="W|"),2*N194*O194,0)</f>
        <v/>
      </c>
      <c r="Z194" s="9" t="inlineStr"/>
    </row>
    <row r="195">
      <c r="A195" s="9" t="inlineStr">
        <is>
          <t>A-C-0183</t>
        </is>
      </c>
      <c r="B195" s="9" t="inlineStr">
        <is>
          <t>A</t>
        </is>
      </c>
      <c r="C195" s="9" t="inlineStr">
        <is>
          <t>Power block</t>
        </is>
      </c>
      <c r="D195" s="9" t="inlineStr">
        <is>
          <t>Control</t>
        </is>
      </c>
      <c r="E195" s="9" t="inlineStr">
        <is>
          <t>R2A</t>
        </is>
      </c>
      <c r="F195" s="9" t="inlineStr">
        <is>
          <t>R2A: unit / HRSG electrical e-house (32 x 40 ft)</t>
        </is>
      </c>
      <c r="G195" s="9" t="inlineStr">
        <is>
          <t>HRSG-1</t>
        </is>
      </c>
      <c r="H195" s="9" t="inlineStr">
        <is>
          <t>HRSG 1 + SCR (3P reheat, horizontal)</t>
        </is>
      </c>
      <c r="I195" s="9" t="inlineStr">
        <is>
          <t>Control</t>
        </is>
      </c>
      <c r="J195" s="9" t="inlineStr">
        <is>
          <t>Control cable 600 V Type TC-ER, Cu #14 AWG, PVC jacket</t>
        </is>
      </c>
      <c r="K195" s="9" t="inlineStr">
        <is>
          <t>CT|12/C|14</t>
        </is>
      </c>
      <c r="L195" s="9" t="inlineStr">
        <is>
          <t>12/C</t>
        </is>
      </c>
      <c r="M195" s="9" t="inlineStr">
        <is>
          <t>14</t>
        </is>
      </c>
      <c r="N195" s="9" t="n">
        <v>1</v>
      </c>
      <c r="O195" s="9" t="n">
        <v>1</v>
      </c>
      <c r="P195" s="9" t="n"/>
      <c r="Q195" s="9" t="n"/>
      <c r="R195" s="9" t="n"/>
      <c r="S195" s="9" t="inlineStr">
        <is>
          <t>Tray</t>
        </is>
      </c>
      <c r="T195" s="10" t="n">
        <v>0</v>
      </c>
      <c r="U195" s="10" t="n">
        <v>87</v>
      </c>
      <c r="V195" s="10">
        <f>ROUNDUP((T195+U195+2*'Read Me'!$B$13)*(1+'Read Me'!$B$12),-1)</f>
        <v/>
      </c>
      <c r="W195" s="10">
        <f>V195*N195*O195</f>
        <v/>
      </c>
      <c r="X195" s="9">
        <f>IF(LEFT(I195,2)="MV",2*N195*IF(L195="1/C",O195,1),0)</f>
        <v/>
      </c>
      <c r="Y195" s="9">
        <f>IF(OR(LEFT(K195,4)="LVAX",LEFT(K195,6)="MV15AX",LEFT(K195,4)="CTAX",LEFT(K195,2)="W|"),2*N195*O195,0)</f>
        <v/>
      </c>
      <c r="Z195" s="9" t="inlineStr"/>
    </row>
    <row r="196">
      <c r="A196" s="9" t="inlineStr">
        <is>
          <t>A-C-0184</t>
        </is>
      </c>
      <c r="B196" s="9" t="inlineStr">
        <is>
          <t>A</t>
        </is>
      </c>
      <c r="C196" s="9" t="inlineStr">
        <is>
          <t>Power block</t>
        </is>
      </c>
      <c r="D196" s="9" t="inlineStr">
        <is>
          <t>Control</t>
        </is>
      </c>
      <c r="E196" s="9" t="inlineStr">
        <is>
          <t>R2A</t>
        </is>
      </c>
      <c r="F196" s="9" t="inlineStr">
        <is>
          <t>R2A: unit / HRSG electrical e-house (32 x 40 ft)</t>
        </is>
      </c>
      <c r="G196" s="9" t="inlineStr">
        <is>
          <t>HRSG-1</t>
        </is>
      </c>
      <c r="H196" s="9" t="inlineStr">
        <is>
          <t>HRSG 1 + SCR (3P reheat, horizontal)</t>
        </is>
      </c>
      <c r="I196" s="9" t="inlineStr">
        <is>
          <t>Control</t>
        </is>
      </c>
      <c r="J196" s="9" t="inlineStr">
        <is>
          <t>Control cable 600 V Type TC-ER, Cu #14 AWG, PVC jacket</t>
        </is>
      </c>
      <c r="K196" s="9" t="inlineStr">
        <is>
          <t>CT|12/C|14</t>
        </is>
      </c>
      <c r="L196" s="9" t="inlineStr">
        <is>
          <t>12/C</t>
        </is>
      </c>
      <c r="M196" s="9" t="inlineStr">
        <is>
          <t>14</t>
        </is>
      </c>
      <c r="N196" s="9" t="n">
        <v>1</v>
      </c>
      <c r="O196" s="9" t="n">
        <v>1</v>
      </c>
      <c r="P196" s="9" t="n"/>
      <c r="Q196" s="9" t="n"/>
      <c r="R196" s="9" t="n"/>
      <c r="S196" s="9" t="inlineStr">
        <is>
          <t>Tray</t>
        </is>
      </c>
      <c r="T196" s="10" t="n">
        <v>0</v>
      </c>
      <c r="U196" s="10" t="n">
        <v>87</v>
      </c>
      <c r="V196" s="10">
        <f>ROUNDUP((T196+U196+2*'Read Me'!$B$13)*(1+'Read Me'!$B$12),-1)</f>
        <v/>
      </c>
      <c r="W196" s="10">
        <f>V196*N196*O196</f>
        <v/>
      </c>
      <c r="X196" s="9">
        <f>IF(LEFT(I196,2)="MV",2*N196*IF(L196="1/C",O196,1),0)</f>
        <v/>
      </c>
      <c r="Y196" s="9">
        <f>IF(OR(LEFT(K196,4)="LVAX",LEFT(K196,6)="MV15AX",LEFT(K196,4)="CTAX",LEFT(K196,2)="W|"),2*N196*O196,0)</f>
        <v/>
      </c>
      <c r="Z196" s="9" t="inlineStr"/>
    </row>
    <row r="197">
      <c r="A197" s="9" t="inlineStr">
        <is>
          <t>A-C-0185</t>
        </is>
      </c>
      <c r="B197" s="9" t="inlineStr">
        <is>
          <t>A</t>
        </is>
      </c>
      <c r="C197" s="9" t="inlineStr">
        <is>
          <t>Power block</t>
        </is>
      </c>
      <c r="D197" s="9" t="inlineStr">
        <is>
          <t>Control</t>
        </is>
      </c>
      <c r="E197" s="9" t="inlineStr">
        <is>
          <t>R2A</t>
        </is>
      </c>
      <c r="F197" s="9" t="inlineStr">
        <is>
          <t>R2A: unit / HRSG electrical e-house (32 x 40 ft)</t>
        </is>
      </c>
      <c r="G197" s="9" t="inlineStr">
        <is>
          <t>HRSG-1</t>
        </is>
      </c>
      <c r="H197" s="9" t="inlineStr">
        <is>
          <t>HRSG 1 + SCR (3P reheat, horizontal)</t>
        </is>
      </c>
      <c r="I197" s="9" t="inlineStr">
        <is>
          <t>Control</t>
        </is>
      </c>
      <c r="J197" s="9" t="inlineStr">
        <is>
          <t>Control cable 600 V Type TC-ER, Cu #14 AWG, PVC jacket</t>
        </is>
      </c>
      <c r="K197" s="9" t="inlineStr">
        <is>
          <t>CT|12/C|14</t>
        </is>
      </c>
      <c r="L197" s="9" t="inlineStr">
        <is>
          <t>12/C</t>
        </is>
      </c>
      <c r="M197" s="9" t="inlineStr">
        <is>
          <t>14</t>
        </is>
      </c>
      <c r="N197" s="9" t="n">
        <v>1</v>
      </c>
      <c r="O197" s="9" t="n">
        <v>1</v>
      </c>
      <c r="P197" s="9" t="n"/>
      <c r="Q197" s="9" t="n"/>
      <c r="R197" s="9" t="n"/>
      <c r="S197" s="9" t="inlineStr">
        <is>
          <t>Tray</t>
        </is>
      </c>
      <c r="T197" s="10" t="n">
        <v>0</v>
      </c>
      <c r="U197" s="10" t="n">
        <v>87</v>
      </c>
      <c r="V197" s="10">
        <f>ROUNDUP((T197+U197+2*'Read Me'!$B$13)*(1+'Read Me'!$B$12),-1)</f>
        <v/>
      </c>
      <c r="W197" s="10">
        <f>V197*N197*O197</f>
        <v/>
      </c>
      <c r="X197" s="9">
        <f>IF(LEFT(I197,2)="MV",2*N197*IF(L197="1/C",O197,1),0)</f>
        <v/>
      </c>
      <c r="Y197" s="9">
        <f>IF(OR(LEFT(K197,4)="LVAX",LEFT(K197,6)="MV15AX",LEFT(K197,4)="CTAX",LEFT(K197,2)="W|"),2*N197*O197,0)</f>
        <v/>
      </c>
      <c r="Z197" s="9" t="inlineStr"/>
    </row>
    <row r="198">
      <c r="A198" s="9" t="inlineStr">
        <is>
          <t>A-C-0186</t>
        </is>
      </c>
      <c r="B198" s="9" t="inlineStr">
        <is>
          <t>A</t>
        </is>
      </c>
      <c r="C198" s="9" t="inlineStr">
        <is>
          <t>Power block</t>
        </is>
      </c>
      <c r="D198" s="9" t="inlineStr">
        <is>
          <t>Control</t>
        </is>
      </c>
      <c r="E198" s="9" t="inlineStr">
        <is>
          <t>R2A</t>
        </is>
      </c>
      <c r="F198" s="9" t="inlineStr">
        <is>
          <t>R2A: unit / HRSG electrical e-house (32 x 40 ft)</t>
        </is>
      </c>
      <c r="G198" s="9" t="inlineStr">
        <is>
          <t>HRSG-1</t>
        </is>
      </c>
      <c r="H198" s="9" t="inlineStr">
        <is>
          <t>HRSG 1 + SCR (3P reheat, horizontal)</t>
        </is>
      </c>
      <c r="I198" s="9" t="inlineStr">
        <is>
          <t>Control</t>
        </is>
      </c>
      <c r="J198" s="9" t="inlineStr">
        <is>
          <t>Control cable 600 V Type TC-ER, Cu #14 AWG, PVC jacket</t>
        </is>
      </c>
      <c r="K198" s="9" t="inlineStr">
        <is>
          <t>CT|12/C|14</t>
        </is>
      </c>
      <c r="L198" s="9" t="inlineStr">
        <is>
          <t>12/C</t>
        </is>
      </c>
      <c r="M198" s="9" t="inlineStr">
        <is>
          <t>14</t>
        </is>
      </c>
      <c r="N198" s="9" t="n">
        <v>1</v>
      </c>
      <c r="O198" s="9" t="n">
        <v>1</v>
      </c>
      <c r="P198" s="9" t="n"/>
      <c r="Q198" s="9" t="n"/>
      <c r="R198" s="9" t="n"/>
      <c r="S198" s="9" t="inlineStr">
        <is>
          <t>Tray</t>
        </is>
      </c>
      <c r="T198" s="10" t="n">
        <v>0</v>
      </c>
      <c r="U198" s="10" t="n">
        <v>87</v>
      </c>
      <c r="V198" s="10">
        <f>ROUNDUP((T198+U198+2*'Read Me'!$B$13)*(1+'Read Me'!$B$12),-1)</f>
        <v/>
      </c>
      <c r="W198" s="10">
        <f>V198*N198*O198</f>
        <v/>
      </c>
      <c r="X198" s="9">
        <f>IF(LEFT(I198,2)="MV",2*N198*IF(L198="1/C",O198,1),0)</f>
        <v/>
      </c>
      <c r="Y198" s="9">
        <f>IF(OR(LEFT(K198,4)="LVAX",LEFT(K198,6)="MV15AX",LEFT(K198,4)="CTAX",LEFT(K198,2)="W|"),2*N198*O198,0)</f>
        <v/>
      </c>
      <c r="Z198" s="9" t="inlineStr"/>
    </row>
    <row r="199">
      <c r="A199" s="9" t="inlineStr">
        <is>
          <t>A-C-0187</t>
        </is>
      </c>
      <c r="B199" s="9" t="inlineStr">
        <is>
          <t>A</t>
        </is>
      </c>
      <c r="C199" s="9" t="inlineStr">
        <is>
          <t>Power block</t>
        </is>
      </c>
      <c r="D199" s="9" t="inlineStr">
        <is>
          <t>Control</t>
        </is>
      </c>
      <c r="E199" s="9" t="inlineStr">
        <is>
          <t>R2A</t>
        </is>
      </c>
      <c r="F199" s="9" t="inlineStr">
        <is>
          <t>R2A: unit / HRSG electrical e-house (32 x 40 ft)</t>
        </is>
      </c>
      <c r="G199" s="9" t="inlineStr">
        <is>
          <t>HRSG-1</t>
        </is>
      </c>
      <c r="H199" s="9" t="inlineStr">
        <is>
          <t>HRSG 1 + SCR (3P reheat, horizontal)</t>
        </is>
      </c>
      <c r="I199" s="9" t="inlineStr">
        <is>
          <t>Control</t>
        </is>
      </c>
      <c r="J199" s="9" t="inlineStr">
        <is>
          <t>Control cable 600 V Type TC-ER, Cu #14 AWG, PVC jacket</t>
        </is>
      </c>
      <c r="K199" s="9" t="inlineStr">
        <is>
          <t>CT|12/C|14</t>
        </is>
      </c>
      <c r="L199" s="9" t="inlineStr">
        <is>
          <t>12/C</t>
        </is>
      </c>
      <c r="M199" s="9" t="inlineStr">
        <is>
          <t>14</t>
        </is>
      </c>
      <c r="N199" s="9" t="n">
        <v>1</v>
      </c>
      <c r="O199" s="9" t="n">
        <v>1</v>
      </c>
      <c r="P199" s="9" t="n"/>
      <c r="Q199" s="9" t="n"/>
      <c r="R199" s="9" t="n"/>
      <c r="S199" s="9" t="inlineStr">
        <is>
          <t>Tray</t>
        </is>
      </c>
      <c r="T199" s="10" t="n">
        <v>0</v>
      </c>
      <c r="U199" s="10" t="n">
        <v>87</v>
      </c>
      <c r="V199" s="10">
        <f>ROUNDUP((T199+U199+2*'Read Me'!$B$13)*(1+'Read Me'!$B$12),-1)</f>
        <v/>
      </c>
      <c r="W199" s="10">
        <f>V199*N199*O199</f>
        <v/>
      </c>
      <c r="X199" s="9">
        <f>IF(LEFT(I199,2)="MV",2*N199*IF(L199="1/C",O199,1),0)</f>
        <v/>
      </c>
      <c r="Y199" s="9">
        <f>IF(OR(LEFT(K199,4)="LVAX",LEFT(K199,6)="MV15AX",LEFT(K199,4)="CTAX",LEFT(K199,2)="W|"),2*N199*O199,0)</f>
        <v/>
      </c>
      <c r="Z199" s="9" t="inlineStr"/>
    </row>
    <row r="200">
      <c r="A200" s="9" t="inlineStr">
        <is>
          <t>A-C-0188</t>
        </is>
      </c>
      <c r="B200" s="9" t="inlineStr">
        <is>
          <t>A</t>
        </is>
      </c>
      <c r="C200" s="9" t="inlineStr">
        <is>
          <t>Power block</t>
        </is>
      </c>
      <c r="D200" s="9" t="inlineStr">
        <is>
          <t>Control</t>
        </is>
      </c>
      <c r="E200" s="9" t="inlineStr">
        <is>
          <t>R2A</t>
        </is>
      </c>
      <c r="F200" s="9" t="inlineStr">
        <is>
          <t>R2A: unit / HRSG electrical e-house (32 x 40 ft)</t>
        </is>
      </c>
      <c r="G200" s="9" t="inlineStr">
        <is>
          <t>HRSG-1</t>
        </is>
      </c>
      <c r="H200" s="9" t="inlineStr">
        <is>
          <t>HRSG 1 + SCR (3P reheat, horizontal)</t>
        </is>
      </c>
      <c r="I200" s="9" t="inlineStr">
        <is>
          <t>Control</t>
        </is>
      </c>
      <c r="J200" s="9" t="inlineStr">
        <is>
          <t>Control cable 600 V Type TC-ER, Cu #14 AWG, PVC jacket</t>
        </is>
      </c>
      <c r="K200" s="9" t="inlineStr">
        <is>
          <t>CT|12/C|14</t>
        </is>
      </c>
      <c r="L200" s="9" t="inlineStr">
        <is>
          <t>12/C</t>
        </is>
      </c>
      <c r="M200" s="9" t="inlineStr">
        <is>
          <t>14</t>
        </is>
      </c>
      <c r="N200" s="9" t="n">
        <v>1</v>
      </c>
      <c r="O200" s="9" t="n">
        <v>1</v>
      </c>
      <c r="P200" s="9" t="n"/>
      <c r="Q200" s="9" t="n"/>
      <c r="R200" s="9" t="n"/>
      <c r="S200" s="9" t="inlineStr">
        <is>
          <t>Tray</t>
        </is>
      </c>
      <c r="T200" s="10" t="n">
        <v>0</v>
      </c>
      <c r="U200" s="10" t="n">
        <v>87</v>
      </c>
      <c r="V200" s="10">
        <f>ROUNDUP((T200+U200+2*'Read Me'!$B$13)*(1+'Read Me'!$B$12),-1)</f>
        <v/>
      </c>
      <c r="W200" s="10">
        <f>V200*N200*O200</f>
        <v/>
      </c>
      <c r="X200" s="9">
        <f>IF(LEFT(I200,2)="MV",2*N200*IF(L200="1/C",O200,1),0)</f>
        <v/>
      </c>
      <c r="Y200" s="9">
        <f>IF(OR(LEFT(K200,4)="LVAX",LEFT(K200,6)="MV15AX",LEFT(K200,4)="CTAX",LEFT(K200,2)="W|"),2*N200*O200,0)</f>
        <v/>
      </c>
      <c r="Z200" s="9" t="inlineStr"/>
    </row>
    <row r="201">
      <c r="A201" s="9" t="inlineStr">
        <is>
          <t>A-C-0189</t>
        </is>
      </c>
      <c r="B201" s="9" t="inlineStr">
        <is>
          <t>A</t>
        </is>
      </c>
      <c r="C201" s="9" t="inlineStr">
        <is>
          <t>Power block</t>
        </is>
      </c>
      <c r="D201" s="9" t="inlineStr">
        <is>
          <t>Control</t>
        </is>
      </c>
      <c r="E201" s="9" t="inlineStr">
        <is>
          <t>R2B</t>
        </is>
      </c>
      <c r="F201" s="9" t="inlineStr">
        <is>
          <t>R2B: unit / HRSG electrical e-house (32 x 40 ft)</t>
        </is>
      </c>
      <c r="G201" s="9" t="inlineStr"/>
      <c r="H201" s="9" t="inlineStr">
        <is>
          <t>HRSG 1 chemical feed skid (phosphate / amine)</t>
        </is>
      </c>
      <c r="I201" s="9" t="inlineStr">
        <is>
          <t>Control</t>
        </is>
      </c>
      <c r="J201" s="9" t="inlineStr">
        <is>
          <t>Control cable 600 V Type TC-ER, Cu #14 AWG, PVC jacket</t>
        </is>
      </c>
      <c r="K201" s="9" t="inlineStr">
        <is>
          <t>CT|7/C|14</t>
        </is>
      </c>
      <c r="L201" s="9" t="inlineStr">
        <is>
          <t>7/C</t>
        </is>
      </c>
      <c r="M201" s="9" t="inlineStr">
        <is>
          <t>14</t>
        </is>
      </c>
      <c r="N201" s="9" t="n">
        <v>1</v>
      </c>
      <c r="O201" s="9" t="n">
        <v>1</v>
      </c>
      <c r="P201" s="9" t="n"/>
      <c r="Q201" s="9" t="n"/>
      <c r="R201" s="9" t="n"/>
      <c r="S201" s="9" t="inlineStr">
        <is>
          <t>Tray</t>
        </is>
      </c>
      <c r="T201" s="10" t="n">
        <v>30</v>
      </c>
      <c r="U201" s="10" t="n">
        <v>109</v>
      </c>
      <c r="V201" s="10">
        <f>ROUNDUP((T201+U201+2*'Read Me'!$B$13)*(1+'Read Me'!$B$12),-1)</f>
        <v/>
      </c>
      <c r="W201" s="10">
        <f>V201*N201*O201</f>
        <v/>
      </c>
      <c r="X201" s="9">
        <f>IF(LEFT(I201,2)="MV",2*N201*IF(L201="1/C",O201,1),0)</f>
        <v/>
      </c>
      <c r="Y201" s="9">
        <f>IF(OR(LEFT(K201,4)="LVAX",LEFT(K201,6)="MV15AX",LEFT(K201,4)="CTAX",LEFT(K201,2)="W|"),2*N201*O201,0)</f>
        <v/>
      </c>
      <c r="Z201" s="9" t="inlineStr"/>
    </row>
    <row r="202">
      <c r="A202" s="9" t="inlineStr">
        <is>
          <t>A-C-0190</t>
        </is>
      </c>
      <c r="B202" s="9" t="inlineStr">
        <is>
          <t>A</t>
        </is>
      </c>
      <c r="C202" s="9" t="inlineStr">
        <is>
          <t>Power block</t>
        </is>
      </c>
      <c r="D202" s="9" t="inlineStr">
        <is>
          <t>Control</t>
        </is>
      </c>
      <c r="E202" s="9" t="inlineStr">
        <is>
          <t>R2B</t>
        </is>
      </c>
      <c r="F202" s="9" t="inlineStr">
        <is>
          <t>R2B: unit / HRSG electrical e-house (32 x 40 ft)</t>
        </is>
      </c>
      <c r="G202" s="9" t="inlineStr">
        <is>
          <t>HRSG-2</t>
        </is>
      </c>
      <c r="H202" s="9" t="inlineStr">
        <is>
          <t>HRSG 2 + SCR (3P reheat, horizontal)</t>
        </is>
      </c>
      <c r="I202" s="9" t="inlineStr">
        <is>
          <t>Control</t>
        </is>
      </c>
      <c r="J202" s="9" t="inlineStr">
        <is>
          <t>Control cable 600 V Type TC-ER, Cu #14 AWG, PVC jacket</t>
        </is>
      </c>
      <c r="K202" s="9" t="inlineStr">
        <is>
          <t>CT|7/C|14</t>
        </is>
      </c>
      <c r="L202" s="9" t="inlineStr">
        <is>
          <t>7/C</t>
        </is>
      </c>
      <c r="M202" s="9" t="inlineStr">
        <is>
          <t>14</t>
        </is>
      </c>
      <c r="N202" s="9" t="n">
        <v>1</v>
      </c>
      <c r="O202" s="9" t="n">
        <v>1</v>
      </c>
      <c r="P202" s="9" t="n"/>
      <c r="Q202" s="9" t="n"/>
      <c r="R202" s="9" t="n"/>
      <c r="S202" s="9" t="inlineStr">
        <is>
          <t>Tray</t>
        </is>
      </c>
      <c r="T202" s="10" t="n">
        <v>63</v>
      </c>
      <c r="U202" s="10" t="n">
        <v>84</v>
      </c>
      <c r="V202" s="10">
        <f>ROUNDUP((T202+U202+2*'Read Me'!$B$13)*(1+'Read Me'!$B$12),-1)</f>
        <v/>
      </c>
      <c r="W202" s="10">
        <f>V202*N202*O202</f>
        <v/>
      </c>
      <c r="X202" s="9">
        <f>IF(LEFT(I202,2)="MV",2*N202*IF(L202="1/C",O202,1),0)</f>
        <v/>
      </c>
      <c r="Y202" s="9">
        <f>IF(OR(LEFT(K202,4)="LVAX",LEFT(K202,6)="MV15AX",LEFT(K202,4)="CTAX",LEFT(K202,2)="W|"),2*N202*O202,0)</f>
        <v/>
      </c>
      <c r="Z202" s="9" t="inlineStr"/>
    </row>
    <row r="203">
      <c r="A203" s="9" t="inlineStr">
        <is>
          <t>A-C-0191</t>
        </is>
      </c>
      <c r="B203" s="9" t="inlineStr">
        <is>
          <t>A</t>
        </is>
      </c>
      <c r="C203" s="9" t="inlineStr">
        <is>
          <t>Power block</t>
        </is>
      </c>
      <c r="D203" s="9" t="inlineStr">
        <is>
          <t>Control</t>
        </is>
      </c>
      <c r="E203" s="9" t="inlineStr">
        <is>
          <t>R2B</t>
        </is>
      </c>
      <c r="F203" s="9" t="inlineStr">
        <is>
          <t>R2B: unit / HRSG electrical e-house (32 x 40 ft)</t>
        </is>
      </c>
      <c r="G203" s="9" t="inlineStr">
        <is>
          <t>HRSG-2</t>
        </is>
      </c>
      <c r="H203" s="9" t="inlineStr">
        <is>
          <t>HRSG 2 + SCR (3P reheat, horizontal)</t>
        </is>
      </c>
      <c r="I203" s="9" t="inlineStr">
        <is>
          <t>Control</t>
        </is>
      </c>
      <c r="J203" s="9" t="inlineStr">
        <is>
          <t>Control cable 600 V Type TC-ER, Cu #14 AWG, PVC jacket</t>
        </is>
      </c>
      <c r="K203" s="9" t="inlineStr">
        <is>
          <t>CT|7/C|14</t>
        </is>
      </c>
      <c r="L203" s="9" t="inlineStr">
        <is>
          <t>7/C</t>
        </is>
      </c>
      <c r="M203" s="9" t="inlineStr">
        <is>
          <t>14</t>
        </is>
      </c>
      <c r="N203" s="9" t="n">
        <v>1</v>
      </c>
      <c r="O203" s="9" t="n">
        <v>1</v>
      </c>
      <c r="P203" s="9" t="n"/>
      <c r="Q203" s="9" t="n"/>
      <c r="R203" s="9" t="n"/>
      <c r="S203" s="9" t="inlineStr">
        <is>
          <t>Tray</t>
        </is>
      </c>
      <c r="T203" s="10" t="n">
        <v>63</v>
      </c>
      <c r="U203" s="10" t="n">
        <v>84</v>
      </c>
      <c r="V203" s="10">
        <f>ROUNDUP((T203+U203+2*'Read Me'!$B$13)*(1+'Read Me'!$B$12),-1)</f>
        <v/>
      </c>
      <c r="W203" s="10">
        <f>V203*N203*O203</f>
        <v/>
      </c>
      <c r="X203" s="9">
        <f>IF(LEFT(I203,2)="MV",2*N203*IF(L203="1/C",O203,1),0)</f>
        <v/>
      </c>
      <c r="Y203" s="9">
        <f>IF(OR(LEFT(K203,4)="LVAX",LEFT(K203,6)="MV15AX",LEFT(K203,4)="CTAX",LEFT(K203,2)="W|"),2*N203*O203,0)</f>
        <v/>
      </c>
      <c r="Z203" s="9" t="inlineStr"/>
    </row>
    <row r="204">
      <c r="A204" s="9" t="inlineStr">
        <is>
          <t>A-C-0192</t>
        </is>
      </c>
      <c r="B204" s="9" t="inlineStr">
        <is>
          <t>A</t>
        </is>
      </c>
      <c r="C204" s="9" t="inlineStr">
        <is>
          <t>Power block</t>
        </is>
      </c>
      <c r="D204" s="9" t="inlineStr">
        <is>
          <t>Control</t>
        </is>
      </c>
      <c r="E204" s="9" t="inlineStr">
        <is>
          <t>R2B</t>
        </is>
      </c>
      <c r="F204" s="9" t="inlineStr">
        <is>
          <t>R2B: unit / HRSG electrical e-house (32 x 40 ft)</t>
        </is>
      </c>
      <c r="G204" s="9" t="inlineStr">
        <is>
          <t>HRSG-2</t>
        </is>
      </c>
      <c r="H204" s="9" t="inlineStr">
        <is>
          <t>HRSG 2 + SCR (3P reheat, horizontal)</t>
        </is>
      </c>
      <c r="I204" s="9" t="inlineStr">
        <is>
          <t>Control</t>
        </is>
      </c>
      <c r="J204" s="9" t="inlineStr">
        <is>
          <t>Control cable 600 V Type TC-ER, Cu #14 AWG, PVC jacket</t>
        </is>
      </c>
      <c r="K204" s="9" t="inlineStr">
        <is>
          <t>CT|12/C|14</t>
        </is>
      </c>
      <c r="L204" s="9" t="inlineStr">
        <is>
          <t>12/C</t>
        </is>
      </c>
      <c r="M204" s="9" t="inlineStr">
        <is>
          <t>14</t>
        </is>
      </c>
      <c r="N204" s="9" t="n">
        <v>1</v>
      </c>
      <c r="O204" s="9" t="n">
        <v>1</v>
      </c>
      <c r="P204" s="9" t="n"/>
      <c r="Q204" s="9" t="n"/>
      <c r="R204" s="9" t="n"/>
      <c r="S204" s="9" t="inlineStr">
        <is>
          <t>Tray</t>
        </is>
      </c>
      <c r="T204" s="10" t="n">
        <v>63</v>
      </c>
      <c r="U204" s="10" t="n">
        <v>84</v>
      </c>
      <c r="V204" s="10">
        <f>ROUNDUP((T204+U204+2*'Read Me'!$B$13)*(1+'Read Me'!$B$12),-1)</f>
        <v/>
      </c>
      <c r="W204" s="10">
        <f>V204*N204*O204</f>
        <v/>
      </c>
      <c r="X204" s="9">
        <f>IF(LEFT(I204,2)="MV",2*N204*IF(L204="1/C",O204,1),0)</f>
        <v/>
      </c>
      <c r="Y204" s="9">
        <f>IF(OR(LEFT(K204,4)="LVAX",LEFT(K204,6)="MV15AX",LEFT(K204,4)="CTAX",LEFT(K204,2)="W|"),2*N204*O204,0)</f>
        <v/>
      </c>
      <c r="Z204" s="9" t="inlineStr"/>
    </row>
    <row r="205">
      <c r="A205" s="9" t="inlineStr">
        <is>
          <t>A-C-0193</t>
        </is>
      </c>
      <c r="B205" s="9" t="inlineStr">
        <is>
          <t>A</t>
        </is>
      </c>
      <c r="C205" s="9" t="inlineStr">
        <is>
          <t>Power block</t>
        </is>
      </c>
      <c r="D205" s="9" t="inlineStr">
        <is>
          <t>Control</t>
        </is>
      </c>
      <c r="E205" s="9" t="inlineStr">
        <is>
          <t>R2B</t>
        </is>
      </c>
      <c r="F205" s="9" t="inlineStr">
        <is>
          <t>R2B: unit / HRSG electrical e-house (32 x 40 ft)</t>
        </is>
      </c>
      <c r="G205" s="9" t="inlineStr">
        <is>
          <t>HRSG-2</t>
        </is>
      </c>
      <c r="H205" s="9" t="inlineStr">
        <is>
          <t>HRSG 2 + SCR (3P reheat, horizontal)</t>
        </is>
      </c>
      <c r="I205" s="9" t="inlineStr">
        <is>
          <t>Control</t>
        </is>
      </c>
      <c r="J205" s="9" t="inlineStr">
        <is>
          <t>Control cable 600 V Type TC-ER, Cu #14 AWG, PVC jacket</t>
        </is>
      </c>
      <c r="K205" s="9" t="inlineStr">
        <is>
          <t>CT|12/C|14</t>
        </is>
      </c>
      <c r="L205" s="9" t="inlineStr">
        <is>
          <t>12/C</t>
        </is>
      </c>
      <c r="M205" s="9" t="inlineStr">
        <is>
          <t>14</t>
        </is>
      </c>
      <c r="N205" s="9" t="n">
        <v>1</v>
      </c>
      <c r="O205" s="9" t="n">
        <v>1</v>
      </c>
      <c r="P205" s="9" t="n"/>
      <c r="Q205" s="9" t="n"/>
      <c r="R205" s="9" t="n"/>
      <c r="S205" s="9" t="inlineStr">
        <is>
          <t>Tray</t>
        </is>
      </c>
      <c r="T205" s="10" t="n">
        <v>63</v>
      </c>
      <c r="U205" s="10" t="n">
        <v>84</v>
      </c>
      <c r="V205" s="10">
        <f>ROUNDUP((T205+U205+2*'Read Me'!$B$13)*(1+'Read Me'!$B$12),-1)</f>
        <v/>
      </c>
      <c r="W205" s="10">
        <f>V205*N205*O205</f>
        <v/>
      </c>
      <c r="X205" s="9">
        <f>IF(LEFT(I205,2)="MV",2*N205*IF(L205="1/C",O205,1),0)</f>
        <v/>
      </c>
      <c r="Y205" s="9">
        <f>IF(OR(LEFT(K205,4)="LVAX",LEFT(K205,6)="MV15AX",LEFT(K205,4)="CTAX",LEFT(K205,2)="W|"),2*N205*O205,0)</f>
        <v/>
      </c>
      <c r="Z205" s="9" t="inlineStr"/>
    </row>
    <row r="206">
      <c r="A206" s="9" t="inlineStr">
        <is>
          <t>A-C-0194</t>
        </is>
      </c>
      <c r="B206" s="9" t="inlineStr">
        <is>
          <t>A</t>
        </is>
      </c>
      <c r="C206" s="9" t="inlineStr">
        <is>
          <t>Power block</t>
        </is>
      </c>
      <c r="D206" s="9" t="inlineStr">
        <is>
          <t>Control</t>
        </is>
      </c>
      <c r="E206" s="9" t="inlineStr">
        <is>
          <t>R2B</t>
        </is>
      </c>
      <c r="F206" s="9" t="inlineStr">
        <is>
          <t>R2B: unit / HRSG electrical e-house (32 x 40 ft)</t>
        </is>
      </c>
      <c r="G206" s="9" t="inlineStr">
        <is>
          <t>HRSG-2</t>
        </is>
      </c>
      <c r="H206" s="9" t="inlineStr">
        <is>
          <t>HRSG 2 + SCR (3P reheat, horizontal)</t>
        </is>
      </c>
      <c r="I206" s="9" t="inlineStr">
        <is>
          <t>Control</t>
        </is>
      </c>
      <c r="J206" s="9" t="inlineStr">
        <is>
          <t>Control cable 600 V Type TC-ER, Cu #14 AWG, PVC jacket</t>
        </is>
      </c>
      <c r="K206" s="9" t="inlineStr">
        <is>
          <t>CT|12/C|14</t>
        </is>
      </c>
      <c r="L206" s="9" t="inlineStr">
        <is>
          <t>12/C</t>
        </is>
      </c>
      <c r="M206" s="9" t="inlineStr">
        <is>
          <t>14</t>
        </is>
      </c>
      <c r="N206" s="9" t="n">
        <v>1</v>
      </c>
      <c r="O206" s="9" t="n">
        <v>1</v>
      </c>
      <c r="P206" s="9" t="n"/>
      <c r="Q206" s="9" t="n"/>
      <c r="R206" s="9" t="n"/>
      <c r="S206" s="9" t="inlineStr">
        <is>
          <t>Tray</t>
        </is>
      </c>
      <c r="T206" s="10" t="n">
        <v>63</v>
      </c>
      <c r="U206" s="10" t="n">
        <v>84</v>
      </c>
      <c r="V206" s="10">
        <f>ROUNDUP((T206+U206+2*'Read Me'!$B$13)*(1+'Read Me'!$B$12),-1)</f>
        <v/>
      </c>
      <c r="W206" s="10">
        <f>V206*N206*O206</f>
        <v/>
      </c>
      <c r="X206" s="9">
        <f>IF(LEFT(I206,2)="MV",2*N206*IF(L206="1/C",O206,1),0)</f>
        <v/>
      </c>
      <c r="Y206" s="9">
        <f>IF(OR(LEFT(K206,4)="LVAX",LEFT(K206,6)="MV15AX",LEFT(K206,4)="CTAX",LEFT(K206,2)="W|"),2*N206*O206,0)</f>
        <v/>
      </c>
      <c r="Z206" s="9" t="inlineStr"/>
    </row>
    <row r="207">
      <c r="A207" s="9" t="inlineStr">
        <is>
          <t>A-C-0195</t>
        </is>
      </c>
      <c r="B207" s="9" t="inlineStr">
        <is>
          <t>A</t>
        </is>
      </c>
      <c r="C207" s="9" t="inlineStr">
        <is>
          <t>Power block</t>
        </is>
      </c>
      <c r="D207" s="9" t="inlineStr">
        <is>
          <t>Control</t>
        </is>
      </c>
      <c r="E207" s="9" t="inlineStr">
        <is>
          <t>R2B</t>
        </is>
      </c>
      <c r="F207" s="9" t="inlineStr">
        <is>
          <t>R2B: unit / HRSG electrical e-house (32 x 40 ft)</t>
        </is>
      </c>
      <c r="G207" s="9" t="inlineStr">
        <is>
          <t>HRSG-2</t>
        </is>
      </c>
      <c r="H207" s="9" t="inlineStr">
        <is>
          <t>HRSG 2 + SCR (3P reheat, horizontal)</t>
        </is>
      </c>
      <c r="I207" s="9" t="inlineStr">
        <is>
          <t>Control</t>
        </is>
      </c>
      <c r="J207" s="9" t="inlineStr">
        <is>
          <t>Control cable 600 V Type TC-ER, Cu #14 AWG, PVC jacket</t>
        </is>
      </c>
      <c r="K207" s="9" t="inlineStr">
        <is>
          <t>CT|12/C|14</t>
        </is>
      </c>
      <c r="L207" s="9" t="inlineStr">
        <is>
          <t>12/C</t>
        </is>
      </c>
      <c r="M207" s="9" t="inlineStr">
        <is>
          <t>14</t>
        </is>
      </c>
      <c r="N207" s="9" t="n">
        <v>1</v>
      </c>
      <c r="O207" s="9" t="n">
        <v>1</v>
      </c>
      <c r="P207" s="9" t="n"/>
      <c r="Q207" s="9" t="n"/>
      <c r="R207" s="9" t="n"/>
      <c r="S207" s="9" t="inlineStr">
        <is>
          <t>Tray</t>
        </is>
      </c>
      <c r="T207" s="10" t="n">
        <v>63</v>
      </c>
      <c r="U207" s="10" t="n">
        <v>84</v>
      </c>
      <c r="V207" s="10">
        <f>ROUNDUP((T207+U207+2*'Read Me'!$B$13)*(1+'Read Me'!$B$12),-1)</f>
        <v/>
      </c>
      <c r="W207" s="10">
        <f>V207*N207*O207</f>
        <v/>
      </c>
      <c r="X207" s="9">
        <f>IF(LEFT(I207,2)="MV",2*N207*IF(L207="1/C",O207,1),0)</f>
        <v/>
      </c>
      <c r="Y207" s="9">
        <f>IF(OR(LEFT(K207,4)="LVAX",LEFT(K207,6)="MV15AX",LEFT(K207,4)="CTAX",LEFT(K207,2)="W|"),2*N207*O207,0)</f>
        <v/>
      </c>
      <c r="Z207" s="9" t="inlineStr"/>
    </row>
    <row r="208">
      <c r="A208" s="9" t="inlineStr">
        <is>
          <t>A-C-0196</t>
        </is>
      </c>
      <c r="B208" s="9" t="inlineStr">
        <is>
          <t>A</t>
        </is>
      </c>
      <c r="C208" s="9" t="inlineStr">
        <is>
          <t>Power block</t>
        </is>
      </c>
      <c r="D208" s="9" t="inlineStr">
        <is>
          <t>Control</t>
        </is>
      </c>
      <c r="E208" s="9" t="inlineStr">
        <is>
          <t>R2B</t>
        </is>
      </c>
      <c r="F208" s="9" t="inlineStr">
        <is>
          <t>R2B: unit / HRSG electrical e-house (32 x 40 ft)</t>
        </is>
      </c>
      <c r="G208" s="9" t="inlineStr">
        <is>
          <t>HRSG-2</t>
        </is>
      </c>
      <c r="H208" s="9" t="inlineStr">
        <is>
          <t>HRSG 2 + SCR (3P reheat, horizontal)</t>
        </is>
      </c>
      <c r="I208" s="9" t="inlineStr">
        <is>
          <t>Control</t>
        </is>
      </c>
      <c r="J208" s="9" t="inlineStr">
        <is>
          <t>Control cable 600 V Type TC-ER, Cu #14 AWG, PVC jacket</t>
        </is>
      </c>
      <c r="K208" s="9" t="inlineStr">
        <is>
          <t>CT|12/C|14</t>
        </is>
      </c>
      <c r="L208" s="9" t="inlineStr">
        <is>
          <t>12/C</t>
        </is>
      </c>
      <c r="M208" s="9" t="inlineStr">
        <is>
          <t>14</t>
        </is>
      </c>
      <c r="N208" s="9" t="n">
        <v>1</v>
      </c>
      <c r="O208" s="9" t="n">
        <v>1</v>
      </c>
      <c r="P208" s="9" t="n"/>
      <c r="Q208" s="9" t="n"/>
      <c r="R208" s="9" t="n"/>
      <c r="S208" s="9" t="inlineStr">
        <is>
          <t>Tray</t>
        </is>
      </c>
      <c r="T208" s="10" t="n">
        <v>63</v>
      </c>
      <c r="U208" s="10" t="n">
        <v>84</v>
      </c>
      <c r="V208" s="10">
        <f>ROUNDUP((T208+U208+2*'Read Me'!$B$13)*(1+'Read Me'!$B$12),-1)</f>
        <v/>
      </c>
      <c r="W208" s="10">
        <f>V208*N208*O208</f>
        <v/>
      </c>
      <c r="X208" s="9">
        <f>IF(LEFT(I208,2)="MV",2*N208*IF(L208="1/C",O208,1),0)</f>
        <v/>
      </c>
      <c r="Y208" s="9">
        <f>IF(OR(LEFT(K208,4)="LVAX",LEFT(K208,6)="MV15AX",LEFT(K208,4)="CTAX",LEFT(K208,2)="W|"),2*N208*O208,0)</f>
        <v/>
      </c>
      <c r="Z208" s="9" t="inlineStr"/>
    </row>
    <row r="209">
      <c r="A209" s="9" t="inlineStr">
        <is>
          <t>A-C-0197</t>
        </is>
      </c>
      <c r="B209" s="9" t="inlineStr">
        <is>
          <t>A</t>
        </is>
      </c>
      <c r="C209" s="9" t="inlineStr">
        <is>
          <t>Power block</t>
        </is>
      </c>
      <c r="D209" s="9" t="inlineStr">
        <is>
          <t>Control</t>
        </is>
      </c>
      <c r="E209" s="9" t="inlineStr">
        <is>
          <t>R2B</t>
        </is>
      </c>
      <c r="F209" s="9" t="inlineStr">
        <is>
          <t>R2B: unit / HRSG electrical e-house (32 x 40 ft)</t>
        </is>
      </c>
      <c r="G209" s="9" t="inlineStr">
        <is>
          <t>HRSG-2</t>
        </is>
      </c>
      <c r="H209" s="9" t="inlineStr">
        <is>
          <t>HRSG 2 + SCR (3P reheat, horizontal)</t>
        </is>
      </c>
      <c r="I209" s="9" t="inlineStr">
        <is>
          <t>Control</t>
        </is>
      </c>
      <c r="J209" s="9" t="inlineStr">
        <is>
          <t>Control cable 600 V Type TC-ER, Cu #14 AWG, PVC jacket</t>
        </is>
      </c>
      <c r="K209" s="9" t="inlineStr">
        <is>
          <t>CT|12/C|14</t>
        </is>
      </c>
      <c r="L209" s="9" t="inlineStr">
        <is>
          <t>12/C</t>
        </is>
      </c>
      <c r="M209" s="9" t="inlineStr">
        <is>
          <t>14</t>
        </is>
      </c>
      <c r="N209" s="9" t="n">
        <v>1</v>
      </c>
      <c r="O209" s="9" t="n">
        <v>1</v>
      </c>
      <c r="P209" s="9" t="n"/>
      <c r="Q209" s="9" t="n"/>
      <c r="R209" s="9" t="n"/>
      <c r="S209" s="9" t="inlineStr">
        <is>
          <t>Tray</t>
        </is>
      </c>
      <c r="T209" s="10" t="n">
        <v>63</v>
      </c>
      <c r="U209" s="10" t="n">
        <v>84</v>
      </c>
      <c r="V209" s="10">
        <f>ROUNDUP((T209+U209+2*'Read Me'!$B$13)*(1+'Read Me'!$B$12),-1)</f>
        <v/>
      </c>
      <c r="W209" s="10">
        <f>V209*N209*O209</f>
        <v/>
      </c>
      <c r="X209" s="9">
        <f>IF(LEFT(I209,2)="MV",2*N209*IF(L209="1/C",O209,1),0)</f>
        <v/>
      </c>
      <c r="Y209" s="9">
        <f>IF(OR(LEFT(K209,4)="LVAX",LEFT(K209,6)="MV15AX",LEFT(K209,4)="CTAX",LEFT(K209,2)="W|"),2*N209*O209,0)</f>
        <v/>
      </c>
      <c r="Z209" s="9" t="inlineStr"/>
    </row>
    <row r="210">
      <c r="A210" s="9" t="inlineStr">
        <is>
          <t>A-C-0198</t>
        </is>
      </c>
      <c r="B210" s="9" t="inlineStr">
        <is>
          <t>A</t>
        </is>
      </c>
      <c r="C210" s="9" t="inlineStr">
        <is>
          <t>Power block</t>
        </is>
      </c>
      <c r="D210" s="9" t="inlineStr">
        <is>
          <t>Control</t>
        </is>
      </c>
      <c r="E210" s="9" t="inlineStr">
        <is>
          <t>R2C</t>
        </is>
      </c>
      <c r="F210" s="9" t="inlineStr">
        <is>
          <t>R2C: unit / HRSG electrical e-house (32 x 40 ft)</t>
        </is>
      </c>
      <c r="G210" s="9" t="inlineStr"/>
      <c r="H210" s="9" t="inlineStr">
        <is>
          <t>HRSG 2 chemical feed skid (phosphate / amine)</t>
        </is>
      </c>
      <c r="I210" s="9" t="inlineStr">
        <is>
          <t>Control</t>
        </is>
      </c>
      <c r="J210" s="9" t="inlineStr">
        <is>
          <t>Control cable 600 V Type TC-ER, Cu #14 AWG, PVC jacket</t>
        </is>
      </c>
      <c r="K210" s="9" t="inlineStr">
        <is>
          <t>CT|7/C|14</t>
        </is>
      </c>
      <c r="L210" s="9" t="inlineStr">
        <is>
          <t>7/C</t>
        </is>
      </c>
      <c r="M210" s="9" t="inlineStr">
        <is>
          <t>14</t>
        </is>
      </c>
      <c r="N210" s="9" t="n">
        <v>1</v>
      </c>
      <c r="O210" s="9" t="n">
        <v>1</v>
      </c>
      <c r="P210" s="9" t="n"/>
      <c r="Q210" s="9" t="n"/>
      <c r="R210" s="9" t="n"/>
      <c r="S210" s="9" t="inlineStr">
        <is>
          <t>Tray</t>
        </is>
      </c>
      <c r="T210" s="10" t="n">
        <v>30</v>
      </c>
      <c r="U210" s="10" t="n">
        <v>109</v>
      </c>
      <c r="V210" s="10">
        <f>ROUNDUP((T210+U210+2*'Read Me'!$B$13)*(1+'Read Me'!$B$12),-1)</f>
        <v/>
      </c>
      <c r="W210" s="10">
        <f>V210*N210*O210</f>
        <v/>
      </c>
      <c r="X210" s="9">
        <f>IF(LEFT(I210,2)="MV",2*N210*IF(L210="1/C",O210,1),0)</f>
        <v/>
      </c>
      <c r="Y210" s="9">
        <f>IF(OR(LEFT(K210,4)="LVAX",LEFT(K210,6)="MV15AX",LEFT(K210,4)="CTAX",LEFT(K210,2)="W|"),2*N210*O210,0)</f>
        <v/>
      </c>
      <c r="Z210" s="9" t="inlineStr"/>
    </row>
    <row r="211">
      <c r="A211" s="9" t="inlineStr">
        <is>
          <t>A-C-0199</t>
        </is>
      </c>
      <c r="B211" s="9" t="inlineStr">
        <is>
          <t>A</t>
        </is>
      </c>
      <c r="C211" s="9" t="inlineStr">
        <is>
          <t>Power block</t>
        </is>
      </c>
      <c r="D211" s="9" t="inlineStr">
        <is>
          <t>Control</t>
        </is>
      </c>
      <c r="E211" s="9" t="inlineStr">
        <is>
          <t>R2C</t>
        </is>
      </c>
      <c r="F211" s="9" t="inlineStr">
        <is>
          <t>R2C: unit / HRSG electrical e-house (32 x 40 ft)</t>
        </is>
      </c>
      <c r="G211" s="9" t="inlineStr">
        <is>
          <t>HRSG-3</t>
        </is>
      </c>
      <c r="H211" s="9" t="inlineStr">
        <is>
          <t>HRSG 3 + SCR (3P reheat, horizontal)</t>
        </is>
      </c>
      <c r="I211" s="9" t="inlineStr">
        <is>
          <t>Control</t>
        </is>
      </c>
      <c r="J211" s="9" t="inlineStr">
        <is>
          <t>Control cable 600 V Type TC-ER, Cu #14 AWG, PVC jacket</t>
        </is>
      </c>
      <c r="K211" s="9" t="inlineStr">
        <is>
          <t>CT|7/C|14</t>
        </is>
      </c>
      <c r="L211" s="9" t="inlineStr">
        <is>
          <t>7/C</t>
        </is>
      </c>
      <c r="M211" s="9" t="inlineStr">
        <is>
          <t>14</t>
        </is>
      </c>
      <c r="N211" s="9" t="n">
        <v>1</v>
      </c>
      <c r="O211" s="9" t="n">
        <v>1</v>
      </c>
      <c r="P211" s="9" t="n"/>
      <c r="Q211" s="9" t="n"/>
      <c r="R211" s="9" t="n"/>
      <c r="S211" s="9" t="inlineStr">
        <is>
          <t>Tray</t>
        </is>
      </c>
      <c r="T211" s="10" t="n">
        <v>0</v>
      </c>
      <c r="U211" s="10" t="n">
        <v>87</v>
      </c>
      <c r="V211" s="10">
        <f>ROUNDUP((T211+U211+2*'Read Me'!$B$13)*(1+'Read Me'!$B$12),-1)</f>
        <v/>
      </c>
      <c r="W211" s="10">
        <f>V211*N211*O211</f>
        <v/>
      </c>
      <c r="X211" s="9">
        <f>IF(LEFT(I211,2)="MV",2*N211*IF(L211="1/C",O211,1),0)</f>
        <v/>
      </c>
      <c r="Y211" s="9">
        <f>IF(OR(LEFT(K211,4)="LVAX",LEFT(K211,6)="MV15AX",LEFT(K211,4)="CTAX",LEFT(K211,2)="W|"),2*N211*O211,0)</f>
        <v/>
      </c>
      <c r="Z211" s="9" t="inlineStr"/>
    </row>
    <row r="212">
      <c r="A212" s="9" t="inlineStr">
        <is>
          <t>A-C-0200</t>
        </is>
      </c>
      <c r="B212" s="9" t="inlineStr">
        <is>
          <t>A</t>
        </is>
      </c>
      <c r="C212" s="9" t="inlineStr">
        <is>
          <t>Power block</t>
        </is>
      </c>
      <c r="D212" s="9" t="inlineStr">
        <is>
          <t>Control</t>
        </is>
      </c>
      <c r="E212" s="9" t="inlineStr">
        <is>
          <t>R2C</t>
        </is>
      </c>
      <c r="F212" s="9" t="inlineStr">
        <is>
          <t>R2C: unit / HRSG electrical e-house (32 x 40 ft)</t>
        </is>
      </c>
      <c r="G212" s="9" t="inlineStr">
        <is>
          <t>HRSG-3</t>
        </is>
      </c>
      <c r="H212" s="9" t="inlineStr">
        <is>
          <t>HRSG 3 + SCR (3P reheat, horizontal)</t>
        </is>
      </c>
      <c r="I212" s="9" t="inlineStr">
        <is>
          <t>Control</t>
        </is>
      </c>
      <c r="J212" s="9" t="inlineStr">
        <is>
          <t>Control cable 600 V Type TC-ER, Cu #14 AWG, PVC jacket</t>
        </is>
      </c>
      <c r="K212" s="9" t="inlineStr">
        <is>
          <t>CT|7/C|14</t>
        </is>
      </c>
      <c r="L212" s="9" t="inlineStr">
        <is>
          <t>7/C</t>
        </is>
      </c>
      <c r="M212" s="9" t="inlineStr">
        <is>
          <t>14</t>
        </is>
      </c>
      <c r="N212" s="9" t="n">
        <v>1</v>
      </c>
      <c r="O212" s="9" t="n">
        <v>1</v>
      </c>
      <c r="P212" s="9" t="n"/>
      <c r="Q212" s="9" t="n"/>
      <c r="R212" s="9" t="n"/>
      <c r="S212" s="9" t="inlineStr">
        <is>
          <t>Tray</t>
        </is>
      </c>
      <c r="T212" s="10" t="n">
        <v>0</v>
      </c>
      <c r="U212" s="10" t="n">
        <v>87</v>
      </c>
      <c r="V212" s="10">
        <f>ROUNDUP((T212+U212+2*'Read Me'!$B$13)*(1+'Read Me'!$B$12),-1)</f>
        <v/>
      </c>
      <c r="W212" s="10">
        <f>V212*N212*O212</f>
        <v/>
      </c>
      <c r="X212" s="9">
        <f>IF(LEFT(I212,2)="MV",2*N212*IF(L212="1/C",O212,1),0)</f>
        <v/>
      </c>
      <c r="Y212" s="9">
        <f>IF(OR(LEFT(K212,4)="LVAX",LEFT(K212,6)="MV15AX",LEFT(K212,4)="CTAX",LEFT(K212,2)="W|"),2*N212*O212,0)</f>
        <v/>
      </c>
      <c r="Z212" s="9" t="inlineStr"/>
    </row>
    <row r="213">
      <c r="A213" s="9" t="inlineStr">
        <is>
          <t>A-C-0201</t>
        </is>
      </c>
      <c r="B213" s="9" t="inlineStr">
        <is>
          <t>A</t>
        </is>
      </c>
      <c r="C213" s="9" t="inlineStr">
        <is>
          <t>Power block</t>
        </is>
      </c>
      <c r="D213" s="9" t="inlineStr">
        <is>
          <t>Control</t>
        </is>
      </c>
      <c r="E213" s="9" t="inlineStr">
        <is>
          <t>R2C</t>
        </is>
      </c>
      <c r="F213" s="9" t="inlineStr">
        <is>
          <t>R2C: unit / HRSG electrical e-house (32 x 40 ft)</t>
        </is>
      </c>
      <c r="G213" s="9" t="inlineStr">
        <is>
          <t>HRSG-3</t>
        </is>
      </c>
      <c r="H213" s="9" t="inlineStr">
        <is>
          <t>HRSG 3 + SCR (3P reheat, horizontal)</t>
        </is>
      </c>
      <c r="I213" s="9" t="inlineStr">
        <is>
          <t>Control</t>
        </is>
      </c>
      <c r="J213" s="9" t="inlineStr">
        <is>
          <t>Control cable 600 V Type TC-ER, Cu #14 AWG, PVC jacket</t>
        </is>
      </c>
      <c r="K213" s="9" t="inlineStr">
        <is>
          <t>CT|12/C|14</t>
        </is>
      </c>
      <c r="L213" s="9" t="inlineStr">
        <is>
          <t>12/C</t>
        </is>
      </c>
      <c r="M213" s="9" t="inlineStr">
        <is>
          <t>14</t>
        </is>
      </c>
      <c r="N213" s="9" t="n">
        <v>1</v>
      </c>
      <c r="O213" s="9" t="n">
        <v>1</v>
      </c>
      <c r="P213" s="9" t="n"/>
      <c r="Q213" s="9" t="n"/>
      <c r="R213" s="9" t="n"/>
      <c r="S213" s="9" t="inlineStr">
        <is>
          <t>Tray</t>
        </is>
      </c>
      <c r="T213" s="10" t="n">
        <v>0</v>
      </c>
      <c r="U213" s="10" t="n">
        <v>87</v>
      </c>
      <c r="V213" s="10">
        <f>ROUNDUP((T213+U213+2*'Read Me'!$B$13)*(1+'Read Me'!$B$12),-1)</f>
        <v/>
      </c>
      <c r="W213" s="10">
        <f>V213*N213*O213</f>
        <v/>
      </c>
      <c r="X213" s="9">
        <f>IF(LEFT(I213,2)="MV",2*N213*IF(L213="1/C",O213,1),0)</f>
        <v/>
      </c>
      <c r="Y213" s="9">
        <f>IF(OR(LEFT(K213,4)="LVAX",LEFT(K213,6)="MV15AX",LEFT(K213,4)="CTAX",LEFT(K213,2)="W|"),2*N213*O213,0)</f>
        <v/>
      </c>
      <c r="Z213" s="9" t="inlineStr"/>
    </row>
    <row r="214">
      <c r="A214" s="9" t="inlineStr">
        <is>
          <t>A-C-0202</t>
        </is>
      </c>
      <c r="B214" s="9" t="inlineStr">
        <is>
          <t>A</t>
        </is>
      </c>
      <c r="C214" s="9" t="inlineStr">
        <is>
          <t>Power block</t>
        </is>
      </c>
      <c r="D214" s="9" t="inlineStr">
        <is>
          <t>Control</t>
        </is>
      </c>
      <c r="E214" s="9" t="inlineStr">
        <is>
          <t>R2C</t>
        </is>
      </c>
      <c r="F214" s="9" t="inlineStr">
        <is>
          <t>R2C: unit / HRSG electrical e-house (32 x 40 ft)</t>
        </is>
      </c>
      <c r="G214" s="9" t="inlineStr">
        <is>
          <t>HRSG-3</t>
        </is>
      </c>
      <c r="H214" s="9" t="inlineStr">
        <is>
          <t>HRSG 3 + SCR (3P reheat, horizontal)</t>
        </is>
      </c>
      <c r="I214" s="9" t="inlineStr">
        <is>
          <t>Control</t>
        </is>
      </c>
      <c r="J214" s="9" t="inlineStr">
        <is>
          <t>Control cable 600 V Type TC-ER, Cu #14 AWG, PVC jacket</t>
        </is>
      </c>
      <c r="K214" s="9" t="inlineStr">
        <is>
          <t>CT|12/C|14</t>
        </is>
      </c>
      <c r="L214" s="9" t="inlineStr">
        <is>
          <t>12/C</t>
        </is>
      </c>
      <c r="M214" s="9" t="inlineStr">
        <is>
          <t>14</t>
        </is>
      </c>
      <c r="N214" s="9" t="n">
        <v>1</v>
      </c>
      <c r="O214" s="9" t="n">
        <v>1</v>
      </c>
      <c r="P214" s="9" t="n"/>
      <c r="Q214" s="9" t="n"/>
      <c r="R214" s="9" t="n"/>
      <c r="S214" s="9" t="inlineStr">
        <is>
          <t>Tray</t>
        </is>
      </c>
      <c r="T214" s="10" t="n">
        <v>0</v>
      </c>
      <c r="U214" s="10" t="n">
        <v>87</v>
      </c>
      <c r="V214" s="10">
        <f>ROUNDUP((T214+U214+2*'Read Me'!$B$13)*(1+'Read Me'!$B$12),-1)</f>
        <v/>
      </c>
      <c r="W214" s="10">
        <f>V214*N214*O214</f>
        <v/>
      </c>
      <c r="X214" s="9">
        <f>IF(LEFT(I214,2)="MV",2*N214*IF(L214="1/C",O214,1),0)</f>
        <v/>
      </c>
      <c r="Y214" s="9">
        <f>IF(OR(LEFT(K214,4)="LVAX",LEFT(K214,6)="MV15AX",LEFT(K214,4)="CTAX",LEFT(K214,2)="W|"),2*N214*O214,0)</f>
        <v/>
      </c>
      <c r="Z214" s="9" t="inlineStr"/>
    </row>
    <row r="215">
      <c r="A215" s="9" t="inlineStr">
        <is>
          <t>A-C-0203</t>
        </is>
      </c>
      <c r="B215" s="9" t="inlineStr">
        <is>
          <t>A</t>
        </is>
      </c>
      <c r="C215" s="9" t="inlineStr">
        <is>
          <t>Power block</t>
        </is>
      </c>
      <c r="D215" s="9" t="inlineStr">
        <is>
          <t>Control</t>
        </is>
      </c>
      <c r="E215" s="9" t="inlineStr">
        <is>
          <t>R2C</t>
        </is>
      </c>
      <c r="F215" s="9" t="inlineStr">
        <is>
          <t>R2C: unit / HRSG electrical e-house (32 x 40 ft)</t>
        </is>
      </c>
      <c r="G215" s="9" t="inlineStr">
        <is>
          <t>HRSG-3</t>
        </is>
      </c>
      <c r="H215" s="9" t="inlineStr">
        <is>
          <t>HRSG 3 + SCR (3P reheat, horizontal)</t>
        </is>
      </c>
      <c r="I215" s="9" t="inlineStr">
        <is>
          <t>Control</t>
        </is>
      </c>
      <c r="J215" s="9" t="inlineStr">
        <is>
          <t>Control cable 600 V Type TC-ER, Cu #14 AWG, PVC jacket</t>
        </is>
      </c>
      <c r="K215" s="9" t="inlineStr">
        <is>
          <t>CT|12/C|14</t>
        </is>
      </c>
      <c r="L215" s="9" t="inlineStr">
        <is>
          <t>12/C</t>
        </is>
      </c>
      <c r="M215" s="9" t="inlineStr">
        <is>
          <t>14</t>
        </is>
      </c>
      <c r="N215" s="9" t="n">
        <v>1</v>
      </c>
      <c r="O215" s="9" t="n">
        <v>1</v>
      </c>
      <c r="P215" s="9" t="n"/>
      <c r="Q215" s="9" t="n"/>
      <c r="R215" s="9" t="n"/>
      <c r="S215" s="9" t="inlineStr">
        <is>
          <t>Tray</t>
        </is>
      </c>
      <c r="T215" s="10" t="n">
        <v>0</v>
      </c>
      <c r="U215" s="10" t="n">
        <v>87</v>
      </c>
      <c r="V215" s="10">
        <f>ROUNDUP((T215+U215+2*'Read Me'!$B$13)*(1+'Read Me'!$B$12),-1)</f>
        <v/>
      </c>
      <c r="W215" s="10">
        <f>V215*N215*O215</f>
        <v/>
      </c>
      <c r="X215" s="9">
        <f>IF(LEFT(I215,2)="MV",2*N215*IF(L215="1/C",O215,1),0)</f>
        <v/>
      </c>
      <c r="Y215" s="9">
        <f>IF(OR(LEFT(K215,4)="LVAX",LEFT(K215,6)="MV15AX",LEFT(K215,4)="CTAX",LEFT(K215,2)="W|"),2*N215*O215,0)</f>
        <v/>
      </c>
      <c r="Z215" s="9" t="inlineStr"/>
    </row>
    <row r="216">
      <c r="A216" s="9" t="inlineStr">
        <is>
          <t>A-C-0204</t>
        </is>
      </c>
      <c r="B216" s="9" t="inlineStr">
        <is>
          <t>A</t>
        </is>
      </c>
      <c r="C216" s="9" t="inlineStr">
        <is>
          <t>Power block</t>
        </is>
      </c>
      <c r="D216" s="9" t="inlineStr">
        <is>
          <t>Control</t>
        </is>
      </c>
      <c r="E216" s="9" t="inlineStr">
        <is>
          <t>R2C</t>
        </is>
      </c>
      <c r="F216" s="9" t="inlineStr">
        <is>
          <t>R2C: unit / HRSG electrical e-house (32 x 40 ft)</t>
        </is>
      </c>
      <c r="G216" s="9" t="inlineStr">
        <is>
          <t>HRSG-3</t>
        </is>
      </c>
      <c r="H216" s="9" t="inlineStr">
        <is>
          <t>HRSG 3 + SCR (3P reheat, horizontal)</t>
        </is>
      </c>
      <c r="I216" s="9" t="inlineStr">
        <is>
          <t>Control</t>
        </is>
      </c>
      <c r="J216" s="9" t="inlineStr">
        <is>
          <t>Control cable 600 V Type TC-ER, Cu #14 AWG, PVC jacket</t>
        </is>
      </c>
      <c r="K216" s="9" t="inlineStr">
        <is>
          <t>CT|12/C|14</t>
        </is>
      </c>
      <c r="L216" s="9" t="inlineStr">
        <is>
          <t>12/C</t>
        </is>
      </c>
      <c r="M216" s="9" t="inlineStr">
        <is>
          <t>14</t>
        </is>
      </c>
      <c r="N216" s="9" t="n">
        <v>1</v>
      </c>
      <c r="O216" s="9" t="n">
        <v>1</v>
      </c>
      <c r="P216" s="9" t="n"/>
      <c r="Q216" s="9" t="n"/>
      <c r="R216" s="9" t="n"/>
      <c r="S216" s="9" t="inlineStr">
        <is>
          <t>Tray</t>
        </is>
      </c>
      <c r="T216" s="10" t="n">
        <v>0</v>
      </c>
      <c r="U216" s="10" t="n">
        <v>87</v>
      </c>
      <c r="V216" s="10">
        <f>ROUNDUP((T216+U216+2*'Read Me'!$B$13)*(1+'Read Me'!$B$12),-1)</f>
        <v/>
      </c>
      <c r="W216" s="10">
        <f>V216*N216*O216</f>
        <v/>
      </c>
      <c r="X216" s="9">
        <f>IF(LEFT(I216,2)="MV",2*N216*IF(L216="1/C",O216,1),0)</f>
        <v/>
      </c>
      <c r="Y216" s="9">
        <f>IF(OR(LEFT(K216,4)="LVAX",LEFT(K216,6)="MV15AX",LEFT(K216,4)="CTAX",LEFT(K216,2)="W|"),2*N216*O216,0)</f>
        <v/>
      </c>
      <c r="Z216" s="9" t="inlineStr"/>
    </row>
    <row r="217">
      <c r="A217" s="9" t="inlineStr">
        <is>
          <t>A-C-0205</t>
        </is>
      </c>
      <c r="B217" s="9" t="inlineStr">
        <is>
          <t>A</t>
        </is>
      </c>
      <c r="C217" s="9" t="inlineStr">
        <is>
          <t>Power block</t>
        </is>
      </c>
      <c r="D217" s="9" t="inlineStr">
        <is>
          <t>Control</t>
        </is>
      </c>
      <c r="E217" s="9" t="inlineStr">
        <is>
          <t>R2C</t>
        </is>
      </c>
      <c r="F217" s="9" t="inlineStr">
        <is>
          <t>R2C: unit / HRSG electrical e-house (32 x 40 ft)</t>
        </is>
      </c>
      <c r="G217" s="9" t="inlineStr">
        <is>
          <t>HRSG-3</t>
        </is>
      </c>
      <c r="H217" s="9" t="inlineStr">
        <is>
          <t>HRSG 3 + SCR (3P reheat, horizontal)</t>
        </is>
      </c>
      <c r="I217" s="9" t="inlineStr">
        <is>
          <t>Control</t>
        </is>
      </c>
      <c r="J217" s="9" t="inlineStr">
        <is>
          <t>Control cable 600 V Type TC-ER, Cu #14 AWG, PVC jacket</t>
        </is>
      </c>
      <c r="K217" s="9" t="inlineStr">
        <is>
          <t>CT|12/C|14</t>
        </is>
      </c>
      <c r="L217" s="9" t="inlineStr">
        <is>
          <t>12/C</t>
        </is>
      </c>
      <c r="M217" s="9" t="inlineStr">
        <is>
          <t>14</t>
        </is>
      </c>
      <c r="N217" s="9" t="n">
        <v>1</v>
      </c>
      <c r="O217" s="9" t="n">
        <v>1</v>
      </c>
      <c r="P217" s="9" t="n"/>
      <c r="Q217" s="9" t="n"/>
      <c r="R217" s="9" t="n"/>
      <c r="S217" s="9" t="inlineStr">
        <is>
          <t>Tray</t>
        </is>
      </c>
      <c r="T217" s="10" t="n">
        <v>0</v>
      </c>
      <c r="U217" s="10" t="n">
        <v>87</v>
      </c>
      <c r="V217" s="10">
        <f>ROUNDUP((T217+U217+2*'Read Me'!$B$13)*(1+'Read Me'!$B$12),-1)</f>
        <v/>
      </c>
      <c r="W217" s="10">
        <f>V217*N217*O217</f>
        <v/>
      </c>
      <c r="X217" s="9">
        <f>IF(LEFT(I217,2)="MV",2*N217*IF(L217="1/C",O217,1),0)</f>
        <v/>
      </c>
      <c r="Y217" s="9">
        <f>IF(OR(LEFT(K217,4)="LVAX",LEFT(K217,6)="MV15AX",LEFT(K217,4)="CTAX",LEFT(K217,2)="W|"),2*N217*O217,0)</f>
        <v/>
      </c>
      <c r="Z217" s="9" t="inlineStr"/>
    </row>
    <row r="218">
      <c r="A218" s="9" t="inlineStr">
        <is>
          <t>A-C-0206</t>
        </is>
      </c>
      <c r="B218" s="9" t="inlineStr">
        <is>
          <t>A</t>
        </is>
      </c>
      <c r="C218" s="9" t="inlineStr">
        <is>
          <t>Power block</t>
        </is>
      </c>
      <c r="D218" s="9" t="inlineStr">
        <is>
          <t>Control</t>
        </is>
      </c>
      <c r="E218" s="9" t="inlineStr">
        <is>
          <t>R2C</t>
        </is>
      </c>
      <c r="F218" s="9" t="inlineStr">
        <is>
          <t>R2C: unit / HRSG electrical e-house (32 x 40 ft)</t>
        </is>
      </c>
      <c r="G218" s="9" t="inlineStr">
        <is>
          <t>HRSG-3</t>
        </is>
      </c>
      <c r="H218" s="9" t="inlineStr">
        <is>
          <t>HRSG 3 + SCR (3P reheat, horizontal)</t>
        </is>
      </c>
      <c r="I218" s="9" t="inlineStr">
        <is>
          <t>Control</t>
        </is>
      </c>
      <c r="J218" s="9" t="inlineStr">
        <is>
          <t>Control cable 600 V Type TC-ER, Cu #14 AWG, PVC jacket</t>
        </is>
      </c>
      <c r="K218" s="9" t="inlineStr">
        <is>
          <t>CT|12/C|14</t>
        </is>
      </c>
      <c r="L218" s="9" t="inlineStr">
        <is>
          <t>12/C</t>
        </is>
      </c>
      <c r="M218" s="9" t="inlineStr">
        <is>
          <t>14</t>
        </is>
      </c>
      <c r="N218" s="9" t="n">
        <v>1</v>
      </c>
      <c r="O218" s="9" t="n">
        <v>1</v>
      </c>
      <c r="P218" s="9" t="n"/>
      <c r="Q218" s="9" t="n"/>
      <c r="R218" s="9" t="n"/>
      <c r="S218" s="9" t="inlineStr">
        <is>
          <t>Tray</t>
        </is>
      </c>
      <c r="T218" s="10" t="n">
        <v>0</v>
      </c>
      <c r="U218" s="10" t="n">
        <v>87</v>
      </c>
      <c r="V218" s="10">
        <f>ROUNDUP((T218+U218+2*'Read Me'!$B$13)*(1+'Read Me'!$B$12),-1)</f>
        <v/>
      </c>
      <c r="W218" s="10">
        <f>V218*N218*O218</f>
        <v/>
      </c>
      <c r="X218" s="9">
        <f>IF(LEFT(I218,2)="MV",2*N218*IF(L218="1/C",O218,1),0)</f>
        <v/>
      </c>
      <c r="Y218" s="9">
        <f>IF(OR(LEFT(K218,4)="LVAX",LEFT(K218,6)="MV15AX",LEFT(K218,4)="CTAX",LEFT(K218,2)="W|"),2*N218*O218,0)</f>
        <v/>
      </c>
      <c r="Z218" s="9" t="inlineStr"/>
    </row>
    <row r="219">
      <c r="A219" s="9" t="inlineStr">
        <is>
          <t>A-C-0207</t>
        </is>
      </c>
      <c r="B219" s="9" t="inlineStr">
        <is>
          <t>A</t>
        </is>
      </c>
      <c r="C219" s="9" t="inlineStr">
        <is>
          <t>Power block</t>
        </is>
      </c>
      <c r="D219" s="9" t="inlineStr">
        <is>
          <t>Control</t>
        </is>
      </c>
      <c r="E219" s="9" t="inlineStr">
        <is>
          <t>R3</t>
        </is>
      </c>
      <c r="F219" s="9" t="inlineStr">
        <is>
          <t>R3: ST auxiliary electrical e-house (40 x 65 ft)</t>
        </is>
      </c>
      <c r="G219" s="9" t="inlineStr"/>
      <c r="H219" s="9" t="inlineStr">
        <is>
          <t>HRSG 3 chemical feed skid (phosphate / amine)</t>
        </is>
      </c>
      <c r="I219" s="9" t="inlineStr">
        <is>
          <t>Control</t>
        </is>
      </c>
      <c r="J219" s="9" t="inlineStr">
        <is>
          <t>Control cable 600 V Type TC-ER, Cu #14 AWG, PVC jacket</t>
        </is>
      </c>
      <c r="K219" s="9" t="inlineStr">
        <is>
          <t>CT|7/C|14</t>
        </is>
      </c>
      <c r="L219" s="9" t="inlineStr">
        <is>
          <t>7/C</t>
        </is>
      </c>
      <c r="M219" s="9" t="inlineStr">
        <is>
          <t>14</t>
        </is>
      </c>
      <c r="N219" s="9" t="n">
        <v>1</v>
      </c>
      <c r="O219" s="9" t="n">
        <v>1</v>
      </c>
      <c r="P219" s="9" t="n"/>
      <c r="Q219" s="9" t="n"/>
      <c r="R219" s="9" t="n"/>
      <c r="S219" s="9" t="inlineStr">
        <is>
          <t>Tray</t>
        </is>
      </c>
      <c r="T219" s="10" t="n">
        <v>512</v>
      </c>
      <c r="U219" s="10" t="n">
        <v>150</v>
      </c>
      <c r="V219" s="10">
        <f>ROUNDUP((T219+U219+2*'Read Me'!$B$13)*(1+'Read Me'!$B$12),-1)</f>
        <v/>
      </c>
      <c r="W219" s="10">
        <f>V219*N219*O219</f>
        <v/>
      </c>
      <c r="X219" s="9">
        <f>IF(LEFT(I219,2)="MV",2*N219*IF(L219="1/C",O219,1),0)</f>
        <v/>
      </c>
      <c r="Y219" s="9">
        <f>IF(OR(LEFT(K219,4)="LVAX",LEFT(K219,6)="MV15AX",LEFT(K219,4)="CTAX",LEFT(K219,2)="W|"),2*N219*O219,0)</f>
        <v/>
      </c>
      <c r="Z219" s="9" t="inlineStr"/>
    </row>
    <row r="220">
      <c r="A220" s="9" t="inlineStr">
        <is>
          <t>A-C-0208</t>
        </is>
      </c>
      <c r="B220" s="9" t="inlineStr">
        <is>
          <t>A</t>
        </is>
      </c>
      <c r="C220" s="9" t="inlineStr">
        <is>
          <t>Power block</t>
        </is>
      </c>
      <c r="D220" s="9" t="inlineStr">
        <is>
          <t>Control</t>
        </is>
      </c>
      <c r="E220" s="9" t="inlineStr">
        <is>
          <t>R1</t>
        </is>
      </c>
      <c r="F220" s="9" t="inlineStr">
        <is>
          <t>R1: main electrical building (64 x 180 ft)</t>
        </is>
      </c>
      <c r="G220" s="9" t="inlineStr">
        <is>
          <t>HTP-1</t>
        </is>
      </c>
      <c r="H220" s="9" t="inlineStr">
        <is>
          <t>HTP-1: heat-trace panel (rack)</t>
        </is>
      </c>
      <c r="I220" s="9" t="inlineStr">
        <is>
          <t>Control</t>
        </is>
      </c>
      <c r="J220" s="9" t="inlineStr">
        <is>
          <t>Control cable 600 V Type TC-ER, Cu #14 AWG, PVC jacket</t>
        </is>
      </c>
      <c r="K220" s="9" t="inlineStr">
        <is>
          <t>CT|7/C|14</t>
        </is>
      </c>
      <c r="L220" s="9" t="inlineStr">
        <is>
          <t>7/C</t>
        </is>
      </c>
      <c r="M220" s="9" t="inlineStr">
        <is>
          <t>14</t>
        </is>
      </c>
      <c r="N220" s="9" t="n">
        <v>1</v>
      </c>
      <c r="O220" s="9" t="n">
        <v>1</v>
      </c>
      <c r="P220" s="9" t="n"/>
      <c r="Q220" s="9" t="n"/>
      <c r="R220" s="9" t="n"/>
      <c r="S220" s="9" t="inlineStr">
        <is>
          <t>Tray</t>
        </is>
      </c>
      <c r="T220" s="10" t="n">
        <v>1321</v>
      </c>
      <c r="U220" s="10" t="n">
        <v>86</v>
      </c>
      <c r="V220" s="10">
        <f>ROUNDUP((T220+U220+2*'Read Me'!$B$13)*(1+'Read Me'!$B$12),-1)</f>
        <v/>
      </c>
      <c r="W220" s="10">
        <f>V220*N220*O220</f>
        <v/>
      </c>
      <c r="X220" s="9">
        <f>IF(LEFT(I220,2)="MV",2*N220*IF(L220="1/C",O220,1),0)</f>
        <v/>
      </c>
      <c r="Y220" s="9">
        <f>IF(OR(LEFT(K220,4)="LVAX",LEFT(K220,6)="MV15AX",LEFT(K220,4)="CTAX",LEFT(K220,2)="W|"),2*N220*O220,0)</f>
        <v/>
      </c>
      <c r="Z220" s="9" t="inlineStr"/>
    </row>
    <row r="221">
      <c r="A221" s="9" t="inlineStr">
        <is>
          <t>A-C-0209</t>
        </is>
      </c>
      <c r="B221" s="9" t="inlineStr">
        <is>
          <t>A</t>
        </is>
      </c>
      <c r="C221" s="9" t="inlineStr">
        <is>
          <t>Power block</t>
        </is>
      </c>
      <c r="D221" s="9" t="inlineStr">
        <is>
          <t>Control</t>
        </is>
      </c>
      <c r="E221" s="9" t="inlineStr">
        <is>
          <t>R1</t>
        </is>
      </c>
      <c r="F221" s="9" t="inlineStr">
        <is>
          <t>R1: main electrical building (64 x 180 ft)</t>
        </is>
      </c>
      <c r="G221" s="9" t="inlineStr">
        <is>
          <t>LCT-A</t>
        </is>
      </c>
      <c r="H221" s="9" t="inlineStr">
        <is>
          <t>LCT-A: 13.8/0.48 kV load-centre transformer</t>
        </is>
      </c>
      <c r="I221" s="9" t="inlineStr">
        <is>
          <t>Control</t>
        </is>
      </c>
      <c r="J221" s="9" t="inlineStr">
        <is>
          <t>Control cable 600 V Type TC-ER, Cu #14 AWG, PVC jacket</t>
        </is>
      </c>
      <c r="K221" s="9" t="inlineStr">
        <is>
          <t>CT|7/C|14</t>
        </is>
      </c>
      <c r="L221" s="9" t="inlineStr">
        <is>
          <t>7/C</t>
        </is>
      </c>
      <c r="M221" s="9" t="inlineStr">
        <is>
          <t>14</t>
        </is>
      </c>
      <c r="N221" s="9" t="n">
        <v>1</v>
      </c>
      <c r="O221" s="9" t="n">
        <v>1</v>
      </c>
      <c r="P221" s="9" t="n"/>
      <c r="Q221" s="9" t="n"/>
      <c r="R221" s="9" t="n"/>
      <c r="S221" s="9" t="inlineStr">
        <is>
          <t>Duct bank</t>
        </is>
      </c>
      <c r="T221" s="10" t="n">
        <v>1355</v>
      </c>
      <c r="U221" s="10" t="n">
        <v>46</v>
      </c>
      <c r="V221" s="10">
        <f>ROUNDUP((T221+U221+2*'Read Me'!$B$13)*(1+'Read Me'!$B$12),-1)</f>
        <v/>
      </c>
      <c r="W221" s="10">
        <f>V221*N221*O221</f>
        <v/>
      </c>
      <c r="X221" s="9">
        <f>IF(LEFT(I221,2)="MV",2*N221*IF(L221="1/C",O221,1),0)</f>
        <v/>
      </c>
      <c r="Y221" s="9">
        <f>IF(OR(LEFT(K221,4)="LVAX",LEFT(K221,6)="MV15AX",LEFT(K221,4)="CTAX",LEFT(K221,2)="W|"),2*N221*O221,0)</f>
        <v/>
      </c>
      <c r="Z221" s="9" t="inlineStr"/>
    </row>
    <row r="222">
      <c r="A222" s="9" t="inlineStr">
        <is>
          <t>A-C-0210</t>
        </is>
      </c>
      <c r="B222" s="9" t="inlineStr">
        <is>
          <t>A</t>
        </is>
      </c>
      <c r="C222" s="9" t="inlineStr">
        <is>
          <t>Power block</t>
        </is>
      </c>
      <c r="D222" s="9" t="inlineStr">
        <is>
          <t>Control</t>
        </is>
      </c>
      <c r="E222" s="9" t="inlineStr">
        <is>
          <t>R1</t>
        </is>
      </c>
      <c r="F222" s="9" t="inlineStr">
        <is>
          <t>R1: main electrical building (64 x 180 ft)</t>
        </is>
      </c>
      <c r="G222" s="9" t="inlineStr">
        <is>
          <t>LCT-A</t>
        </is>
      </c>
      <c r="H222" s="9" t="inlineStr">
        <is>
          <t>LCT-A: 13.8/0.48 kV load-centre transformer</t>
        </is>
      </c>
      <c r="I222" s="9" t="inlineStr">
        <is>
          <t>Control</t>
        </is>
      </c>
      <c r="J222" s="9" t="inlineStr">
        <is>
          <t>Control cable 600 V Type TC-ER, Cu #14 AWG, PVC jacket</t>
        </is>
      </c>
      <c r="K222" s="9" t="inlineStr">
        <is>
          <t>CT|12/C|14</t>
        </is>
      </c>
      <c r="L222" s="9" t="inlineStr">
        <is>
          <t>12/C</t>
        </is>
      </c>
      <c r="M222" s="9" t="inlineStr">
        <is>
          <t>14</t>
        </is>
      </c>
      <c r="N222" s="9" t="n">
        <v>1</v>
      </c>
      <c r="O222" s="9" t="n">
        <v>1</v>
      </c>
      <c r="P222" s="9" t="n"/>
      <c r="Q222" s="9" t="n"/>
      <c r="R222" s="9" t="n"/>
      <c r="S222" s="9" t="inlineStr">
        <is>
          <t>Duct bank</t>
        </is>
      </c>
      <c r="T222" s="10" t="n">
        <v>1355</v>
      </c>
      <c r="U222" s="10" t="n">
        <v>46</v>
      </c>
      <c r="V222" s="10">
        <f>ROUNDUP((T222+U222+2*'Read Me'!$B$13)*(1+'Read Me'!$B$12),-1)</f>
        <v/>
      </c>
      <c r="W222" s="10">
        <f>V222*N222*O222</f>
        <v/>
      </c>
      <c r="X222" s="9">
        <f>IF(LEFT(I222,2)="MV",2*N222*IF(L222="1/C",O222,1),0)</f>
        <v/>
      </c>
      <c r="Y222" s="9">
        <f>IF(OR(LEFT(K222,4)="LVAX",LEFT(K222,6)="MV15AX",LEFT(K222,4)="CTAX",LEFT(K222,2)="W|"),2*N222*O222,0)</f>
        <v/>
      </c>
      <c r="Z222" s="9" t="inlineStr"/>
    </row>
    <row r="223">
      <c r="A223" s="9" t="inlineStr">
        <is>
          <t>A-C-0211</t>
        </is>
      </c>
      <c r="B223" s="9" t="inlineStr">
        <is>
          <t>A</t>
        </is>
      </c>
      <c r="C223" s="9" t="inlineStr">
        <is>
          <t>Power block</t>
        </is>
      </c>
      <c r="D223" s="9" t="inlineStr">
        <is>
          <t>CT / VT</t>
        </is>
      </c>
      <c r="E223" s="9" t="inlineStr">
        <is>
          <t>R1</t>
        </is>
      </c>
      <c r="F223" s="9" t="inlineStr">
        <is>
          <t>R1: main electrical building (64 x 180 ft)</t>
        </is>
      </c>
      <c r="G223" s="9" t="inlineStr">
        <is>
          <t>LCT-A</t>
        </is>
      </c>
      <c r="H223" s="9" t="inlineStr">
        <is>
          <t>LCT-A: 13.8/0.48 kV load-centre transformer</t>
        </is>
      </c>
      <c r="I223" s="9" t="inlineStr">
        <is>
          <t>Control</t>
        </is>
      </c>
      <c r="J223" s="9" t="inlineStr">
        <is>
          <t>Control cable 600 V Type TC-ER, Cu #10 AWG (CT / VT circuits)</t>
        </is>
      </c>
      <c r="K223" s="9" t="inlineStr">
        <is>
          <t>CTCT|4/C|10</t>
        </is>
      </c>
      <c r="L223" s="9" t="inlineStr">
        <is>
          <t>4/C</t>
        </is>
      </c>
      <c r="M223" s="9" t="inlineStr">
        <is>
          <t>10</t>
        </is>
      </c>
      <c r="N223" s="9" t="n">
        <v>1</v>
      </c>
      <c r="O223" s="9" t="n">
        <v>1</v>
      </c>
      <c r="P223" s="9" t="n"/>
      <c r="Q223" s="9" t="n"/>
      <c r="R223" s="9" t="n"/>
      <c r="S223" s="9" t="inlineStr">
        <is>
          <t>Duct bank</t>
        </is>
      </c>
      <c r="T223" s="10" t="n">
        <v>1355</v>
      </c>
      <c r="U223" s="10" t="n">
        <v>46</v>
      </c>
      <c r="V223" s="10">
        <f>ROUNDUP((T223+U223+2*'Read Me'!$B$13)*(1+'Read Me'!$B$12),-1)</f>
        <v/>
      </c>
      <c r="W223" s="10">
        <f>V223*N223*O223</f>
        <v/>
      </c>
      <c r="X223" s="9">
        <f>IF(LEFT(I223,2)="MV",2*N223*IF(L223="1/C",O223,1),0)</f>
        <v/>
      </c>
      <c r="Y223" s="9">
        <f>IF(OR(LEFT(K223,4)="LVAX",LEFT(K223,6)="MV15AX",LEFT(K223,4)="CTAX",LEFT(K223,2)="W|"),2*N223*O223,0)</f>
        <v/>
      </c>
      <c r="Z223" s="9" t="inlineStr"/>
    </row>
    <row r="224">
      <c r="A224" s="9" t="inlineStr">
        <is>
          <t>A-C-0212</t>
        </is>
      </c>
      <c r="B224" s="9" t="inlineStr">
        <is>
          <t>A</t>
        </is>
      </c>
      <c r="C224" s="9" t="inlineStr">
        <is>
          <t>Power block</t>
        </is>
      </c>
      <c r="D224" s="9" t="inlineStr">
        <is>
          <t>CT / VT</t>
        </is>
      </c>
      <c r="E224" s="9" t="inlineStr">
        <is>
          <t>R1</t>
        </is>
      </c>
      <c r="F224" s="9" t="inlineStr">
        <is>
          <t>R1: main electrical building (64 x 180 ft)</t>
        </is>
      </c>
      <c r="G224" s="9" t="inlineStr">
        <is>
          <t>LCT-A</t>
        </is>
      </c>
      <c r="H224" s="9" t="inlineStr">
        <is>
          <t>LCT-A: 13.8/0.48 kV load-centre transformer</t>
        </is>
      </c>
      <c r="I224" s="9" t="inlineStr">
        <is>
          <t>Control</t>
        </is>
      </c>
      <c r="J224" s="9" t="inlineStr">
        <is>
          <t>Control cable 600 V Type TC-ER, Cu #10 AWG (CT / VT circuits)</t>
        </is>
      </c>
      <c r="K224" s="9" t="inlineStr">
        <is>
          <t>CTCT|4/C|10</t>
        </is>
      </c>
      <c r="L224" s="9" t="inlineStr">
        <is>
          <t>4/C</t>
        </is>
      </c>
      <c r="M224" s="9" t="inlineStr">
        <is>
          <t>10</t>
        </is>
      </c>
      <c r="N224" s="9" t="n">
        <v>1</v>
      </c>
      <c r="O224" s="9" t="n">
        <v>1</v>
      </c>
      <c r="P224" s="9" t="n"/>
      <c r="Q224" s="9" t="n"/>
      <c r="R224" s="9" t="n"/>
      <c r="S224" s="9" t="inlineStr">
        <is>
          <t>Duct bank</t>
        </is>
      </c>
      <c r="T224" s="10" t="n">
        <v>1355</v>
      </c>
      <c r="U224" s="10" t="n">
        <v>46</v>
      </c>
      <c r="V224" s="10">
        <f>ROUNDUP((T224+U224+2*'Read Me'!$B$13)*(1+'Read Me'!$B$12),-1)</f>
        <v/>
      </c>
      <c r="W224" s="10">
        <f>V224*N224*O224</f>
        <v/>
      </c>
      <c r="X224" s="9">
        <f>IF(LEFT(I224,2)="MV",2*N224*IF(L224="1/C",O224,1),0)</f>
        <v/>
      </c>
      <c r="Y224" s="9">
        <f>IF(OR(LEFT(K224,4)="LVAX",LEFT(K224,6)="MV15AX",LEFT(K224,4)="CTAX",LEFT(K224,2)="W|"),2*N224*O224,0)</f>
        <v/>
      </c>
      <c r="Z224" s="9" t="inlineStr"/>
    </row>
    <row r="225">
      <c r="A225" s="9" t="inlineStr">
        <is>
          <t>A-C-0213</t>
        </is>
      </c>
      <c r="B225" s="9" t="inlineStr">
        <is>
          <t>A</t>
        </is>
      </c>
      <c r="C225" s="9" t="inlineStr">
        <is>
          <t>Power block</t>
        </is>
      </c>
      <c r="D225" s="9" t="inlineStr">
        <is>
          <t>Control</t>
        </is>
      </c>
      <c r="E225" s="9" t="inlineStr">
        <is>
          <t>R1</t>
        </is>
      </c>
      <c r="F225" s="9" t="inlineStr">
        <is>
          <t>R1: main electrical building (64 x 180 ft)</t>
        </is>
      </c>
      <c r="G225" s="9" t="inlineStr">
        <is>
          <t>LCT-B</t>
        </is>
      </c>
      <c r="H225" s="9" t="inlineStr">
        <is>
          <t>LCT-B: 13.8/0.48 kV load-centre transformer</t>
        </is>
      </c>
      <c r="I225" s="9" t="inlineStr">
        <is>
          <t>Control</t>
        </is>
      </c>
      <c r="J225" s="9" t="inlineStr">
        <is>
          <t>Control cable 600 V Type TC-ER, Cu #14 AWG, PVC jacket</t>
        </is>
      </c>
      <c r="K225" s="9" t="inlineStr">
        <is>
          <t>CT|7/C|14</t>
        </is>
      </c>
      <c r="L225" s="9" t="inlineStr">
        <is>
          <t>7/C</t>
        </is>
      </c>
      <c r="M225" s="9" t="inlineStr">
        <is>
          <t>14</t>
        </is>
      </c>
      <c r="N225" s="9" t="n">
        <v>1</v>
      </c>
      <c r="O225" s="9" t="n">
        <v>1</v>
      </c>
      <c r="P225" s="9" t="n"/>
      <c r="Q225" s="9" t="n"/>
      <c r="R225" s="9" t="n"/>
      <c r="S225" s="9" t="inlineStr">
        <is>
          <t>Duct bank</t>
        </is>
      </c>
      <c r="T225" s="10" t="n">
        <v>1355</v>
      </c>
      <c r="U225" s="10" t="n">
        <v>68</v>
      </c>
      <c r="V225" s="10">
        <f>ROUNDUP((T225+U225+2*'Read Me'!$B$13)*(1+'Read Me'!$B$12),-1)</f>
        <v/>
      </c>
      <c r="W225" s="10">
        <f>V225*N225*O225</f>
        <v/>
      </c>
      <c r="X225" s="9">
        <f>IF(LEFT(I225,2)="MV",2*N225*IF(L225="1/C",O225,1),0)</f>
        <v/>
      </c>
      <c r="Y225" s="9">
        <f>IF(OR(LEFT(K225,4)="LVAX",LEFT(K225,6)="MV15AX",LEFT(K225,4)="CTAX",LEFT(K225,2)="W|"),2*N225*O225,0)</f>
        <v/>
      </c>
      <c r="Z225" s="9" t="inlineStr"/>
    </row>
    <row r="226">
      <c r="A226" s="9" t="inlineStr">
        <is>
          <t>A-C-0214</t>
        </is>
      </c>
      <c r="B226" s="9" t="inlineStr">
        <is>
          <t>A</t>
        </is>
      </c>
      <c r="C226" s="9" t="inlineStr">
        <is>
          <t>Power block</t>
        </is>
      </c>
      <c r="D226" s="9" t="inlineStr">
        <is>
          <t>Control</t>
        </is>
      </c>
      <c r="E226" s="9" t="inlineStr">
        <is>
          <t>R1</t>
        </is>
      </c>
      <c r="F226" s="9" t="inlineStr">
        <is>
          <t>R1: main electrical building (64 x 180 ft)</t>
        </is>
      </c>
      <c r="G226" s="9" t="inlineStr">
        <is>
          <t>LCT-B</t>
        </is>
      </c>
      <c r="H226" s="9" t="inlineStr">
        <is>
          <t>LCT-B: 13.8/0.48 kV load-centre transformer</t>
        </is>
      </c>
      <c r="I226" s="9" t="inlineStr">
        <is>
          <t>Control</t>
        </is>
      </c>
      <c r="J226" s="9" t="inlineStr">
        <is>
          <t>Control cable 600 V Type TC-ER, Cu #14 AWG, PVC jacket</t>
        </is>
      </c>
      <c r="K226" s="9" t="inlineStr">
        <is>
          <t>CT|12/C|14</t>
        </is>
      </c>
      <c r="L226" s="9" t="inlineStr">
        <is>
          <t>12/C</t>
        </is>
      </c>
      <c r="M226" s="9" t="inlineStr">
        <is>
          <t>14</t>
        </is>
      </c>
      <c r="N226" s="9" t="n">
        <v>1</v>
      </c>
      <c r="O226" s="9" t="n">
        <v>1</v>
      </c>
      <c r="P226" s="9" t="n"/>
      <c r="Q226" s="9" t="n"/>
      <c r="R226" s="9" t="n"/>
      <c r="S226" s="9" t="inlineStr">
        <is>
          <t>Duct bank</t>
        </is>
      </c>
      <c r="T226" s="10" t="n">
        <v>1355</v>
      </c>
      <c r="U226" s="10" t="n">
        <v>68</v>
      </c>
      <c r="V226" s="10">
        <f>ROUNDUP((T226+U226+2*'Read Me'!$B$13)*(1+'Read Me'!$B$12),-1)</f>
        <v/>
      </c>
      <c r="W226" s="10">
        <f>V226*N226*O226</f>
        <v/>
      </c>
      <c r="X226" s="9">
        <f>IF(LEFT(I226,2)="MV",2*N226*IF(L226="1/C",O226,1),0)</f>
        <v/>
      </c>
      <c r="Y226" s="9">
        <f>IF(OR(LEFT(K226,4)="LVAX",LEFT(K226,6)="MV15AX",LEFT(K226,4)="CTAX",LEFT(K226,2)="W|"),2*N226*O226,0)</f>
        <v/>
      </c>
      <c r="Z226" s="9" t="inlineStr"/>
    </row>
    <row r="227">
      <c r="A227" s="9" t="inlineStr">
        <is>
          <t>A-C-0215</t>
        </is>
      </c>
      <c r="B227" s="9" t="inlineStr">
        <is>
          <t>A</t>
        </is>
      </c>
      <c r="C227" s="9" t="inlineStr">
        <is>
          <t>Power block</t>
        </is>
      </c>
      <c r="D227" s="9" t="inlineStr">
        <is>
          <t>CT / VT</t>
        </is>
      </c>
      <c r="E227" s="9" t="inlineStr">
        <is>
          <t>R1</t>
        </is>
      </c>
      <c r="F227" s="9" t="inlineStr">
        <is>
          <t>R1: main electrical building (64 x 180 ft)</t>
        </is>
      </c>
      <c r="G227" s="9" t="inlineStr">
        <is>
          <t>LCT-B</t>
        </is>
      </c>
      <c r="H227" s="9" t="inlineStr">
        <is>
          <t>LCT-B: 13.8/0.48 kV load-centre transformer</t>
        </is>
      </c>
      <c r="I227" s="9" t="inlineStr">
        <is>
          <t>Control</t>
        </is>
      </c>
      <c r="J227" s="9" t="inlineStr">
        <is>
          <t>Control cable 600 V Type TC-ER, Cu #10 AWG (CT / VT circuits)</t>
        </is>
      </c>
      <c r="K227" s="9" t="inlineStr">
        <is>
          <t>CTCT|4/C|10</t>
        </is>
      </c>
      <c r="L227" s="9" t="inlineStr">
        <is>
          <t>4/C</t>
        </is>
      </c>
      <c r="M227" s="9" t="inlineStr">
        <is>
          <t>10</t>
        </is>
      </c>
      <c r="N227" s="9" t="n">
        <v>1</v>
      </c>
      <c r="O227" s="9" t="n">
        <v>1</v>
      </c>
      <c r="P227" s="9" t="n"/>
      <c r="Q227" s="9" t="n"/>
      <c r="R227" s="9" t="n"/>
      <c r="S227" s="9" t="inlineStr">
        <is>
          <t>Duct bank</t>
        </is>
      </c>
      <c r="T227" s="10" t="n">
        <v>1355</v>
      </c>
      <c r="U227" s="10" t="n">
        <v>68</v>
      </c>
      <c r="V227" s="10">
        <f>ROUNDUP((T227+U227+2*'Read Me'!$B$13)*(1+'Read Me'!$B$12),-1)</f>
        <v/>
      </c>
      <c r="W227" s="10">
        <f>V227*N227*O227</f>
        <v/>
      </c>
      <c r="X227" s="9">
        <f>IF(LEFT(I227,2)="MV",2*N227*IF(L227="1/C",O227,1),0)</f>
        <v/>
      </c>
      <c r="Y227" s="9">
        <f>IF(OR(LEFT(K227,4)="LVAX",LEFT(K227,6)="MV15AX",LEFT(K227,4)="CTAX",LEFT(K227,2)="W|"),2*N227*O227,0)</f>
        <v/>
      </c>
      <c r="Z227" s="9" t="inlineStr"/>
    </row>
    <row r="228">
      <c r="A228" s="9" t="inlineStr">
        <is>
          <t>A-C-0216</t>
        </is>
      </c>
      <c r="B228" s="9" t="inlineStr">
        <is>
          <t>A</t>
        </is>
      </c>
      <c r="C228" s="9" t="inlineStr">
        <is>
          <t>Power block</t>
        </is>
      </c>
      <c r="D228" s="9" t="inlineStr">
        <is>
          <t>CT / VT</t>
        </is>
      </c>
      <c r="E228" s="9" t="inlineStr">
        <is>
          <t>R1</t>
        </is>
      </c>
      <c r="F228" s="9" t="inlineStr">
        <is>
          <t>R1: main electrical building (64 x 180 ft)</t>
        </is>
      </c>
      <c r="G228" s="9" t="inlineStr">
        <is>
          <t>LCT-B</t>
        </is>
      </c>
      <c r="H228" s="9" t="inlineStr">
        <is>
          <t>LCT-B: 13.8/0.48 kV load-centre transformer</t>
        </is>
      </c>
      <c r="I228" s="9" t="inlineStr">
        <is>
          <t>Control</t>
        </is>
      </c>
      <c r="J228" s="9" t="inlineStr">
        <is>
          <t>Control cable 600 V Type TC-ER, Cu #10 AWG (CT / VT circuits)</t>
        </is>
      </c>
      <c r="K228" s="9" t="inlineStr">
        <is>
          <t>CTCT|4/C|10</t>
        </is>
      </c>
      <c r="L228" s="9" t="inlineStr">
        <is>
          <t>4/C</t>
        </is>
      </c>
      <c r="M228" s="9" t="inlineStr">
        <is>
          <t>10</t>
        </is>
      </c>
      <c r="N228" s="9" t="n">
        <v>1</v>
      </c>
      <c r="O228" s="9" t="n">
        <v>1</v>
      </c>
      <c r="P228" s="9" t="n"/>
      <c r="Q228" s="9" t="n"/>
      <c r="R228" s="9" t="n"/>
      <c r="S228" s="9" t="inlineStr">
        <is>
          <t>Duct bank</t>
        </is>
      </c>
      <c r="T228" s="10" t="n">
        <v>1355</v>
      </c>
      <c r="U228" s="10" t="n">
        <v>68</v>
      </c>
      <c r="V228" s="10">
        <f>ROUNDUP((T228+U228+2*'Read Me'!$B$13)*(1+'Read Me'!$B$12),-1)</f>
        <v/>
      </c>
      <c r="W228" s="10">
        <f>V228*N228*O228</f>
        <v/>
      </c>
      <c r="X228" s="9">
        <f>IF(LEFT(I228,2)="MV",2*N228*IF(L228="1/C",O228,1),0)</f>
        <v/>
      </c>
      <c r="Y228" s="9">
        <f>IF(OR(LEFT(K228,4)="LVAX",LEFT(K228,6)="MV15AX",LEFT(K228,4)="CTAX",LEFT(K228,2)="W|"),2*N228*O228,0)</f>
        <v/>
      </c>
      <c r="Z228" s="9" t="inlineStr"/>
    </row>
    <row r="229">
      <c r="A229" s="9" t="inlineStr">
        <is>
          <t>A-C-0217</t>
        </is>
      </c>
      <c r="B229" s="9" t="inlineStr">
        <is>
          <t>A</t>
        </is>
      </c>
      <c r="C229" s="9" t="inlineStr">
        <is>
          <t>Power block</t>
        </is>
      </c>
      <c r="D229" s="9" t="inlineStr">
        <is>
          <t>Control</t>
        </is>
      </c>
      <c r="E229" s="9" t="inlineStr">
        <is>
          <t>R2B</t>
        </is>
      </c>
      <c r="F229" s="9" t="inlineStr">
        <is>
          <t>R2B: unit / HRSG electrical e-house (32 x 40 ft)</t>
        </is>
      </c>
      <c r="G229" s="9" t="inlineStr">
        <is>
          <t>NGT-1</t>
        </is>
      </c>
      <c r="H229" s="9" t="inlineStr">
        <is>
          <t>NGT-1: neutral grounding cubicle (GTG-1)</t>
        </is>
      </c>
      <c r="I229" s="9" t="inlineStr">
        <is>
          <t>Control</t>
        </is>
      </c>
      <c r="J229" s="9" t="inlineStr">
        <is>
          <t>Control cable 600 V Type TC-ER, Cu #14 AWG, PVC jacket</t>
        </is>
      </c>
      <c r="K229" s="9" t="inlineStr">
        <is>
          <t>CT|7/C|14</t>
        </is>
      </c>
      <c r="L229" s="9" t="inlineStr">
        <is>
          <t>7/C</t>
        </is>
      </c>
      <c r="M229" s="9" t="inlineStr">
        <is>
          <t>14</t>
        </is>
      </c>
      <c r="N229" s="9" t="n">
        <v>1</v>
      </c>
      <c r="O229" s="9" t="n">
        <v>1</v>
      </c>
      <c r="P229" s="9" t="n"/>
      <c r="Q229" s="9" t="n"/>
      <c r="R229" s="9" t="n"/>
      <c r="S229" s="9" t="inlineStr">
        <is>
          <t>Tray</t>
        </is>
      </c>
      <c r="T229" s="10" t="n">
        <v>968</v>
      </c>
      <c r="U229" s="10" t="n">
        <v>87</v>
      </c>
      <c r="V229" s="10">
        <f>ROUNDUP((T229+U229+2*'Read Me'!$B$13)*(1+'Read Me'!$B$12),-1)</f>
        <v/>
      </c>
      <c r="W229" s="10">
        <f>V229*N229*O229</f>
        <v/>
      </c>
      <c r="X229" s="9">
        <f>IF(LEFT(I229,2)="MV",2*N229*IF(L229="1/C",O229,1),0)</f>
        <v/>
      </c>
      <c r="Y229" s="9">
        <f>IF(OR(LEFT(K229,4)="LVAX",LEFT(K229,6)="MV15AX",LEFT(K229,4)="CTAX",LEFT(K229,2)="W|"),2*N229*O229,0)</f>
        <v/>
      </c>
      <c r="Z229" s="9" t="inlineStr"/>
    </row>
    <row r="230">
      <c r="A230" s="9" t="inlineStr">
        <is>
          <t>A-C-0218</t>
        </is>
      </c>
      <c r="B230" s="9" t="inlineStr">
        <is>
          <t>A</t>
        </is>
      </c>
      <c r="C230" s="9" t="inlineStr">
        <is>
          <t>Power block</t>
        </is>
      </c>
      <c r="D230" s="9" t="inlineStr">
        <is>
          <t>Control</t>
        </is>
      </c>
      <c r="E230" s="9" t="inlineStr">
        <is>
          <t>R2B</t>
        </is>
      </c>
      <c r="F230" s="9" t="inlineStr">
        <is>
          <t>R2B: unit / HRSG electrical e-house (32 x 40 ft)</t>
        </is>
      </c>
      <c r="G230" s="9" t="inlineStr">
        <is>
          <t>NGT-1</t>
        </is>
      </c>
      <c r="H230" s="9" t="inlineStr">
        <is>
          <t>NGT-1: neutral grounding cubicle (GTG-1)</t>
        </is>
      </c>
      <c r="I230" s="9" t="inlineStr">
        <is>
          <t>Control</t>
        </is>
      </c>
      <c r="J230" s="9" t="inlineStr">
        <is>
          <t>Control cable 600 V Type TC-ER, Cu #14 AWG, PVC jacket</t>
        </is>
      </c>
      <c r="K230" s="9" t="inlineStr">
        <is>
          <t>CT|12/C|14</t>
        </is>
      </c>
      <c r="L230" s="9" t="inlineStr">
        <is>
          <t>12/C</t>
        </is>
      </c>
      <c r="M230" s="9" t="inlineStr">
        <is>
          <t>14</t>
        </is>
      </c>
      <c r="N230" s="9" t="n">
        <v>1</v>
      </c>
      <c r="O230" s="9" t="n">
        <v>1</v>
      </c>
      <c r="P230" s="9" t="n"/>
      <c r="Q230" s="9" t="n"/>
      <c r="R230" s="9" t="n"/>
      <c r="S230" s="9" t="inlineStr">
        <is>
          <t>Tray</t>
        </is>
      </c>
      <c r="T230" s="10" t="n">
        <v>968</v>
      </c>
      <c r="U230" s="10" t="n">
        <v>87</v>
      </c>
      <c r="V230" s="10">
        <f>ROUNDUP((T230+U230+2*'Read Me'!$B$13)*(1+'Read Me'!$B$12),-1)</f>
        <v/>
      </c>
      <c r="W230" s="10">
        <f>V230*N230*O230</f>
        <v/>
      </c>
      <c r="X230" s="9">
        <f>IF(LEFT(I230,2)="MV",2*N230*IF(L230="1/C",O230,1),0)</f>
        <v/>
      </c>
      <c r="Y230" s="9">
        <f>IF(OR(LEFT(K230,4)="LVAX",LEFT(K230,6)="MV15AX",LEFT(K230,4)="CTAX",LEFT(K230,2)="W|"),2*N230*O230,0)</f>
        <v/>
      </c>
      <c r="Z230" s="9" t="inlineStr"/>
    </row>
    <row r="231">
      <c r="A231" s="9" t="inlineStr">
        <is>
          <t>A-C-0219</t>
        </is>
      </c>
      <c r="B231" s="9" t="inlineStr">
        <is>
          <t>A</t>
        </is>
      </c>
      <c r="C231" s="9" t="inlineStr">
        <is>
          <t>Power block</t>
        </is>
      </c>
      <c r="D231" s="9" t="inlineStr">
        <is>
          <t>CT / VT</t>
        </is>
      </c>
      <c r="E231" s="9" t="inlineStr">
        <is>
          <t>R2B</t>
        </is>
      </c>
      <c r="F231" s="9" t="inlineStr">
        <is>
          <t>R2B: unit / HRSG electrical e-house (32 x 40 ft)</t>
        </is>
      </c>
      <c r="G231" s="9" t="inlineStr">
        <is>
          <t>NGT-1</t>
        </is>
      </c>
      <c r="H231" s="9" t="inlineStr">
        <is>
          <t>NGT-1: neutral grounding cubicle (GTG-1)</t>
        </is>
      </c>
      <c r="I231" s="9" t="inlineStr">
        <is>
          <t>Control</t>
        </is>
      </c>
      <c r="J231" s="9" t="inlineStr">
        <is>
          <t>Control cable 600 V Type TC-ER, Cu #10 AWG (CT / VT circuits)</t>
        </is>
      </c>
      <c r="K231" s="9" t="inlineStr">
        <is>
          <t>CTCT|4/C|10</t>
        </is>
      </c>
      <c r="L231" s="9" t="inlineStr">
        <is>
          <t>4/C</t>
        </is>
      </c>
      <c r="M231" s="9" t="inlineStr">
        <is>
          <t>10</t>
        </is>
      </c>
      <c r="N231" s="9" t="n">
        <v>1</v>
      </c>
      <c r="O231" s="9" t="n">
        <v>1</v>
      </c>
      <c r="P231" s="9" t="n"/>
      <c r="Q231" s="9" t="n"/>
      <c r="R231" s="9" t="n"/>
      <c r="S231" s="9" t="inlineStr">
        <is>
          <t>Tray</t>
        </is>
      </c>
      <c r="T231" s="10" t="n">
        <v>968</v>
      </c>
      <c r="U231" s="10" t="n">
        <v>87</v>
      </c>
      <c r="V231" s="10">
        <f>ROUNDUP((T231+U231+2*'Read Me'!$B$13)*(1+'Read Me'!$B$12),-1)</f>
        <v/>
      </c>
      <c r="W231" s="10">
        <f>V231*N231*O231</f>
        <v/>
      </c>
      <c r="X231" s="9">
        <f>IF(LEFT(I231,2)="MV",2*N231*IF(L231="1/C",O231,1),0)</f>
        <v/>
      </c>
      <c r="Y231" s="9">
        <f>IF(OR(LEFT(K231,4)="LVAX",LEFT(K231,6)="MV15AX",LEFT(K231,4)="CTAX",LEFT(K231,2)="W|"),2*N231*O231,0)</f>
        <v/>
      </c>
      <c r="Z231" s="9" t="inlineStr"/>
    </row>
    <row r="232">
      <c r="A232" s="9" t="inlineStr">
        <is>
          <t>A-C-0220</t>
        </is>
      </c>
      <c r="B232" s="9" t="inlineStr">
        <is>
          <t>A</t>
        </is>
      </c>
      <c r="C232" s="9" t="inlineStr">
        <is>
          <t>Power block</t>
        </is>
      </c>
      <c r="D232" s="9" t="inlineStr">
        <is>
          <t>CT / VT</t>
        </is>
      </c>
      <c r="E232" s="9" t="inlineStr">
        <is>
          <t>R2B</t>
        </is>
      </c>
      <c r="F232" s="9" t="inlineStr">
        <is>
          <t>R2B: unit / HRSG electrical e-house (32 x 40 ft)</t>
        </is>
      </c>
      <c r="G232" s="9" t="inlineStr">
        <is>
          <t>NGT-1</t>
        </is>
      </c>
      <c r="H232" s="9" t="inlineStr">
        <is>
          <t>NGT-1: neutral grounding cubicle (GTG-1)</t>
        </is>
      </c>
      <c r="I232" s="9" t="inlineStr">
        <is>
          <t>Control</t>
        </is>
      </c>
      <c r="J232" s="9" t="inlineStr">
        <is>
          <t>Control cable 600 V Type TC-ER, Cu #10 AWG (CT / VT circuits)</t>
        </is>
      </c>
      <c r="K232" s="9" t="inlineStr">
        <is>
          <t>CTCT|4/C|10</t>
        </is>
      </c>
      <c r="L232" s="9" t="inlineStr">
        <is>
          <t>4/C</t>
        </is>
      </c>
      <c r="M232" s="9" t="inlineStr">
        <is>
          <t>10</t>
        </is>
      </c>
      <c r="N232" s="9" t="n">
        <v>1</v>
      </c>
      <c r="O232" s="9" t="n">
        <v>1</v>
      </c>
      <c r="P232" s="9" t="n"/>
      <c r="Q232" s="9" t="n"/>
      <c r="R232" s="9" t="n"/>
      <c r="S232" s="9" t="inlineStr">
        <is>
          <t>Tray</t>
        </is>
      </c>
      <c r="T232" s="10" t="n">
        <v>968</v>
      </c>
      <c r="U232" s="10" t="n">
        <v>87</v>
      </c>
      <c r="V232" s="10">
        <f>ROUNDUP((T232+U232+2*'Read Me'!$B$13)*(1+'Read Me'!$B$12),-1)</f>
        <v/>
      </c>
      <c r="W232" s="10">
        <f>V232*N232*O232</f>
        <v/>
      </c>
      <c r="X232" s="9">
        <f>IF(LEFT(I232,2)="MV",2*N232*IF(L232="1/C",O232,1),0)</f>
        <v/>
      </c>
      <c r="Y232" s="9">
        <f>IF(OR(LEFT(K232,4)="LVAX",LEFT(K232,6)="MV15AX",LEFT(K232,4)="CTAX",LEFT(K232,2)="W|"),2*N232*O232,0)</f>
        <v/>
      </c>
      <c r="Z232" s="9" t="inlineStr"/>
    </row>
    <row r="233">
      <c r="A233" s="9" t="inlineStr">
        <is>
          <t>A-C-0221</t>
        </is>
      </c>
      <c r="B233" s="9" t="inlineStr">
        <is>
          <t>A</t>
        </is>
      </c>
      <c r="C233" s="9" t="inlineStr">
        <is>
          <t>Power block</t>
        </is>
      </c>
      <c r="D233" s="9" t="inlineStr">
        <is>
          <t>Control</t>
        </is>
      </c>
      <c r="E233" s="9" t="inlineStr">
        <is>
          <t>R2C</t>
        </is>
      </c>
      <c r="F233" s="9" t="inlineStr">
        <is>
          <t>R2C: unit / HRSG electrical e-house (32 x 40 ft)</t>
        </is>
      </c>
      <c r="G233" s="9" t="inlineStr">
        <is>
          <t>NGT-2</t>
        </is>
      </c>
      <c r="H233" s="9" t="inlineStr">
        <is>
          <t>NGT-2: neutral grounding cubicle (GTG-2)</t>
        </is>
      </c>
      <c r="I233" s="9" t="inlineStr">
        <is>
          <t>Control</t>
        </is>
      </c>
      <c r="J233" s="9" t="inlineStr">
        <is>
          <t>Control cable 600 V Type TC-ER, Cu #14 AWG, PVC jacket</t>
        </is>
      </c>
      <c r="K233" s="9" t="inlineStr">
        <is>
          <t>CT|7/C|14</t>
        </is>
      </c>
      <c r="L233" s="9" t="inlineStr">
        <is>
          <t>7/C</t>
        </is>
      </c>
      <c r="M233" s="9" t="inlineStr">
        <is>
          <t>14</t>
        </is>
      </c>
      <c r="N233" s="9" t="n">
        <v>1</v>
      </c>
      <c r="O233" s="9" t="n">
        <v>1</v>
      </c>
      <c r="P233" s="9" t="n"/>
      <c r="Q233" s="9" t="n"/>
      <c r="R233" s="9" t="n"/>
      <c r="S233" s="9" t="inlineStr">
        <is>
          <t>Tray</t>
        </is>
      </c>
      <c r="T233" s="10" t="n">
        <v>1288</v>
      </c>
      <c r="U233" s="10" t="n">
        <v>87</v>
      </c>
      <c r="V233" s="10">
        <f>ROUNDUP((T233+U233+2*'Read Me'!$B$13)*(1+'Read Me'!$B$12),-1)</f>
        <v/>
      </c>
      <c r="W233" s="10">
        <f>V233*N233*O233</f>
        <v/>
      </c>
      <c r="X233" s="9">
        <f>IF(LEFT(I233,2)="MV",2*N233*IF(L233="1/C",O233,1),0)</f>
        <v/>
      </c>
      <c r="Y233" s="9">
        <f>IF(OR(LEFT(K233,4)="LVAX",LEFT(K233,6)="MV15AX",LEFT(K233,4)="CTAX",LEFT(K233,2)="W|"),2*N233*O233,0)</f>
        <v/>
      </c>
      <c r="Z233" s="9" t="inlineStr"/>
    </row>
    <row r="234">
      <c r="A234" s="9" t="inlineStr">
        <is>
          <t>A-C-0222</t>
        </is>
      </c>
      <c r="B234" s="9" t="inlineStr">
        <is>
          <t>A</t>
        </is>
      </c>
      <c r="C234" s="9" t="inlineStr">
        <is>
          <t>Power block</t>
        </is>
      </c>
      <c r="D234" s="9" t="inlineStr">
        <is>
          <t>Control</t>
        </is>
      </c>
      <c r="E234" s="9" t="inlineStr">
        <is>
          <t>R2C</t>
        </is>
      </c>
      <c r="F234" s="9" t="inlineStr">
        <is>
          <t>R2C: unit / HRSG electrical e-house (32 x 40 ft)</t>
        </is>
      </c>
      <c r="G234" s="9" t="inlineStr">
        <is>
          <t>NGT-2</t>
        </is>
      </c>
      <c r="H234" s="9" t="inlineStr">
        <is>
          <t>NGT-2: neutral grounding cubicle (GTG-2)</t>
        </is>
      </c>
      <c r="I234" s="9" t="inlineStr">
        <is>
          <t>Control</t>
        </is>
      </c>
      <c r="J234" s="9" t="inlineStr">
        <is>
          <t>Control cable 600 V Type TC-ER, Cu #14 AWG, PVC jacket</t>
        </is>
      </c>
      <c r="K234" s="9" t="inlineStr">
        <is>
          <t>CT|12/C|14</t>
        </is>
      </c>
      <c r="L234" s="9" t="inlineStr">
        <is>
          <t>12/C</t>
        </is>
      </c>
      <c r="M234" s="9" t="inlineStr">
        <is>
          <t>14</t>
        </is>
      </c>
      <c r="N234" s="9" t="n">
        <v>1</v>
      </c>
      <c r="O234" s="9" t="n">
        <v>1</v>
      </c>
      <c r="P234" s="9" t="n"/>
      <c r="Q234" s="9" t="n"/>
      <c r="R234" s="9" t="n"/>
      <c r="S234" s="9" t="inlineStr">
        <is>
          <t>Tray</t>
        </is>
      </c>
      <c r="T234" s="10" t="n">
        <v>1288</v>
      </c>
      <c r="U234" s="10" t="n">
        <v>87</v>
      </c>
      <c r="V234" s="10">
        <f>ROUNDUP((T234+U234+2*'Read Me'!$B$13)*(1+'Read Me'!$B$12),-1)</f>
        <v/>
      </c>
      <c r="W234" s="10">
        <f>V234*N234*O234</f>
        <v/>
      </c>
      <c r="X234" s="9">
        <f>IF(LEFT(I234,2)="MV",2*N234*IF(L234="1/C",O234,1),0)</f>
        <v/>
      </c>
      <c r="Y234" s="9">
        <f>IF(OR(LEFT(K234,4)="LVAX",LEFT(K234,6)="MV15AX",LEFT(K234,4)="CTAX",LEFT(K234,2)="W|"),2*N234*O234,0)</f>
        <v/>
      </c>
      <c r="Z234" s="9" t="inlineStr"/>
    </row>
    <row r="235">
      <c r="A235" s="9" t="inlineStr">
        <is>
          <t>A-C-0223</t>
        </is>
      </c>
      <c r="B235" s="9" t="inlineStr">
        <is>
          <t>A</t>
        </is>
      </c>
      <c r="C235" s="9" t="inlineStr">
        <is>
          <t>Power block</t>
        </is>
      </c>
      <c r="D235" s="9" t="inlineStr">
        <is>
          <t>CT / VT</t>
        </is>
      </c>
      <c r="E235" s="9" t="inlineStr">
        <is>
          <t>R2C</t>
        </is>
      </c>
      <c r="F235" s="9" t="inlineStr">
        <is>
          <t>R2C: unit / HRSG electrical e-house (32 x 40 ft)</t>
        </is>
      </c>
      <c r="G235" s="9" t="inlineStr">
        <is>
          <t>NGT-2</t>
        </is>
      </c>
      <c r="H235" s="9" t="inlineStr">
        <is>
          <t>NGT-2: neutral grounding cubicle (GTG-2)</t>
        </is>
      </c>
      <c r="I235" s="9" t="inlineStr">
        <is>
          <t>Control</t>
        </is>
      </c>
      <c r="J235" s="9" t="inlineStr">
        <is>
          <t>Control cable 600 V Type TC-ER, Cu #10 AWG (CT / VT circuits)</t>
        </is>
      </c>
      <c r="K235" s="9" t="inlineStr">
        <is>
          <t>CTCT|4/C|10</t>
        </is>
      </c>
      <c r="L235" s="9" t="inlineStr">
        <is>
          <t>4/C</t>
        </is>
      </c>
      <c r="M235" s="9" t="inlineStr">
        <is>
          <t>10</t>
        </is>
      </c>
      <c r="N235" s="9" t="n">
        <v>1</v>
      </c>
      <c r="O235" s="9" t="n">
        <v>1</v>
      </c>
      <c r="P235" s="9" t="n"/>
      <c r="Q235" s="9" t="n"/>
      <c r="R235" s="9" t="n"/>
      <c r="S235" s="9" t="inlineStr">
        <is>
          <t>Tray</t>
        </is>
      </c>
      <c r="T235" s="10" t="n">
        <v>1288</v>
      </c>
      <c r="U235" s="10" t="n">
        <v>87</v>
      </c>
      <c r="V235" s="10">
        <f>ROUNDUP((T235+U235+2*'Read Me'!$B$13)*(1+'Read Me'!$B$12),-1)</f>
        <v/>
      </c>
      <c r="W235" s="10">
        <f>V235*N235*O235</f>
        <v/>
      </c>
      <c r="X235" s="9">
        <f>IF(LEFT(I235,2)="MV",2*N235*IF(L235="1/C",O235,1),0)</f>
        <v/>
      </c>
      <c r="Y235" s="9">
        <f>IF(OR(LEFT(K235,4)="LVAX",LEFT(K235,6)="MV15AX",LEFT(K235,4)="CTAX",LEFT(K235,2)="W|"),2*N235*O235,0)</f>
        <v/>
      </c>
      <c r="Z235" s="9" t="inlineStr"/>
    </row>
    <row r="236">
      <c r="A236" s="9" t="inlineStr">
        <is>
          <t>A-C-0224</t>
        </is>
      </c>
      <c r="B236" s="9" t="inlineStr">
        <is>
          <t>A</t>
        </is>
      </c>
      <c r="C236" s="9" t="inlineStr">
        <is>
          <t>Power block</t>
        </is>
      </c>
      <c r="D236" s="9" t="inlineStr">
        <is>
          <t>CT / VT</t>
        </is>
      </c>
      <c r="E236" s="9" t="inlineStr">
        <is>
          <t>R2C</t>
        </is>
      </c>
      <c r="F236" s="9" t="inlineStr">
        <is>
          <t>R2C: unit / HRSG electrical e-house (32 x 40 ft)</t>
        </is>
      </c>
      <c r="G236" s="9" t="inlineStr">
        <is>
          <t>NGT-2</t>
        </is>
      </c>
      <c r="H236" s="9" t="inlineStr">
        <is>
          <t>NGT-2: neutral grounding cubicle (GTG-2)</t>
        </is>
      </c>
      <c r="I236" s="9" t="inlineStr">
        <is>
          <t>Control</t>
        </is>
      </c>
      <c r="J236" s="9" t="inlineStr">
        <is>
          <t>Control cable 600 V Type TC-ER, Cu #10 AWG (CT / VT circuits)</t>
        </is>
      </c>
      <c r="K236" s="9" t="inlineStr">
        <is>
          <t>CTCT|4/C|10</t>
        </is>
      </c>
      <c r="L236" s="9" t="inlineStr">
        <is>
          <t>4/C</t>
        </is>
      </c>
      <c r="M236" s="9" t="inlineStr">
        <is>
          <t>10</t>
        </is>
      </c>
      <c r="N236" s="9" t="n">
        <v>1</v>
      </c>
      <c r="O236" s="9" t="n">
        <v>1</v>
      </c>
      <c r="P236" s="9" t="n"/>
      <c r="Q236" s="9" t="n"/>
      <c r="R236" s="9" t="n"/>
      <c r="S236" s="9" t="inlineStr">
        <is>
          <t>Tray</t>
        </is>
      </c>
      <c r="T236" s="10" t="n">
        <v>1288</v>
      </c>
      <c r="U236" s="10" t="n">
        <v>87</v>
      </c>
      <c r="V236" s="10">
        <f>ROUNDUP((T236+U236+2*'Read Me'!$B$13)*(1+'Read Me'!$B$12),-1)</f>
        <v/>
      </c>
      <c r="W236" s="10">
        <f>V236*N236*O236</f>
        <v/>
      </c>
      <c r="X236" s="9">
        <f>IF(LEFT(I236,2)="MV",2*N236*IF(L236="1/C",O236,1),0)</f>
        <v/>
      </c>
      <c r="Y236" s="9">
        <f>IF(OR(LEFT(K236,4)="LVAX",LEFT(K236,6)="MV15AX",LEFT(K236,4)="CTAX",LEFT(K236,2)="W|"),2*N236*O236,0)</f>
        <v/>
      </c>
      <c r="Z236" s="9" t="inlineStr"/>
    </row>
    <row r="237">
      <c r="A237" s="9" t="inlineStr">
        <is>
          <t>A-C-0225</t>
        </is>
      </c>
      <c r="B237" s="9" t="inlineStr">
        <is>
          <t>A</t>
        </is>
      </c>
      <c r="C237" s="9" t="inlineStr">
        <is>
          <t>Power block</t>
        </is>
      </c>
      <c r="D237" s="9" t="inlineStr">
        <is>
          <t>Control</t>
        </is>
      </c>
      <c r="E237" s="9" t="inlineStr">
        <is>
          <t>R3</t>
        </is>
      </c>
      <c r="F237" s="9" t="inlineStr">
        <is>
          <t>R3: ST auxiliary electrical e-house (40 x 65 ft)</t>
        </is>
      </c>
      <c r="G237" s="9" t="inlineStr">
        <is>
          <t>NGT-3</t>
        </is>
      </c>
      <c r="H237" s="9" t="inlineStr">
        <is>
          <t>NGT-3: neutral grounding cubicle (GTG-3)</t>
        </is>
      </c>
      <c r="I237" s="9" t="inlineStr">
        <is>
          <t>Control</t>
        </is>
      </c>
      <c r="J237" s="9" t="inlineStr">
        <is>
          <t>Control cable 600 V Type TC-ER, Cu #14 AWG, PVC jacket</t>
        </is>
      </c>
      <c r="K237" s="9" t="inlineStr">
        <is>
          <t>CT|7/C|14</t>
        </is>
      </c>
      <c r="L237" s="9" t="inlineStr">
        <is>
          <t>7/C</t>
        </is>
      </c>
      <c r="M237" s="9" t="inlineStr">
        <is>
          <t>14</t>
        </is>
      </c>
      <c r="N237" s="9" t="n">
        <v>1</v>
      </c>
      <c r="O237" s="9" t="n">
        <v>1</v>
      </c>
      <c r="P237" s="9" t="n"/>
      <c r="Q237" s="9" t="n"/>
      <c r="R237" s="9" t="n"/>
      <c r="S237" s="9" t="inlineStr">
        <is>
          <t>Tray</t>
        </is>
      </c>
      <c r="T237" s="10" t="n">
        <v>562</v>
      </c>
      <c r="U237" s="10" t="n">
        <v>89</v>
      </c>
      <c r="V237" s="10">
        <f>ROUNDUP((T237+U237+2*'Read Me'!$B$13)*(1+'Read Me'!$B$12),-1)</f>
        <v/>
      </c>
      <c r="W237" s="10">
        <f>V237*N237*O237</f>
        <v/>
      </c>
      <c r="X237" s="9">
        <f>IF(LEFT(I237,2)="MV",2*N237*IF(L237="1/C",O237,1),0)</f>
        <v/>
      </c>
      <c r="Y237" s="9">
        <f>IF(OR(LEFT(K237,4)="LVAX",LEFT(K237,6)="MV15AX",LEFT(K237,4)="CTAX",LEFT(K237,2)="W|"),2*N237*O237,0)</f>
        <v/>
      </c>
      <c r="Z237" s="9" t="inlineStr"/>
    </row>
    <row r="238">
      <c r="A238" s="9" t="inlineStr">
        <is>
          <t>A-C-0226</t>
        </is>
      </c>
      <c r="B238" s="9" t="inlineStr">
        <is>
          <t>A</t>
        </is>
      </c>
      <c r="C238" s="9" t="inlineStr">
        <is>
          <t>Power block</t>
        </is>
      </c>
      <c r="D238" s="9" t="inlineStr">
        <is>
          <t>Control</t>
        </is>
      </c>
      <c r="E238" s="9" t="inlineStr">
        <is>
          <t>R3</t>
        </is>
      </c>
      <c r="F238" s="9" t="inlineStr">
        <is>
          <t>R3: ST auxiliary electrical e-house (40 x 65 ft)</t>
        </is>
      </c>
      <c r="G238" s="9" t="inlineStr">
        <is>
          <t>NGT-3</t>
        </is>
      </c>
      <c r="H238" s="9" t="inlineStr">
        <is>
          <t>NGT-3: neutral grounding cubicle (GTG-3)</t>
        </is>
      </c>
      <c r="I238" s="9" t="inlineStr">
        <is>
          <t>Control</t>
        </is>
      </c>
      <c r="J238" s="9" t="inlineStr">
        <is>
          <t>Control cable 600 V Type TC-ER, Cu #14 AWG, PVC jacket</t>
        </is>
      </c>
      <c r="K238" s="9" t="inlineStr">
        <is>
          <t>CT|12/C|14</t>
        </is>
      </c>
      <c r="L238" s="9" t="inlineStr">
        <is>
          <t>12/C</t>
        </is>
      </c>
      <c r="M238" s="9" t="inlineStr">
        <is>
          <t>14</t>
        </is>
      </c>
      <c r="N238" s="9" t="n">
        <v>1</v>
      </c>
      <c r="O238" s="9" t="n">
        <v>1</v>
      </c>
      <c r="P238" s="9" t="n"/>
      <c r="Q238" s="9" t="n"/>
      <c r="R238" s="9" t="n"/>
      <c r="S238" s="9" t="inlineStr">
        <is>
          <t>Tray</t>
        </is>
      </c>
      <c r="T238" s="10" t="n">
        <v>562</v>
      </c>
      <c r="U238" s="10" t="n">
        <v>89</v>
      </c>
      <c r="V238" s="10">
        <f>ROUNDUP((T238+U238+2*'Read Me'!$B$13)*(1+'Read Me'!$B$12),-1)</f>
        <v/>
      </c>
      <c r="W238" s="10">
        <f>V238*N238*O238</f>
        <v/>
      </c>
      <c r="X238" s="9">
        <f>IF(LEFT(I238,2)="MV",2*N238*IF(L238="1/C",O238,1),0)</f>
        <v/>
      </c>
      <c r="Y238" s="9">
        <f>IF(OR(LEFT(K238,4)="LVAX",LEFT(K238,6)="MV15AX",LEFT(K238,4)="CTAX",LEFT(K238,2)="W|"),2*N238*O238,0)</f>
        <v/>
      </c>
      <c r="Z238" s="9" t="inlineStr"/>
    </row>
    <row r="239">
      <c r="A239" s="9" t="inlineStr">
        <is>
          <t>A-C-0227</t>
        </is>
      </c>
      <c r="B239" s="9" t="inlineStr">
        <is>
          <t>A</t>
        </is>
      </c>
      <c r="C239" s="9" t="inlineStr">
        <is>
          <t>Power block</t>
        </is>
      </c>
      <c r="D239" s="9" t="inlineStr">
        <is>
          <t>CT / VT</t>
        </is>
      </c>
      <c r="E239" s="9" t="inlineStr">
        <is>
          <t>R3</t>
        </is>
      </c>
      <c r="F239" s="9" t="inlineStr">
        <is>
          <t>R3: ST auxiliary electrical e-house (40 x 65 ft)</t>
        </is>
      </c>
      <c r="G239" s="9" t="inlineStr">
        <is>
          <t>NGT-3</t>
        </is>
      </c>
      <c r="H239" s="9" t="inlineStr">
        <is>
          <t>NGT-3: neutral grounding cubicle (GTG-3)</t>
        </is>
      </c>
      <c r="I239" s="9" t="inlineStr">
        <is>
          <t>Control</t>
        </is>
      </c>
      <c r="J239" s="9" t="inlineStr">
        <is>
          <t>Control cable 600 V Type TC-ER, Cu #10 AWG (CT / VT circuits)</t>
        </is>
      </c>
      <c r="K239" s="9" t="inlineStr">
        <is>
          <t>CTCT|4/C|10</t>
        </is>
      </c>
      <c r="L239" s="9" t="inlineStr">
        <is>
          <t>4/C</t>
        </is>
      </c>
      <c r="M239" s="9" t="inlineStr">
        <is>
          <t>10</t>
        </is>
      </c>
      <c r="N239" s="9" t="n">
        <v>1</v>
      </c>
      <c r="O239" s="9" t="n">
        <v>1</v>
      </c>
      <c r="P239" s="9" t="n"/>
      <c r="Q239" s="9" t="n"/>
      <c r="R239" s="9" t="n"/>
      <c r="S239" s="9" t="inlineStr">
        <is>
          <t>Tray</t>
        </is>
      </c>
      <c r="T239" s="10" t="n">
        <v>562</v>
      </c>
      <c r="U239" s="10" t="n">
        <v>89</v>
      </c>
      <c r="V239" s="10">
        <f>ROUNDUP((T239+U239+2*'Read Me'!$B$13)*(1+'Read Me'!$B$12),-1)</f>
        <v/>
      </c>
      <c r="W239" s="10">
        <f>V239*N239*O239</f>
        <v/>
      </c>
      <c r="X239" s="9">
        <f>IF(LEFT(I239,2)="MV",2*N239*IF(L239="1/C",O239,1),0)</f>
        <v/>
      </c>
      <c r="Y239" s="9">
        <f>IF(OR(LEFT(K239,4)="LVAX",LEFT(K239,6)="MV15AX",LEFT(K239,4)="CTAX",LEFT(K239,2)="W|"),2*N239*O239,0)</f>
        <v/>
      </c>
      <c r="Z239" s="9" t="inlineStr"/>
    </row>
    <row r="240">
      <c r="A240" s="9" t="inlineStr">
        <is>
          <t>A-C-0228</t>
        </is>
      </c>
      <c r="B240" s="9" t="inlineStr">
        <is>
          <t>A</t>
        </is>
      </c>
      <c r="C240" s="9" t="inlineStr">
        <is>
          <t>Power block</t>
        </is>
      </c>
      <c r="D240" s="9" t="inlineStr">
        <is>
          <t>CT / VT</t>
        </is>
      </c>
      <c r="E240" s="9" t="inlineStr">
        <is>
          <t>R3</t>
        </is>
      </c>
      <c r="F240" s="9" t="inlineStr">
        <is>
          <t>R3: ST auxiliary electrical e-house (40 x 65 ft)</t>
        </is>
      </c>
      <c r="G240" s="9" t="inlineStr">
        <is>
          <t>NGT-3</t>
        </is>
      </c>
      <c r="H240" s="9" t="inlineStr">
        <is>
          <t>NGT-3: neutral grounding cubicle (GTG-3)</t>
        </is>
      </c>
      <c r="I240" s="9" t="inlineStr">
        <is>
          <t>Control</t>
        </is>
      </c>
      <c r="J240" s="9" t="inlineStr">
        <is>
          <t>Control cable 600 V Type TC-ER, Cu #10 AWG (CT / VT circuits)</t>
        </is>
      </c>
      <c r="K240" s="9" t="inlineStr">
        <is>
          <t>CTCT|4/C|10</t>
        </is>
      </c>
      <c r="L240" s="9" t="inlineStr">
        <is>
          <t>4/C</t>
        </is>
      </c>
      <c r="M240" s="9" t="inlineStr">
        <is>
          <t>10</t>
        </is>
      </c>
      <c r="N240" s="9" t="n">
        <v>1</v>
      </c>
      <c r="O240" s="9" t="n">
        <v>1</v>
      </c>
      <c r="P240" s="9" t="n"/>
      <c r="Q240" s="9" t="n"/>
      <c r="R240" s="9" t="n"/>
      <c r="S240" s="9" t="inlineStr">
        <is>
          <t>Tray</t>
        </is>
      </c>
      <c r="T240" s="10" t="n">
        <v>562</v>
      </c>
      <c r="U240" s="10" t="n">
        <v>89</v>
      </c>
      <c r="V240" s="10">
        <f>ROUNDUP((T240+U240+2*'Read Me'!$B$13)*(1+'Read Me'!$B$12),-1)</f>
        <v/>
      </c>
      <c r="W240" s="10">
        <f>V240*N240*O240</f>
        <v/>
      </c>
      <c r="X240" s="9">
        <f>IF(LEFT(I240,2)="MV",2*N240*IF(L240="1/C",O240,1),0)</f>
        <v/>
      </c>
      <c r="Y240" s="9">
        <f>IF(OR(LEFT(K240,4)="LVAX",LEFT(K240,6)="MV15AX",LEFT(K240,4)="CTAX",LEFT(K240,2)="W|"),2*N240*O240,0)</f>
        <v/>
      </c>
      <c r="Z240" s="9" t="inlineStr"/>
    </row>
    <row r="241">
      <c r="A241" s="9" t="inlineStr">
        <is>
          <t>A-C-0229</t>
        </is>
      </c>
      <c r="B241" s="9" t="inlineStr">
        <is>
          <t>A</t>
        </is>
      </c>
      <c r="C241" s="9" t="inlineStr">
        <is>
          <t>Power block</t>
        </is>
      </c>
      <c r="D241" s="9" t="inlineStr">
        <is>
          <t>Control</t>
        </is>
      </c>
      <c r="E241" s="9" t="inlineStr">
        <is>
          <t>R3</t>
        </is>
      </c>
      <c r="F241" s="9" t="inlineStr">
        <is>
          <t>R3: ST auxiliary electrical e-house (40 x 65 ft)</t>
        </is>
      </c>
      <c r="G241" s="9" t="inlineStr">
        <is>
          <t>NGT-ST</t>
        </is>
      </c>
      <c r="H241" s="9" t="inlineStr">
        <is>
          <t>NGT-ST: neutral grounding cubicle (STG)</t>
        </is>
      </c>
      <c r="I241" s="9" t="inlineStr">
        <is>
          <t>Control</t>
        </is>
      </c>
      <c r="J241" s="9" t="inlineStr">
        <is>
          <t>Control cable 600 V Type TC-ER, Cu #14 AWG, PVC jacket</t>
        </is>
      </c>
      <c r="K241" s="9" t="inlineStr">
        <is>
          <t>CT|7/C|14</t>
        </is>
      </c>
      <c r="L241" s="9" t="inlineStr">
        <is>
          <t>7/C</t>
        </is>
      </c>
      <c r="M241" s="9" t="inlineStr">
        <is>
          <t>14</t>
        </is>
      </c>
      <c r="N241" s="9" t="n">
        <v>1</v>
      </c>
      <c r="O241" s="9" t="n">
        <v>1</v>
      </c>
      <c r="P241" s="9" t="n"/>
      <c r="Q241" s="9" t="n"/>
      <c r="R241" s="9" t="n"/>
      <c r="S241" s="9" t="inlineStr">
        <is>
          <t>Tray</t>
        </is>
      </c>
      <c r="T241" s="10" t="n">
        <v>602</v>
      </c>
      <c r="U241" s="10" t="n">
        <v>98</v>
      </c>
      <c r="V241" s="10">
        <f>ROUNDUP((T241+U241+2*'Read Me'!$B$13)*(1+'Read Me'!$B$12),-1)</f>
        <v/>
      </c>
      <c r="W241" s="10">
        <f>V241*N241*O241</f>
        <v/>
      </c>
      <c r="X241" s="9">
        <f>IF(LEFT(I241,2)="MV",2*N241*IF(L241="1/C",O241,1),0)</f>
        <v/>
      </c>
      <c r="Y241" s="9">
        <f>IF(OR(LEFT(K241,4)="LVAX",LEFT(K241,6)="MV15AX",LEFT(K241,4)="CTAX",LEFT(K241,2)="W|"),2*N241*O241,0)</f>
        <v/>
      </c>
      <c r="Z241" s="9" t="inlineStr"/>
    </row>
    <row r="242">
      <c r="A242" s="9" t="inlineStr">
        <is>
          <t>A-C-0230</t>
        </is>
      </c>
      <c r="B242" s="9" t="inlineStr">
        <is>
          <t>A</t>
        </is>
      </c>
      <c r="C242" s="9" t="inlineStr">
        <is>
          <t>Power block</t>
        </is>
      </c>
      <c r="D242" s="9" t="inlineStr">
        <is>
          <t>Control</t>
        </is>
      </c>
      <c r="E242" s="9" t="inlineStr">
        <is>
          <t>R3</t>
        </is>
      </c>
      <c r="F242" s="9" t="inlineStr">
        <is>
          <t>R3: ST auxiliary electrical e-house (40 x 65 ft)</t>
        </is>
      </c>
      <c r="G242" s="9" t="inlineStr">
        <is>
          <t>NGT-ST</t>
        </is>
      </c>
      <c r="H242" s="9" t="inlineStr">
        <is>
          <t>NGT-ST: neutral grounding cubicle (STG)</t>
        </is>
      </c>
      <c r="I242" s="9" t="inlineStr">
        <is>
          <t>Control</t>
        </is>
      </c>
      <c r="J242" s="9" t="inlineStr">
        <is>
          <t>Control cable 600 V Type TC-ER, Cu #14 AWG, PVC jacket</t>
        </is>
      </c>
      <c r="K242" s="9" t="inlineStr">
        <is>
          <t>CT|12/C|14</t>
        </is>
      </c>
      <c r="L242" s="9" t="inlineStr">
        <is>
          <t>12/C</t>
        </is>
      </c>
      <c r="M242" s="9" t="inlineStr">
        <is>
          <t>14</t>
        </is>
      </c>
      <c r="N242" s="9" t="n">
        <v>1</v>
      </c>
      <c r="O242" s="9" t="n">
        <v>1</v>
      </c>
      <c r="P242" s="9" t="n"/>
      <c r="Q242" s="9" t="n"/>
      <c r="R242" s="9" t="n"/>
      <c r="S242" s="9" t="inlineStr">
        <is>
          <t>Tray</t>
        </is>
      </c>
      <c r="T242" s="10" t="n">
        <v>602</v>
      </c>
      <c r="U242" s="10" t="n">
        <v>98</v>
      </c>
      <c r="V242" s="10">
        <f>ROUNDUP((T242+U242+2*'Read Me'!$B$13)*(1+'Read Me'!$B$12),-1)</f>
        <v/>
      </c>
      <c r="W242" s="10">
        <f>V242*N242*O242</f>
        <v/>
      </c>
      <c r="X242" s="9">
        <f>IF(LEFT(I242,2)="MV",2*N242*IF(L242="1/C",O242,1),0)</f>
        <v/>
      </c>
      <c r="Y242" s="9">
        <f>IF(OR(LEFT(K242,4)="LVAX",LEFT(K242,6)="MV15AX",LEFT(K242,4)="CTAX",LEFT(K242,2)="W|"),2*N242*O242,0)</f>
        <v/>
      </c>
      <c r="Z242" s="9" t="inlineStr"/>
    </row>
    <row r="243">
      <c r="A243" s="9" t="inlineStr">
        <is>
          <t>A-C-0231</t>
        </is>
      </c>
      <c r="B243" s="9" t="inlineStr">
        <is>
          <t>A</t>
        </is>
      </c>
      <c r="C243" s="9" t="inlineStr">
        <is>
          <t>Power block</t>
        </is>
      </c>
      <c r="D243" s="9" t="inlineStr">
        <is>
          <t>CT / VT</t>
        </is>
      </c>
      <c r="E243" s="9" t="inlineStr">
        <is>
          <t>R3</t>
        </is>
      </c>
      <c r="F243" s="9" t="inlineStr">
        <is>
          <t>R3: ST auxiliary electrical e-house (40 x 65 ft)</t>
        </is>
      </c>
      <c r="G243" s="9" t="inlineStr">
        <is>
          <t>NGT-ST</t>
        </is>
      </c>
      <c r="H243" s="9" t="inlineStr">
        <is>
          <t>NGT-ST: neutral grounding cubicle (STG)</t>
        </is>
      </c>
      <c r="I243" s="9" t="inlineStr">
        <is>
          <t>Control</t>
        </is>
      </c>
      <c r="J243" s="9" t="inlineStr">
        <is>
          <t>Control cable 600 V Type TC-ER, Cu #10 AWG (CT / VT circuits)</t>
        </is>
      </c>
      <c r="K243" s="9" t="inlineStr">
        <is>
          <t>CTCT|4/C|10</t>
        </is>
      </c>
      <c r="L243" s="9" t="inlineStr">
        <is>
          <t>4/C</t>
        </is>
      </c>
      <c r="M243" s="9" t="inlineStr">
        <is>
          <t>10</t>
        </is>
      </c>
      <c r="N243" s="9" t="n">
        <v>1</v>
      </c>
      <c r="O243" s="9" t="n">
        <v>1</v>
      </c>
      <c r="P243" s="9" t="n"/>
      <c r="Q243" s="9" t="n"/>
      <c r="R243" s="9" t="n"/>
      <c r="S243" s="9" t="inlineStr">
        <is>
          <t>Tray</t>
        </is>
      </c>
      <c r="T243" s="10" t="n">
        <v>602</v>
      </c>
      <c r="U243" s="10" t="n">
        <v>98</v>
      </c>
      <c r="V243" s="10">
        <f>ROUNDUP((T243+U243+2*'Read Me'!$B$13)*(1+'Read Me'!$B$12),-1)</f>
        <v/>
      </c>
      <c r="W243" s="10">
        <f>V243*N243*O243</f>
        <v/>
      </c>
      <c r="X243" s="9">
        <f>IF(LEFT(I243,2)="MV",2*N243*IF(L243="1/C",O243,1),0)</f>
        <v/>
      </c>
      <c r="Y243" s="9">
        <f>IF(OR(LEFT(K243,4)="LVAX",LEFT(K243,6)="MV15AX",LEFT(K243,4)="CTAX",LEFT(K243,2)="W|"),2*N243*O243,0)</f>
        <v/>
      </c>
      <c r="Z243" s="9" t="inlineStr"/>
    </row>
    <row r="244">
      <c r="A244" s="9" t="inlineStr">
        <is>
          <t>A-C-0232</t>
        </is>
      </c>
      <c r="B244" s="9" t="inlineStr">
        <is>
          <t>A</t>
        </is>
      </c>
      <c r="C244" s="9" t="inlineStr">
        <is>
          <t>Power block</t>
        </is>
      </c>
      <c r="D244" s="9" t="inlineStr">
        <is>
          <t>CT / VT</t>
        </is>
      </c>
      <c r="E244" s="9" t="inlineStr">
        <is>
          <t>R3</t>
        </is>
      </c>
      <c r="F244" s="9" t="inlineStr">
        <is>
          <t>R3: ST auxiliary electrical e-house (40 x 65 ft)</t>
        </is>
      </c>
      <c r="G244" s="9" t="inlineStr">
        <is>
          <t>NGT-ST</t>
        </is>
      </c>
      <c r="H244" s="9" t="inlineStr">
        <is>
          <t>NGT-ST: neutral grounding cubicle (STG)</t>
        </is>
      </c>
      <c r="I244" s="9" t="inlineStr">
        <is>
          <t>Control</t>
        </is>
      </c>
      <c r="J244" s="9" t="inlineStr">
        <is>
          <t>Control cable 600 V Type TC-ER, Cu #10 AWG (CT / VT circuits)</t>
        </is>
      </c>
      <c r="K244" s="9" t="inlineStr">
        <is>
          <t>CTCT|4/C|10</t>
        </is>
      </c>
      <c r="L244" s="9" t="inlineStr">
        <is>
          <t>4/C</t>
        </is>
      </c>
      <c r="M244" s="9" t="inlineStr">
        <is>
          <t>10</t>
        </is>
      </c>
      <c r="N244" s="9" t="n">
        <v>1</v>
      </c>
      <c r="O244" s="9" t="n">
        <v>1</v>
      </c>
      <c r="P244" s="9" t="n"/>
      <c r="Q244" s="9" t="n"/>
      <c r="R244" s="9" t="n"/>
      <c r="S244" s="9" t="inlineStr">
        <is>
          <t>Tray</t>
        </is>
      </c>
      <c r="T244" s="10" t="n">
        <v>602</v>
      </c>
      <c r="U244" s="10" t="n">
        <v>98</v>
      </c>
      <c r="V244" s="10">
        <f>ROUNDUP((T244+U244+2*'Read Me'!$B$13)*(1+'Read Me'!$B$12),-1)</f>
        <v/>
      </c>
      <c r="W244" s="10">
        <f>V244*N244*O244</f>
        <v/>
      </c>
      <c r="X244" s="9">
        <f>IF(LEFT(I244,2)="MV",2*N244*IF(L244="1/C",O244,1),0)</f>
        <v/>
      </c>
      <c r="Y244" s="9">
        <f>IF(OR(LEFT(K244,4)="LVAX",LEFT(K244,6)="MV15AX",LEFT(K244,4)="CTAX",LEFT(K244,2)="W|"),2*N244*O244,0)</f>
        <v/>
      </c>
      <c r="Z244" s="9" t="inlineStr"/>
    </row>
    <row r="245">
      <c r="A245" s="9" t="inlineStr">
        <is>
          <t>A-C-0233</t>
        </is>
      </c>
      <c r="B245" s="9" t="inlineStr">
        <is>
          <t>A</t>
        </is>
      </c>
      <c r="C245" s="9" t="inlineStr">
        <is>
          <t>Power block</t>
        </is>
      </c>
      <c r="D245" s="9" t="inlineStr">
        <is>
          <t>Control</t>
        </is>
      </c>
      <c r="E245" s="9" t="inlineStr">
        <is>
          <t>R1</t>
        </is>
      </c>
      <c r="F245" s="9" t="inlineStr">
        <is>
          <t>R1: main electrical building (64 x 180 ft)</t>
        </is>
      </c>
      <c r="G245" s="9" t="inlineStr">
        <is>
          <t>TX-LCI-1</t>
        </is>
      </c>
      <c r="H245" s="9" t="inlineStr">
        <is>
          <t>R1 TX-LCI-1 dry-type input transformer</t>
        </is>
      </c>
      <c r="I245" s="9" t="inlineStr">
        <is>
          <t>Control</t>
        </is>
      </c>
      <c r="J245" s="9" t="inlineStr">
        <is>
          <t>Control cable 600 V Type TC-ER, Cu #14 AWG, PVC jacket</t>
        </is>
      </c>
      <c r="K245" s="9" t="inlineStr">
        <is>
          <t>CT|7/C|14</t>
        </is>
      </c>
      <c r="L245" s="9" t="inlineStr">
        <is>
          <t>7/C</t>
        </is>
      </c>
      <c r="M245" s="9" t="inlineStr">
        <is>
          <t>14</t>
        </is>
      </c>
      <c r="N245" s="9" t="n">
        <v>1</v>
      </c>
      <c r="O245" s="9" t="n">
        <v>1</v>
      </c>
      <c r="P245" s="9" t="n"/>
      <c r="Q245" s="9" t="n"/>
      <c r="R245" s="9" t="n"/>
      <c r="S245" s="9" t="inlineStr">
        <is>
          <t>Tray</t>
        </is>
      </c>
      <c r="T245" s="10" t="n">
        <v>0</v>
      </c>
      <c r="U245" s="10" t="n">
        <v>73</v>
      </c>
      <c r="V245" s="10">
        <f>ROUNDUP((T245+U245+2*'Read Me'!$B$13)*(1+'Read Me'!$B$12),-1)</f>
        <v/>
      </c>
      <c r="W245" s="10">
        <f>V245*N245*O245</f>
        <v/>
      </c>
      <c r="X245" s="9">
        <f>IF(LEFT(I245,2)="MV",2*N245*IF(L245="1/C",O245,1),0)</f>
        <v/>
      </c>
      <c r="Y245" s="9">
        <f>IF(OR(LEFT(K245,4)="LVAX",LEFT(K245,6)="MV15AX",LEFT(K245,4)="CTAX",LEFT(K245,2)="W|"),2*N245*O245,0)</f>
        <v/>
      </c>
      <c r="Z245" s="9" t="inlineStr"/>
    </row>
    <row r="246">
      <c r="A246" s="9" t="inlineStr">
        <is>
          <t>A-C-0234</t>
        </is>
      </c>
      <c r="B246" s="9" t="inlineStr">
        <is>
          <t>A</t>
        </is>
      </c>
      <c r="C246" s="9" t="inlineStr">
        <is>
          <t>Power block</t>
        </is>
      </c>
      <c r="D246" s="9" t="inlineStr">
        <is>
          <t>Control</t>
        </is>
      </c>
      <c r="E246" s="9" t="inlineStr">
        <is>
          <t>R1</t>
        </is>
      </c>
      <c r="F246" s="9" t="inlineStr">
        <is>
          <t>R1: main electrical building (64 x 180 ft)</t>
        </is>
      </c>
      <c r="G246" s="9" t="inlineStr">
        <is>
          <t>TX-LCI-1</t>
        </is>
      </c>
      <c r="H246" s="9" t="inlineStr">
        <is>
          <t>R1 TX-LCI-1 dry-type input transformer</t>
        </is>
      </c>
      <c r="I246" s="9" t="inlineStr">
        <is>
          <t>Control</t>
        </is>
      </c>
      <c r="J246" s="9" t="inlineStr">
        <is>
          <t>Control cable 600 V Type TC-ER, Cu #14 AWG, PVC jacket</t>
        </is>
      </c>
      <c r="K246" s="9" t="inlineStr">
        <is>
          <t>CT|12/C|14</t>
        </is>
      </c>
      <c r="L246" s="9" t="inlineStr">
        <is>
          <t>12/C</t>
        </is>
      </c>
      <c r="M246" s="9" t="inlineStr">
        <is>
          <t>14</t>
        </is>
      </c>
      <c r="N246" s="9" t="n">
        <v>1</v>
      </c>
      <c r="O246" s="9" t="n">
        <v>1</v>
      </c>
      <c r="P246" s="9" t="n"/>
      <c r="Q246" s="9" t="n"/>
      <c r="R246" s="9" t="n"/>
      <c r="S246" s="9" t="inlineStr">
        <is>
          <t>Tray</t>
        </is>
      </c>
      <c r="T246" s="10" t="n">
        <v>0</v>
      </c>
      <c r="U246" s="10" t="n">
        <v>73</v>
      </c>
      <c r="V246" s="10">
        <f>ROUNDUP((T246+U246+2*'Read Me'!$B$13)*(1+'Read Me'!$B$12),-1)</f>
        <v/>
      </c>
      <c r="W246" s="10">
        <f>V246*N246*O246</f>
        <v/>
      </c>
      <c r="X246" s="9">
        <f>IF(LEFT(I246,2)="MV",2*N246*IF(L246="1/C",O246,1),0)</f>
        <v/>
      </c>
      <c r="Y246" s="9">
        <f>IF(OR(LEFT(K246,4)="LVAX",LEFT(K246,6)="MV15AX",LEFT(K246,4)="CTAX",LEFT(K246,2)="W|"),2*N246*O246,0)</f>
        <v/>
      </c>
      <c r="Z246" s="9" t="inlineStr"/>
    </row>
    <row r="247">
      <c r="A247" s="9" t="inlineStr">
        <is>
          <t>A-C-0235</t>
        </is>
      </c>
      <c r="B247" s="9" t="inlineStr">
        <is>
          <t>A</t>
        </is>
      </c>
      <c r="C247" s="9" t="inlineStr">
        <is>
          <t>Power block</t>
        </is>
      </c>
      <c r="D247" s="9" t="inlineStr">
        <is>
          <t>CT / VT</t>
        </is>
      </c>
      <c r="E247" s="9" t="inlineStr">
        <is>
          <t>R1</t>
        </is>
      </c>
      <c r="F247" s="9" t="inlineStr">
        <is>
          <t>R1: main electrical building (64 x 180 ft)</t>
        </is>
      </c>
      <c r="G247" s="9" t="inlineStr">
        <is>
          <t>TX-LCI-1</t>
        </is>
      </c>
      <c r="H247" s="9" t="inlineStr">
        <is>
          <t>R1 TX-LCI-1 dry-type input transformer</t>
        </is>
      </c>
      <c r="I247" s="9" t="inlineStr">
        <is>
          <t>Control</t>
        </is>
      </c>
      <c r="J247" s="9" t="inlineStr">
        <is>
          <t>Control cable 600 V Type TC-ER, Cu #10 AWG (CT / VT circuits)</t>
        </is>
      </c>
      <c r="K247" s="9" t="inlineStr">
        <is>
          <t>CTCT|4/C|10</t>
        </is>
      </c>
      <c r="L247" s="9" t="inlineStr">
        <is>
          <t>4/C</t>
        </is>
      </c>
      <c r="M247" s="9" t="inlineStr">
        <is>
          <t>10</t>
        </is>
      </c>
      <c r="N247" s="9" t="n">
        <v>1</v>
      </c>
      <c r="O247" s="9" t="n">
        <v>1</v>
      </c>
      <c r="P247" s="9" t="n"/>
      <c r="Q247" s="9" t="n"/>
      <c r="R247" s="9" t="n"/>
      <c r="S247" s="9" t="inlineStr">
        <is>
          <t>Tray</t>
        </is>
      </c>
      <c r="T247" s="10" t="n">
        <v>0</v>
      </c>
      <c r="U247" s="10" t="n">
        <v>73</v>
      </c>
      <c r="V247" s="10">
        <f>ROUNDUP((T247+U247+2*'Read Me'!$B$13)*(1+'Read Me'!$B$12),-1)</f>
        <v/>
      </c>
      <c r="W247" s="10">
        <f>V247*N247*O247</f>
        <v/>
      </c>
      <c r="X247" s="9">
        <f>IF(LEFT(I247,2)="MV",2*N247*IF(L247="1/C",O247,1),0)</f>
        <v/>
      </c>
      <c r="Y247" s="9">
        <f>IF(OR(LEFT(K247,4)="LVAX",LEFT(K247,6)="MV15AX",LEFT(K247,4)="CTAX",LEFT(K247,2)="W|"),2*N247*O247,0)</f>
        <v/>
      </c>
      <c r="Z247" s="9" t="inlineStr"/>
    </row>
    <row r="248">
      <c r="A248" s="9" t="inlineStr">
        <is>
          <t>A-C-0236</t>
        </is>
      </c>
      <c r="B248" s="9" t="inlineStr">
        <is>
          <t>A</t>
        </is>
      </c>
      <c r="C248" s="9" t="inlineStr">
        <is>
          <t>Power block</t>
        </is>
      </c>
      <c r="D248" s="9" t="inlineStr">
        <is>
          <t>CT / VT</t>
        </is>
      </c>
      <c r="E248" s="9" t="inlineStr">
        <is>
          <t>R1</t>
        </is>
      </c>
      <c r="F248" s="9" t="inlineStr">
        <is>
          <t>R1: main electrical building (64 x 180 ft)</t>
        </is>
      </c>
      <c r="G248" s="9" t="inlineStr">
        <is>
          <t>TX-LCI-1</t>
        </is>
      </c>
      <c r="H248" s="9" t="inlineStr">
        <is>
          <t>R1 TX-LCI-1 dry-type input transformer</t>
        </is>
      </c>
      <c r="I248" s="9" t="inlineStr">
        <is>
          <t>Control</t>
        </is>
      </c>
      <c r="J248" s="9" t="inlineStr">
        <is>
          <t>Control cable 600 V Type TC-ER, Cu #10 AWG (CT / VT circuits)</t>
        </is>
      </c>
      <c r="K248" s="9" t="inlineStr">
        <is>
          <t>CTCT|4/C|10</t>
        </is>
      </c>
      <c r="L248" s="9" t="inlineStr">
        <is>
          <t>4/C</t>
        </is>
      </c>
      <c r="M248" s="9" t="inlineStr">
        <is>
          <t>10</t>
        </is>
      </c>
      <c r="N248" s="9" t="n">
        <v>1</v>
      </c>
      <c r="O248" s="9" t="n">
        <v>1</v>
      </c>
      <c r="P248" s="9" t="n"/>
      <c r="Q248" s="9" t="n"/>
      <c r="R248" s="9" t="n"/>
      <c r="S248" s="9" t="inlineStr">
        <is>
          <t>Tray</t>
        </is>
      </c>
      <c r="T248" s="10" t="n">
        <v>0</v>
      </c>
      <c r="U248" s="10" t="n">
        <v>73</v>
      </c>
      <c r="V248" s="10">
        <f>ROUNDUP((T248+U248+2*'Read Me'!$B$13)*(1+'Read Me'!$B$12),-1)</f>
        <v/>
      </c>
      <c r="W248" s="10">
        <f>V248*N248*O248</f>
        <v/>
      </c>
      <c r="X248" s="9">
        <f>IF(LEFT(I248,2)="MV",2*N248*IF(L248="1/C",O248,1),0)</f>
        <v/>
      </c>
      <c r="Y248" s="9">
        <f>IF(OR(LEFT(K248,4)="LVAX",LEFT(K248,6)="MV15AX",LEFT(K248,4)="CTAX",LEFT(K248,2)="W|"),2*N248*O248,0)</f>
        <v/>
      </c>
      <c r="Z248" s="9" t="inlineStr"/>
    </row>
    <row r="249">
      <c r="A249" s="9" t="inlineStr">
        <is>
          <t>A-C-0237</t>
        </is>
      </c>
      <c r="B249" s="9" t="inlineStr">
        <is>
          <t>A</t>
        </is>
      </c>
      <c r="C249" s="9" t="inlineStr">
        <is>
          <t>Power block</t>
        </is>
      </c>
      <c r="D249" s="9" t="inlineStr">
        <is>
          <t>Control</t>
        </is>
      </c>
      <c r="E249" s="9" t="inlineStr">
        <is>
          <t>R1</t>
        </is>
      </c>
      <c r="F249" s="9" t="inlineStr">
        <is>
          <t>R1: main electrical building (64 x 180 ft)</t>
        </is>
      </c>
      <c r="G249" s="9" t="inlineStr">
        <is>
          <t>TX-LCI-2</t>
        </is>
      </c>
      <c r="H249" s="9" t="inlineStr">
        <is>
          <t>R1 TX-LCI-2 dry-type input transformer</t>
        </is>
      </c>
      <c r="I249" s="9" t="inlineStr">
        <is>
          <t>Control</t>
        </is>
      </c>
      <c r="J249" s="9" t="inlineStr">
        <is>
          <t>Control cable 600 V Type TC-ER, Cu #14 AWG, PVC jacket</t>
        </is>
      </c>
      <c r="K249" s="9" t="inlineStr">
        <is>
          <t>CT|7/C|14</t>
        </is>
      </c>
      <c r="L249" s="9" t="inlineStr">
        <is>
          <t>7/C</t>
        </is>
      </c>
      <c r="M249" s="9" t="inlineStr">
        <is>
          <t>14</t>
        </is>
      </c>
      <c r="N249" s="9" t="n">
        <v>1</v>
      </c>
      <c r="O249" s="9" t="n">
        <v>1</v>
      </c>
      <c r="P249" s="9" t="n"/>
      <c r="Q249" s="9" t="n"/>
      <c r="R249" s="9" t="n"/>
      <c r="S249" s="9" t="inlineStr">
        <is>
          <t>Tray</t>
        </is>
      </c>
      <c r="T249" s="10" t="n">
        <v>0</v>
      </c>
      <c r="U249" s="10" t="n">
        <v>109</v>
      </c>
      <c r="V249" s="10">
        <f>ROUNDUP((T249+U249+2*'Read Me'!$B$13)*(1+'Read Me'!$B$12),-1)</f>
        <v/>
      </c>
      <c r="W249" s="10">
        <f>V249*N249*O249</f>
        <v/>
      </c>
      <c r="X249" s="9">
        <f>IF(LEFT(I249,2)="MV",2*N249*IF(L249="1/C",O249,1),0)</f>
        <v/>
      </c>
      <c r="Y249" s="9">
        <f>IF(OR(LEFT(K249,4)="LVAX",LEFT(K249,6)="MV15AX",LEFT(K249,4)="CTAX",LEFT(K249,2)="W|"),2*N249*O249,0)</f>
        <v/>
      </c>
      <c r="Z249" s="9" t="inlineStr"/>
    </row>
    <row r="250">
      <c r="A250" s="9" t="inlineStr">
        <is>
          <t>A-C-0238</t>
        </is>
      </c>
      <c r="B250" s="9" t="inlineStr">
        <is>
          <t>A</t>
        </is>
      </c>
      <c r="C250" s="9" t="inlineStr">
        <is>
          <t>Power block</t>
        </is>
      </c>
      <c r="D250" s="9" t="inlineStr">
        <is>
          <t>Control</t>
        </is>
      </c>
      <c r="E250" s="9" t="inlineStr">
        <is>
          <t>R1</t>
        </is>
      </c>
      <c r="F250" s="9" t="inlineStr">
        <is>
          <t>R1: main electrical building (64 x 180 ft)</t>
        </is>
      </c>
      <c r="G250" s="9" t="inlineStr">
        <is>
          <t>TX-LCI-2</t>
        </is>
      </c>
      <c r="H250" s="9" t="inlineStr">
        <is>
          <t>R1 TX-LCI-2 dry-type input transformer</t>
        </is>
      </c>
      <c r="I250" s="9" t="inlineStr">
        <is>
          <t>Control</t>
        </is>
      </c>
      <c r="J250" s="9" t="inlineStr">
        <is>
          <t>Control cable 600 V Type TC-ER, Cu #14 AWG, PVC jacket</t>
        </is>
      </c>
      <c r="K250" s="9" t="inlineStr">
        <is>
          <t>CT|12/C|14</t>
        </is>
      </c>
      <c r="L250" s="9" t="inlineStr">
        <is>
          <t>12/C</t>
        </is>
      </c>
      <c r="M250" s="9" t="inlineStr">
        <is>
          <t>14</t>
        </is>
      </c>
      <c r="N250" s="9" t="n">
        <v>1</v>
      </c>
      <c r="O250" s="9" t="n">
        <v>1</v>
      </c>
      <c r="P250" s="9" t="n"/>
      <c r="Q250" s="9" t="n"/>
      <c r="R250" s="9" t="n"/>
      <c r="S250" s="9" t="inlineStr">
        <is>
          <t>Tray</t>
        </is>
      </c>
      <c r="T250" s="10" t="n">
        <v>0</v>
      </c>
      <c r="U250" s="10" t="n">
        <v>109</v>
      </c>
      <c r="V250" s="10">
        <f>ROUNDUP((T250+U250+2*'Read Me'!$B$13)*(1+'Read Me'!$B$12),-1)</f>
        <v/>
      </c>
      <c r="W250" s="10">
        <f>V250*N250*O250</f>
        <v/>
      </c>
      <c r="X250" s="9">
        <f>IF(LEFT(I250,2)="MV",2*N250*IF(L250="1/C",O250,1),0)</f>
        <v/>
      </c>
      <c r="Y250" s="9">
        <f>IF(OR(LEFT(K250,4)="LVAX",LEFT(K250,6)="MV15AX",LEFT(K250,4)="CTAX",LEFT(K250,2)="W|"),2*N250*O250,0)</f>
        <v/>
      </c>
      <c r="Z250" s="9" t="inlineStr"/>
    </row>
    <row r="251">
      <c r="A251" s="9" t="inlineStr">
        <is>
          <t>A-C-0239</t>
        </is>
      </c>
      <c r="B251" s="9" t="inlineStr">
        <is>
          <t>A</t>
        </is>
      </c>
      <c r="C251" s="9" t="inlineStr">
        <is>
          <t>Power block</t>
        </is>
      </c>
      <c r="D251" s="9" t="inlineStr">
        <is>
          <t>CT / VT</t>
        </is>
      </c>
      <c r="E251" s="9" t="inlineStr">
        <is>
          <t>R1</t>
        </is>
      </c>
      <c r="F251" s="9" t="inlineStr">
        <is>
          <t>R1: main electrical building (64 x 180 ft)</t>
        </is>
      </c>
      <c r="G251" s="9" t="inlineStr">
        <is>
          <t>TX-LCI-2</t>
        </is>
      </c>
      <c r="H251" s="9" t="inlineStr">
        <is>
          <t>R1 TX-LCI-2 dry-type input transformer</t>
        </is>
      </c>
      <c r="I251" s="9" t="inlineStr">
        <is>
          <t>Control</t>
        </is>
      </c>
      <c r="J251" s="9" t="inlineStr">
        <is>
          <t>Control cable 600 V Type TC-ER, Cu #10 AWG (CT / VT circuits)</t>
        </is>
      </c>
      <c r="K251" s="9" t="inlineStr">
        <is>
          <t>CTCT|4/C|10</t>
        </is>
      </c>
      <c r="L251" s="9" t="inlineStr">
        <is>
          <t>4/C</t>
        </is>
      </c>
      <c r="M251" s="9" t="inlineStr">
        <is>
          <t>10</t>
        </is>
      </c>
      <c r="N251" s="9" t="n">
        <v>1</v>
      </c>
      <c r="O251" s="9" t="n">
        <v>1</v>
      </c>
      <c r="P251" s="9" t="n"/>
      <c r="Q251" s="9" t="n"/>
      <c r="R251" s="9" t="n"/>
      <c r="S251" s="9" t="inlineStr">
        <is>
          <t>Tray</t>
        </is>
      </c>
      <c r="T251" s="10" t="n">
        <v>0</v>
      </c>
      <c r="U251" s="10" t="n">
        <v>109</v>
      </c>
      <c r="V251" s="10">
        <f>ROUNDUP((T251+U251+2*'Read Me'!$B$13)*(1+'Read Me'!$B$12),-1)</f>
        <v/>
      </c>
      <c r="W251" s="10">
        <f>V251*N251*O251</f>
        <v/>
      </c>
      <c r="X251" s="9">
        <f>IF(LEFT(I251,2)="MV",2*N251*IF(L251="1/C",O251,1),0)</f>
        <v/>
      </c>
      <c r="Y251" s="9">
        <f>IF(OR(LEFT(K251,4)="LVAX",LEFT(K251,6)="MV15AX",LEFT(K251,4)="CTAX",LEFT(K251,2)="W|"),2*N251*O251,0)</f>
        <v/>
      </c>
      <c r="Z251" s="9" t="inlineStr"/>
    </row>
    <row r="252">
      <c r="A252" s="9" t="inlineStr">
        <is>
          <t>A-C-0240</t>
        </is>
      </c>
      <c r="B252" s="9" t="inlineStr">
        <is>
          <t>A</t>
        </is>
      </c>
      <c r="C252" s="9" t="inlineStr">
        <is>
          <t>Power block</t>
        </is>
      </c>
      <c r="D252" s="9" t="inlineStr">
        <is>
          <t>CT / VT</t>
        </is>
      </c>
      <c r="E252" s="9" t="inlineStr">
        <is>
          <t>R1</t>
        </is>
      </c>
      <c r="F252" s="9" t="inlineStr">
        <is>
          <t>R1: main electrical building (64 x 180 ft)</t>
        </is>
      </c>
      <c r="G252" s="9" t="inlineStr">
        <is>
          <t>TX-LCI-2</t>
        </is>
      </c>
      <c r="H252" s="9" t="inlineStr">
        <is>
          <t>R1 TX-LCI-2 dry-type input transformer</t>
        </is>
      </c>
      <c r="I252" s="9" t="inlineStr">
        <is>
          <t>Control</t>
        </is>
      </c>
      <c r="J252" s="9" t="inlineStr">
        <is>
          <t>Control cable 600 V Type TC-ER, Cu #10 AWG (CT / VT circuits)</t>
        </is>
      </c>
      <c r="K252" s="9" t="inlineStr">
        <is>
          <t>CTCT|4/C|10</t>
        </is>
      </c>
      <c r="L252" s="9" t="inlineStr">
        <is>
          <t>4/C</t>
        </is>
      </c>
      <c r="M252" s="9" t="inlineStr">
        <is>
          <t>10</t>
        </is>
      </c>
      <c r="N252" s="9" t="n">
        <v>1</v>
      </c>
      <c r="O252" s="9" t="n">
        <v>1</v>
      </c>
      <c r="P252" s="9" t="n"/>
      <c r="Q252" s="9" t="n"/>
      <c r="R252" s="9" t="n"/>
      <c r="S252" s="9" t="inlineStr">
        <is>
          <t>Tray</t>
        </is>
      </c>
      <c r="T252" s="10" t="n">
        <v>0</v>
      </c>
      <c r="U252" s="10" t="n">
        <v>109</v>
      </c>
      <c r="V252" s="10">
        <f>ROUNDUP((T252+U252+2*'Read Me'!$B$13)*(1+'Read Me'!$B$12),-1)</f>
        <v/>
      </c>
      <c r="W252" s="10">
        <f>V252*N252*O252</f>
        <v/>
      </c>
      <c r="X252" s="9">
        <f>IF(LEFT(I252,2)="MV",2*N252*IF(L252="1/C",O252,1),0)</f>
        <v/>
      </c>
      <c r="Y252" s="9">
        <f>IF(OR(LEFT(K252,4)="LVAX",LEFT(K252,6)="MV15AX",LEFT(K252,4)="CTAX",LEFT(K252,2)="W|"),2*N252*O252,0)</f>
        <v/>
      </c>
      <c r="Z252" s="9" t="inlineStr"/>
    </row>
    <row r="253">
      <c r="A253" s="9" t="inlineStr">
        <is>
          <t>A-C-0241</t>
        </is>
      </c>
      <c r="B253" s="9" t="inlineStr">
        <is>
          <t>A</t>
        </is>
      </c>
      <c r="C253" s="9" t="inlineStr">
        <is>
          <t>Power block</t>
        </is>
      </c>
      <c r="D253" s="9" t="inlineStr">
        <is>
          <t>Control</t>
        </is>
      </c>
      <c r="E253" s="9" t="inlineStr">
        <is>
          <t>R1</t>
        </is>
      </c>
      <c r="F253" s="9" t="inlineStr">
        <is>
          <t>R1: main electrical building (64 x 180 ft)</t>
        </is>
      </c>
      <c r="G253" s="9" t="inlineStr">
        <is>
          <t>TX-LCI-3</t>
        </is>
      </c>
      <c r="H253" s="9" t="inlineStr">
        <is>
          <t>R1 TX-LCI-3 dry-type input transformer</t>
        </is>
      </c>
      <c r="I253" s="9" t="inlineStr">
        <is>
          <t>Control</t>
        </is>
      </c>
      <c r="J253" s="9" t="inlineStr">
        <is>
          <t>Control cable 600 V Type TC-ER, Cu #14 AWG, PVC jacket</t>
        </is>
      </c>
      <c r="K253" s="9" t="inlineStr">
        <is>
          <t>CT|7/C|14</t>
        </is>
      </c>
      <c r="L253" s="9" t="inlineStr">
        <is>
          <t>7/C</t>
        </is>
      </c>
      <c r="M253" s="9" t="inlineStr">
        <is>
          <t>14</t>
        </is>
      </c>
      <c r="N253" s="9" t="n">
        <v>1</v>
      </c>
      <c r="O253" s="9" t="n">
        <v>1</v>
      </c>
      <c r="P253" s="9" t="n"/>
      <c r="Q253" s="9" t="n"/>
      <c r="R253" s="9" t="n"/>
      <c r="S253" s="9" t="inlineStr">
        <is>
          <t>Duct bank</t>
        </is>
      </c>
      <c r="T253" s="10" t="n">
        <v>1304</v>
      </c>
      <c r="U253" s="10" t="n">
        <v>66</v>
      </c>
      <c r="V253" s="10">
        <f>ROUNDUP((T253+U253+2*'Read Me'!$B$13)*(1+'Read Me'!$B$12),-1)</f>
        <v/>
      </c>
      <c r="W253" s="10">
        <f>V253*N253*O253</f>
        <v/>
      </c>
      <c r="X253" s="9">
        <f>IF(LEFT(I253,2)="MV",2*N253*IF(L253="1/C",O253,1),0)</f>
        <v/>
      </c>
      <c r="Y253" s="9">
        <f>IF(OR(LEFT(K253,4)="LVAX",LEFT(K253,6)="MV15AX",LEFT(K253,4)="CTAX",LEFT(K253,2)="W|"),2*N253*O253,0)</f>
        <v/>
      </c>
      <c r="Z253" s="9" t="inlineStr"/>
    </row>
    <row r="254">
      <c r="A254" s="9" t="inlineStr">
        <is>
          <t>A-C-0242</t>
        </is>
      </c>
      <c r="B254" s="9" t="inlineStr">
        <is>
          <t>A</t>
        </is>
      </c>
      <c r="C254" s="9" t="inlineStr">
        <is>
          <t>Power block</t>
        </is>
      </c>
      <c r="D254" s="9" t="inlineStr">
        <is>
          <t>Control</t>
        </is>
      </c>
      <c r="E254" s="9" t="inlineStr">
        <is>
          <t>R1</t>
        </is>
      </c>
      <c r="F254" s="9" t="inlineStr">
        <is>
          <t>R1: main electrical building (64 x 180 ft)</t>
        </is>
      </c>
      <c r="G254" s="9" t="inlineStr">
        <is>
          <t>TX-LCI-3</t>
        </is>
      </c>
      <c r="H254" s="9" t="inlineStr">
        <is>
          <t>R1 TX-LCI-3 dry-type input transformer</t>
        </is>
      </c>
      <c r="I254" s="9" t="inlineStr">
        <is>
          <t>Control</t>
        </is>
      </c>
      <c r="J254" s="9" t="inlineStr">
        <is>
          <t>Control cable 600 V Type TC-ER, Cu #14 AWG, PVC jacket</t>
        </is>
      </c>
      <c r="K254" s="9" t="inlineStr">
        <is>
          <t>CT|12/C|14</t>
        </is>
      </c>
      <c r="L254" s="9" t="inlineStr">
        <is>
          <t>12/C</t>
        </is>
      </c>
      <c r="M254" s="9" t="inlineStr">
        <is>
          <t>14</t>
        </is>
      </c>
      <c r="N254" s="9" t="n">
        <v>1</v>
      </c>
      <c r="O254" s="9" t="n">
        <v>1</v>
      </c>
      <c r="P254" s="9" t="n"/>
      <c r="Q254" s="9" t="n"/>
      <c r="R254" s="9" t="n"/>
      <c r="S254" s="9" t="inlineStr">
        <is>
          <t>Duct bank</t>
        </is>
      </c>
      <c r="T254" s="10" t="n">
        <v>1304</v>
      </c>
      <c r="U254" s="10" t="n">
        <v>66</v>
      </c>
      <c r="V254" s="10">
        <f>ROUNDUP((T254+U254+2*'Read Me'!$B$13)*(1+'Read Me'!$B$12),-1)</f>
        <v/>
      </c>
      <c r="W254" s="10">
        <f>V254*N254*O254</f>
        <v/>
      </c>
      <c r="X254" s="9">
        <f>IF(LEFT(I254,2)="MV",2*N254*IF(L254="1/C",O254,1),0)</f>
        <v/>
      </c>
      <c r="Y254" s="9">
        <f>IF(OR(LEFT(K254,4)="LVAX",LEFT(K254,6)="MV15AX",LEFT(K254,4)="CTAX",LEFT(K254,2)="W|"),2*N254*O254,0)</f>
        <v/>
      </c>
      <c r="Z254" s="9" t="inlineStr"/>
    </row>
    <row r="255">
      <c r="A255" s="9" t="inlineStr">
        <is>
          <t>A-C-0243</t>
        </is>
      </c>
      <c r="B255" s="9" t="inlineStr">
        <is>
          <t>A</t>
        </is>
      </c>
      <c r="C255" s="9" t="inlineStr">
        <is>
          <t>Power block</t>
        </is>
      </c>
      <c r="D255" s="9" t="inlineStr">
        <is>
          <t>CT / VT</t>
        </is>
      </c>
      <c r="E255" s="9" t="inlineStr">
        <is>
          <t>R1</t>
        </is>
      </c>
      <c r="F255" s="9" t="inlineStr">
        <is>
          <t>R1: main electrical building (64 x 180 ft)</t>
        </is>
      </c>
      <c r="G255" s="9" t="inlineStr">
        <is>
          <t>TX-LCI-3</t>
        </is>
      </c>
      <c r="H255" s="9" t="inlineStr">
        <is>
          <t>R1 TX-LCI-3 dry-type input transformer</t>
        </is>
      </c>
      <c r="I255" s="9" t="inlineStr">
        <is>
          <t>Control</t>
        </is>
      </c>
      <c r="J255" s="9" t="inlineStr">
        <is>
          <t>Control cable 600 V Type TC-ER, Cu #10 AWG (CT / VT circuits)</t>
        </is>
      </c>
      <c r="K255" s="9" t="inlineStr">
        <is>
          <t>CTCT|4/C|10</t>
        </is>
      </c>
      <c r="L255" s="9" t="inlineStr">
        <is>
          <t>4/C</t>
        </is>
      </c>
      <c r="M255" s="9" t="inlineStr">
        <is>
          <t>10</t>
        </is>
      </c>
      <c r="N255" s="9" t="n">
        <v>1</v>
      </c>
      <c r="O255" s="9" t="n">
        <v>1</v>
      </c>
      <c r="P255" s="9" t="n"/>
      <c r="Q255" s="9" t="n"/>
      <c r="R255" s="9" t="n"/>
      <c r="S255" s="9" t="inlineStr">
        <is>
          <t>Duct bank</t>
        </is>
      </c>
      <c r="T255" s="10" t="n">
        <v>1304</v>
      </c>
      <c r="U255" s="10" t="n">
        <v>66</v>
      </c>
      <c r="V255" s="10">
        <f>ROUNDUP((T255+U255+2*'Read Me'!$B$13)*(1+'Read Me'!$B$12),-1)</f>
        <v/>
      </c>
      <c r="W255" s="10">
        <f>V255*N255*O255</f>
        <v/>
      </c>
      <c r="X255" s="9">
        <f>IF(LEFT(I255,2)="MV",2*N255*IF(L255="1/C",O255,1),0)</f>
        <v/>
      </c>
      <c r="Y255" s="9">
        <f>IF(OR(LEFT(K255,4)="LVAX",LEFT(K255,6)="MV15AX",LEFT(K255,4)="CTAX",LEFT(K255,2)="W|"),2*N255*O255,0)</f>
        <v/>
      </c>
      <c r="Z255" s="9" t="inlineStr"/>
    </row>
    <row r="256">
      <c r="A256" s="9" t="inlineStr">
        <is>
          <t>A-C-0244</t>
        </is>
      </c>
      <c r="B256" s="9" t="inlineStr">
        <is>
          <t>A</t>
        </is>
      </c>
      <c r="C256" s="9" t="inlineStr">
        <is>
          <t>Power block</t>
        </is>
      </c>
      <c r="D256" s="9" t="inlineStr">
        <is>
          <t>CT / VT</t>
        </is>
      </c>
      <c r="E256" s="9" t="inlineStr">
        <is>
          <t>R1</t>
        </is>
      </c>
      <c r="F256" s="9" t="inlineStr">
        <is>
          <t>R1: main electrical building (64 x 180 ft)</t>
        </is>
      </c>
      <c r="G256" s="9" t="inlineStr">
        <is>
          <t>TX-LCI-3</t>
        </is>
      </c>
      <c r="H256" s="9" t="inlineStr">
        <is>
          <t>R1 TX-LCI-3 dry-type input transformer</t>
        </is>
      </c>
      <c r="I256" s="9" t="inlineStr">
        <is>
          <t>Control</t>
        </is>
      </c>
      <c r="J256" s="9" t="inlineStr">
        <is>
          <t>Control cable 600 V Type TC-ER, Cu #10 AWG (CT / VT circuits)</t>
        </is>
      </c>
      <c r="K256" s="9" t="inlineStr">
        <is>
          <t>CTCT|4/C|10</t>
        </is>
      </c>
      <c r="L256" s="9" t="inlineStr">
        <is>
          <t>4/C</t>
        </is>
      </c>
      <c r="M256" s="9" t="inlineStr">
        <is>
          <t>10</t>
        </is>
      </c>
      <c r="N256" s="9" t="n">
        <v>1</v>
      </c>
      <c r="O256" s="9" t="n">
        <v>1</v>
      </c>
      <c r="P256" s="9" t="n"/>
      <c r="Q256" s="9" t="n"/>
      <c r="R256" s="9" t="n"/>
      <c r="S256" s="9" t="inlineStr">
        <is>
          <t>Duct bank</t>
        </is>
      </c>
      <c r="T256" s="10" t="n">
        <v>1304</v>
      </c>
      <c r="U256" s="10" t="n">
        <v>66</v>
      </c>
      <c r="V256" s="10">
        <f>ROUNDUP((T256+U256+2*'Read Me'!$B$13)*(1+'Read Me'!$B$12),-1)</f>
        <v/>
      </c>
      <c r="W256" s="10">
        <f>V256*N256*O256</f>
        <v/>
      </c>
      <c r="X256" s="9">
        <f>IF(LEFT(I256,2)="MV",2*N256*IF(L256="1/C",O256,1),0)</f>
        <v/>
      </c>
      <c r="Y256" s="9">
        <f>IF(OR(LEFT(K256,4)="LVAX",LEFT(K256,6)="MV15AX",LEFT(K256,4)="CTAX",LEFT(K256,2)="W|"),2*N256*O256,0)</f>
        <v/>
      </c>
      <c r="Z256" s="9" t="inlineStr"/>
    </row>
    <row r="257">
      <c r="A257" s="9" t="inlineStr">
        <is>
          <t>A-C-0245</t>
        </is>
      </c>
      <c r="B257" s="9" t="inlineStr">
        <is>
          <t>A</t>
        </is>
      </c>
      <c r="C257" s="9" t="inlineStr">
        <is>
          <t>Power block</t>
        </is>
      </c>
      <c r="D257" s="9" t="inlineStr">
        <is>
          <t>Control</t>
        </is>
      </c>
      <c r="E257" s="9" t="inlineStr">
        <is>
          <t>R1</t>
        </is>
      </c>
      <c r="F257" s="9" t="inlineStr">
        <is>
          <t>R1: main electrical building (64 x 180 ft)</t>
        </is>
      </c>
      <c r="G257" s="9" t="inlineStr">
        <is>
          <t>R1</t>
        </is>
      </c>
      <c r="H257" s="9" t="inlineStr">
        <is>
          <t>R1: main electrical building (64 x 180 ft)</t>
        </is>
      </c>
      <c r="I257" s="9" t="inlineStr">
        <is>
          <t>Control</t>
        </is>
      </c>
      <c r="J257" s="9" t="inlineStr">
        <is>
          <t>Control cable 600 V Type TC-ER, Cu #14 AWG, PVC jacket</t>
        </is>
      </c>
      <c r="K257" s="9" t="inlineStr">
        <is>
          <t>CT|7/C|14</t>
        </is>
      </c>
      <c r="L257" s="9" t="inlineStr">
        <is>
          <t>7/C</t>
        </is>
      </c>
      <c r="M257" s="9" t="inlineStr">
        <is>
          <t>14</t>
        </is>
      </c>
      <c r="N257" s="9" t="n">
        <v>1</v>
      </c>
      <c r="O257" s="9" t="n">
        <v>1</v>
      </c>
      <c r="P257" s="9" t="n"/>
      <c r="Q257" s="9" t="n"/>
      <c r="R257" s="9" t="n"/>
      <c r="S257" s="9" t="inlineStr">
        <is>
          <t>Tray</t>
        </is>
      </c>
      <c r="T257" s="10" t="n">
        <v>0</v>
      </c>
      <c r="U257" s="10" t="n">
        <v>32</v>
      </c>
      <c r="V257" s="10">
        <f>ROUNDUP((T257+U257+2*'Read Me'!$B$13)*(1+'Read Me'!$B$12),-1)</f>
        <v/>
      </c>
      <c r="W257" s="10">
        <f>V257*N257*O257</f>
        <v/>
      </c>
      <c r="X257" s="9">
        <f>IF(LEFT(I257,2)="MV",2*N257*IF(L257="1/C",O257,1),0)</f>
        <v/>
      </c>
      <c r="Y257" s="9">
        <f>IF(OR(LEFT(K257,4)="LVAX",LEFT(K257,6)="MV15AX",LEFT(K257,4)="CTAX",LEFT(K257,2)="W|"),2*N257*O257,0)</f>
        <v/>
      </c>
      <c r="Z257" s="9" t="inlineStr"/>
    </row>
    <row r="258">
      <c r="A258" s="9" t="inlineStr">
        <is>
          <t>A-C-0246</t>
        </is>
      </c>
      <c r="B258" s="9" t="inlineStr">
        <is>
          <t>A</t>
        </is>
      </c>
      <c r="C258" s="9" t="inlineStr">
        <is>
          <t>Power block</t>
        </is>
      </c>
      <c r="D258" s="9" t="inlineStr">
        <is>
          <t>Control</t>
        </is>
      </c>
      <c r="E258" s="9" t="inlineStr">
        <is>
          <t>R2A</t>
        </is>
      </c>
      <c r="F258" s="9" t="inlineStr">
        <is>
          <t>R2A: unit / HRSG electrical e-house (32 x 40 ft)</t>
        </is>
      </c>
      <c r="G258" s="9" t="inlineStr">
        <is>
          <t>R2A</t>
        </is>
      </c>
      <c r="H258" s="9" t="inlineStr">
        <is>
          <t>R2A: unit / HRSG electrical e-house (32 x 40 ft)</t>
        </is>
      </c>
      <c r="I258" s="9" t="inlineStr">
        <is>
          <t>Control</t>
        </is>
      </c>
      <c r="J258" s="9" t="inlineStr">
        <is>
          <t>Control cable 600 V Type TC-ER, Cu #14 AWG, PVC jacket</t>
        </is>
      </c>
      <c r="K258" s="9" t="inlineStr">
        <is>
          <t>CT|7/C|14</t>
        </is>
      </c>
      <c r="L258" s="9" t="inlineStr">
        <is>
          <t>7/C</t>
        </is>
      </c>
      <c r="M258" s="9" t="inlineStr">
        <is>
          <t>14</t>
        </is>
      </c>
      <c r="N258" s="9" t="n">
        <v>1</v>
      </c>
      <c r="O258" s="9" t="n">
        <v>1</v>
      </c>
      <c r="P258" s="9" t="n"/>
      <c r="Q258" s="9" t="n"/>
      <c r="R258" s="9" t="n"/>
      <c r="S258" s="9" t="inlineStr">
        <is>
          <t>Tray</t>
        </is>
      </c>
      <c r="T258" s="10" t="n">
        <v>0</v>
      </c>
      <c r="U258" s="10" t="n">
        <v>72</v>
      </c>
      <c r="V258" s="10">
        <f>ROUNDUP((T258+U258+2*'Read Me'!$B$13)*(1+'Read Me'!$B$12),-1)</f>
        <v/>
      </c>
      <c r="W258" s="10">
        <f>V258*N258*O258</f>
        <v/>
      </c>
      <c r="X258" s="9">
        <f>IF(LEFT(I258,2)="MV",2*N258*IF(L258="1/C",O258,1),0)</f>
        <v/>
      </c>
      <c r="Y258" s="9">
        <f>IF(OR(LEFT(K258,4)="LVAX",LEFT(K258,6)="MV15AX",LEFT(K258,4)="CTAX",LEFT(K258,2)="W|"),2*N258*O258,0)</f>
        <v/>
      </c>
      <c r="Z258" s="9" t="inlineStr"/>
    </row>
    <row r="259">
      <c r="A259" s="9" t="inlineStr">
        <is>
          <t>A-C-0247</t>
        </is>
      </c>
      <c r="B259" s="9" t="inlineStr">
        <is>
          <t>A</t>
        </is>
      </c>
      <c r="C259" s="9" t="inlineStr">
        <is>
          <t>Power block</t>
        </is>
      </c>
      <c r="D259" s="9" t="inlineStr">
        <is>
          <t>Control</t>
        </is>
      </c>
      <c r="E259" s="9" t="inlineStr">
        <is>
          <t>R2B</t>
        </is>
      </c>
      <c r="F259" s="9" t="inlineStr">
        <is>
          <t>R2B: unit / HRSG electrical e-house (32 x 40 ft)</t>
        </is>
      </c>
      <c r="G259" s="9" t="inlineStr">
        <is>
          <t>R2B</t>
        </is>
      </c>
      <c r="H259" s="9" t="inlineStr">
        <is>
          <t>R2B: unit / HRSG electrical e-house (32 x 40 ft)</t>
        </is>
      </c>
      <c r="I259" s="9" t="inlineStr">
        <is>
          <t>Control</t>
        </is>
      </c>
      <c r="J259" s="9" t="inlineStr">
        <is>
          <t>Control cable 600 V Type TC-ER, Cu #14 AWG, PVC jacket</t>
        </is>
      </c>
      <c r="K259" s="9" t="inlineStr">
        <is>
          <t>CT|7/C|14</t>
        </is>
      </c>
      <c r="L259" s="9" t="inlineStr">
        <is>
          <t>7/C</t>
        </is>
      </c>
      <c r="M259" s="9" t="inlineStr">
        <is>
          <t>14</t>
        </is>
      </c>
      <c r="N259" s="9" t="n">
        <v>1</v>
      </c>
      <c r="O259" s="9" t="n">
        <v>1</v>
      </c>
      <c r="P259" s="9" t="n"/>
      <c r="Q259" s="9" t="n"/>
      <c r="R259" s="9" t="n"/>
      <c r="S259" s="9" t="inlineStr">
        <is>
          <t>Tray</t>
        </is>
      </c>
      <c r="T259" s="10" t="n">
        <v>0</v>
      </c>
      <c r="U259" s="10" t="n">
        <v>72</v>
      </c>
      <c r="V259" s="10">
        <f>ROUNDUP((T259+U259+2*'Read Me'!$B$13)*(1+'Read Me'!$B$12),-1)</f>
        <v/>
      </c>
      <c r="W259" s="10">
        <f>V259*N259*O259</f>
        <v/>
      </c>
      <c r="X259" s="9">
        <f>IF(LEFT(I259,2)="MV",2*N259*IF(L259="1/C",O259,1),0)</f>
        <v/>
      </c>
      <c r="Y259" s="9">
        <f>IF(OR(LEFT(K259,4)="LVAX",LEFT(K259,6)="MV15AX",LEFT(K259,4)="CTAX",LEFT(K259,2)="W|"),2*N259*O259,0)</f>
        <v/>
      </c>
      <c r="Z259" s="9" t="inlineStr"/>
    </row>
    <row r="260">
      <c r="A260" s="9" t="inlineStr">
        <is>
          <t>A-C-0248</t>
        </is>
      </c>
      <c r="B260" s="9" t="inlineStr">
        <is>
          <t>A</t>
        </is>
      </c>
      <c r="C260" s="9" t="inlineStr">
        <is>
          <t>Power block</t>
        </is>
      </c>
      <c r="D260" s="9" t="inlineStr">
        <is>
          <t>Control</t>
        </is>
      </c>
      <c r="E260" s="9" t="inlineStr">
        <is>
          <t>R2C</t>
        </is>
      </c>
      <c r="F260" s="9" t="inlineStr">
        <is>
          <t>R2C: unit / HRSG electrical e-house (32 x 40 ft)</t>
        </is>
      </c>
      <c r="G260" s="9" t="inlineStr">
        <is>
          <t>R2C</t>
        </is>
      </c>
      <c r="H260" s="9" t="inlineStr">
        <is>
          <t>R2C: unit / HRSG electrical e-house (32 x 40 ft)</t>
        </is>
      </c>
      <c r="I260" s="9" t="inlineStr">
        <is>
          <t>Control</t>
        </is>
      </c>
      <c r="J260" s="9" t="inlineStr">
        <is>
          <t>Control cable 600 V Type TC-ER, Cu #14 AWG, PVC jacket</t>
        </is>
      </c>
      <c r="K260" s="9" t="inlineStr">
        <is>
          <t>CT|7/C|14</t>
        </is>
      </c>
      <c r="L260" s="9" t="inlineStr">
        <is>
          <t>7/C</t>
        </is>
      </c>
      <c r="M260" s="9" t="inlineStr">
        <is>
          <t>14</t>
        </is>
      </c>
      <c r="N260" s="9" t="n">
        <v>1</v>
      </c>
      <c r="O260" s="9" t="n">
        <v>1</v>
      </c>
      <c r="P260" s="9" t="n"/>
      <c r="Q260" s="9" t="n"/>
      <c r="R260" s="9" t="n"/>
      <c r="S260" s="9" t="inlineStr">
        <is>
          <t>Tray</t>
        </is>
      </c>
      <c r="T260" s="10" t="n">
        <v>0</v>
      </c>
      <c r="U260" s="10" t="n">
        <v>72</v>
      </c>
      <c r="V260" s="10">
        <f>ROUNDUP((T260+U260+2*'Read Me'!$B$13)*(1+'Read Me'!$B$12),-1)</f>
        <v/>
      </c>
      <c r="W260" s="10">
        <f>V260*N260*O260</f>
        <v/>
      </c>
      <c r="X260" s="9">
        <f>IF(LEFT(I260,2)="MV",2*N260*IF(L260="1/C",O260,1),0)</f>
        <v/>
      </c>
      <c r="Y260" s="9">
        <f>IF(OR(LEFT(K260,4)="LVAX",LEFT(K260,6)="MV15AX",LEFT(K260,4)="CTAX",LEFT(K260,2)="W|"),2*N260*O260,0)</f>
        <v/>
      </c>
      <c r="Z260" s="9" t="inlineStr"/>
    </row>
    <row r="261">
      <c r="A261" s="9" t="inlineStr">
        <is>
          <t>A-C-0249</t>
        </is>
      </c>
      <c r="B261" s="9" t="inlineStr">
        <is>
          <t>A</t>
        </is>
      </c>
      <c r="C261" s="9" t="inlineStr">
        <is>
          <t>Power block</t>
        </is>
      </c>
      <c r="D261" s="9" t="inlineStr">
        <is>
          <t>Control</t>
        </is>
      </c>
      <c r="E261" s="9" t="inlineStr">
        <is>
          <t>R3</t>
        </is>
      </c>
      <c r="F261" s="9" t="inlineStr">
        <is>
          <t>R3: ST auxiliary electrical e-house (40 x 65 ft)</t>
        </is>
      </c>
      <c r="G261" s="9" t="inlineStr">
        <is>
          <t>R3</t>
        </is>
      </c>
      <c r="H261" s="9" t="inlineStr">
        <is>
          <t>R3: ST auxiliary electrical e-house (40 x 65 ft)</t>
        </is>
      </c>
      <c r="I261" s="9" t="inlineStr">
        <is>
          <t>Control</t>
        </is>
      </c>
      <c r="J261" s="9" t="inlineStr">
        <is>
          <t>Control cable 600 V Type TC-ER, Cu #14 AWG, PVC jacket</t>
        </is>
      </c>
      <c r="K261" s="9" t="inlineStr">
        <is>
          <t>CT|7/C|14</t>
        </is>
      </c>
      <c r="L261" s="9" t="inlineStr">
        <is>
          <t>7/C</t>
        </is>
      </c>
      <c r="M261" s="9" t="inlineStr">
        <is>
          <t>14</t>
        </is>
      </c>
      <c r="N261" s="9" t="n">
        <v>1</v>
      </c>
      <c r="O261" s="9" t="n">
        <v>1</v>
      </c>
      <c r="P261" s="9" t="n"/>
      <c r="Q261" s="9" t="n"/>
      <c r="R261" s="9" t="n"/>
      <c r="S261" s="9" t="inlineStr">
        <is>
          <t>Tray</t>
        </is>
      </c>
      <c r="T261" s="10" t="n">
        <v>0</v>
      </c>
      <c r="U261" s="10" t="n">
        <v>68</v>
      </c>
      <c r="V261" s="10">
        <f>ROUNDUP((T261+U261+2*'Read Me'!$B$13)*(1+'Read Me'!$B$12),-1)</f>
        <v/>
      </c>
      <c r="W261" s="10">
        <f>V261*N261*O261</f>
        <v/>
      </c>
      <c r="X261" s="9">
        <f>IF(LEFT(I261,2)="MV",2*N261*IF(L261="1/C",O261,1),0)</f>
        <v/>
      </c>
      <c r="Y261" s="9">
        <f>IF(OR(LEFT(K261,4)="LVAX",LEFT(K261,6)="MV15AX",LEFT(K261,4)="CTAX",LEFT(K261,2)="W|"),2*N261*O261,0)</f>
        <v/>
      </c>
      <c r="Z261" s="9" t="inlineStr"/>
    </row>
    <row r="262">
      <c r="A262" s="9" t="inlineStr">
        <is>
          <t>A-C-0250</t>
        </is>
      </c>
      <c r="B262" s="9" t="inlineStr">
        <is>
          <t>A</t>
        </is>
      </c>
      <c r="C262" s="9" t="inlineStr">
        <is>
          <t>Power block</t>
        </is>
      </c>
      <c r="D262" s="9" t="inlineStr">
        <is>
          <t>Control</t>
        </is>
      </c>
      <c r="E262" s="9" t="inlineStr">
        <is>
          <t>R2B</t>
        </is>
      </c>
      <c r="F262" s="9" t="inlineStr">
        <is>
          <t>R2B: unit / HRSG electrical e-house (32 x 40 ft)</t>
        </is>
      </c>
      <c r="G262" s="9" t="inlineStr">
        <is>
          <t>SCRB-1</t>
        </is>
      </c>
      <c r="H262" s="9" t="inlineStr">
        <is>
          <t>SCRB-1A/B: SCR dilution-air blowers</t>
        </is>
      </c>
      <c r="I262" s="9" t="inlineStr">
        <is>
          <t>Control</t>
        </is>
      </c>
      <c r="J262" s="9" t="inlineStr">
        <is>
          <t>Control cable 600 V Type TC-ER, Cu #14 AWG, PVC jacket</t>
        </is>
      </c>
      <c r="K262" s="9" t="inlineStr">
        <is>
          <t>CT|7/C|14</t>
        </is>
      </c>
      <c r="L262" s="9" t="inlineStr">
        <is>
          <t>7/C</t>
        </is>
      </c>
      <c r="M262" s="9" t="inlineStr">
        <is>
          <t>14</t>
        </is>
      </c>
      <c r="N262" s="9" t="n">
        <v>1</v>
      </c>
      <c r="O262" s="9" t="n">
        <v>1</v>
      </c>
      <c r="P262" s="9" t="n"/>
      <c r="Q262" s="9" t="n"/>
      <c r="R262" s="9" t="n"/>
      <c r="S262" s="9" t="inlineStr">
        <is>
          <t>Tray</t>
        </is>
      </c>
      <c r="T262" s="10" t="n">
        <v>116</v>
      </c>
      <c r="U262" s="10" t="n">
        <v>78</v>
      </c>
      <c r="V262" s="10">
        <f>ROUNDUP((T262+U262+2*'Read Me'!$B$13)*(1+'Read Me'!$B$12),-1)</f>
        <v/>
      </c>
      <c r="W262" s="10">
        <f>V262*N262*O262</f>
        <v/>
      </c>
      <c r="X262" s="9">
        <f>IF(LEFT(I262,2)="MV",2*N262*IF(L262="1/C",O262,1),0)</f>
        <v/>
      </c>
      <c r="Y262" s="9">
        <f>IF(OR(LEFT(K262,4)="LVAX",LEFT(K262,6)="MV15AX",LEFT(K262,4)="CTAX",LEFT(K262,2)="W|"),2*N262*O262,0)</f>
        <v/>
      </c>
      <c r="Z262" s="9" t="inlineStr"/>
    </row>
    <row r="263">
      <c r="A263" s="9" t="inlineStr">
        <is>
          <t>A-C-0251</t>
        </is>
      </c>
      <c r="B263" s="9" t="inlineStr">
        <is>
          <t>A</t>
        </is>
      </c>
      <c r="C263" s="9" t="inlineStr">
        <is>
          <t>Power block</t>
        </is>
      </c>
      <c r="D263" s="9" t="inlineStr">
        <is>
          <t>Control</t>
        </is>
      </c>
      <c r="E263" s="9" t="inlineStr">
        <is>
          <t>R2C</t>
        </is>
      </c>
      <c r="F263" s="9" t="inlineStr">
        <is>
          <t>R2C: unit / HRSG electrical e-house (32 x 40 ft)</t>
        </is>
      </c>
      <c r="G263" s="9" t="inlineStr">
        <is>
          <t>SCRB-2</t>
        </is>
      </c>
      <c r="H263" s="9" t="inlineStr">
        <is>
          <t>SCRB-2A/B: SCR dilution-air blowers</t>
        </is>
      </c>
      <c r="I263" s="9" t="inlineStr">
        <is>
          <t>Control</t>
        </is>
      </c>
      <c r="J263" s="9" t="inlineStr">
        <is>
          <t>Control cable 600 V Type TC-ER, Cu #14 AWG, PVC jacket</t>
        </is>
      </c>
      <c r="K263" s="9" t="inlineStr">
        <is>
          <t>CT|7/C|14</t>
        </is>
      </c>
      <c r="L263" s="9" t="inlineStr">
        <is>
          <t>7/C</t>
        </is>
      </c>
      <c r="M263" s="9" t="inlineStr">
        <is>
          <t>14</t>
        </is>
      </c>
      <c r="N263" s="9" t="n">
        <v>1</v>
      </c>
      <c r="O263" s="9" t="n">
        <v>1</v>
      </c>
      <c r="P263" s="9" t="n"/>
      <c r="Q263" s="9" t="n"/>
      <c r="R263" s="9" t="n"/>
      <c r="S263" s="9" t="inlineStr">
        <is>
          <t>Tray</t>
        </is>
      </c>
      <c r="T263" s="10" t="n">
        <v>30</v>
      </c>
      <c r="U263" s="10" t="n">
        <v>128</v>
      </c>
      <c r="V263" s="10">
        <f>ROUNDUP((T263+U263+2*'Read Me'!$B$13)*(1+'Read Me'!$B$12),-1)</f>
        <v/>
      </c>
      <c r="W263" s="10">
        <f>V263*N263*O263</f>
        <v/>
      </c>
      <c r="X263" s="9">
        <f>IF(LEFT(I263,2)="MV",2*N263*IF(L263="1/C",O263,1),0)</f>
        <v/>
      </c>
      <c r="Y263" s="9">
        <f>IF(OR(LEFT(K263,4)="LVAX",LEFT(K263,6)="MV15AX",LEFT(K263,4)="CTAX",LEFT(K263,2)="W|"),2*N263*O263,0)</f>
        <v/>
      </c>
      <c r="Z263" s="9" t="inlineStr"/>
    </row>
    <row r="264">
      <c r="A264" s="9" t="inlineStr">
        <is>
          <t>A-C-0252</t>
        </is>
      </c>
      <c r="B264" s="9" t="inlineStr">
        <is>
          <t>A</t>
        </is>
      </c>
      <c r="C264" s="9" t="inlineStr">
        <is>
          <t>Power block</t>
        </is>
      </c>
      <c r="D264" s="9" t="inlineStr">
        <is>
          <t>Control</t>
        </is>
      </c>
      <c r="E264" s="9" t="inlineStr">
        <is>
          <t>R3</t>
        </is>
      </c>
      <c r="F264" s="9" t="inlineStr">
        <is>
          <t>R3: ST auxiliary electrical e-house (40 x 65 ft)</t>
        </is>
      </c>
      <c r="G264" s="9" t="inlineStr">
        <is>
          <t>SCRB-3</t>
        </is>
      </c>
      <c r="H264" s="9" t="inlineStr">
        <is>
          <t>SCRB-3A/B: SCR dilution-air blowers</t>
        </is>
      </c>
      <c r="I264" s="9" t="inlineStr">
        <is>
          <t>Control</t>
        </is>
      </c>
      <c r="J264" s="9" t="inlineStr">
        <is>
          <t>Control cable 600 V Type TC-ER, Cu #14 AWG, PVC jacket</t>
        </is>
      </c>
      <c r="K264" s="9" t="inlineStr">
        <is>
          <t>CT|7/C|14</t>
        </is>
      </c>
      <c r="L264" s="9" t="inlineStr">
        <is>
          <t>7/C</t>
        </is>
      </c>
      <c r="M264" s="9" t="inlineStr">
        <is>
          <t>14</t>
        </is>
      </c>
      <c r="N264" s="9" t="n">
        <v>1</v>
      </c>
      <c r="O264" s="9" t="n">
        <v>1</v>
      </c>
      <c r="P264" s="9" t="n"/>
      <c r="Q264" s="9" t="n"/>
      <c r="R264" s="9" t="n"/>
      <c r="S264" s="9" t="inlineStr">
        <is>
          <t>Tray</t>
        </is>
      </c>
      <c r="T264" s="10" t="n">
        <v>510</v>
      </c>
      <c r="U264" s="10" t="n">
        <v>114</v>
      </c>
      <c r="V264" s="10">
        <f>ROUNDUP((T264+U264+2*'Read Me'!$B$13)*(1+'Read Me'!$B$12),-1)</f>
        <v/>
      </c>
      <c r="W264" s="10">
        <f>V264*N264*O264</f>
        <v/>
      </c>
      <c r="X264" s="9">
        <f>IF(LEFT(I264,2)="MV",2*N264*IF(L264="1/C",O264,1),0)</f>
        <v/>
      </c>
      <c r="Y264" s="9">
        <f>IF(OR(LEFT(K264,4)="LVAX",LEFT(K264,6)="MV15AX",LEFT(K264,4)="CTAX",LEFT(K264,2)="W|"),2*N264*O264,0)</f>
        <v/>
      </c>
      <c r="Z264" s="9" t="inlineStr"/>
    </row>
    <row r="265">
      <c r="A265" s="9" t="inlineStr">
        <is>
          <t>A-C-0253</t>
        </is>
      </c>
      <c r="B265" s="9" t="inlineStr">
        <is>
          <t>A</t>
        </is>
      </c>
      <c r="C265" s="9" t="inlineStr">
        <is>
          <t>Power block</t>
        </is>
      </c>
      <c r="D265" s="9" t="inlineStr">
        <is>
          <t>Control</t>
        </is>
      </c>
      <c r="E265" s="9" t="inlineStr">
        <is>
          <t>R2B</t>
        </is>
      </c>
      <c r="F265" s="9" t="inlineStr">
        <is>
          <t>R2B: unit / HRSG electrical e-house (32 x 40 ft)</t>
        </is>
      </c>
      <c r="G265" s="9" t="inlineStr">
        <is>
          <t>SFC-1</t>
        </is>
      </c>
      <c r="H265" s="9" t="inlineStr">
        <is>
          <t>SFC-1: GT1 static starter (LCI) and isolation transformer</t>
        </is>
      </c>
      <c r="I265" s="9" t="inlineStr">
        <is>
          <t>Control</t>
        </is>
      </c>
      <c r="J265" s="9" t="inlineStr">
        <is>
          <t>Control cable 600 V Type TC-ER, Cu #14 AWG, PVC jacket</t>
        </is>
      </c>
      <c r="K265" s="9" t="inlineStr">
        <is>
          <t>CT|7/C|14</t>
        </is>
      </c>
      <c r="L265" s="9" t="inlineStr">
        <is>
          <t>7/C</t>
        </is>
      </c>
      <c r="M265" s="9" t="inlineStr">
        <is>
          <t>14</t>
        </is>
      </c>
      <c r="N265" s="9" t="n">
        <v>1</v>
      </c>
      <c r="O265" s="9" t="n">
        <v>1</v>
      </c>
      <c r="P265" s="9" t="n"/>
      <c r="Q265" s="9" t="n"/>
      <c r="R265" s="9" t="n"/>
      <c r="S265" s="9" t="inlineStr">
        <is>
          <t>Tray</t>
        </is>
      </c>
      <c r="T265" s="10" t="n">
        <v>1036</v>
      </c>
      <c r="U265" s="10" t="n">
        <v>108</v>
      </c>
      <c r="V265" s="10">
        <f>ROUNDUP((T265+U265+2*'Read Me'!$B$13)*(1+'Read Me'!$B$12),-1)</f>
        <v/>
      </c>
      <c r="W265" s="10">
        <f>V265*N265*O265</f>
        <v/>
      </c>
      <c r="X265" s="9">
        <f>IF(LEFT(I265,2)="MV",2*N265*IF(L265="1/C",O265,1),0)</f>
        <v/>
      </c>
      <c r="Y265" s="9">
        <f>IF(OR(LEFT(K265,4)="LVAX",LEFT(K265,6)="MV15AX",LEFT(K265,4)="CTAX",LEFT(K265,2)="W|"),2*N265*O265,0)</f>
        <v/>
      </c>
      <c r="Z265" s="9" t="inlineStr"/>
    </row>
    <row r="266">
      <c r="A266" s="9" t="inlineStr">
        <is>
          <t>A-C-0254</t>
        </is>
      </c>
      <c r="B266" s="9" t="inlineStr">
        <is>
          <t>A</t>
        </is>
      </c>
      <c r="C266" s="9" t="inlineStr">
        <is>
          <t>Power block</t>
        </is>
      </c>
      <c r="D266" s="9" t="inlineStr">
        <is>
          <t>Control</t>
        </is>
      </c>
      <c r="E266" s="9" t="inlineStr">
        <is>
          <t>R2B</t>
        </is>
      </c>
      <c r="F266" s="9" t="inlineStr">
        <is>
          <t>R2B: unit / HRSG electrical e-house (32 x 40 ft)</t>
        </is>
      </c>
      <c r="G266" s="9" t="inlineStr">
        <is>
          <t>SFC-1</t>
        </is>
      </c>
      <c r="H266" s="9" t="inlineStr">
        <is>
          <t>SFC-1: GT1 static starter (LCI) and isolation transformer</t>
        </is>
      </c>
      <c r="I266" s="9" t="inlineStr">
        <is>
          <t>Control</t>
        </is>
      </c>
      <c r="J266" s="9" t="inlineStr">
        <is>
          <t>Control cable 600 V Type TC-ER, Cu #14 AWG, PVC jacket</t>
        </is>
      </c>
      <c r="K266" s="9" t="inlineStr">
        <is>
          <t>CT|12/C|14</t>
        </is>
      </c>
      <c r="L266" s="9" t="inlineStr">
        <is>
          <t>12/C</t>
        </is>
      </c>
      <c r="M266" s="9" t="inlineStr">
        <is>
          <t>14</t>
        </is>
      </c>
      <c r="N266" s="9" t="n">
        <v>1</v>
      </c>
      <c r="O266" s="9" t="n">
        <v>1</v>
      </c>
      <c r="P266" s="9" t="n"/>
      <c r="Q266" s="9" t="n"/>
      <c r="R266" s="9" t="n"/>
      <c r="S266" s="9" t="inlineStr">
        <is>
          <t>Tray</t>
        </is>
      </c>
      <c r="T266" s="10" t="n">
        <v>1036</v>
      </c>
      <c r="U266" s="10" t="n">
        <v>108</v>
      </c>
      <c r="V266" s="10">
        <f>ROUNDUP((T266+U266+2*'Read Me'!$B$13)*(1+'Read Me'!$B$12),-1)</f>
        <v/>
      </c>
      <c r="W266" s="10">
        <f>V266*N266*O266</f>
        <v/>
      </c>
      <c r="X266" s="9">
        <f>IF(LEFT(I266,2)="MV",2*N266*IF(L266="1/C",O266,1),0)</f>
        <v/>
      </c>
      <c r="Y266" s="9">
        <f>IF(OR(LEFT(K266,4)="LVAX",LEFT(K266,6)="MV15AX",LEFT(K266,4)="CTAX",LEFT(K266,2)="W|"),2*N266*O266,0)</f>
        <v/>
      </c>
      <c r="Z266" s="9" t="inlineStr"/>
    </row>
    <row r="267">
      <c r="A267" s="9" t="inlineStr">
        <is>
          <t>A-C-0255</t>
        </is>
      </c>
      <c r="B267" s="9" t="inlineStr">
        <is>
          <t>A</t>
        </is>
      </c>
      <c r="C267" s="9" t="inlineStr">
        <is>
          <t>Power block</t>
        </is>
      </c>
      <c r="D267" s="9" t="inlineStr">
        <is>
          <t>CT / VT</t>
        </is>
      </c>
      <c r="E267" s="9" t="inlineStr">
        <is>
          <t>R2B</t>
        </is>
      </c>
      <c r="F267" s="9" t="inlineStr">
        <is>
          <t>R2B: unit / HRSG electrical e-house (32 x 40 ft)</t>
        </is>
      </c>
      <c r="G267" s="9" t="inlineStr">
        <is>
          <t>SFC-1</t>
        </is>
      </c>
      <c r="H267" s="9" t="inlineStr">
        <is>
          <t>SFC-1: GT1 static starter (LCI) and isolation transformer</t>
        </is>
      </c>
      <c r="I267" s="9" t="inlineStr">
        <is>
          <t>Control</t>
        </is>
      </c>
      <c r="J267" s="9" t="inlineStr">
        <is>
          <t>Control cable 600 V Type TC-ER, Cu #10 AWG (CT / VT circuits)</t>
        </is>
      </c>
      <c r="K267" s="9" t="inlineStr">
        <is>
          <t>CTCT|4/C|10</t>
        </is>
      </c>
      <c r="L267" s="9" t="inlineStr">
        <is>
          <t>4/C</t>
        </is>
      </c>
      <c r="M267" s="9" t="inlineStr">
        <is>
          <t>10</t>
        </is>
      </c>
      <c r="N267" s="9" t="n">
        <v>1</v>
      </c>
      <c r="O267" s="9" t="n">
        <v>1</v>
      </c>
      <c r="P267" s="9" t="n"/>
      <c r="Q267" s="9" t="n"/>
      <c r="R267" s="9" t="n"/>
      <c r="S267" s="9" t="inlineStr">
        <is>
          <t>Tray</t>
        </is>
      </c>
      <c r="T267" s="10" t="n">
        <v>1036</v>
      </c>
      <c r="U267" s="10" t="n">
        <v>108</v>
      </c>
      <c r="V267" s="10">
        <f>ROUNDUP((T267+U267+2*'Read Me'!$B$13)*(1+'Read Me'!$B$12),-1)</f>
        <v/>
      </c>
      <c r="W267" s="10">
        <f>V267*N267*O267</f>
        <v/>
      </c>
      <c r="X267" s="9">
        <f>IF(LEFT(I267,2)="MV",2*N267*IF(L267="1/C",O267,1),0)</f>
        <v/>
      </c>
      <c r="Y267" s="9">
        <f>IF(OR(LEFT(K267,4)="LVAX",LEFT(K267,6)="MV15AX",LEFT(K267,4)="CTAX",LEFT(K267,2)="W|"),2*N267*O267,0)</f>
        <v/>
      </c>
      <c r="Z267" s="9" t="inlineStr"/>
    </row>
    <row r="268">
      <c r="A268" s="9" t="inlineStr">
        <is>
          <t>A-C-0256</t>
        </is>
      </c>
      <c r="B268" s="9" t="inlineStr">
        <is>
          <t>A</t>
        </is>
      </c>
      <c r="C268" s="9" t="inlineStr">
        <is>
          <t>Power block</t>
        </is>
      </c>
      <c r="D268" s="9" t="inlineStr">
        <is>
          <t>CT / VT</t>
        </is>
      </c>
      <c r="E268" s="9" t="inlineStr">
        <is>
          <t>R2B</t>
        </is>
      </c>
      <c r="F268" s="9" t="inlineStr">
        <is>
          <t>R2B: unit / HRSG electrical e-house (32 x 40 ft)</t>
        </is>
      </c>
      <c r="G268" s="9" t="inlineStr">
        <is>
          <t>SFC-1</t>
        </is>
      </c>
      <c r="H268" s="9" t="inlineStr">
        <is>
          <t>SFC-1: GT1 static starter (LCI) and isolation transformer</t>
        </is>
      </c>
      <c r="I268" s="9" t="inlineStr">
        <is>
          <t>Control</t>
        </is>
      </c>
      <c r="J268" s="9" t="inlineStr">
        <is>
          <t>Control cable 600 V Type TC-ER, Cu #10 AWG (CT / VT circuits)</t>
        </is>
      </c>
      <c r="K268" s="9" t="inlineStr">
        <is>
          <t>CTCT|4/C|10</t>
        </is>
      </c>
      <c r="L268" s="9" t="inlineStr">
        <is>
          <t>4/C</t>
        </is>
      </c>
      <c r="M268" s="9" t="inlineStr">
        <is>
          <t>10</t>
        </is>
      </c>
      <c r="N268" s="9" t="n">
        <v>1</v>
      </c>
      <c r="O268" s="9" t="n">
        <v>1</v>
      </c>
      <c r="P268" s="9" t="n"/>
      <c r="Q268" s="9" t="n"/>
      <c r="R268" s="9" t="n"/>
      <c r="S268" s="9" t="inlineStr">
        <is>
          <t>Tray</t>
        </is>
      </c>
      <c r="T268" s="10" t="n">
        <v>1036</v>
      </c>
      <c r="U268" s="10" t="n">
        <v>108</v>
      </c>
      <c r="V268" s="10">
        <f>ROUNDUP((T268+U268+2*'Read Me'!$B$13)*(1+'Read Me'!$B$12),-1)</f>
        <v/>
      </c>
      <c r="W268" s="10">
        <f>V268*N268*O268</f>
        <v/>
      </c>
      <c r="X268" s="9">
        <f>IF(LEFT(I268,2)="MV",2*N268*IF(L268="1/C",O268,1),0)</f>
        <v/>
      </c>
      <c r="Y268" s="9">
        <f>IF(OR(LEFT(K268,4)="LVAX",LEFT(K268,6)="MV15AX",LEFT(K268,4)="CTAX",LEFT(K268,2)="W|"),2*N268*O268,0)</f>
        <v/>
      </c>
      <c r="Z268" s="9" t="inlineStr"/>
    </row>
    <row r="269">
      <c r="A269" s="9" t="inlineStr">
        <is>
          <t>A-C-0257</t>
        </is>
      </c>
      <c r="B269" s="9" t="inlineStr">
        <is>
          <t>A</t>
        </is>
      </c>
      <c r="C269" s="9" t="inlineStr">
        <is>
          <t>Power block</t>
        </is>
      </c>
      <c r="D269" s="9" t="inlineStr">
        <is>
          <t>Control</t>
        </is>
      </c>
      <c r="E269" s="9" t="inlineStr">
        <is>
          <t>R2C</t>
        </is>
      </c>
      <c r="F269" s="9" t="inlineStr">
        <is>
          <t>R2C: unit / HRSG electrical e-house (32 x 40 ft)</t>
        </is>
      </c>
      <c r="G269" s="9" t="inlineStr">
        <is>
          <t>SFC-2</t>
        </is>
      </c>
      <c r="H269" s="9" t="inlineStr">
        <is>
          <t>SFC-2: GT2 static starter (LCI) and isolation transformer</t>
        </is>
      </c>
      <c r="I269" s="9" t="inlineStr">
        <is>
          <t>Control</t>
        </is>
      </c>
      <c r="J269" s="9" t="inlineStr">
        <is>
          <t>Control cable 600 V Type TC-ER, Cu #14 AWG, PVC jacket</t>
        </is>
      </c>
      <c r="K269" s="9" t="inlineStr">
        <is>
          <t>CT|7/C|14</t>
        </is>
      </c>
      <c r="L269" s="9" t="inlineStr">
        <is>
          <t>7/C</t>
        </is>
      </c>
      <c r="M269" s="9" t="inlineStr">
        <is>
          <t>14</t>
        </is>
      </c>
      <c r="N269" s="9" t="n">
        <v>1</v>
      </c>
      <c r="O269" s="9" t="n">
        <v>1</v>
      </c>
      <c r="P269" s="9" t="n"/>
      <c r="Q269" s="9" t="n"/>
      <c r="R269" s="9" t="n"/>
      <c r="S269" s="9" t="inlineStr">
        <is>
          <t>Tray</t>
        </is>
      </c>
      <c r="T269" s="10" t="n">
        <v>1356</v>
      </c>
      <c r="U269" s="10" t="n">
        <v>108</v>
      </c>
      <c r="V269" s="10">
        <f>ROUNDUP((T269+U269+2*'Read Me'!$B$13)*(1+'Read Me'!$B$12),-1)</f>
        <v/>
      </c>
      <c r="W269" s="10">
        <f>V269*N269*O269</f>
        <v/>
      </c>
      <c r="X269" s="9">
        <f>IF(LEFT(I269,2)="MV",2*N269*IF(L269="1/C",O269,1),0)</f>
        <v/>
      </c>
      <c r="Y269" s="9">
        <f>IF(OR(LEFT(K269,4)="LVAX",LEFT(K269,6)="MV15AX",LEFT(K269,4)="CTAX",LEFT(K269,2)="W|"),2*N269*O269,0)</f>
        <v/>
      </c>
      <c r="Z269" s="9" t="inlineStr"/>
    </row>
    <row r="270">
      <c r="A270" s="9" t="inlineStr">
        <is>
          <t>A-C-0258</t>
        </is>
      </c>
      <c r="B270" s="9" t="inlineStr">
        <is>
          <t>A</t>
        </is>
      </c>
      <c r="C270" s="9" t="inlineStr">
        <is>
          <t>Power block</t>
        </is>
      </c>
      <c r="D270" s="9" t="inlineStr">
        <is>
          <t>Control</t>
        </is>
      </c>
      <c r="E270" s="9" t="inlineStr">
        <is>
          <t>R2C</t>
        </is>
      </c>
      <c r="F270" s="9" t="inlineStr">
        <is>
          <t>R2C: unit / HRSG electrical e-house (32 x 40 ft)</t>
        </is>
      </c>
      <c r="G270" s="9" t="inlineStr">
        <is>
          <t>SFC-2</t>
        </is>
      </c>
      <c r="H270" s="9" t="inlineStr">
        <is>
          <t>SFC-2: GT2 static starter (LCI) and isolation transformer</t>
        </is>
      </c>
      <c r="I270" s="9" t="inlineStr">
        <is>
          <t>Control</t>
        </is>
      </c>
      <c r="J270" s="9" t="inlineStr">
        <is>
          <t>Control cable 600 V Type TC-ER, Cu #14 AWG, PVC jacket</t>
        </is>
      </c>
      <c r="K270" s="9" t="inlineStr">
        <is>
          <t>CT|12/C|14</t>
        </is>
      </c>
      <c r="L270" s="9" t="inlineStr">
        <is>
          <t>12/C</t>
        </is>
      </c>
      <c r="M270" s="9" t="inlineStr">
        <is>
          <t>14</t>
        </is>
      </c>
      <c r="N270" s="9" t="n">
        <v>1</v>
      </c>
      <c r="O270" s="9" t="n">
        <v>1</v>
      </c>
      <c r="P270" s="9" t="n"/>
      <c r="Q270" s="9" t="n"/>
      <c r="R270" s="9" t="n"/>
      <c r="S270" s="9" t="inlineStr">
        <is>
          <t>Tray</t>
        </is>
      </c>
      <c r="T270" s="10" t="n">
        <v>1356</v>
      </c>
      <c r="U270" s="10" t="n">
        <v>108</v>
      </c>
      <c r="V270" s="10">
        <f>ROUNDUP((T270+U270+2*'Read Me'!$B$13)*(1+'Read Me'!$B$12),-1)</f>
        <v/>
      </c>
      <c r="W270" s="10">
        <f>V270*N270*O270</f>
        <v/>
      </c>
      <c r="X270" s="9">
        <f>IF(LEFT(I270,2)="MV",2*N270*IF(L270="1/C",O270,1),0)</f>
        <v/>
      </c>
      <c r="Y270" s="9">
        <f>IF(OR(LEFT(K270,4)="LVAX",LEFT(K270,6)="MV15AX",LEFT(K270,4)="CTAX",LEFT(K270,2)="W|"),2*N270*O270,0)</f>
        <v/>
      </c>
      <c r="Z270" s="9" t="inlineStr"/>
    </row>
    <row r="271">
      <c r="A271" s="9" t="inlineStr">
        <is>
          <t>A-C-0259</t>
        </is>
      </c>
      <c r="B271" s="9" t="inlineStr">
        <is>
          <t>A</t>
        </is>
      </c>
      <c r="C271" s="9" t="inlineStr">
        <is>
          <t>Power block</t>
        </is>
      </c>
      <c r="D271" s="9" t="inlineStr">
        <is>
          <t>CT / VT</t>
        </is>
      </c>
      <c r="E271" s="9" t="inlineStr">
        <is>
          <t>R2C</t>
        </is>
      </c>
      <c r="F271" s="9" t="inlineStr">
        <is>
          <t>R2C: unit / HRSG electrical e-house (32 x 40 ft)</t>
        </is>
      </c>
      <c r="G271" s="9" t="inlineStr">
        <is>
          <t>SFC-2</t>
        </is>
      </c>
      <c r="H271" s="9" t="inlineStr">
        <is>
          <t>SFC-2: GT2 static starter (LCI) and isolation transformer</t>
        </is>
      </c>
      <c r="I271" s="9" t="inlineStr">
        <is>
          <t>Control</t>
        </is>
      </c>
      <c r="J271" s="9" t="inlineStr">
        <is>
          <t>Control cable 600 V Type TC-ER, Cu #10 AWG (CT / VT circuits)</t>
        </is>
      </c>
      <c r="K271" s="9" t="inlineStr">
        <is>
          <t>CTCT|4/C|10</t>
        </is>
      </c>
      <c r="L271" s="9" t="inlineStr">
        <is>
          <t>4/C</t>
        </is>
      </c>
      <c r="M271" s="9" t="inlineStr">
        <is>
          <t>10</t>
        </is>
      </c>
      <c r="N271" s="9" t="n">
        <v>1</v>
      </c>
      <c r="O271" s="9" t="n">
        <v>1</v>
      </c>
      <c r="P271" s="9" t="n"/>
      <c r="Q271" s="9" t="n"/>
      <c r="R271" s="9" t="n"/>
      <c r="S271" s="9" t="inlineStr">
        <is>
          <t>Tray</t>
        </is>
      </c>
      <c r="T271" s="10" t="n">
        <v>1356</v>
      </c>
      <c r="U271" s="10" t="n">
        <v>108</v>
      </c>
      <c r="V271" s="10">
        <f>ROUNDUP((T271+U271+2*'Read Me'!$B$13)*(1+'Read Me'!$B$12),-1)</f>
        <v/>
      </c>
      <c r="W271" s="10">
        <f>V271*N271*O271</f>
        <v/>
      </c>
      <c r="X271" s="9">
        <f>IF(LEFT(I271,2)="MV",2*N271*IF(L271="1/C",O271,1),0)</f>
        <v/>
      </c>
      <c r="Y271" s="9">
        <f>IF(OR(LEFT(K271,4)="LVAX",LEFT(K271,6)="MV15AX",LEFT(K271,4)="CTAX",LEFT(K271,2)="W|"),2*N271*O271,0)</f>
        <v/>
      </c>
      <c r="Z271" s="9" t="inlineStr"/>
    </row>
    <row r="272">
      <c r="A272" s="9" t="inlineStr">
        <is>
          <t>A-C-0260</t>
        </is>
      </c>
      <c r="B272" s="9" t="inlineStr">
        <is>
          <t>A</t>
        </is>
      </c>
      <c r="C272" s="9" t="inlineStr">
        <is>
          <t>Power block</t>
        </is>
      </c>
      <c r="D272" s="9" t="inlineStr">
        <is>
          <t>CT / VT</t>
        </is>
      </c>
      <c r="E272" s="9" t="inlineStr">
        <is>
          <t>R2C</t>
        </is>
      </c>
      <c r="F272" s="9" t="inlineStr">
        <is>
          <t>R2C: unit / HRSG electrical e-house (32 x 40 ft)</t>
        </is>
      </c>
      <c r="G272" s="9" t="inlineStr">
        <is>
          <t>SFC-2</t>
        </is>
      </c>
      <c r="H272" s="9" t="inlineStr">
        <is>
          <t>SFC-2: GT2 static starter (LCI) and isolation transformer</t>
        </is>
      </c>
      <c r="I272" s="9" t="inlineStr">
        <is>
          <t>Control</t>
        </is>
      </c>
      <c r="J272" s="9" t="inlineStr">
        <is>
          <t>Control cable 600 V Type TC-ER, Cu #10 AWG (CT / VT circuits)</t>
        </is>
      </c>
      <c r="K272" s="9" t="inlineStr">
        <is>
          <t>CTCT|4/C|10</t>
        </is>
      </c>
      <c r="L272" s="9" t="inlineStr">
        <is>
          <t>4/C</t>
        </is>
      </c>
      <c r="M272" s="9" t="inlineStr">
        <is>
          <t>10</t>
        </is>
      </c>
      <c r="N272" s="9" t="n">
        <v>1</v>
      </c>
      <c r="O272" s="9" t="n">
        <v>1</v>
      </c>
      <c r="P272" s="9" t="n"/>
      <c r="Q272" s="9" t="n"/>
      <c r="R272" s="9" t="n"/>
      <c r="S272" s="9" t="inlineStr">
        <is>
          <t>Tray</t>
        </is>
      </c>
      <c r="T272" s="10" t="n">
        <v>1356</v>
      </c>
      <c r="U272" s="10" t="n">
        <v>108</v>
      </c>
      <c r="V272" s="10">
        <f>ROUNDUP((T272+U272+2*'Read Me'!$B$13)*(1+'Read Me'!$B$12),-1)</f>
        <v/>
      </c>
      <c r="W272" s="10">
        <f>V272*N272*O272</f>
        <v/>
      </c>
      <c r="X272" s="9">
        <f>IF(LEFT(I272,2)="MV",2*N272*IF(L272="1/C",O272,1),0)</f>
        <v/>
      </c>
      <c r="Y272" s="9">
        <f>IF(OR(LEFT(K272,4)="LVAX",LEFT(K272,6)="MV15AX",LEFT(K272,4)="CTAX",LEFT(K272,2)="W|"),2*N272*O272,0)</f>
        <v/>
      </c>
      <c r="Z272" s="9" t="inlineStr"/>
    </row>
    <row r="273">
      <c r="A273" s="9" t="inlineStr">
        <is>
          <t>A-C-0261</t>
        </is>
      </c>
      <c r="B273" s="9" t="inlineStr">
        <is>
          <t>A</t>
        </is>
      </c>
      <c r="C273" s="9" t="inlineStr">
        <is>
          <t>Power block</t>
        </is>
      </c>
      <c r="D273" s="9" t="inlineStr">
        <is>
          <t>Control</t>
        </is>
      </c>
      <c r="E273" s="9" t="inlineStr">
        <is>
          <t>R3</t>
        </is>
      </c>
      <c r="F273" s="9" t="inlineStr">
        <is>
          <t>R3: ST auxiliary electrical e-house (40 x 65 ft)</t>
        </is>
      </c>
      <c r="G273" s="9" t="inlineStr">
        <is>
          <t>SFC-3</t>
        </is>
      </c>
      <c r="H273" s="9" t="inlineStr">
        <is>
          <t>SFC-3: GT3 static starter (LCI) and isolation transformer</t>
        </is>
      </c>
      <c r="I273" s="9" t="inlineStr">
        <is>
          <t>Control</t>
        </is>
      </c>
      <c r="J273" s="9" t="inlineStr">
        <is>
          <t>Control cable 600 V Type TC-ER, Cu #14 AWG, PVC jacket</t>
        </is>
      </c>
      <c r="K273" s="9" t="inlineStr">
        <is>
          <t>CT|7/C|14</t>
        </is>
      </c>
      <c r="L273" s="9" t="inlineStr">
        <is>
          <t>7/C</t>
        </is>
      </c>
      <c r="M273" s="9" t="inlineStr">
        <is>
          <t>14</t>
        </is>
      </c>
      <c r="N273" s="9" t="n">
        <v>1</v>
      </c>
      <c r="O273" s="9" t="n">
        <v>1</v>
      </c>
      <c r="P273" s="9" t="n"/>
      <c r="Q273" s="9" t="n"/>
      <c r="R273" s="9" t="n"/>
      <c r="S273" s="9" t="inlineStr">
        <is>
          <t>Tray</t>
        </is>
      </c>
      <c r="T273" s="10" t="n">
        <v>626</v>
      </c>
      <c r="U273" s="10" t="n">
        <v>110</v>
      </c>
      <c r="V273" s="10">
        <f>ROUNDUP((T273+U273+2*'Read Me'!$B$13)*(1+'Read Me'!$B$12),-1)</f>
        <v/>
      </c>
      <c r="W273" s="10">
        <f>V273*N273*O273</f>
        <v/>
      </c>
      <c r="X273" s="9">
        <f>IF(LEFT(I273,2)="MV",2*N273*IF(L273="1/C",O273,1),0)</f>
        <v/>
      </c>
      <c r="Y273" s="9">
        <f>IF(OR(LEFT(K273,4)="LVAX",LEFT(K273,6)="MV15AX",LEFT(K273,4)="CTAX",LEFT(K273,2)="W|"),2*N273*O273,0)</f>
        <v/>
      </c>
      <c r="Z273" s="9" t="inlineStr"/>
    </row>
    <row r="274">
      <c r="A274" s="9" t="inlineStr">
        <is>
          <t>A-C-0262</t>
        </is>
      </c>
      <c r="B274" s="9" t="inlineStr">
        <is>
          <t>A</t>
        </is>
      </c>
      <c r="C274" s="9" t="inlineStr">
        <is>
          <t>Power block</t>
        </is>
      </c>
      <c r="D274" s="9" t="inlineStr">
        <is>
          <t>Control</t>
        </is>
      </c>
      <c r="E274" s="9" t="inlineStr">
        <is>
          <t>R3</t>
        </is>
      </c>
      <c r="F274" s="9" t="inlineStr">
        <is>
          <t>R3: ST auxiliary electrical e-house (40 x 65 ft)</t>
        </is>
      </c>
      <c r="G274" s="9" t="inlineStr">
        <is>
          <t>SFC-3</t>
        </is>
      </c>
      <c r="H274" s="9" t="inlineStr">
        <is>
          <t>SFC-3: GT3 static starter (LCI) and isolation transformer</t>
        </is>
      </c>
      <c r="I274" s="9" t="inlineStr">
        <is>
          <t>Control</t>
        </is>
      </c>
      <c r="J274" s="9" t="inlineStr">
        <is>
          <t>Control cable 600 V Type TC-ER, Cu #14 AWG, PVC jacket</t>
        </is>
      </c>
      <c r="K274" s="9" t="inlineStr">
        <is>
          <t>CT|12/C|14</t>
        </is>
      </c>
      <c r="L274" s="9" t="inlineStr">
        <is>
          <t>12/C</t>
        </is>
      </c>
      <c r="M274" s="9" t="inlineStr">
        <is>
          <t>14</t>
        </is>
      </c>
      <c r="N274" s="9" t="n">
        <v>1</v>
      </c>
      <c r="O274" s="9" t="n">
        <v>1</v>
      </c>
      <c r="P274" s="9" t="n"/>
      <c r="Q274" s="9" t="n"/>
      <c r="R274" s="9" t="n"/>
      <c r="S274" s="9" t="inlineStr">
        <is>
          <t>Tray</t>
        </is>
      </c>
      <c r="T274" s="10" t="n">
        <v>626</v>
      </c>
      <c r="U274" s="10" t="n">
        <v>110</v>
      </c>
      <c r="V274" s="10">
        <f>ROUNDUP((T274+U274+2*'Read Me'!$B$13)*(1+'Read Me'!$B$12),-1)</f>
        <v/>
      </c>
      <c r="W274" s="10">
        <f>V274*N274*O274</f>
        <v/>
      </c>
      <c r="X274" s="9">
        <f>IF(LEFT(I274,2)="MV",2*N274*IF(L274="1/C",O274,1),0)</f>
        <v/>
      </c>
      <c r="Y274" s="9">
        <f>IF(OR(LEFT(K274,4)="LVAX",LEFT(K274,6)="MV15AX",LEFT(K274,4)="CTAX",LEFT(K274,2)="W|"),2*N274*O274,0)</f>
        <v/>
      </c>
      <c r="Z274" s="9" t="inlineStr"/>
    </row>
    <row r="275">
      <c r="A275" s="9" t="inlineStr">
        <is>
          <t>A-C-0263</t>
        </is>
      </c>
      <c r="B275" s="9" t="inlineStr">
        <is>
          <t>A</t>
        </is>
      </c>
      <c r="C275" s="9" t="inlineStr">
        <is>
          <t>Power block</t>
        </is>
      </c>
      <c r="D275" s="9" t="inlineStr">
        <is>
          <t>CT / VT</t>
        </is>
      </c>
      <c r="E275" s="9" t="inlineStr">
        <is>
          <t>R3</t>
        </is>
      </c>
      <c r="F275" s="9" t="inlineStr">
        <is>
          <t>R3: ST auxiliary electrical e-house (40 x 65 ft)</t>
        </is>
      </c>
      <c r="G275" s="9" t="inlineStr">
        <is>
          <t>SFC-3</t>
        </is>
      </c>
      <c r="H275" s="9" t="inlineStr">
        <is>
          <t>SFC-3: GT3 static starter (LCI) and isolation transformer</t>
        </is>
      </c>
      <c r="I275" s="9" t="inlineStr">
        <is>
          <t>Control</t>
        </is>
      </c>
      <c r="J275" s="9" t="inlineStr">
        <is>
          <t>Control cable 600 V Type TC-ER, Cu #10 AWG (CT / VT circuits)</t>
        </is>
      </c>
      <c r="K275" s="9" t="inlineStr">
        <is>
          <t>CTCT|4/C|10</t>
        </is>
      </c>
      <c r="L275" s="9" t="inlineStr">
        <is>
          <t>4/C</t>
        </is>
      </c>
      <c r="M275" s="9" t="inlineStr">
        <is>
          <t>10</t>
        </is>
      </c>
      <c r="N275" s="9" t="n">
        <v>1</v>
      </c>
      <c r="O275" s="9" t="n">
        <v>1</v>
      </c>
      <c r="P275" s="9" t="n"/>
      <c r="Q275" s="9" t="n"/>
      <c r="R275" s="9" t="n"/>
      <c r="S275" s="9" t="inlineStr">
        <is>
          <t>Tray</t>
        </is>
      </c>
      <c r="T275" s="10" t="n">
        <v>626</v>
      </c>
      <c r="U275" s="10" t="n">
        <v>110</v>
      </c>
      <c r="V275" s="10">
        <f>ROUNDUP((T275+U275+2*'Read Me'!$B$13)*(1+'Read Me'!$B$12),-1)</f>
        <v/>
      </c>
      <c r="W275" s="10">
        <f>V275*N275*O275</f>
        <v/>
      </c>
      <c r="X275" s="9">
        <f>IF(LEFT(I275,2)="MV",2*N275*IF(L275="1/C",O275,1),0)</f>
        <v/>
      </c>
      <c r="Y275" s="9">
        <f>IF(OR(LEFT(K275,4)="LVAX",LEFT(K275,6)="MV15AX",LEFT(K275,4)="CTAX",LEFT(K275,2)="W|"),2*N275*O275,0)</f>
        <v/>
      </c>
      <c r="Z275" s="9" t="inlineStr"/>
    </row>
    <row r="276">
      <c r="A276" s="9" t="inlineStr">
        <is>
          <t>A-C-0264</t>
        </is>
      </c>
      <c r="B276" s="9" t="inlineStr">
        <is>
          <t>A</t>
        </is>
      </c>
      <c r="C276" s="9" t="inlineStr">
        <is>
          <t>Power block</t>
        </is>
      </c>
      <c r="D276" s="9" t="inlineStr">
        <is>
          <t>CT / VT</t>
        </is>
      </c>
      <c r="E276" s="9" t="inlineStr">
        <is>
          <t>R3</t>
        </is>
      </c>
      <c r="F276" s="9" t="inlineStr">
        <is>
          <t>R3: ST auxiliary electrical e-house (40 x 65 ft)</t>
        </is>
      </c>
      <c r="G276" s="9" t="inlineStr">
        <is>
          <t>SFC-3</t>
        </is>
      </c>
      <c r="H276" s="9" t="inlineStr">
        <is>
          <t>SFC-3: GT3 static starter (LCI) and isolation transformer</t>
        </is>
      </c>
      <c r="I276" s="9" t="inlineStr">
        <is>
          <t>Control</t>
        </is>
      </c>
      <c r="J276" s="9" t="inlineStr">
        <is>
          <t>Control cable 600 V Type TC-ER, Cu #10 AWG (CT / VT circuits)</t>
        </is>
      </c>
      <c r="K276" s="9" t="inlineStr">
        <is>
          <t>CTCT|4/C|10</t>
        </is>
      </c>
      <c r="L276" s="9" t="inlineStr">
        <is>
          <t>4/C</t>
        </is>
      </c>
      <c r="M276" s="9" t="inlineStr">
        <is>
          <t>10</t>
        </is>
      </c>
      <c r="N276" s="9" t="n">
        <v>1</v>
      </c>
      <c r="O276" s="9" t="n">
        <v>1</v>
      </c>
      <c r="P276" s="9" t="n"/>
      <c r="Q276" s="9" t="n"/>
      <c r="R276" s="9" t="n"/>
      <c r="S276" s="9" t="inlineStr">
        <is>
          <t>Tray</t>
        </is>
      </c>
      <c r="T276" s="10" t="n">
        <v>626</v>
      </c>
      <c r="U276" s="10" t="n">
        <v>110</v>
      </c>
      <c r="V276" s="10">
        <f>ROUNDUP((T276+U276+2*'Read Me'!$B$13)*(1+'Read Me'!$B$12),-1)</f>
        <v/>
      </c>
      <c r="W276" s="10">
        <f>V276*N276*O276</f>
        <v/>
      </c>
      <c r="X276" s="9">
        <f>IF(LEFT(I276,2)="MV",2*N276*IF(L276="1/C",O276,1),0)</f>
        <v/>
      </c>
      <c r="Y276" s="9">
        <f>IF(OR(LEFT(K276,4)="LVAX",LEFT(K276,6)="MV15AX",LEFT(K276,4)="CTAX",LEFT(K276,2)="W|"),2*N276*O276,0)</f>
        <v/>
      </c>
      <c r="Z276" s="9" t="inlineStr"/>
    </row>
    <row r="277">
      <c r="A277" s="9" t="inlineStr">
        <is>
          <t>A-C-0265</t>
        </is>
      </c>
      <c r="B277" s="9" t="inlineStr">
        <is>
          <t>A</t>
        </is>
      </c>
      <c r="C277" s="9" t="inlineStr">
        <is>
          <t>Power block</t>
        </is>
      </c>
      <c r="D277" s="9" t="inlineStr">
        <is>
          <t>Control</t>
        </is>
      </c>
      <c r="E277" s="9" t="inlineStr">
        <is>
          <t>R2A</t>
        </is>
      </c>
      <c r="F277" s="9" t="inlineStr">
        <is>
          <t>R2A: unit / HRSG electrical e-house (32 x 40 ft)</t>
        </is>
      </c>
      <c r="G277" s="9" t="inlineStr">
        <is>
          <t>SOS-1</t>
        </is>
      </c>
      <c r="H277" s="9" t="inlineStr">
        <is>
          <t>SOS-1: GTG-1 seal-oil and H2 / CO2 gas-control skid</t>
        </is>
      </c>
      <c r="I277" s="9" t="inlineStr">
        <is>
          <t>Control</t>
        </is>
      </c>
      <c r="J277" s="9" t="inlineStr">
        <is>
          <t>ARMOR-X MC-HL 600 V control, Cu #14 AWG (Class I Div 2)</t>
        </is>
      </c>
      <c r="K277" s="9" t="inlineStr">
        <is>
          <t>CTAX|7/C|14</t>
        </is>
      </c>
      <c r="L277" s="9" t="inlineStr">
        <is>
          <t>7/C</t>
        </is>
      </c>
      <c r="M277" s="9" t="inlineStr">
        <is>
          <t>14</t>
        </is>
      </c>
      <c r="N277" s="9" t="n">
        <v>1</v>
      </c>
      <c r="O277" s="9" t="n">
        <v>1</v>
      </c>
      <c r="P277" s="9" t="n"/>
      <c r="Q277" s="9" t="n"/>
      <c r="R277" s="9" t="n"/>
      <c r="S277" s="9" t="inlineStr">
        <is>
          <t>Tray</t>
        </is>
      </c>
      <c r="T277" s="10" t="n">
        <v>258</v>
      </c>
      <c r="U277" s="10" t="n">
        <v>100</v>
      </c>
      <c r="V277" s="10">
        <f>ROUNDUP((T277+U277+2*'Read Me'!$B$13)*(1+'Read Me'!$B$12),-1)</f>
        <v/>
      </c>
      <c r="W277" s="10">
        <f>V277*N277*O277</f>
        <v/>
      </c>
      <c r="X277" s="9">
        <f>IF(LEFT(I277,2)="MV",2*N277*IF(L277="1/C",O277,1),0)</f>
        <v/>
      </c>
      <c r="Y277" s="9">
        <f>IF(OR(LEFT(K277,4)="LVAX",LEFT(K277,6)="MV15AX",LEFT(K277,4)="CTAX",LEFT(K277,2)="W|"),2*N277*O277,0)</f>
        <v/>
      </c>
      <c r="Z277" s="9" t="inlineStr"/>
    </row>
    <row r="278">
      <c r="A278" s="9" t="inlineStr">
        <is>
          <t>A-C-0266</t>
        </is>
      </c>
      <c r="B278" s="9" t="inlineStr">
        <is>
          <t>A</t>
        </is>
      </c>
      <c r="C278" s="9" t="inlineStr">
        <is>
          <t>Power block</t>
        </is>
      </c>
      <c r="D278" s="9" t="inlineStr">
        <is>
          <t>Control</t>
        </is>
      </c>
      <c r="E278" s="9" t="inlineStr">
        <is>
          <t>R2A</t>
        </is>
      </c>
      <c r="F278" s="9" t="inlineStr">
        <is>
          <t>R2A: unit / HRSG electrical e-house (32 x 40 ft)</t>
        </is>
      </c>
      <c r="G278" s="9" t="inlineStr">
        <is>
          <t>SOS-1</t>
        </is>
      </c>
      <c r="H278" s="9" t="inlineStr">
        <is>
          <t>SOS-1: GTG-1 seal-oil and H2 / CO2 gas-control skid</t>
        </is>
      </c>
      <c r="I278" s="9" t="inlineStr">
        <is>
          <t>Control</t>
        </is>
      </c>
      <c r="J278" s="9" t="inlineStr">
        <is>
          <t>ARMOR-X MC-HL 600 V control, Cu #14 AWG (Class I Div 2)</t>
        </is>
      </c>
      <c r="K278" s="9" t="inlineStr">
        <is>
          <t>CTAX|7/C|14</t>
        </is>
      </c>
      <c r="L278" s="9" t="inlineStr">
        <is>
          <t>7/C</t>
        </is>
      </c>
      <c r="M278" s="9" t="inlineStr">
        <is>
          <t>14</t>
        </is>
      </c>
      <c r="N278" s="9" t="n">
        <v>1</v>
      </c>
      <c r="O278" s="9" t="n">
        <v>1</v>
      </c>
      <c r="P278" s="9" t="n"/>
      <c r="Q278" s="9" t="n"/>
      <c r="R278" s="9" t="n"/>
      <c r="S278" s="9" t="inlineStr">
        <is>
          <t>Tray</t>
        </is>
      </c>
      <c r="T278" s="10" t="n">
        <v>258</v>
      </c>
      <c r="U278" s="10" t="n">
        <v>100</v>
      </c>
      <c r="V278" s="10">
        <f>ROUNDUP((T278+U278+2*'Read Me'!$B$13)*(1+'Read Me'!$B$12),-1)</f>
        <v/>
      </c>
      <c r="W278" s="10">
        <f>V278*N278*O278</f>
        <v/>
      </c>
      <c r="X278" s="9">
        <f>IF(LEFT(I278,2)="MV",2*N278*IF(L278="1/C",O278,1),0)</f>
        <v/>
      </c>
      <c r="Y278" s="9">
        <f>IF(OR(LEFT(K278,4)="LVAX",LEFT(K278,6)="MV15AX",LEFT(K278,4)="CTAX",LEFT(K278,2)="W|"),2*N278*O278,0)</f>
        <v/>
      </c>
      <c r="Z278" s="9" t="inlineStr"/>
    </row>
    <row r="279">
      <c r="A279" s="9" t="inlineStr">
        <is>
          <t>A-C-0267</t>
        </is>
      </c>
      <c r="B279" s="9" t="inlineStr">
        <is>
          <t>A</t>
        </is>
      </c>
      <c r="C279" s="9" t="inlineStr">
        <is>
          <t>Power block</t>
        </is>
      </c>
      <c r="D279" s="9" t="inlineStr">
        <is>
          <t>Control</t>
        </is>
      </c>
      <c r="E279" s="9" t="inlineStr">
        <is>
          <t>R2A</t>
        </is>
      </c>
      <c r="F279" s="9" t="inlineStr">
        <is>
          <t>R2A: unit / HRSG electrical e-house (32 x 40 ft)</t>
        </is>
      </c>
      <c r="G279" s="9" t="inlineStr">
        <is>
          <t>SOS-1</t>
        </is>
      </c>
      <c r="H279" s="9" t="inlineStr">
        <is>
          <t>SOS-1: GTG-1 seal-oil and H2 / CO2 gas-control skid</t>
        </is>
      </c>
      <c r="I279" s="9" t="inlineStr">
        <is>
          <t>Control</t>
        </is>
      </c>
      <c r="J279" s="9" t="inlineStr">
        <is>
          <t>ARMOR-X MC-HL 600 V control, Cu #14 AWG (Class I Div 2)</t>
        </is>
      </c>
      <c r="K279" s="9" t="inlineStr">
        <is>
          <t>CTAX|12/C|14</t>
        </is>
      </c>
      <c r="L279" s="9" t="inlineStr">
        <is>
          <t>12/C</t>
        </is>
      </c>
      <c r="M279" s="9" t="inlineStr">
        <is>
          <t>14</t>
        </is>
      </c>
      <c r="N279" s="9" t="n">
        <v>1</v>
      </c>
      <c r="O279" s="9" t="n">
        <v>1</v>
      </c>
      <c r="P279" s="9" t="n"/>
      <c r="Q279" s="9" t="n"/>
      <c r="R279" s="9" t="n"/>
      <c r="S279" s="9" t="inlineStr">
        <is>
          <t>Tray</t>
        </is>
      </c>
      <c r="T279" s="10" t="n">
        <v>258</v>
      </c>
      <c r="U279" s="10" t="n">
        <v>100</v>
      </c>
      <c r="V279" s="10">
        <f>ROUNDUP((T279+U279+2*'Read Me'!$B$13)*(1+'Read Me'!$B$12),-1)</f>
        <v/>
      </c>
      <c r="W279" s="10">
        <f>V279*N279*O279</f>
        <v/>
      </c>
      <c r="X279" s="9">
        <f>IF(LEFT(I279,2)="MV",2*N279*IF(L279="1/C",O279,1),0)</f>
        <v/>
      </c>
      <c r="Y279" s="9">
        <f>IF(OR(LEFT(K279,4)="LVAX",LEFT(K279,6)="MV15AX",LEFT(K279,4)="CTAX",LEFT(K279,2)="W|"),2*N279*O279,0)</f>
        <v/>
      </c>
      <c r="Z279" s="9" t="inlineStr"/>
    </row>
    <row r="280">
      <c r="A280" s="9" t="inlineStr">
        <is>
          <t>A-C-0268</t>
        </is>
      </c>
      <c r="B280" s="9" t="inlineStr">
        <is>
          <t>A</t>
        </is>
      </c>
      <c r="C280" s="9" t="inlineStr">
        <is>
          <t>Power block</t>
        </is>
      </c>
      <c r="D280" s="9" t="inlineStr">
        <is>
          <t>Control</t>
        </is>
      </c>
      <c r="E280" s="9" t="inlineStr">
        <is>
          <t>R2A</t>
        </is>
      </c>
      <c r="F280" s="9" t="inlineStr">
        <is>
          <t>R2A: unit / HRSG electrical e-house (32 x 40 ft)</t>
        </is>
      </c>
      <c r="G280" s="9" t="inlineStr">
        <is>
          <t>SOS-1</t>
        </is>
      </c>
      <c r="H280" s="9" t="inlineStr">
        <is>
          <t>SOS-1: GTG-1 seal-oil and H2 / CO2 gas-control skid</t>
        </is>
      </c>
      <c r="I280" s="9" t="inlineStr">
        <is>
          <t>Control</t>
        </is>
      </c>
      <c r="J280" s="9" t="inlineStr">
        <is>
          <t>ARMOR-X MC-HL 600 V control, Cu #14 AWG (Class I Div 2)</t>
        </is>
      </c>
      <c r="K280" s="9" t="inlineStr">
        <is>
          <t>CTAX|12/C|14</t>
        </is>
      </c>
      <c r="L280" s="9" t="inlineStr">
        <is>
          <t>12/C</t>
        </is>
      </c>
      <c r="M280" s="9" t="inlineStr">
        <is>
          <t>14</t>
        </is>
      </c>
      <c r="N280" s="9" t="n">
        <v>1</v>
      </c>
      <c r="O280" s="9" t="n">
        <v>1</v>
      </c>
      <c r="P280" s="9" t="n"/>
      <c r="Q280" s="9" t="n"/>
      <c r="R280" s="9" t="n"/>
      <c r="S280" s="9" t="inlineStr">
        <is>
          <t>Tray</t>
        </is>
      </c>
      <c r="T280" s="10" t="n">
        <v>258</v>
      </c>
      <c r="U280" s="10" t="n">
        <v>100</v>
      </c>
      <c r="V280" s="10">
        <f>ROUNDUP((T280+U280+2*'Read Me'!$B$13)*(1+'Read Me'!$B$12),-1)</f>
        <v/>
      </c>
      <c r="W280" s="10">
        <f>V280*N280*O280</f>
        <v/>
      </c>
      <c r="X280" s="9">
        <f>IF(LEFT(I280,2)="MV",2*N280*IF(L280="1/C",O280,1),0)</f>
        <v/>
      </c>
      <c r="Y280" s="9">
        <f>IF(OR(LEFT(K280,4)="LVAX",LEFT(K280,6)="MV15AX",LEFT(K280,4)="CTAX",LEFT(K280,2)="W|"),2*N280*O280,0)</f>
        <v/>
      </c>
      <c r="Z280" s="9" t="inlineStr"/>
    </row>
    <row r="281">
      <c r="A281" s="9" t="inlineStr">
        <is>
          <t>A-C-0269</t>
        </is>
      </c>
      <c r="B281" s="9" t="inlineStr">
        <is>
          <t>A</t>
        </is>
      </c>
      <c r="C281" s="9" t="inlineStr">
        <is>
          <t>Power block</t>
        </is>
      </c>
      <c r="D281" s="9" t="inlineStr">
        <is>
          <t>Control</t>
        </is>
      </c>
      <c r="E281" s="9" t="inlineStr">
        <is>
          <t>R2A</t>
        </is>
      </c>
      <c r="F281" s="9" t="inlineStr">
        <is>
          <t>R2A: unit / HRSG electrical e-house (32 x 40 ft)</t>
        </is>
      </c>
      <c r="G281" s="9" t="inlineStr">
        <is>
          <t>SOS-1</t>
        </is>
      </c>
      <c r="H281" s="9" t="inlineStr">
        <is>
          <t>SOS-1: GTG-1 seal-oil and H2 / CO2 gas-control skid</t>
        </is>
      </c>
      <c r="I281" s="9" t="inlineStr">
        <is>
          <t>Control</t>
        </is>
      </c>
      <c r="J281" s="9" t="inlineStr">
        <is>
          <t>ARMOR-X MC-HL 600 V control, Cu #14 AWG (Class I Div 2)</t>
        </is>
      </c>
      <c r="K281" s="9" t="inlineStr">
        <is>
          <t>CTAX|12/C|14</t>
        </is>
      </c>
      <c r="L281" s="9" t="inlineStr">
        <is>
          <t>12/C</t>
        </is>
      </c>
      <c r="M281" s="9" t="inlineStr">
        <is>
          <t>14</t>
        </is>
      </c>
      <c r="N281" s="9" t="n">
        <v>1</v>
      </c>
      <c r="O281" s="9" t="n">
        <v>1</v>
      </c>
      <c r="P281" s="9" t="n"/>
      <c r="Q281" s="9" t="n"/>
      <c r="R281" s="9" t="n"/>
      <c r="S281" s="9" t="inlineStr">
        <is>
          <t>Tray</t>
        </is>
      </c>
      <c r="T281" s="10" t="n">
        <v>258</v>
      </c>
      <c r="U281" s="10" t="n">
        <v>100</v>
      </c>
      <c r="V281" s="10">
        <f>ROUNDUP((T281+U281+2*'Read Me'!$B$13)*(1+'Read Me'!$B$12),-1)</f>
        <v/>
      </c>
      <c r="W281" s="10">
        <f>V281*N281*O281</f>
        <v/>
      </c>
      <c r="X281" s="9">
        <f>IF(LEFT(I281,2)="MV",2*N281*IF(L281="1/C",O281,1),0)</f>
        <v/>
      </c>
      <c r="Y281" s="9">
        <f>IF(OR(LEFT(K281,4)="LVAX",LEFT(K281,6)="MV15AX",LEFT(K281,4)="CTAX",LEFT(K281,2)="W|"),2*N281*O281,0)</f>
        <v/>
      </c>
      <c r="Z281" s="9" t="inlineStr"/>
    </row>
    <row r="282">
      <c r="A282" s="9" t="inlineStr">
        <is>
          <t>A-C-0270</t>
        </is>
      </c>
      <c r="B282" s="9" t="inlineStr">
        <is>
          <t>A</t>
        </is>
      </c>
      <c r="C282" s="9" t="inlineStr">
        <is>
          <t>Power block</t>
        </is>
      </c>
      <c r="D282" s="9" t="inlineStr">
        <is>
          <t>Control</t>
        </is>
      </c>
      <c r="E282" s="9" t="inlineStr">
        <is>
          <t>R2A</t>
        </is>
      </c>
      <c r="F282" s="9" t="inlineStr">
        <is>
          <t>R2A: unit / HRSG electrical e-house (32 x 40 ft)</t>
        </is>
      </c>
      <c r="G282" s="9" t="inlineStr">
        <is>
          <t>SOS-1</t>
        </is>
      </c>
      <c r="H282" s="9" t="inlineStr">
        <is>
          <t>SOS-1: GTG-1 seal-oil and H2 / CO2 gas-control skid</t>
        </is>
      </c>
      <c r="I282" s="9" t="inlineStr">
        <is>
          <t>Control</t>
        </is>
      </c>
      <c r="J282" s="9" t="inlineStr">
        <is>
          <t>ARMOR-X MC-HL 600 V control, Cu #14 AWG (Class I Div 2)</t>
        </is>
      </c>
      <c r="K282" s="9" t="inlineStr">
        <is>
          <t>CTAX|12/C|14</t>
        </is>
      </c>
      <c r="L282" s="9" t="inlineStr">
        <is>
          <t>12/C</t>
        </is>
      </c>
      <c r="M282" s="9" t="inlineStr">
        <is>
          <t>14</t>
        </is>
      </c>
      <c r="N282" s="9" t="n">
        <v>1</v>
      </c>
      <c r="O282" s="9" t="n">
        <v>1</v>
      </c>
      <c r="P282" s="9" t="n"/>
      <c r="Q282" s="9" t="n"/>
      <c r="R282" s="9" t="n"/>
      <c r="S282" s="9" t="inlineStr">
        <is>
          <t>Tray</t>
        </is>
      </c>
      <c r="T282" s="10" t="n">
        <v>258</v>
      </c>
      <c r="U282" s="10" t="n">
        <v>100</v>
      </c>
      <c r="V282" s="10">
        <f>ROUNDUP((T282+U282+2*'Read Me'!$B$13)*(1+'Read Me'!$B$12),-1)</f>
        <v/>
      </c>
      <c r="W282" s="10">
        <f>V282*N282*O282</f>
        <v/>
      </c>
      <c r="X282" s="9">
        <f>IF(LEFT(I282,2)="MV",2*N282*IF(L282="1/C",O282,1),0)</f>
        <v/>
      </c>
      <c r="Y282" s="9">
        <f>IF(OR(LEFT(K282,4)="LVAX",LEFT(K282,6)="MV15AX",LEFT(K282,4)="CTAX",LEFT(K282,2)="W|"),2*N282*O282,0)</f>
        <v/>
      </c>
      <c r="Z282" s="9" t="inlineStr"/>
    </row>
    <row r="283">
      <c r="A283" s="9" t="inlineStr">
        <is>
          <t>A-C-0271</t>
        </is>
      </c>
      <c r="B283" s="9" t="inlineStr">
        <is>
          <t>A</t>
        </is>
      </c>
      <c r="C283" s="9" t="inlineStr">
        <is>
          <t>Power block</t>
        </is>
      </c>
      <c r="D283" s="9" t="inlineStr">
        <is>
          <t>Control</t>
        </is>
      </c>
      <c r="E283" s="9" t="inlineStr">
        <is>
          <t>R2A</t>
        </is>
      </c>
      <c r="F283" s="9" t="inlineStr">
        <is>
          <t>R2A: unit / HRSG electrical e-house (32 x 40 ft)</t>
        </is>
      </c>
      <c r="G283" s="9" t="inlineStr">
        <is>
          <t>SOS-1</t>
        </is>
      </c>
      <c r="H283" s="9" t="inlineStr">
        <is>
          <t>SOS-1: GTG-1 seal-oil and H2 / CO2 gas-control skid</t>
        </is>
      </c>
      <c r="I283" s="9" t="inlineStr">
        <is>
          <t>Control</t>
        </is>
      </c>
      <c r="J283" s="9" t="inlineStr">
        <is>
          <t>ARMOR-X MC-HL 600 V control, Cu #14 AWG (Class I Div 2)</t>
        </is>
      </c>
      <c r="K283" s="9" t="inlineStr">
        <is>
          <t>CTAX|12/C|14</t>
        </is>
      </c>
      <c r="L283" s="9" t="inlineStr">
        <is>
          <t>12/C</t>
        </is>
      </c>
      <c r="M283" s="9" t="inlineStr">
        <is>
          <t>14</t>
        </is>
      </c>
      <c r="N283" s="9" t="n">
        <v>1</v>
      </c>
      <c r="O283" s="9" t="n">
        <v>1</v>
      </c>
      <c r="P283" s="9" t="n"/>
      <c r="Q283" s="9" t="n"/>
      <c r="R283" s="9" t="n"/>
      <c r="S283" s="9" t="inlineStr">
        <is>
          <t>Tray</t>
        </is>
      </c>
      <c r="T283" s="10" t="n">
        <v>258</v>
      </c>
      <c r="U283" s="10" t="n">
        <v>100</v>
      </c>
      <c r="V283" s="10">
        <f>ROUNDUP((T283+U283+2*'Read Me'!$B$13)*(1+'Read Me'!$B$12),-1)</f>
        <v/>
      </c>
      <c r="W283" s="10">
        <f>V283*N283*O283</f>
        <v/>
      </c>
      <c r="X283" s="9">
        <f>IF(LEFT(I283,2)="MV",2*N283*IF(L283="1/C",O283,1),0)</f>
        <v/>
      </c>
      <c r="Y283" s="9">
        <f>IF(OR(LEFT(K283,4)="LVAX",LEFT(K283,6)="MV15AX",LEFT(K283,4)="CTAX",LEFT(K283,2)="W|"),2*N283*O283,0)</f>
        <v/>
      </c>
      <c r="Z283" s="9" t="inlineStr"/>
    </row>
    <row r="284">
      <c r="A284" s="9" t="inlineStr">
        <is>
          <t>A-C-0272</t>
        </is>
      </c>
      <c r="B284" s="9" t="inlineStr">
        <is>
          <t>A</t>
        </is>
      </c>
      <c r="C284" s="9" t="inlineStr">
        <is>
          <t>Power block</t>
        </is>
      </c>
      <c r="D284" s="9" t="inlineStr">
        <is>
          <t>Control</t>
        </is>
      </c>
      <c r="E284" s="9" t="inlineStr">
        <is>
          <t>R2A</t>
        </is>
      </c>
      <c r="F284" s="9" t="inlineStr">
        <is>
          <t>R2A: unit / HRSG electrical e-house (32 x 40 ft)</t>
        </is>
      </c>
      <c r="G284" s="9" t="inlineStr">
        <is>
          <t>SOS-1</t>
        </is>
      </c>
      <c r="H284" s="9" t="inlineStr">
        <is>
          <t>SOS-1: GTG-1 seal-oil and H2 / CO2 gas-control skid</t>
        </is>
      </c>
      <c r="I284" s="9" t="inlineStr">
        <is>
          <t>Control</t>
        </is>
      </c>
      <c r="J284" s="9" t="inlineStr">
        <is>
          <t>ARMOR-X MC-HL 600 V control, Cu #14 AWG (Class I Div 2)</t>
        </is>
      </c>
      <c r="K284" s="9" t="inlineStr">
        <is>
          <t>CTAX|12/C|14</t>
        </is>
      </c>
      <c r="L284" s="9" t="inlineStr">
        <is>
          <t>12/C</t>
        </is>
      </c>
      <c r="M284" s="9" t="inlineStr">
        <is>
          <t>14</t>
        </is>
      </c>
      <c r="N284" s="9" t="n">
        <v>1</v>
      </c>
      <c r="O284" s="9" t="n">
        <v>1</v>
      </c>
      <c r="P284" s="9" t="n"/>
      <c r="Q284" s="9" t="n"/>
      <c r="R284" s="9" t="n"/>
      <c r="S284" s="9" t="inlineStr">
        <is>
          <t>Tray</t>
        </is>
      </c>
      <c r="T284" s="10" t="n">
        <v>258</v>
      </c>
      <c r="U284" s="10" t="n">
        <v>100</v>
      </c>
      <c r="V284" s="10">
        <f>ROUNDUP((T284+U284+2*'Read Me'!$B$13)*(1+'Read Me'!$B$12),-1)</f>
        <v/>
      </c>
      <c r="W284" s="10">
        <f>V284*N284*O284</f>
        <v/>
      </c>
      <c r="X284" s="9">
        <f>IF(LEFT(I284,2)="MV",2*N284*IF(L284="1/C",O284,1),0)</f>
        <v/>
      </c>
      <c r="Y284" s="9">
        <f>IF(OR(LEFT(K284,4)="LVAX",LEFT(K284,6)="MV15AX",LEFT(K284,4)="CTAX",LEFT(K284,2)="W|"),2*N284*O284,0)</f>
        <v/>
      </c>
      <c r="Z284" s="9" t="inlineStr"/>
    </row>
    <row r="285">
      <c r="A285" s="9" t="inlineStr">
        <is>
          <t>A-C-0273</t>
        </is>
      </c>
      <c r="B285" s="9" t="inlineStr">
        <is>
          <t>A</t>
        </is>
      </c>
      <c r="C285" s="9" t="inlineStr">
        <is>
          <t>Power block</t>
        </is>
      </c>
      <c r="D285" s="9" t="inlineStr">
        <is>
          <t>Control</t>
        </is>
      </c>
      <c r="E285" s="9" t="inlineStr">
        <is>
          <t>R2B</t>
        </is>
      </c>
      <c r="F285" s="9" t="inlineStr">
        <is>
          <t>R2B: unit / HRSG electrical e-house (32 x 40 ft)</t>
        </is>
      </c>
      <c r="G285" s="9" t="inlineStr">
        <is>
          <t>SOS-2</t>
        </is>
      </c>
      <c r="H285" s="9" t="inlineStr">
        <is>
          <t>SOS-2: GTG-2 seal-oil and H2 / CO2 gas-control skid</t>
        </is>
      </c>
      <c r="I285" s="9" t="inlineStr">
        <is>
          <t>Control</t>
        </is>
      </c>
      <c r="J285" s="9" t="inlineStr">
        <is>
          <t>ARMOR-X MC-HL 600 V control, Cu #14 AWG (Class I Div 2)</t>
        </is>
      </c>
      <c r="K285" s="9" t="inlineStr">
        <is>
          <t>CTAX|7/C|14</t>
        </is>
      </c>
      <c r="L285" s="9" t="inlineStr">
        <is>
          <t>7/C</t>
        </is>
      </c>
      <c r="M285" s="9" t="inlineStr">
        <is>
          <t>14</t>
        </is>
      </c>
      <c r="N285" s="9" t="n">
        <v>1</v>
      </c>
      <c r="O285" s="9" t="n">
        <v>1</v>
      </c>
      <c r="P285" s="9" t="n"/>
      <c r="Q285" s="9" t="n"/>
      <c r="R285" s="9" t="n"/>
      <c r="S285" s="9" t="inlineStr">
        <is>
          <t>Tray</t>
        </is>
      </c>
      <c r="T285" s="10" t="n">
        <v>997</v>
      </c>
      <c r="U285" s="10" t="n">
        <v>102</v>
      </c>
      <c r="V285" s="10">
        <f>ROUNDUP((T285+U285+2*'Read Me'!$B$13)*(1+'Read Me'!$B$12),-1)</f>
        <v/>
      </c>
      <c r="W285" s="10">
        <f>V285*N285*O285</f>
        <v/>
      </c>
      <c r="X285" s="9">
        <f>IF(LEFT(I285,2)="MV",2*N285*IF(L285="1/C",O285,1),0)</f>
        <v/>
      </c>
      <c r="Y285" s="9">
        <f>IF(OR(LEFT(K285,4)="LVAX",LEFT(K285,6)="MV15AX",LEFT(K285,4)="CTAX",LEFT(K285,2)="W|"),2*N285*O285,0)</f>
        <v/>
      </c>
      <c r="Z285" s="9" t="inlineStr"/>
    </row>
    <row r="286">
      <c r="A286" s="9" t="inlineStr">
        <is>
          <t>A-C-0274</t>
        </is>
      </c>
      <c r="B286" s="9" t="inlineStr">
        <is>
          <t>A</t>
        </is>
      </c>
      <c r="C286" s="9" t="inlineStr">
        <is>
          <t>Power block</t>
        </is>
      </c>
      <c r="D286" s="9" t="inlineStr">
        <is>
          <t>Control</t>
        </is>
      </c>
      <c r="E286" s="9" t="inlineStr">
        <is>
          <t>R2B</t>
        </is>
      </c>
      <c r="F286" s="9" t="inlineStr">
        <is>
          <t>R2B: unit / HRSG electrical e-house (32 x 40 ft)</t>
        </is>
      </c>
      <c r="G286" s="9" t="inlineStr">
        <is>
          <t>SOS-2</t>
        </is>
      </c>
      <c r="H286" s="9" t="inlineStr">
        <is>
          <t>SOS-2: GTG-2 seal-oil and H2 / CO2 gas-control skid</t>
        </is>
      </c>
      <c r="I286" s="9" t="inlineStr">
        <is>
          <t>Control</t>
        </is>
      </c>
      <c r="J286" s="9" t="inlineStr">
        <is>
          <t>ARMOR-X MC-HL 600 V control, Cu #14 AWG (Class I Div 2)</t>
        </is>
      </c>
      <c r="K286" s="9" t="inlineStr">
        <is>
          <t>CTAX|7/C|14</t>
        </is>
      </c>
      <c r="L286" s="9" t="inlineStr">
        <is>
          <t>7/C</t>
        </is>
      </c>
      <c r="M286" s="9" t="inlineStr">
        <is>
          <t>14</t>
        </is>
      </c>
      <c r="N286" s="9" t="n">
        <v>1</v>
      </c>
      <c r="O286" s="9" t="n">
        <v>1</v>
      </c>
      <c r="P286" s="9" t="n"/>
      <c r="Q286" s="9" t="n"/>
      <c r="R286" s="9" t="n"/>
      <c r="S286" s="9" t="inlineStr">
        <is>
          <t>Tray</t>
        </is>
      </c>
      <c r="T286" s="10" t="n">
        <v>997</v>
      </c>
      <c r="U286" s="10" t="n">
        <v>102</v>
      </c>
      <c r="V286" s="10">
        <f>ROUNDUP((T286+U286+2*'Read Me'!$B$13)*(1+'Read Me'!$B$12),-1)</f>
        <v/>
      </c>
      <c r="W286" s="10">
        <f>V286*N286*O286</f>
        <v/>
      </c>
      <c r="X286" s="9">
        <f>IF(LEFT(I286,2)="MV",2*N286*IF(L286="1/C",O286,1),0)</f>
        <v/>
      </c>
      <c r="Y286" s="9">
        <f>IF(OR(LEFT(K286,4)="LVAX",LEFT(K286,6)="MV15AX",LEFT(K286,4)="CTAX",LEFT(K286,2)="W|"),2*N286*O286,0)</f>
        <v/>
      </c>
      <c r="Z286" s="9" t="inlineStr"/>
    </row>
    <row r="287">
      <c r="A287" s="9" t="inlineStr">
        <is>
          <t>A-C-0275</t>
        </is>
      </c>
      <c r="B287" s="9" t="inlineStr">
        <is>
          <t>A</t>
        </is>
      </c>
      <c r="C287" s="9" t="inlineStr">
        <is>
          <t>Power block</t>
        </is>
      </c>
      <c r="D287" s="9" t="inlineStr">
        <is>
          <t>Control</t>
        </is>
      </c>
      <c r="E287" s="9" t="inlineStr">
        <is>
          <t>R2B</t>
        </is>
      </c>
      <c r="F287" s="9" t="inlineStr">
        <is>
          <t>R2B: unit / HRSG electrical e-house (32 x 40 ft)</t>
        </is>
      </c>
      <c r="G287" s="9" t="inlineStr">
        <is>
          <t>SOS-2</t>
        </is>
      </c>
      <c r="H287" s="9" t="inlineStr">
        <is>
          <t>SOS-2: GTG-2 seal-oil and H2 / CO2 gas-control skid</t>
        </is>
      </c>
      <c r="I287" s="9" t="inlineStr">
        <is>
          <t>Control</t>
        </is>
      </c>
      <c r="J287" s="9" t="inlineStr">
        <is>
          <t>ARMOR-X MC-HL 600 V control, Cu #14 AWG (Class I Div 2)</t>
        </is>
      </c>
      <c r="K287" s="9" t="inlineStr">
        <is>
          <t>CTAX|12/C|14</t>
        </is>
      </c>
      <c r="L287" s="9" t="inlineStr">
        <is>
          <t>12/C</t>
        </is>
      </c>
      <c r="M287" s="9" t="inlineStr">
        <is>
          <t>14</t>
        </is>
      </c>
      <c r="N287" s="9" t="n">
        <v>1</v>
      </c>
      <c r="O287" s="9" t="n">
        <v>1</v>
      </c>
      <c r="P287" s="9" t="n"/>
      <c r="Q287" s="9" t="n"/>
      <c r="R287" s="9" t="n"/>
      <c r="S287" s="9" t="inlineStr">
        <is>
          <t>Tray</t>
        </is>
      </c>
      <c r="T287" s="10" t="n">
        <v>997</v>
      </c>
      <c r="U287" s="10" t="n">
        <v>102</v>
      </c>
      <c r="V287" s="10">
        <f>ROUNDUP((T287+U287+2*'Read Me'!$B$13)*(1+'Read Me'!$B$12),-1)</f>
        <v/>
      </c>
      <c r="W287" s="10">
        <f>V287*N287*O287</f>
        <v/>
      </c>
      <c r="X287" s="9">
        <f>IF(LEFT(I287,2)="MV",2*N287*IF(L287="1/C",O287,1),0)</f>
        <v/>
      </c>
      <c r="Y287" s="9">
        <f>IF(OR(LEFT(K287,4)="LVAX",LEFT(K287,6)="MV15AX",LEFT(K287,4)="CTAX",LEFT(K287,2)="W|"),2*N287*O287,0)</f>
        <v/>
      </c>
      <c r="Z287" s="9" t="inlineStr"/>
    </row>
    <row r="288">
      <c r="A288" s="9" t="inlineStr">
        <is>
          <t>A-C-0276</t>
        </is>
      </c>
      <c r="B288" s="9" t="inlineStr">
        <is>
          <t>A</t>
        </is>
      </c>
      <c r="C288" s="9" t="inlineStr">
        <is>
          <t>Power block</t>
        </is>
      </c>
      <c r="D288" s="9" t="inlineStr">
        <is>
          <t>Control</t>
        </is>
      </c>
      <c r="E288" s="9" t="inlineStr">
        <is>
          <t>R2B</t>
        </is>
      </c>
      <c r="F288" s="9" t="inlineStr">
        <is>
          <t>R2B: unit / HRSG electrical e-house (32 x 40 ft)</t>
        </is>
      </c>
      <c r="G288" s="9" t="inlineStr">
        <is>
          <t>SOS-2</t>
        </is>
      </c>
      <c r="H288" s="9" t="inlineStr">
        <is>
          <t>SOS-2: GTG-2 seal-oil and H2 / CO2 gas-control skid</t>
        </is>
      </c>
      <c r="I288" s="9" t="inlineStr">
        <is>
          <t>Control</t>
        </is>
      </c>
      <c r="J288" s="9" t="inlineStr">
        <is>
          <t>ARMOR-X MC-HL 600 V control, Cu #14 AWG (Class I Div 2)</t>
        </is>
      </c>
      <c r="K288" s="9" t="inlineStr">
        <is>
          <t>CTAX|12/C|14</t>
        </is>
      </c>
      <c r="L288" s="9" t="inlineStr">
        <is>
          <t>12/C</t>
        </is>
      </c>
      <c r="M288" s="9" t="inlineStr">
        <is>
          <t>14</t>
        </is>
      </c>
      <c r="N288" s="9" t="n">
        <v>1</v>
      </c>
      <c r="O288" s="9" t="n">
        <v>1</v>
      </c>
      <c r="P288" s="9" t="n"/>
      <c r="Q288" s="9" t="n"/>
      <c r="R288" s="9" t="n"/>
      <c r="S288" s="9" t="inlineStr">
        <is>
          <t>Tray</t>
        </is>
      </c>
      <c r="T288" s="10" t="n">
        <v>997</v>
      </c>
      <c r="U288" s="10" t="n">
        <v>102</v>
      </c>
      <c r="V288" s="10">
        <f>ROUNDUP((T288+U288+2*'Read Me'!$B$13)*(1+'Read Me'!$B$12),-1)</f>
        <v/>
      </c>
      <c r="W288" s="10">
        <f>V288*N288*O288</f>
        <v/>
      </c>
      <c r="X288" s="9">
        <f>IF(LEFT(I288,2)="MV",2*N288*IF(L288="1/C",O288,1),0)</f>
        <v/>
      </c>
      <c r="Y288" s="9">
        <f>IF(OR(LEFT(K288,4)="LVAX",LEFT(K288,6)="MV15AX",LEFT(K288,4)="CTAX",LEFT(K288,2)="W|"),2*N288*O288,0)</f>
        <v/>
      </c>
      <c r="Z288" s="9" t="inlineStr"/>
    </row>
    <row r="289">
      <c r="A289" s="9" t="inlineStr">
        <is>
          <t>A-C-0277</t>
        </is>
      </c>
      <c r="B289" s="9" t="inlineStr">
        <is>
          <t>A</t>
        </is>
      </c>
      <c r="C289" s="9" t="inlineStr">
        <is>
          <t>Power block</t>
        </is>
      </c>
      <c r="D289" s="9" t="inlineStr">
        <is>
          <t>Control</t>
        </is>
      </c>
      <c r="E289" s="9" t="inlineStr">
        <is>
          <t>R2B</t>
        </is>
      </c>
      <c r="F289" s="9" t="inlineStr">
        <is>
          <t>R2B: unit / HRSG electrical e-house (32 x 40 ft)</t>
        </is>
      </c>
      <c r="G289" s="9" t="inlineStr">
        <is>
          <t>SOS-2</t>
        </is>
      </c>
      <c r="H289" s="9" t="inlineStr">
        <is>
          <t>SOS-2: GTG-2 seal-oil and H2 / CO2 gas-control skid</t>
        </is>
      </c>
      <c r="I289" s="9" t="inlineStr">
        <is>
          <t>Control</t>
        </is>
      </c>
      <c r="J289" s="9" t="inlineStr">
        <is>
          <t>ARMOR-X MC-HL 600 V control, Cu #14 AWG (Class I Div 2)</t>
        </is>
      </c>
      <c r="K289" s="9" t="inlineStr">
        <is>
          <t>CTAX|12/C|14</t>
        </is>
      </c>
      <c r="L289" s="9" t="inlineStr">
        <is>
          <t>12/C</t>
        </is>
      </c>
      <c r="M289" s="9" t="inlineStr">
        <is>
          <t>14</t>
        </is>
      </c>
      <c r="N289" s="9" t="n">
        <v>1</v>
      </c>
      <c r="O289" s="9" t="n">
        <v>1</v>
      </c>
      <c r="P289" s="9" t="n"/>
      <c r="Q289" s="9" t="n"/>
      <c r="R289" s="9" t="n"/>
      <c r="S289" s="9" t="inlineStr">
        <is>
          <t>Tray</t>
        </is>
      </c>
      <c r="T289" s="10" t="n">
        <v>997</v>
      </c>
      <c r="U289" s="10" t="n">
        <v>102</v>
      </c>
      <c r="V289" s="10">
        <f>ROUNDUP((T289+U289+2*'Read Me'!$B$13)*(1+'Read Me'!$B$12),-1)</f>
        <v/>
      </c>
      <c r="W289" s="10">
        <f>V289*N289*O289</f>
        <v/>
      </c>
      <c r="X289" s="9">
        <f>IF(LEFT(I289,2)="MV",2*N289*IF(L289="1/C",O289,1),0)</f>
        <v/>
      </c>
      <c r="Y289" s="9">
        <f>IF(OR(LEFT(K289,4)="LVAX",LEFT(K289,6)="MV15AX",LEFT(K289,4)="CTAX",LEFT(K289,2)="W|"),2*N289*O289,0)</f>
        <v/>
      </c>
      <c r="Z289" s="9" t="inlineStr"/>
    </row>
    <row r="290">
      <c r="A290" s="9" t="inlineStr">
        <is>
          <t>A-C-0278</t>
        </is>
      </c>
      <c r="B290" s="9" t="inlineStr">
        <is>
          <t>A</t>
        </is>
      </c>
      <c r="C290" s="9" t="inlineStr">
        <is>
          <t>Power block</t>
        </is>
      </c>
      <c r="D290" s="9" t="inlineStr">
        <is>
          <t>Control</t>
        </is>
      </c>
      <c r="E290" s="9" t="inlineStr">
        <is>
          <t>R2B</t>
        </is>
      </c>
      <c r="F290" s="9" t="inlineStr">
        <is>
          <t>R2B: unit / HRSG electrical e-house (32 x 40 ft)</t>
        </is>
      </c>
      <c r="G290" s="9" t="inlineStr">
        <is>
          <t>SOS-2</t>
        </is>
      </c>
      <c r="H290" s="9" t="inlineStr">
        <is>
          <t>SOS-2: GTG-2 seal-oil and H2 / CO2 gas-control skid</t>
        </is>
      </c>
      <c r="I290" s="9" t="inlineStr">
        <is>
          <t>Control</t>
        </is>
      </c>
      <c r="J290" s="9" t="inlineStr">
        <is>
          <t>ARMOR-X MC-HL 600 V control, Cu #14 AWG (Class I Div 2)</t>
        </is>
      </c>
      <c r="K290" s="9" t="inlineStr">
        <is>
          <t>CTAX|12/C|14</t>
        </is>
      </c>
      <c r="L290" s="9" t="inlineStr">
        <is>
          <t>12/C</t>
        </is>
      </c>
      <c r="M290" s="9" t="inlineStr">
        <is>
          <t>14</t>
        </is>
      </c>
      <c r="N290" s="9" t="n">
        <v>1</v>
      </c>
      <c r="O290" s="9" t="n">
        <v>1</v>
      </c>
      <c r="P290" s="9" t="n"/>
      <c r="Q290" s="9" t="n"/>
      <c r="R290" s="9" t="n"/>
      <c r="S290" s="9" t="inlineStr">
        <is>
          <t>Tray</t>
        </is>
      </c>
      <c r="T290" s="10" t="n">
        <v>997</v>
      </c>
      <c r="U290" s="10" t="n">
        <v>102</v>
      </c>
      <c r="V290" s="10">
        <f>ROUNDUP((T290+U290+2*'Read Me'!$B$13)*(1+'Read Me'!$B$12),-1)</f>
        <v/>
      </c>
      <c r="W290" s="10">
        <f>V290*N290*O290</f>
        <v/>
      </c>
      <c r="X290" s="9">
        <f>IF(LEFT(I290,2)="MV",2*N290*IF(L290="1/C",O290,1),0)</f>
        <v/>
      </c>
      <c r="Y290" s="9">
        <f>IF(OR(LEFT(K290,4)="LVAX",LEFT(K290,6)="MV15AX",LEFT(K290,4)="CTAX",LEFT(K290,2)="W|"),2*N290*O290,0)</f>
        <v/>
      </c>
      <c r="Z290" s="9" t="inlineStr"/>
    </row>
    <row r="291">
      <c r="A291" s="9" t="inlineStr">
        <is>
          <t>A-C-0279</t>
        </is>
      </c>
      <c r="B291" s="9" t="inlineStr">
        <is>
          <t>A</t>
        </is>
      </c>
      <c r="C291" s="9" t="inlineStr">
        <is>
          <t>Power block</t>
        </is>
      </c>
      <c r="D291" s="9" t="inlineStr">
        <is>
          <t>Control</t>
        </is>
      </c>
      <c r="E291" s="9" t="inlineStr">
        <is>
          <t>R2B</t>
        </is>
      </c>
      <c r="F291" s="9" t="inlineStr">
        <is>
          <t>R2B: unit / HRSG electrical e-house (32 x 40 ft)</t>
        </is>
      </c>
      <c r="G291" s="9" t="inlineStr">
        <is>
          <t>SOS-2</t>
        </is>
      </c>
      <c r="H291" s="9" t="inlineStr">
        <is>
          <t>SOS-2: GTG-2 seal-oil and H2 / CO2 gas-control skid</t>
        </is>
      </c>
      <c r="I291" s="9" t="inlineStr">
        <is>
          <t>Control</t>
        </is>
      </c>
      <c r="J291" s="9" t="inlineStr">
        <is>
          <t>ARMOR-X MC-HL 600 V control, Cu #14 AWG (Class I Div 2)</t>
        </is>
      </c>
      <c r="K291" s="9" t="inlineStr">
        <is>
          <t>CTAX|12/C|14</t>
        </is>
      </c>
      <c r="L291" s="9" t="inlineStr">
        <is>
          <t>12/C</t>
        </is>
      </c>
      <c r="M291" s="9" t="inlineStr">
        <is>
          <t>14</t>
        </is>
      </c>
      <c r="N291" s="9" t="n">
        <v>1</v>
      </c>
      <c r="O291" s="9" t="n">
        <v>1</v>
      </c>
      <c r="P291" s="9" t="n"/>
      <c r="Q291" s="9" t="n"/>
      <c r="R291" s="9" t="n"/>
      <c r="S291" s="9" t="inlineStr">
        <is>
          <t>Tray</t>
        </is>
      </c>
      <c r="T291" s="10" t="n">
        <v>997</v>
      </c>
      <c r="U291" s="10" t="n">
        <v>102</v>
      </c>
      <c r="V291" s="10">
        <f>ROUNDUP((T291+U291+2*'Read Me'!$B$13)*(1+'Read Me'!$B$12),-1)</f>
        <v/>
      </c>
      <c r="W291" s="10">
        <f>V291*N291*O291</f>
        <v/>
      </c>
      <c r="X291" s="9">
        <f>IF(LEFT(I291,2)="MV",2*N291*IF(L291="1/C",O291,1),0)</f>
        <v/>
      </c>
      <c r="Y291" s="9">
        <f>IF(OR(LEFT(K291,4)="LVAX",LEFT(K291,6)="MV15AX",LEFT(K291,4)="CTAX",LEFT(K291,2)="W|"),2*N291*O291,0)</f>
        <v/>
      </c>
      <c r="Z291" s="9" t="inlineStr"/>
    </row>
    <row r="292">
      <c r="A292" s="9" t="inlineStr">
        <is>
          <t>A-C-0280</t>
        </is>
      </c>
      <c r="B292" s="9" t="inlineStr">
        <is>
          <t>A</t>
        </is>
      </c>
      <c r="C292" s="9" t="inlineStr">
        <is>
          <t>Power block</t>
        </is>
      </c>
      <c r="D292" s="9" t="inlineStr">
        <is>
          <t>Control</t>
        </is>
      </c>
      <c r="E292" s="9" t="inlineStr">
        <is>
          <t>R2B</t>
        </is>
      </c>
      <c r="F292" s="9" t="inlineStr">
        <is>
          <t>R2B: unit / HRSG electrical e-house (32 x 40 ft)</t>
        </is>
      </c>
      <c r="G292" s="9" t="inlineStr">
        <is>
          <t>SOS-2</t>
        </is>
      </c>
      <c r="H292" s="9" t="inlineStr">
        <is>
          <t>SOS-2: GTG-2 seal-oil and H2 / CO2 gas-control skid</t>
        </is>
      </c>
      <c r="I292" s="9" t="inlineStr">
        <is>
          <t>Control</t>
        </is>
      </c>
      <c r="J292" s="9" t="inlineStr">
        <is>
          <t>ARMOR-X MC-HL 600 V control, Cu #14 AWG (Class I Div 2)</t>
        </is>
      </c>
      <c r="K292" s="9" t="inlineStr">
        <is>
          <t>CTAX|12/C|14</t>
        </is>
      </c>
      <c r="L292" s="9" t="inlineStr">
        <is>
          <t>12/C</t>
        </is>
      </c>
      <c r="M292" s="9" t="inlineStr">
        <is>
          <t>14</t>
        </is>
      </c>
      <c r="N292" s="9" t="n">
        <v>1</v>
      </c>
      <c r="O292" s="9" t="n">
        <v>1</v>
      </c>
      <c r="P292" s="9" t="n"/>
      <c r="Q292" s="9" t="n"/>
      <c r="R292" s="9" t="n"/>
      <c r="S292" s="9" t="inlineStr">
        <is>
          <t>Tray</t>
        </is>
      </c>
      <c r="T292" s="10" t="n">
        <v>997</v>
      </c>
      <c r="U292" s="10" t="n">
        <v>102</v>
      </c>
      <c r="V292" s="10">
        <f>ROUNDUP((T292+U292+2*'Read Me'!$B$13)*(1+'Read Me'!$B$12),-1)</f>
        <v/>
      </c>
      <c r="W292" s="10">
        <f>V292*N292*O292</f>
        <v/>
      </c>
      <c r="X292" s="9">
        <f>IF(LEFT(I292,2)="MV",2*N292*IF(L292="1/C",O292,1),0)</f>
        <v/>
      </c>
      <c r="Y292" s="9">
        <f>IF(OR(LEFT(K292,4)="LVAX",LEFT(K292,6)="MV15AX",LEFT(K292,4)="CTAX",LEFT(K292,2)="W|"),2*N292*O292,0)</f>
        <v/>
      </c>
      <c r="Z292" s="9" t="inlineStr"/>
    </row>
    <row r="293">
      <c r="A293" s="9" t="inlineStr">
        <is>
          <t>A-C-0281</t>
        </is>
      </c>
      <c r="B293" s="9" t="inlineStr">
        <is>
          <t>A</t>
        </is>
      </c>
      <c r="C293" s="9" t="inlineStr">
        <is>
          <t>Power block</t>
        </is>
      </c>
      <c r="D293" s="9" t="inlineStr">
        <is>
          <t>Control</t>
        </is>
      </c>
      <c r="E293" s="9" t="inlineStr">
        <is>
          <t>R2C</t>
        </is>
      </c>
      <c r="F293" s="9" t="inlineStr">
        <is>
          <t>R2C: unit / HRSG electrical e-house (32 x 40 ft)</t>
        </is>
      </c>
      <c r="G293" s="9" t="inlineStr">
        <is>
          <t>SOS-3</t>
        </is>
      </c>
      <c r="H293" s="9" t="inlineStr">
        <is>
          <t>SOS-3: GTG-3 seal-oil and H2 / CO2 gas-control skid</t>
        </is>
      </c>
      <c r="I293" s="9" t="inlineStr">
        <is>
          <t>Control</t>
        </is>
      </c>
      <c r="J293" s="9" t="inlineStr">
        <is>
          <t>ARMOR-X MC-HL 600 V control, Cu #14 AWG (Class I Div 2)</t>
        </is>
      </c>
      <c r="K293" s="9" t="inlineStr">
        <is>
          <t>CTAX|7/C|14</t>
        </is>
      </c>
      <c r="L293" s="9" t="inlineStr">
        <is>
          <t>7/C</t>
        </is>
      </c>
      <c r="M293" s="9" t="inlineStr">
        <is>
          <t>14</t>
        </is>
      </c>
      <c r="N293" s="9" t="n">
        <v>1</v>
      </c>
      <c r="O293" s="9" t="n">
        <v>1</v>
      </c>
      <c r="P293" s="9" t="n"/>
      <c r="Q293" s="9" t="n"/>
      <c r="R293" s="9" t="n"/>
      <c r="S293" s="9" t="inlineStr">
        <is>
          <t>Tray</t>
        </is>
      </c>
      <c r="T293" s="10" t="n">
        <v>1158</v>
      </c>
      <c r="U293" s="10" t="n">
        <v>118</v>
      </c>
      <c r="V293" s="10">
        <f>ROUNDUP((T293+U293+2*'Read Me'!$B$13)*(1+'Read Me'!$B$12),-1)</f>
        <v/>
      </c>
      <c r="W293" s="10">
        <f>V293*N293*O293</f>
        <v/>
      </c>
      <c r="X293" s="9">
        <f>IF(LEFT(I293,2)="MV",2*N293*IF(L293="1/C",O293,1),0)</f>
        <v/>
      </c>
      <c r="Y293" s="9">
        <f>IF(OR(LEFT(K293,4)="LVAX",LEFT(K293,6)="MV15AX",LEFT(K293,4)="CTAX",LEFT(K293,2)="W|"),2*N293*O293,0)</f>
        <v/>
      </c>
      <c r="Z293" s="9" t="inlineStr"/>
    </row>
    <row r="294">
      <c r="A294" s="9" t="inlineStr">
        <is>
          <t>A-C-0282</t>
        </is>
      </c>
      <c r="B294" s="9" t="inlineStr">
        <is>
          <t>A</t>
        </is>
      </c>
      <c r="C294" s="9" t="inlineStr">
        <is>
          <t>Power block</t>
        </is>
      </c>
      <c r="D294" s="9" t="inlineStr">
        <is>
          <t>Control</t>
        </is>
      </c>
      <c r="E294" s="9" t="inlineStr">
        <is>
          <t>R2C</t>
        </is>
      </c>
      <c r="F294" s="9" t="inlineStr">
        <is>
          <t>R2C: unit / HRSG electrical e-house (32 x 40 ft)</t>
        </is>
      </c>
      <c r="G294" s="9" t="inlineStr">
        <is>
          <t>SOS-3</t>
        </is>
      </c>
      <c r="H294" s="9" t="inlineStr">
        <is>
          <t>SOS-3: GTG-3 seal-oil and H2 / CO2 gas-control skid</t>
        </is>
      </c>
      <c r="I294" s="9" t="inlineStr">
        <is>
          <t>Control</t>
        </is>
      </c>
      <c r="J294" s="9" t="inlineStr">
        <is>
          <t>ARMOR-X MC-HL 600 V control, Cu #14 AWG (Class I Div 2)</t>
        </is>
      </c>
      <c r="K294" s="9" t="inlineStr">
        <is>
          <t>CTAX|7/C|14</t>
        </is>
      </c>
      <c r="L294" s="9" t="inlineStr">
        <is>
          <t>7/C</t>
        </is>
      </c>
      <c r="M294" s="9" t="inlineStr">
        <is>
          <t>14</t>
        </is>
      </c>
      <c r="N294" s="9" t="n">
        <v>1</v>
      </c>
      <c r="O294" s="9" t="n">
        <v>1</v>
      </c>
      <c r="P294" s="9" t="n"/>
      <c r="Q294" s="9" t="n"/>
      <c r="R294" s="9" t="n"/>
      <c r="S294" s="9" t="inlineStr">
        <is>
          <t>Tray</t>
        </is>
      </c>
      <c r="T294" s="10" t="n">
        <v>1158</v>
      </c>
      <c r="U294" s="10" t="n">
        <v>118</v>
      </c>
      <c r="V294" s="10">
        <f>ROUNDUP((T294+U294+2*'Read Me'!$B$13)*(1+'Read Me'!$B$12),-1)</f>
        <v/>
      </c>
      <c r="W294" s="10">
        <f>V294*N294*O294</f>
        <v/>
      </c>
      <c r="X294" s="9">
        <f>IF(LEFT(I294,2)="MV",2*N294*IF(L294="1/C",O294,1),0)</f>
        <v/>
      </c>
      <c r="Y294" s="9">
        <f>IF(OR(LEFT(K294,4)="LVAX",LEFT(K294,6)="MV15AX",LEFT(K294,4)="CTAX",LEFT(K294,2)="W|"),2*N294*O294,0)</f>
        <v/>
      </c>
      <c r="Z294" s="9" t="inlineStr"/>
    </row>
    <row r="295">
      <c r="A295" s="9" t="inlineStr">
        <is>
          <t>A-C-0283</t>
        </is>
      </c>
      <c r="B295" s="9" t="inlineStr">
        <is>
          <t>A</t>
        </is>
      </c>
      <c r="C295" s="9" t="inlineStr">
        <is>
          <t>Power block</t>
        </is>
      </c>
      <c r="D295" s="9" t="inlineStr">
        <is>
          <t>Control</t>
        </is>
      </c>
      <c r="E295" s="9" t="inlineStr">
        <is>
          <t>R2C</t>
        </is>
      </c>
      <c r="F295" s="9" t="inlineStr">
        <is>
          <t>R2C: unit / HRSG electrical e-house (32 x 40 ft)</t>
        </is>
      </c>
      <c r="G295" s="9" t="inlineStr">
        <is>
          <t>SOS-3</t>
        </is>
      </c>
      <c r="H295" s="9" t="inlineStr">
        <is>
          <t>SOS-3: GTG-3 seal-oil and H2 / CO2 gas-control skid</t>
        </is>
      </c>
      <c r="I295" s="9" t="inlineStr">
        <is>
          <t>Control</t>
        </is>
      </c>
      <c r="J295" s="9" t="inlineStr">
        <is>
          <t>ARMOR-X MC-HL 600 V control, Cu #14 AWG (Class I Div 2)</t>
        </is>
      </c>
      <c r="K295" s="9" t="inlineStr">
        <is>
          <t>CTAX|12/C|14</t>
        </is>
      </c>
      <c r="L295" s="9" t="inlineStr">
        <is>
          <t>12/C</t>
        </is>
      </c>
      <c r="M295" s="9" t="inlineStr">
        <is>
          <t>14</t>
        </is>
      </c>
      <c r="N295" s="9" t="n">
        <v>1</v>
      </c>
      <c r="O295" s="9" t="n">
        <v>1</v>
      </c>
      <c r="P295" s="9" t="n"/>
      <c r="Q295" s="9" t="n"/>
      <c r="R295" s="9" t="n"/>
      <c r="S295" s="9" t="inlineStr">
        <is>
          <t>Tray</t>
        </is>
      </c>
      <c r="T295" s="10" t="n">
        <v>1158</v>
      </c>
      <c r="U295" s="10" t="n">
        <v>118</v>
      </c>
      <c r="V295" s="10">
        <f>ROUNDUP((T295+U295+2*'Read Me'!$B$13)*(1+'Read Me'!$B$12),-1)</f>
        <v/>
      </c>
      <c r="W295" s="10">
        <f>V295*N295*O295</f>
        <v/>
      </c>
      <c r="X295" s="9">
        <f>IF(LEFT(I295,2)="MV",2*N295*IF(L295="1/C",O295,1),0)</f>
        <v/>
      </c>
      <c r="Y295" s="9">
        <f>IF(OR(LEFT(K295,4)="LVAX",LEFT(K295,6)="MV15AX",LEFT(K295,4)="CTAX",LEFT(K295,2)="W|"),2*N295*O295,0)</f>
        <v/>
      </c>
      <c r="Z295" s="9" t="inlineStr"/>
    </row>
    <row r="296">
      <c r="A296" s="9" t="inlineStr">
        <is>
          <t>A-C-0284</t>
        </is>
      </c>
      <c r="B296" s="9" t="inlineStr">
        <is>
          <t>A</t>
        </is>
      </c>
      <c r="C296" s="9" t="inlineStr">
        <is>
          <t>Power block</t>
        </is>
      </c>
      <c r="D296" s="9" t="inlineStr">
        <is>
          <t>Control</t>
        </is>
      </c>
      <c r="E296" s="9" t="inlineStr">
        <is>
          <t>R2C</t>
        </is>
      </c>
      <c r="F296" s="9" t="inlineStr">
        <is>
          <t>R2C: unit / HRSG electrical e-house (32 x 40 ft)</t>
        </is>
      </c>
      <c r="G296" s="9" t="inlineStr">
        <is>
          <t>SOS-3</t>
        </is>
      </c>
      <c r="H296" s="9" t="inlineStr">
        <is>
          <t>SOS-3: GTG-3 seal-oil and H2 / CO2 gas-control skid</t>
        </is>
      </c>
      <c r="I296" s="9" t="inlineStr">
        <is>
          <t>Control</t>
        </is>
      </c>
      <c r="J296" s="9" t="inlineStr">
        <is>
          <t>ARMOR-X MC-HL 600 V control, Cu #14 AWG (Class I Div 2)</t>
        </is>
      </c>
      <c r="K296" s="9" t="inlineStr">
        <is>
          <t>CTAX|12/C|14</t>
        </is>
      </c>
      <c r="L296" s="9" t="inlineStr">
        <is>
          <t>12/C</t>
        </is>
      </c>
      <c r="M296" s="9" t="inlineStr">
        <is>
          <t>14</t>
        </is>
      </c>
      <c r="N296" s="9" t="n">
        <v>1</v>
      </c>
      <c r="O296" s="9" t="n">
        <v>1</v>
      </c>
      <c r="P296" s="9" t="n"/>
      <c r="Q296" s="9" t="n"/>
      <c r="R296" s="9" t="n"/>
      <c r="S296" s="9" t="inlineStr">
        <is>
          <t>Tray</t>
        </is>
      </c>
      <c r="T296" s="10" t="n">
        <v>1158</v>
      </c>
      <c r="U296" s="10" t="n">
        <v>118</v>
      </c>
      <c r="V296" s="10">
        <f>ROUNDUP((T296+U296+2*'Read Me'!$B$13)*(1+'Read Me'!$B$12),-1)</f>
        <v/>
      </c>
      <c r="W296" s="10">
        <f>V296*N296*O296</f>
        <v/>
      </c>
      <c r="X296" s="9">
        <f>IF(LEFT(I296,2)="MV",2*N296*IF(L296="1/C",O296,1),0)</f>
        <v/>
      </c>
      <c r="Y296" s="9">
        <f>IF(OR(LEFT(K296,4)="LVAX",LEFT(K296,6)="MV15AX",LEFT(K296,4)="CTAX",LEFT(K296,2)="W|"),2*N296*O296,0)</f>
        <v/>
      </c>
      <c r="Z296" s="9" t="inlineStr"/>
    </row>
    <row r="297">
      <c r="A297" s="9" t="inlineStr">
        <is>
          <t>A-C-0285</t>
        </is>
      </c>
      <c r="B297" s="9" t="inlineStr">
        <is>
          <t>A</t>
        </is>
      </c>
      <c r="C297" s="9" t="inlineStr">
        <is>
          <t>Power block</t>
        </is>
      </c>
      <c r="D297" s="9" t="inlineStr">
        <is>
          <t>Control</t>
        </is>
      </c>
      <c r="E297" s="9" t="inlineStr">
        <is>
          <t>R2C</t>
        </is>
      </c>
      <c r="F297" s="9" t="inlineStr">
        <is>
          <t>R2C: unit / HRSG electrical e-house (32 x 40 ft)</t>
        </is>
      </c>
      <c r="G297" s="9" t="inlineStr">
        <is>
          <t>SOS-3</t>
        </is>
      </c>
      <c r="H297" s="9" t="inlineStr">
        <is>
          <t>SOS-3: GTG-3 seal-oil and H2 / CO2 gas-control skid</t>
        </is>
      </c>
      <c r="I297" s="9" t="inlineStr">
        <is>
          <t>Control</t>
        </is>
      </c>
      <c r="J297" s="9" t="inlineStr">
        <is>
          <t>ARMOR-X MC-HL 600 V control, Cu #14 AWG (Class I Div 2)</t>
        </is>
      </c>
      <c r="K297" s="9" t="inlineStr">
        <is>
          <t>CTAX|12/C|14</t>
        </is>
      </c>
      <c r="L297" s="9" t="inlineStr">
        <is>
          <t>12/C</t>
        </is>
      </c>
      <c r="M297" s="9" t="inlineStr">
        <is>
          <t>14</t>
        </is>
      </c>
      <c r="N297" s="9" t="n">
        <v>1</v>
      </c>
      <c r="O297" s="9" t="n">
        <v>1</v>
      </c>
      <c r="P297" s="9" t="n"/>
      <c r="Q297" s="9" t="n"/>
      <c r="R297" s="9" t="n"/>
      <c r="S297" s="9" t="inlineStr">
        <is>
          <t>Tray</t>
        </is>
      </c>
      <c r="T297" s="10" t="n">
        <v>1158</v>
      </c>
      <c r="U297" s="10" t="n">
        <v>118</v>
      </c>
      <c r="V297" s="10">
        <f>ROUNDUP((T297+U297+2*'Read Me'!$B$13)*(1+'Read Me'!$B$12),-1)</f>
        <v/>
      </c>
      <c r="W297" s="10">
        <f>V297*N297*O297</f>
        <v/>
      </c>
      <c r="X297" s="9">
        <f>IF(LEFT(I297,2)="MV",2*N297*IF(L297="1/C",O297,1),0)</f>
        <v/>
      </c>
      <c r="Y297" s="9">
        <f>IF(OR(LEFT(K297,4)="LVAX",LEFT(K297,6)="MV15AX",LEFT(K297,4)="CTAX",LEFT(K297,2)="W|"),2*N297*O297,0)</f>
        <v/>
      </c>
      <c r="Z297" s="9" t="inlineStr"/>
    </row>
    <row r="298">
      <c r="A298" s="9" t="inlineStr">
        <is>
          <t>A-C-0286</t>
        </is>
      </c>
      <c r="B298" s="9" t="inlineStr">
        <is>
          <t>A</t>
        </is>
      </c>
      <c r="C298" s="9" t="inlineStr">
        <is>
          <t>Power block</t>
        </is>
      </c>
      <c r="D298" s="9" t="inlineStr">
        <is>
          <t>Control</t>
        </is>
      </c>
      <c r="E298" s="9" t="inlineStr">
        <is>
          <t>R2C</t>
        </is>
      </c>
      <c r="F298" s="9" t="inlineStr">
        <is>
          <t>R2C: unit / HRSG electrical e-house (32 x 40 ft)</t>
        </is>
      </c>
      <c r="G298" s="9" t="inlineStr">
        <is>
          <t>SOS-3</t>
        </is>
      </c>
      <c r="H298" s="9" t="inlineStr">
        <is>
          <t>SOS-3: GTG-3 seal-oil and H2 / CO2 gas-control skid</t>
        </is>
      </c>
      <c r="I298" s="9" t="inlineStr">
        <is>
          <t>Control</t>
        </is>
      </c>
      <c r="J298" s="9" t="inlineStr">
        <is>
          <t>ARMOR-X MC-HL 600 V control, Cu #14 AWG (Class I Div 2)</t>
        </is>
      </c>
      <c r="K298" s="9" t="inlineStr">
        <is>
          <t>CTAX|12/C|14</t>
        </is>
      </c>
      <c r="L298" s="9" t="inlineStr">
        <is>
          <t>12/C</t>
        </is>
      </c>
      <c r="M298" s="9" t="inlineStr">
        <is>
          <t>14</t>
        </is>
      </c>
      <c r="N298" s="9" t="n">
        <v>1</v>
      </c>
      <c r="O298" s="9" t="n">
        <v>1</v>
      </c>
      <c r="P298" s="9" t="n"/>
      <c r="Q298" s="9" t="n"/>
      <c r="R298" s="9" t="n"/>
      <c r="S298" s="9" t="inlineStr">
        <is>
          <t>Tray</t>
        </is>
      </c>
      <c r="T298" s="10" t="n">
        <v>1158</v>
      </c>
      <c r="U298" s="10" t="n">
        <v>118</v>
      </c>
      <c r="V298" s="10">
        <f>ROUNDUP((T298+U298+2*'Read Me'!$B$13)*(1+'Read Me'!$B$12),-1)</f>
        <v/>
      </c>
      <c r="W298" s="10">
        <f>V298*N298*O298</f>
        <v/>
      </c>
      <c r="X298" s="9">
        <f>IF(LEFT(I298,2)="MV",2*N298*IF(L298="1/C",O298,1),0)</f>
        <v/>
      </c>
      <c r="Y298" s="9">
        <f>IF(OR(LEFT(K298,4)="LVAX",LEFT(K298,6)="MV15AX",LEFT(K298,4)="CTAX",LEFT(K298,2)="W|"),2*N298*O298,0)</f>
        <v/>
      </c>
      <c r="Z298" s="9" t="inlineStr"/>
    </row>
    <row r="299">
      <c r="A299" s="9" t="inlineStr">
        <is>
          <t>A-C-0287</t>
        </is>
      </c>
      <c r="B299" s="9" t="inlineStr">
        <is>
          <t>A</t>
        </is>
      </c>
      <c r="C299" s="9" t="inlineStr">
        <is>
          <t>Power block</t>
        </is>
      </c>
      <c r="D299" s="9" t="inlineStr">
        <is>
          <t>Control</t>
        </is>
      </c>
      <c r="E299" s="9" t="inlineStr">
        <is>
          <t>R2C</t>
        </is>
      </c>
      <c r="F299" s="9" t="inlineStr">
        <is>
          <t>R2C: unit / HRSG electrical e-house (32 x 40 ft)</t>
        </is>
      </c>
      <c r="G299" s="9" t="inlineStr">
        <is>
          <t>SOS-3</t>
        </is>
      </c>
      <c r="H299" s="9" t="inlineStr">
        <is>
          <t>SOS-3: GTG-3 seal-oil and H2 / CO2 gas-control skid</t>
        </is>
      </c>
      <c r="I299" s="9" t="inlineStr">
        <is>
          <t>Control</t>
        </is>
      </c>
      <c r="J299" s="9" t="inlineStr">
        <is>
          <t>ARMOR-X MC-HL 600 V control, Cu #14 AWG (Class I Div 2)</t>
        </is>
      </c>
      <c r="K299" s="9" t="inlineStr">
        <is>
          <t>CTAX|12/C|14</t>
        </is>
      </c>
      <c r="L299" s="9" t="inlineStr">
        <is>
          <t>12/C</t>
        </is>
      </c>
      <c r="M299" s="9" t="inlineStr">
        <is>
          <t>14</t>
        </is>
      </c>
      <c r="N299" s="9" t="n">
        <v>1</v>
      </c>
      <c r="O299" s="9" t="n">
        <v>1</v>
      </c>
      <c r="P299" s="9" t="n"/>
      <c r="Q299" s="9" t="n"/>
      <c r="R299" s="9" t="n"/>
      <c r="S299" s="9" t="inlineStr">
        <is>
          <t>Tray</t>
        </is>
      </c>
      <c r="T299" s="10" t="n">
        <v>1158</v>
      </c>
      <c r="U299" s="10" t="n">
        <v>118</v>
      </c>
      <c r="V299" s="10">
        <f>ROUNDUP((T299+U299+2*'Read Me'!$B$13)*(1+'Read Me'!$B$12),-1)</f>
        <v/>
      </c>
      <c r="W299" s="10">
        <f>V299*N299*O299</f>
        <v/>
      </c>
      <c r="X299" s="9">
        <f>IF(LEFT(I299,2)="MV",2*N299*IF(L299="1/C",O299,1),0)</f>
        <v/>
      </c>
      <c r="Y299" s="9">
        <f>IF(OR(LEFT(K299,4)="LVAX",LEFT(K299,6)="MV15AX",LEFT(K299,4)="CTAX",LEFT(K299,2)="W|"),2*N299*O299,0)</f>
        <v/>
      </c>
      <c r="Z299" s="9" t="inlineStr"/>
    </row>
    <row r="300">
      <c r="A300" s="9" t="inlineStr">
        <is>
          <t>A-C-0288</t>
        </is>
      </c>
      <c r="B300" s="9" t="inlineStr">
        <is>
          <t>A</t>
        </is>
      </c>
      <c r="C300" s="9" t="inlineStr">
        <is>
          <t>Power block</t>
        </is>
      </c>
      <c r="D300" s="9" t="inlineStr">
        <is>
          <t>Control</t>
        </is>
      </c>
      <c r="E300" s="9" t="inlineStr">
        <is>
          <t>R2C</t>
        </is>
      </c>
      <c r="F300" s="9" t="inlineStr">
        <is>
          <t>R2C: unit / HRSG electrical e-house (32 x 40 ft)</t>
        </is>
      </c>
      <c r="G300" s="9" t="inlineStr">
        <is>
          <t>SOS-3</t>
        </is>
      </c>
      <c r="H300" s="9" t="inlineStr">
        <is>
          <t>SOS-3: GTG-3 seal-oil and H2 / CO2 gas-control skid</t>
        </is>
      </c>
      <c r="I300" s="9" t="inlineStr">
        <is>
          <t>Control</t>
        </is>
      </c>
      <c r="J300" s="9" t="inlineStr">
        <is>
          <t>ARMOR-X MC-HL 600 V control, Cu #14 AWG (Class I Div 2)</t>
        </is>
      </c>
      <c r="K300" s="9" t="inlineStr">
        <is>
          <t>CTAX|12/C|14</t>
        </is>
      </c>
      <c r="L300" s="9" t="inlineStr">
        <is>
          <t>12/C</t>
        </is>
      </c>
      <c r="M300" s="9" t="inlineStr">
        <is>
          <t>14</t>
        </is>
      </c>
      <c r="N300" s="9" t="n">
        <v>1</v>
      </c>
      <c r="O300" s="9" t="n">
        <v>1</v>
      </c>
      <c r="P300" s="9" t="n"/>
      <c r="Q300" s="9" t="n"/>
      <c r="R300" s="9" t="n"/>
      <c r="S300" s="9" t="inlineStr">
        <is>
          <t>Tray</t>
        </is>
      </c>
      <c r="T300" s="10" t="n">
        <v>1158</v>
      </c>
      <c r="U300" s="10" t="n">
        <v>118</v>
      </c>
      <c r="V300" s="10">
        <f>ROUNDUP((T300+U300+2*'Read Me'!$B$13)*(1+'Read Me'!$B$12),-1)</f>
        <v/>
      </c>
      <c r="W300" s="10">
        <f>V300*N300*O300</f>
        <v/>
      </c>
      <c r="X300" s="9">
        <f>IF(LEFT(I300,2)="MV",2*N300*IF(L300="1/C",O300,1),0)</f>
        <v/>
      </c>
      <c r="Y300" s="9">
        <f>IF(OR(LEFT(K300,4)="LVAX",LEFT(K300,6)="MV15AX",LEFT(K300,4)="CTAX",LEFT(K300,2)="W|"),2*N300*O300,0)</f>
        <v/>
      </c>
      <c r="Z300" s="9" t="inlineStr"/>
    </row>
    <row r="301">
      <c r="A301" s="9" t="inlineStr">
        <is>
          <t>A-C-0289</t>
        </is>
      </c>
      <c r="B301" s="9" t="inlineStr">
        <is>
          <t>A</t>
        </is>
      </c>
      <c r="C301" s="9" t="inlineStr">
        <is>
          <t>Power block</t>
        </is>
      </c>
      <c r="D301" s="9" t="inlineStr">
        <is>
          <t>Control</t>
        </is>
      </c>
      <c r="E301" s="9" t="inlineStr">
        <is>
          <t>R2A</t>
        </is>
      </c>
      <c r="F301" s="9" t="inlineStr">
        <is>
          <t>R2A: unit / HRSG electrical e-house (32 x 40 ft)</t>
        </is>
      </c>
      <c r="G301" s="9" t="inlineStr">
        <is>
          <t>SPC-1</t>
        </is>
      </c>
      <c r="H301" s="9" t="inlineStr">
        <is>
          <t>SPC-1: surge-protection and VT cubicle on the IPB (GTG-1)</t>
        </is>
      </c>
      <c r="I301" s="9" t="inlineStr">
        <is>
          <t>Control</t>
        </is>
      </c>
      <c r="J301" s="9" t="inlineStr">
        <is>
          <t>Control cable 600 V Type TC-ER, Cu #14 AWG, PVC jacket</t>
        </is>
      </c>
      <c r="K301" s="9" t="inlineStr">
        <is>
          <t>CT|7/C|14</t>
        </is>
      </c>
      <c r="L301" s="9" t="inlineStr">
        <is>
          <t>7/C</t>
        </is>
      </c>
      <c r="M301" s="9" t="inlineStr">
        <is>
          <t>14</t>
        </is>
      </c>
      <c r="N301" s="9" t="n">
        <v>1</v>
      </c>
      <c r="O301" s="9" t="n">
        <v>1</v>
      </c>
      <c r="P301" s="9" t="n"/>
      <c r="Q301" s="9" t="n"/>
      <c r="R301" s="9" t="n"/>
      <c r="S301" s="9" t="inlineStr">
        <is>
          <t>Tray</t>
        </is>
      </c>
      <c r="T301" s="10" t="n">
        <v>407</v>
      </c>
      <c r="U301" s="10" t="n">
        <v>82</v>
      </c>
      <c r="V301" s="10">
        <f>ROUNDUP((T301+U301+2*'Read Me'!$B$13)*(1+'Read Me'!$B$12),-1)</f>
        <v/>
      </c>
      <c r="W301" s="10">
        <f>V301*N301*O301</f>
        <v/>
      </c>
      <c r="X301" s="9">
        <f>IF(LEFT(I301,2)="MV",2*N301*IF(L301="1/C",O301,1),0)</f>
        <v/>
      </c>
      <c r="Y301" s="9">
        <f>IF(OR(LEFT(K301,4)="LVAX",LEFT(K301,6)="MV15AX",LEFT(K301,4)="CTAX",LEFT(K301,2)="W|"),2*N301*O301,0)</f>
        <v/>
      </c>
      <c r="Z301" s="9" t="inlineStr"/>
    </row>
    <row r="302">
      <c r="A302" s="9" t="inlineStr">
        <is>
          <t>A-C-0290</t>
        </is>
      </c>
      <c r="B302" s="9" t="inlineStr">
        <is>
          <t>A</t>
        </is>
      </c>
      <c r="C302" s="9" t="inlineStr">
        <is>
          <t>Power block</t>
        </is>
      </c>
      <c r="D302" s="9" t="inlineStr">
        <is>
          <t>Control</t>
        </is>
      </c>
      <c r="E302" s="9" t="inlineStr">
        <is>
          <t>R2A</t>
        </is>
      </c>
      <c r="F302" s="9" t="inlineStr">
        <is>
          <t>R2A: unit / HRSG electrical e-house (32 x 40 ft)</t>
        </is>
      </c>
      <c r="G302" s="9" t="inlineStr">
        <is>
          <t>SPC-1</t>
        </is>
      </c>
      <c r="H302" s="9" t="inlineStr">
        <is>
          <t>SPC-1: surge-protection and VT cubicle on the IPB (GTG-1)</t>
        </is>
      </c>
      <c r="I302" s="9" t="inlineStr">
        <is>
          <t>Control</t>
        </is>
      </c>
      <c r="J302" s="9" t="inlineStr">
        <is>
          <t>Control cable 600 V Type TC-ER, Cu #14 AWG, PVC jacket</t>
        </is>
      </c>
      <c r="K302" s="9" t="inlineStr">
        <is>
          <t>CT|7/C|14</t>
        </is>
      </c>
      <c r="L302" s="9" t="inlineStr">
        <is>
          <t>7/C</t>
        </is>
      </c>
      <c r="M302" s="9" t="inlineStr">
        <is>
          <t>14</t>
        </is>
      </c>
      <c r="N302" s="9" t="n">
        <v>1</v>
      </c>
      <c r="O302" s="9" t="n">
        <v>1</v>
      </c>
      <c r="P302" s="9" t="n"/>
      <c r="Q302" s="9" t="n"/>
      <c r="R302" s="9" t="n"/>
      <c r="S302" s="9" t="inlineStr">
        <is>
          <t>Tray</t>
        </is>
      </c>
      <c r="T302" s="10" t="n">
        <v>407</v>
      </c>
      <c r="U302" s="10" t="n">
        <v>82</v>
      </c>
      <c r="V302" s="10">
        <f>ROUNDUP((T302+U302+2*'Read Me'!$B$13)*(1+'Read Me'!$B$12),-1)</f>
        <v/>
      </c>
      <c r="W302" s="10">
        <f>V302*N302*O302</f>
        <v/>
      </c>
      <c r="X302" s="9">
        <f>IF(LEFT(I302,2)="MV",2*N302*IF(L302="1/C",O302,1),0)</f>
        <v/>
      </c>
      <c r="Y302" s="9">
        <f>IF(OR(LEFT(K302,4)="LVAX",LEFT(K302,6)="MV15AX",LEFT(K302,4)="CTAX",LEFT(K302,2)="W|"),2*N302*O302,0)</f>
        <v/>
      </c>
      <c r="Z302" s="9" t="inlineStr"/>
    </row>
    <row r="303">
      <c r="A303" s="9" t="inlineStr">
        <is>
          <t>A-C-0291</t>
        </is>
      </c>
      <c r="B303" s="9" t="inlineStr">
        <is>
          <t>A</t>
        </is>
      </c>
      <c r="C303" s="9" t="inlineStr">
        <is>
          <t>Power block</t>
        </is>
      </c>
      <c r="D303" s="9" t="inlineStr">
        <is>
          <t>Control</t>
        </is>
      </c>
      <c r="E303" s="9" t="inlineStr">
        <is>
          <t>R2A</t>
        </is>
      </c>
      <c r="F303" s="9" t="inlineStr">
        <is>
          <t>R2A: unit / HRSG electrical e-house (32 x 40 ft)</t>
        </is>
      </c>
      <c r="G303" s="9" t="inlineStr">
        <is>
          <t>SPC-1</t>
        </is>
      </c>
      <c r="H303" s="9" t="inlineStr">
        <is>
          <t>SPC-1: surge-protection and VT cubicle on the IPB (GTG-1)</t>
        </is>
      </c>
      <c r="I303" s="9" t="inlineStr">
        <is>
          <t>Control</t>
        </is>
      </c>
      <c r="J303" s="9" t="inlineStr">
        <is>
          <t>Control cable 600 V Type TC-ER, Cu #14 AWG, PVC jacket</t>
        </is>
      </c>
      <c r="K303" s="9" t="inlineStr">
        <is>
          <t>CT|12/C|14</t>
        </is>
      </c>
      <c r="L303" s="9" t="inlineStr">
        <is>
          <t>12/C</t>
        </is>
      </c>
      <c r="M303" s="9" t="inlineStr">
        <is>
          <t>14</t>
        </is>
      </c>
      <c r="N303" s="9" t="n">
        <v>1</v>
      </c>
      <c r="O303" s="9" t="n">
        <v>1</v>
      </c>
      <c r="P303" s="9" t="n"/>
      <c r="Q303" s="9" t="n"/>
      <c r="R303" s="9" t="n"/>
      <c r="S303" s="9" t="inlineStr">
        <is>
          <t>Tray</t>
        </is>
      </c>
      <c r="T303" s="10" t="n">
        <v>407</v>
      </c>
      <c r="U303" s="10" t="n">
        <v>82</v>
      </c>
      <c r="V303" s="10">
        <f>ROUNDUP((T303+U303+2*'Read Me'!$B$13)*(1+'Read Me'!$B$12),-1)</f>
        <v/>
      </c>
      <c r="W303" s="10">
        <f>V303*N303*O303</f>
        <v/>
      </c>
      <c r="X303" s="9">
        <f>IF(LEFT(I303,2)="MV",2*N303*IF(L303="1/C",O303,1),0)</f>
        <v/>
      </c>
      <c r="Y303" s="9">
        <f>IF(OR(LEFT(K303,4)="LVAX",LEFT(K303,6)="MV15AX",LEFT(K303,4)="CTAX",LEFT(K303,2)="W|"),2*N303*O303,0)</f>
        <v/>
      </c>
      <c r="Z303" s="9" t="inlineStr"/>
    </row>
    <row r="304">
      <c r="A304" s="9" t="inlineStr">
        <is>
          <t>A-C-0292</t>
        </is>
      </c>
      <c r="B304" s="9" t="inlineStr">
        <is>
          <t>A</t>
        </is>
      </c>
      <c r="C304" s="9" t="inlineStr">
        <is>
          <t>Power block</t>
        </is>
      </c>
      <c r="D304" s="9" t="inlineStr">
        <is>
          <t>Control</t>
        </is>
      </c>
      <c r="E304" s="9" t="inlineStr">
        <is>
          <t>R2A</t>
        </is>
      </c>
      <c r="F304" s="9" t="inlineStr">
        <is>
          <t>R2A: unit / HRSG electrical e-house (32 x 40 ft)</t>
        </is>
      </c>
      <c r="G304" s="9" t="inlineStr">
        <is>
          <t>SPC-1</t>
        </is>
      </c>
      <c r="H304" s="9" t="inlineStr">
        <is>
          <t>SPC-1: surge-protection and VT cubicle on the IPB (GTG-1)</t>
        </is>
      </c>
      <c r="I304" s="9" t="inlineStr">
        <is>
          <t>Control</t>
        </is>
      </c>
      <c r="J304" s="9" t="inlineStr">
        <is>
          <t>Control cable 600 V Type TC-ER, Cu #14 AWG, PVC jacket</t>
        </is>
      </c>
      <c r="K304" s="9" t="inlineStr">
        <is>
          <t>CT|12/C|14</t>
        </is>
      </c>
      <c r="L304" s="9" t="inlineStr">
        <is>
          <t>12/C</t>
        </is>
      </c>
      <c r="M304" s="9" t="inlineStr">
        <is>
          <t>14</t>
        </is>
      </c>
      <c r="N304" s="9" t="n">
        <v>1</v>
      </c>
      <c r="O304" s="9" t="n">
        <v>1</v>
      </c>
      <c r="P304" s="9" t="n"/>
      <c r="Q304" s="9" t="n"/>
      <c r="R304" s="9" t="n"/>
      <c r="S304" s="9" t="inlineStr">
        <is>
          <t>Tray</t>
        </is>
      </c>
      <c r="T304" s="10" t="n">
        <v>407</v>
      </c>
      <c r="U304" s="10" t="n">
        <v>82</v>
      </c>
      <c r="V304" s="10">
        <f>ROUNDUP((T304+U304+2*'Read Me'!$B$13)*(1+'Read Me'!$B$12),-1)</f>
        <v/>
      </c>
      <c r="W304" s="10">
        <f>V304*N304*O304</f>
        <v/>
      </c>
      <c r="X304" s="9">
        <f>IF(LEFT(I304,2)="MV",2*N304*IF(L304="1/C",O304,1),0)</f>
        <v/>
      </c>
      <c r="Y304" s="9">
        <f>IF(OR(LEFT(K304,4)="LVAX",LEFT(K304,6)="MV15AX",LEFT(K304,4)="CTAX",LEFT(K304,2)="W|"),2*N304*O304,0)</f>
        <v/>
      </c>
      <c r="Z304" s="9" t="inlineStr"/>
    </row>
    <row r="305">
      <c r="A305" s="9" t="inlineStr">
        <is>
          <t>A-C-0293</t>
        </is>
      </c>
      <c r="B305" s="9" t="inlineStr">
        <is>
          <t>A</t>
        </is>
      </c>
      <c r="C305" s="9" t="inlineStr">
        <is>
          <t>Power block</t>
        </is>
      </c>
      <c r="D305" s="9" t="inlineStr">
        <is>
          <t>Control</t>
        </is>
      </c>
      <c r="E305" s="9" t="inlineStr">
        <is>
          <t>R2A</t>
        </is>
      </c>
      <c r="F305" s="9" t="inlineStr">
        <is>
          <t>R2A: unit / HRSG electrical e-house (32 x 40 ft)</t>
        </is>
      </c>
      <c r="G305" s="9" t="inlineStr">
        <is>
          <t>SPC-1</t>
        </is>
      </c>
      <c r="H305" s="9" t="inlineStr">
        <is>
          <t>SPC-1: surge-protection and VT cubicle on the IPB (GTG-1)</t>
        </is>
      </c>
      <c r="I305" s="9" t="inlineStr">
        <is>
          <t>Control</t>
        </is>
      </c>
      <c r="J305" s="9" t="inlineStr">
        <is>
          <t>Control cable 600 V Type TC-ER, Cu #14 AWG, PVC jacket</t>
        </is>
      </c>
      <c r="K305" s="9" t="inlineStr">
        <is>
          <t>CT|12/C|14</t>
        </is>
      </c>
      <c r="L305" s="9" t="inlineStr">
        <is>
          <t>12/C</t>
        </is>
      </c>
      <c r="M305" s="9" t="inlineStr">
        <is>
          <t>14</t>
        </is>
      </c>
      <c r="N305" s="9" t="n">
        <v>1</v>
      </c>
      <c r="O305" s="9" t="n">
        <v>1</v>
      </c>
      <c r="P305" s="9" t="n"/>
      <c r="Q305" s="9" t="n"/>
      <c r="R305" s="9" t="n"/>
      <c r="S305" s="9" t="inlineStr">
        <is>
          <t>Tray</t>
        </is>
      </c>
      <c r="T305" s="10" t="n">
        <v>407</v>
      </c>
      <c r="U305" s="10" t="n">
        <v>82</v>
      </c>
      <c r="V305" s="10">
        <f>ROUNDUP((T305+U305+2*'Read Me'!$B$13)*(1+'Read Me'!$B$12),-1)</f>
        <v/>
      </c>
      <c r="W305" s="10">
        <f>V305*N305*O305</f>
        <v/>
      </c>
      <c r="X305" s="9">
        <f>IF(LEFT(I305,2)="MV",2*N305*IF(L305="1/C",O305,1),0)</f>
        <v/>
      </c>
      <c r="Y305" s="9">
        <f>IF(OR(LEFT(K305,4)="LVAX",LEFT(K305,6)="MV15AX",LEFT(K305,4)="CTAX",LEFT(K305,2)="W|"),2*N305*O305,0)</f>
        <v/>
      </c>
      <c r="Z305" s="9" t="inlineStr"/>
    </row>
    <row r="306">
      <c r="A306" s="9" t="inlineStr">
        <is>
          <t>A-C-0294</t>
        </is>
      </c>
      <c r="B306" s="9" t="inlineStr">
        <is>
          <t>A</t>
        </is>
      </c>
      <c r="C306" s="9" t="inlineStr">
        <is>
          <t>Power block</t>
        </is>
      </c>
      <c r="D306" s="9" t="inlineStr">
        <is>
          <t>Control</t>
        </is>
      </c>
      <c r="E306" s="9" t="inlineStr">
        <is>
          <t>R2A</t>
        </is>
      </c>
      <c r="F306" s="9" t="inlineStr">
        <is>
          <t>R2A: unit / HRSG electrical e-house (32 x 40 ft)</t>
        </is>
      </c>
      <c r="G306" s="9" t="inlineStr">
        <is>
          <t>SPC-1</t>
        </is>
      </c>
      <c r="H306" s="9" t="inlineStr">
        <is>
          <t>SPC-1: surge-protection and VT cubicle on the IPB (GTG-1)</t>
        </is>
      </c>
      <c r="I306" s="9" t="inlineStr">
        <is>
          <t>Control</t>
        </is>
      </c>
      <c r="J306" s="9" t="inlineStr">
        <is>
          <t>Control cable 600 V Type TC-ER, Cu #14 AWG, PVC jacket</t>
        </is>
      </c>
      <c r="K306" s="9" t="inlineStr">
        <is>
          <t>CT|12/C|14</t>
        </is>
      </c>
      <c r="L306" s="9" t="inlineStr">
        <is>
          <t>12/C</t>
        </is>
      </c>
      <c r="M306" s="9" t="inlineStr">
        <is>
          <t>14</t>
        </is>
      </c>
      <c r="N306" s="9" t="n">
        <v>1</v>
      </c>
      <c r="O306" s="9" t="n">
        <v>1</v>
      </c>
      <c r="P306" s="9" t="n"/>
      <c r="Q306" s="9" t="n"/>
      <c r="R306" s="9" t="n"/>
      <c r="S306" s="9" t="inlineStr">
        <is>
          <t>Tray</t>
        </is>
      </c>
      <c r="T306" s="10" t="n">
        <v>407</v>
      </c>
      <c r="U306" s="10" t="n">
        <v>82</v>
      </c>
      <c r="V306" s="10">
        <f>ROUNDUP((T306+U306+2*'Read Me'!$B$13)*(1+'Read Me'!$B$12),-1)</f>
        <v/>
      </c>
      <c r="W306" s="10">
        <f>V306*N306*O306</f>
        <v/>
      </c>
      <c r="X306" s="9">
        <f>IF(LEFT(I306,2)="MV",2*N306*IF(L306="1/C",O306,1),0)</f>
        <v/>
      </c>
      <c r="Y306" s="9">
        <f>IF(OR(LEFT(K306,4)="LVAX",LEFT(K306,6)="MV15AX",LEFT(K306,4)="CTAX",LEFT(K306,2)="W|"),2*N306*O306,0)</f>
        <v/>
      </c>
      <c r="Z306" s="9" t="inlineStr"/>
    </row>
    <row r="307">
      <c r="A307" s="9" t="inlineStr">
        <is>
          <t>A-C-0295</t>
        </is>
      </c>
      <c r="B307" s="9" t="inlineStr">
        <is>
          <t>A</t>
        </is>
      </c>
      <c r="C307" s="9" t="inlineStr">
        <is>
          <t>Power block</t>
        </is>
      </c>
      <c r="D307" s="9" t="inlineStr">
        <is>
          <t>Control</t>
        </is>
      </c>
      <c r="E307" s="9" t="inlineStr">
        <is>
          <t>R2A</t>
        </is>
      </c>
      <c r="F307" s="9" t="inlineStr">
        <is>
          <t>R2A: unit / HRSG electrical e-house (32 x 40 ft)</t>
        </is>
      </c>
      <c r="G307" s="9" t="inlineStr">
        <is>
          <t>SPC-1</t>
        </is>
      </c>
      <c r="H307" s="9" t="inlineStr">
        <is>
          <t>SPC-1: surge-protection and VT cubicle on the IPB (GTG-1)</t>
        </is>
      </c>
      <c r="I307" s="9" t="inlineStr">
        <is>
          <t>Control</t>
        </is>
      </c>
      <c r="J307" s="9" t="inlineStr">
        <is>
          <t>Control cable 600 V Type TC-ER, Cu #14 AWG, PVC jacket</t>
        </is>
      </c>
      <c r="K307" s="9" t="inlineStr">
        <is>
          <t>CT|12/C|14</t>
        </is>
      </c>
      <c r="L307" s="9" t="inlineStr">
        <is>
          <t>12/C</t>
        </is>
      </c>
      <c r="M307" s="9" t="inlineStr">
        <is>
          <t>14</t>
        </is>
      </c>
      <c r="N307" s="9" t="n">
        <v>1</v>
      </c>
      <c r="O307" s="9" t="n">
        <v>1</v>
      </c>
      <c r="P307" s="9" t="n"/>
      <c r="Q307" s="9" t="n"/>
      <c r="R307" s="9" t="n"/>
      <c r="S307" s="9" t="inlineStr">
        <is>
          <t>Tray</t>
        </is>
      </c>
      <c r="T307" s="10" t="n">
        <v>407</v>
      </c>
      <c r="U307" s="10" t="n">
        <v>82</v>
      </c>
      <c r="V307" s="10">
        <f>ROUNDUP((T307+U307+2*'Read Me'!$B$13)*(1+'Read Me'!$B$12),-1)</f>
        <v/>
      </c>
      <c r="W307" s="10">
        <f>V307*N307*O307</f>
        <v/>
      </c>
      <c r="X307" s="9">
        <f>IF(LEFT(I307,2)="MV",2*N307*IF(L307="1/C",O307,1),0)</f>
        <v/>
      </c>
      <c r="Y307" s="9">
        <f>IF(OR(LEFT(K307,4)="LVAX",LEFT(K307,6)="MV15AX",LEFT(K307,4)="CTAX",LEFT(K307,2)="W|"),2*N307*O307,0)</f>
        <v/>
      </c>
      <c r="Z307" s="9" t="inlineStr"/>
    </row>
    <row r="308">
      <c r="A308" s="9" t="inlineStr">
        <is>
          <t>A-C-0296</t>
        </is>
      </c>
      <c r="B308" s="9" t="inlineStr">
        <is>
          <t>A</t>
        </is>
      </c>
      <c r="C308" s="9" t="inlineStr">
        <is>
          <t>Power block</t>
        </is>
      </c>
      <c r="D308" s="9" t="inlineStr">
        <is>
          <t>Control</t>
        </is>
      </c>
      <c r="E308" s="9" t="inlineStr">
        <is>
          <t>R2A</t>
        </is>
      </c>
      <c r="F308" s="9" t="inlineStr">
        <is>
          <t>R2A: unit / HRSG electrical e-house (32 x 40 ft)</t>
        </is>
      </c>
      <c r="G308" s="9" t="inlineStr">
        <is>
          <t>SPC-1</t>
        </is>
      </c>
      <c r="H308" s="9" t="inlineStr">
        <is>
          <t>SPC-1: surge-protection and VT cubicle on the IPB (GTG-1)</t>
        </is>
      </c>
      <c r="I308" s="9" t="inlineStr">
        <is>
          <t>Control</t>
        </is>
      </c>
      <c r="J308" s="9" t="inlineStr">
        <is>
          <t>Control cable 600 V Type TC-ER, Cu #14 AWG, PVC jacket</t>
        </is>
      </c>
      <c r="K308" s="9" t="inlineStr">
        <is>
          <t>CT|12/C|14</t>
        </is>
      </c>
      <c r="L308" s="9" t="inlineStr">
        <is>
          <t>12/C</t>
        </is>
      </c>
      <c r="M308" s="9" t="inlineStr">
        <is>
          <t>14</t>
        </is>
      </c>
      <c r="N308" s="9" t="n">
        <v>1</v>
      </c>
      <c r="O308" s="9" t="n">
        <v>1</v>
      </c>
      <c r="P308" s="9" t="n"/>
      <c r="Q308" s="9" t="n"/>
      <c r="R308" s="9" t="n"/>
      <c r="S308" s="9" t="inlineStr">
        <is>
          <t>Tray</t>
        </is>
      </c>
      <c r="T308" s="10" t="n">
        <v>407</v>
      </c>
      <c r="U308" s="10" t="n">
        <v>82</v>
      </c>
      <c r="V308" s="10">
        <f>ROUNDUP((T308+U308+2*'Read Me'!$B$13)*(1+'Read Me'!$B$12),-1)</f>
        <v/>
      </c>
      <c r="W308" s="10">
        <f>V308*N308*O308</f>
        <v/>
      </c>
      <c r="X308" s="9">
        <f>IF(LEFT(I308,2)="MV",2*N308*IF(L308="1/C",O308,1),0)</f>
        <v/>
      </c>
      <c r="Y308" s="9">
        <f>IF(OR(LEFT(K308,4)="LVAX",LEFT(K308,6)="MV15AX",LEFT(K308,4)="CTAX",LEFT(K308,2)="W|"),2*N308*O308,0)</f>
        <v/>
      </c>
      <c r="Z308" s="9" t="inlineStr"/>
    </row>
    <row r="309">
      <c r="A309" s="9" t="inlineStr">
        <is>
          <t>A-C-0297</t>
        </is>
      </c>
      <c r="B309" s="9" t="inlineStr">
        <is>
          <t>A</t>
        </is>
      </c>
      <c r="C309" s="9" t="inlineStr">
        <is>
          <t>Power block</t>
        </is>
      </c>
      <c r="D309" s="9" t="inlineStr">
        <is>
          <t>Control</t>
        </is>
      </c>
      <c r="E309" s="9" t="inlineStr">
        <is>
          <t>R2B</t>
        </is>
      </c>
      <c r="F309" s="9" t="inlineStr">
        <is>
          <t>R2B: unit / HRSG electrical e-house (32 x 40 ft)</t>
        </is>
      </c>
      <c r="G309" s="9" t="inlineStr">
        <is>
          <t>SPC-2</t>
        </is>
      </c>
      <c r="H309" s="9" t="inlineStr">
        <is>
          <t>SPC-2: surge-protection and VT cubicle on the IPB (GTG-2)</t>
        </is>
      </c>
      <c r="I309" s="9" t="inlineStr">
        <is>
          <t>Control</t>
        </is>
      </c>
      <c r="J309" s="9" t="inlineStr">
        <is>
          <t>Control cable 600 V Type TC-ER, Cu #14 AWG, PVC jacket</t>
        </is>
      </c>
      <c r="K309" s="9" t="inlineStr">
        <is>
          <t>CT|7/C|14</t>
        </is>
      </c>
      <c r="L309" s="9" t="inlineStr">
        <is>
          <t>7/C</t>
        </is>
      </c>
      <c r="M309" s="9" t="inlineStr">
        <is>
          <t>14</t>
        </is>
      </c>
      <c r="N309" s="9" t="n">
        <v>1</v>
      </c>
      <c r="O309" s="9" t="n">
        <v>1</v>
      </c>
      <c r="P309" s="9" t="n"/>
      <c r="Q309" s="9" t="n"/>
      <c r="R309" s="9" t="n"/>
      <c r="S309" s="9" t="inlineStr">
        <is>
          <t>Tray</t>
        </is>
      </c>
      <c r="T309" s="10" t="n">
        <v>1146</v>
      </c>
      <c r="U309" s="10" t="n">
        <v>84</v>
      </c>
      <c r="V309" s="10">
        <f>ROUNDUP((T309+U309+2*'Read Me'!$B$13)*(1+'Read Me'!$B$12),-1)</f>
        <v/>
      </c>
      <c r="W309" s="10">
        <f>V309*N309*O309</f>
        <v/>
      </c>
      <c r="X309" s="9">
        <f>IF(LEFT(I309,2)="MV",2*N309*IF(L309="1/C",O309,1),0)</f>
        <v/>
      </c>
      <c r="Y309" s="9">
        <f>IF(OR(LEFT(K309,4)="LVAX",LEFT(K309,6)="MV15AX",LEFT(K309,4)="CTAX",LEFT(K309,2)="W|"),2*N309*O309,0)</f>
        <v/>
      </c>
      <c r="Z309" s="9" t="inlineStr"/>
    </row>
    <row r="310">
      <c r="A310" s="9" t="inlineStr">
        <is>
          <t>A-C-0298</t>
        </is>
      </c>
      <c r="B310" s="9" t="inlineStr">
        <is>
          <t>A</t>
        </is>
      </c>
      <c r="C310" s="9" t="inlineStr">
        <is>
          <t>Power block</t>
        </is>
      </c>
      <c r="D310" s="9" t="inlineStr">
        <is>
          <t>Control</t>
        </is>
      </c>
      <c r="E310" s="9" t="inlineStr">
        <is>
          <t>R2B</t>
        </is>
      </c>
      <c r="F310" s="9" t="inlineStr">
        <is>
          <t>R2B: unit / HRSG electrical e-house (32 x 40 ft)</t>
        </is>
      </c>
      <c r="G310" s="9" t="inlineStr">
        <is>
          <t>SPC-2</t>
        </is>
      </c>
      <c r="H310" s="9" t="inlineStr">
        <is>
          <t>SPC-2: surge-protection and VT cubicle on the IPB (GTG-2)</t>
        </is>
      </c>
      <c r="I310" s="9" t="inlineStr">
        <is>
          <t>Control</t>
        </is>
      </c>
      <c r="J310" s="9" t="inlineStr">
        <is>
          <t>Control cable 600 V Type TC-ER, Cu #14 AWG, PVC jacket</t>
        </is>
      </c>
      <c r="K310" s="9" t="inlineStr">
        <is>
          <t>CT|7/C|14</t>
        </is>
      </c>
      <c r="L310" s="9" t="inlineStr">
        <is>
          <t>7/C</t>
        </is>
      </c>
      <c r="M310" s="9" t="inlineStr">
        <is>
          <t>14</t>
        </is>
      </c>
      <c r="N310" s="9" t="n">
        <v>1</v>
      </c>
      <c r="O310" s="9" t="n">
        <v>1</v>
      </c>
      <c r="P310" s="9" t="n"/>
      <c r="Q310" s="9" t="n"/>
      <c r="R310" s="9" t="n"/>
      <c r="S310" s="9" t="inlineStr">
        <is>
          <t>Tray</t>
        </is>
      </c>
      <c r="T310" s="10" t="n">
        <v>1146</v>
      </c>
      <c r="U310" s="10" t="n">
        <v>84</v>
      </c>
      <c r="V310" s="10">
        <f>ROUNDUP((T310+U310+2*'Read Me'!$B$13)*(1+'Read Me'!$B$12),-1)</f>
        <v/>
      </c>
      <c r="W310" s="10">
        <f>V310*N310*O310</f>
        <v/>
      </c>
      <c r="X310" s="9">
        <f>IF(LEFT(I310,2)="MV",2*N310*IF(L310="1/C",O310,1),0)</f>
        <v/>
      </c>
      <c r="Y310" s="9">
        <f>IF(OR(LEFT(K310,4)="LVAX",LEFT(K310,6)="MV15AX",LEFT(K310,4)="CTAX",LEFT(K310,2)="W|"),2*N310*O310,0)</f>
        <v/>
      </c>
      <c r="Z310" s="9" t="inlineStr"/>
    </row>
    <row r="311">
      <c r="A311" s="9" t="inlineStr">
        <is>
          <t>A-C-0299</t>
        </is>
      </c>
      <c r="B311" s="9" t="inlineStr">
        <is>
          <t>A</t>
        </is>
      </c>
      <c r="C311" s="9" t="inlineStr">
        <is>
          <t>Power block</t>
        </is>
      </c>
      <c r="D311" s="9" t="inlineStr">
        <is>
          <t>Control</t>
        </is>
      </c>
      <c r="E311" s="9" t="inlineStr">
        <is>
          <t>R2B</t>
        </is>
      </c>
      <c r="F311" s="9" t="inlineStr">
        <is>
          <t>R2B: unit / HRSG electrical e-house (32 x 40 ft)</t>
        </is>
      </c>
      <c r="G311" s="9" t="inlineStr">
        <is>
          <t>SPC-2</t>
        </is>
      </c>
      <c r="H311" s="9" t="inlineStr">
        <is>
          <t>SPC-2: surge-protection and VT cubicle on the IPB (GTG-2)</t>
        </is>
      </c>
      <c r="I311" s="9" t="inlineStr">
        <is>
          <t>Control</t>
        </is>
      </c>
      <c r="J311" s="9" t="inlineStr">
        <is>
          <t>Control cable 600 V Type TC-ER, Cu #14 AWG, PVC jacket</t>
        </is>
      </c>
      <c r="K311" s="9" t="inlineStr">
        <is>
          <t>CT|12/C|14</t>
        </is>
      </c>
      <c r="L311" s="9" t="inlineStr">
        <is>
          <t>12/C</t>
        </is>
      </c>
      <c r="M311" s="9" t="inlineStr">
        <is>
          <t>14</t>
        </is>
      </c>
      <c r="N311" s="9" t="n">
        <v>1</v>
      </c>
      <c r="O311" s="9" t="n">
        <v>1</v>
      </c>
      <c r="P311" s="9" t="n"/>
      <c r="Q311" s="9" t="n"/>
      <c r="R311" s="9" t="n"/>
      <c r="S311" s="9" t="inlineStr">
        <is>
          <t>Tray</t>
        </is>
      </c>
      <c r="T311" s="10" t="n">
        <v>1146</v>
      </c>
      <c r="U311" s="10" t="n">
        <v>84</v>
      </c>
      <c r="V311" s="10">
        <f>ROUNDUP((T311+U311+2*'Read Me'!$B$13)*(1+'Read Me'!$B$12),-1)</f>
        <v/>
      </c>
      <c r="W311" s="10">
        <f>V311*N311*O311</f>
        <v/>
      </c>
      <c r="X311" s="9">
        <f>IF(LEFT(I311,2)="MV",2*N311*IF(L311="1/C",O311,1),0)</f>
        <v/>
      </c>
      <c r="Y311" s="9">
        <f>IF(OR(LEFT(K311,4)="LVAX",LEFT(K311,6)="MV15AX",LEFT(K311,4)="CTAX",LEFT(K311,2)="W|"),2*N311*O311,0)</f>
        <v/>
      </c>
      <c r="Z311" s="9" t="inlineStr"/>
    </row>
    <row r="312">
      <c r="A312" s="9" t="inlineStr">
        <is>
          <t>A-C-0300</t>
        </is>
      </c>
      <c r="B312" s="9" t="inlineStr">
        <is>
          <t>A</t>
        </is>
      </c>
      <c r="C312" s="9" t="inlineStr">
        <is>
          <t>Power block</t>
        </is>
      </c>
      <c r="D312" s="9" t="inlineStr">
        <is>
          <t>Control</t>
        </is>
      </c>
      <c r="E312" s="9" t="inlineStr">
        <is>
          <t>R2B</t>
        </is>
      </c>
      <c r="F312" s="9" t="inlineStr">
        <is>
          <t>R2B: unit / HRSG electrical e-house (32 x 40 ft)</t>
        </is>
      </c>
      <c r="G312" s="9" t="inlineStr">
        <is>
          <t>SPC-2</t>
        </is>
      </c>
      <c r="H312" s="9" t="inlineStr">
        <is>
          <t>SPC-2: surge-protection and VT cubicle on the IPB (GTG-2)</t>
        </is>
      </c>
      <c r="I312" s="9" t="inlineStr">
        <is>
          <t>Control</t>
        </is>
      </c>
      <c r="J312" s="9" t="inlineStr">
        <is>
          <t>Control cable 600 V Type TC-ER, Cu #14 AWG, PVC jacket</t>
        </is>
      </c>
      <c r="K312" s="9" t="inlineStr">
        <is>
          <t>CT|12/C|14</t>
        </is>
      </c>
      <c r="L312" s="9" t="inlineStr">
        <is>
          <t>12/C</t>
        </is>
      </c>
      <c r="M312" s="9" t="inlineStr">
        <is>
          <t>14</t>
        </is>
      </c>
      <c r="N312" s="9" t="n">
        <v>1</v>
      </c>
      <c r="O312" s="9" t="n">
        <v>1</v>
      </c>
      <c r="P312" s="9" t="n"/>
      <c r="Q312" s="9" t="n"/>
      <c r="R312" s="9" t="n"/>
      <c r="S312" s="9" t="inlineStr">
        <is>
          <t>Tray</t>
        </is>
      </c>
      <c r="T312" s="10" t="n">
        <v>1146</v>
      </c>
      <c r="U312" s="10" t="n">
        <v>84</v>
      </c>
      <c r="V312" s="10">
        <f>ROUNDUP((T312+U312+2*'Read Me'!$B$13)*(1+'Read Me'!$B$12),-1)</f>
        <v/>
      </c>
      <c r="W312" s="10">
        <f>V312*N312*O312</f>
        <v/>
      </c>
      <c r="X312" s="9">
        <f>IF(LEFT(I312,2)="MV",2*N312*IF(L312="1/C",O312,1),0)</f>
        <v/>
      </c>
      <c r="Y312" s="9">
        <f>IF(OR(LEFT(K312,4)="LVAX",LEFT(K312,6)="MV15AX",LEFT(K312,4)="CTAX",LEFT(K312,2)="W|"),2*N312*O312,0)</f>
        <v/>
      </c>
      <c r="Z312" s="9" t="inlineStr"/>
    </row>
    <row r="313">
      <c r="A313" s="9" t="inlineStr">
        <is>
          <t>A-C-0301</t>
        </is>
      </c>
      <c r="B313" s="9" t="inlineStr">
        <is>
          <t>A</t>
        </is>
      </c>
      <c r="C313" s="9" t="inlineStr">
        <is>
          <t>Power block</t>
        </is>
      </c>
      <c r="D313" s="9" t="inlineStr">
        <is>
          <t>Control</t>
        </is>
      </c>
      <c r="E313" s="9" t="inlineStr">
        <is>
          <t>R2B</t>
        </is>
      </c>
      <c r="F313" s="9" t="inlineStr">
        <is>
          <t>R2B: unit / HRSG electrical e-house (32 x 40 ft)</t>
        </is>
      </c>
      <c r="G313" s="9" t="inlineStr">
        <is>
          <t>SPC-2</t>
        </is>
      </c>
      <c r="H313" s="9" t="inlineStr">
        <is>
          <t>SPC-2: surge-protection and VT cubicle on the IPB (GTG-2)</t>
        </is>
      </c>
      <c r="I313" s="9" t="inlineStr">
        <is>
          <t>Control</t>
        </is>
      </c>
      <c r="J313" s="9" t="inlineStr">
        <is>
          <t>Control cable 600 V Type TC-ER, Cu #14 AWG, PVC jacket</t>
        </is>
      </c>
      <c r="K313" s="9" t="inlineStr">
        <is>
          <t>CT|12/C|14</t>
        </is>
      </c>
      <c r="L313" s="9" t="inlineStr">
        <is>
          <t>12/C</t>
        </is>
      </c>
      <c r="M313" s="9" t="inlineStr">
        <is>
          <t>14</t>
        </is>
      </c>
      <c r="N313" s="9" t="n">
        <v>1</v>
      </c>
      <c r="O313" s="9" t="n">
        <v>1</v>
      </c>
      <c r="P313" s="9" t="n"/>
      <c r="Q313" s="9" t="n"/>
      <c r="R313" s="9" t="n"/>
      <c r="S313" s="9" t="inlineStr">
        <is>
          <t>Tray</t>
        </is>
      </c>
      <c r="T313" s="10" t="n">
        <v>1146</v>
      </c>
      <c r="U313" s="10" t="n">
        <v>84</v>
      </c>
      <c r="V313" s="10">
        <f>ROUNDUP((T313+U313+2*'Read Me'!$B$13)*(1+'Read Me'!$B$12),-1)</f>
        <v/>
      </c>
      <c r="W313" s="10">
        <f>V313*N313*O313</f>
        <v/>
      </c>
      <c r="X313" s="9">
        <f>IF(LEFT(I313,2)="MV",2*N313*IF(L313="1/C",O313,1),0)</f>
        <v/>
      </c>
      <c r="Y313" s="9">
        <f>IF(OR(LEFT(K313,4)="LVAX",LEFT(K313,6)="MV15AX",LEFT(K313,4)="CTAX",LEFT(K313,2)="W|"),2*N313*O313,0)</f>
        <v/>
      </c>
      <c r="Z313" s="9" t="inlineStr"/>
    </row>
    <row r="314">
      <c r="A314" s="9" t="inlineStr">
        <is>
          <t>A-C-0302</t>
        </is>
      </c>
      <c r="B314" s="9" t="inlineStr">
        <is>
          <t>A</t>
        </is>
      </c>
      <c r="C314" s="9" t="inlineStr">
        <is>
          <t>Power block</t>
        </is>
      </c>
      <c r="D314" s="9" t="inlineStr">
        <is>
          <t>Control</t>
        </is>
      </c>
      <c r="E314" s="9" t="inlineStr">
        <is>
          <t>R2B</t>
        </is>
      </c>
      <c r="F314" s="9" t="inlineStr">
        <is>
          <t>R2B: unit / HRSG electrical e-house (32 x 40 ft)</t>
        </is>
      </c>
      <c r="G314" s="9" t="inlineStr">
        <is>
          <t>SPC-2</t>
        </is>
      </c>
      <c r="H314" s="9" t="inlineStr">
        <is>
          <t>SPC-2: surge-protection and VT cubicle on the IPB (GTG-2)</t>
        </is>
      </c>
      <c r="I314" s="9" t="inlineStr">
        <is>
          <t>Control</t>
        </is>
      </c>
      <c r="J314" s="9" t="inlineStr">
        <is>
          <t>Control cable 600 V Type TC-ER, Cu #14 AWG, PVC jacket</t>
        </is>
      </c>
      <c r="K314" s="9" t="inlineStr">
        <is>
          <t>CT|12/C|14</t>
        </is>
      </c>
      <c r="L314" s="9" t="inlineStr">
        <is>
          <t>12/C</t>
        </is>
      </c>
      <c r="M314" s="9" t="inlineStr">
        <is>
          <t>14</t>
        </is>
      </c>
      <c r="N314" s="9" t="n">
        <v>1</v>
      </c>
      <c r="O314" s="9" t="n">
        <v>1</v>
      </c>
      <c r="P314" s="9" t="n"/>
      <c r="Q314" s="9" t="n"/>
      <c r="R314" s="9" t="n"/>
      <c r="S314" s="9" t="inlineStr">
        <is>
          <t>Tray</t>
        </is>
      </c>
      <c r="T314" s="10" t="n">
        <v>1146</v>
      </c>
      <c r="U314" s="10" t="n">
        <v>84</v>
      </c>
      <c r="V314" s="10">
        <f>ROUNDUP((T314+U314+2*'Read Me'!$B$13)*(1+'Read Me'!$B$12),-1)</f>
        <v/>
      </c>
      <c r="W314" s="10">
        <f>V314*N314*O314</f>
        <v/>
      </c>
      <c r="X314" s="9">
        <f>IF(LEFT(I314,2)="MV",2*N314*IF(L314="1/C",O314,1),0)</f>
        <v/>
      </c>
      <c r="Y314" s="9">
        <f>IF(OR(LEFT(K314,4)="LVAX",LEFT(K314,6)="MV15AX",LEFT(K314,4)="CTAX",LEFT(K314,2)="W|"),2*N314*O314,0)</f>
        <v/>
      </c>
      <c r="Z314" s="9" t="inlineStr"/>
    </row>
    <row r="315">
      <c r="A315" s="9" t="inlineStr">
        <is>
          <t>A-C-0303</t>
        </is>
      </c>
      <c r="B315" s="9" t="inlineStr">
        <is>
          <t>A</t>
        </is>
      </c>
      <c r="C315" s="9" t="inlineStr">
        <is>
          <t>Power block</t>
        </is>
      </c>
      <c r="D315" s="9" t="inlineStr">
        <is>
          <t>Control</t>
        </is>
      </c>
      <c r="E315" s="9" t="inlineStr">
        <is>
          <t>R2B</t>
        </is>
      </c>
      <c r="F315" s="9" t="inlineStr">
        <is>
          <t>R2B: unit / HRSG electrical e-house (32 x 40 ft)</t>
        </is>
      </c>
      <c r="G315" s="9" t="inlineStr">
        <is>
          <t>SPC-2</t>
        </is>
      </c>
      <c r="H315" s="9" t="inlineStr">
        <is>
          <t>SPC-2: surge-protection and VT cubicle on the IPB (GTG-2)</t>
        </is>
      </c>
      <c r="I315" s="9" t="inlineStr">
        <is>
          <t>Control</t>
        </is>
      </c>
      <c r="J315" s="9" t="inlineStr">
        <is>
          <t>Control cable 600 V Type TC-ER, Cu #14 AWG, PVC jacket</t>
        </is>
      </c>
      <c r="K315" s="9" t="inlineStr">
        <is>
          <t>CT|12/C|14</t>
        </is>
      </c>
      <c r="L315" s="9" t="inlineStr">
        <is>
          <t>12/C</t>
        </is>
      </c>
      <c r="M315" s="9" t="inlineStr">
        <is>
          <t>14</t>
        </is>
      </c>
      <c r="N315" s="9" t="n">
        <v>1</v>
      </c>
      <c r="O315" s="9" t="n">
        <v>1</v>
      </c>
      <c r="P315" s="9" t="n"/>
      <c r="Q315" s="9" t="n"/>
      <c r="R315" s="9" t="n"/>
      <c r="S315" s="9" t="inlineStr">
        <is>
          <t>Tray</t>
        </is>
      </c>
      <c r="T315" s="10" t="n">
        <v>1146</v>
      </c>
      <c r="U315" s="10" t="n">
        <v>84</v>
      </c>
      <c r="V315" s="10">
        <f>ROUNDUP((T315+U315+2*'Read Me'!$B$13)*(1+'Read Me'!$B$12),-1)</f>
        <v/>
      </c>
      <c r="W315" s="10">
        <f>V315*N315*O315</f>
        <v/>
      </c>
      <c r="X315" s="9">
        <f>IF(LEFT(I315,2)="MV",2*N315*IF(L315="1/C",O315,1),0)</f>
        <v/>
      </c>
      <c r="Y315" s="9">
        <f>IF(OR(LEFT(K315,4)="LVAX",LEFT(K315,6)="MV15AX",LEFT(K315,4)="CTAX",LEFT(K315,2)="W|"),2*N315*O315,0)</f>
        <v/>
      </c>
      <c r="Z315" s="9" t="inlineStr"/>
    </row>
    <row r="316">
      <c r="A316" s="9" t="inlineStr">
        <is>
          <t>A-C-0304</t>
        </is>
      </c>
      <c r="B316" s="9" t="inlineStr">
        <is>
          <t>A</t>
        </is>
      </c>
      <c r="C316" s="9" t="inlineStr">
        <is>
          <t>Power block</t>
        </is>
      </c>
      <c r="D316" s="9" t="inlineStr">
        <is>
          <t>Control</t>
        </is>
      </c>
      <c r="E316" s="9" t="inlineStr">
        <is>
          <t>R2B</t>
        </is>
      </c>
      <c r="F316" s="9" t="inlineStr">
        <is>
          <t>R2B: unit / HRSG electrical e-house (32 x 40 ft)</t>
        </is>
      </c>
      <c r="G316" s="9" t="inlineStr">
        <is>
          <t>SPC-2</t>
        </is>
      </c>
      <c r="H316" s="9" t="inlineStr">
        <is>
          <t>SPC-2: surge-protection and VT cubicle on the IPB (GTG-2)</t>
        </is>
      </c>
      <c r="I316" s="9" t="inlineStr">
        <is>
          <t>Control</t>
        </is>
      </c>
      <c r="J316" s="9" t="inlineStr">
        <is>
          <t>Control cable 600 V Type TC-ER, Cu #14 AWG, PVC jacket</t>
        </is>
      </c>
      <c r="K316" s="9" t="inlineStr">
        <is>
          <t>CT|12/C|14</t>
        </is>
      </c>
      <c r="L316" s="9" t="inlineStr">
        <is>
          <t>12/C</t>
        </is>
      </c>
      <c r="M316" s="9" t="inlineStr">
        <is>
          <t>14</t>
        </is>
      </c>
      <c r="N316" s="9" t="n">
        <v>1</v>
      </c>
      <c r="O316" s="9" t="n">
        <v>1</v>
      </c>
      <c r="P316" s="9" t="n"/>
      <c r="Q316" s="9" t="n"/>
      <c r="R316" s="9" t="n"/>
      <c r="S316" s="9" t="inlineStr">
        <is>
          <t>Tray</t>
        </is>
      </c>
      <c r="T316" s="10" t="n">
        <v>1146</v>
      </c>
      <c r="U316" s="10" t="n">
        <v>84</v>
      </c>
      <c r="V316" s="10">
        <f>ROUNDUP((T316+U316+2*'Read Me'!$B$13)*(1+'Read Me'!$B$12),-1)</f>
        <v/>
      </c>
      <c r="W316" s="10">
        <f>V316*N316*O316</f>
        <v/>
      </c>
      <c r="X316" s="9">
        <f>IF(LEFT(I316,2)="MV",2*N316*IF(L316="1/C",O316,1),0)</f>
        <v/>
      </c>
      <c r="Y316" s="9">
        <f>IF(OR(LEFT(K316,4)="LVAX",LEFT(K316,6)="MV15AX",LEFT(K316,4)="CTAX",LEFT(K316,2)="W|"),2*N316*O316,0)</f>
        <v/>
      </c>
      <c r="Z316" s="9" t="inlineStr"/>
    </row>
    <row r="317">
      <c r="A317" s="9" t="inlineStr">
        <is>
          <t>A-C-0305</t>
        </is>
      </c>
      <c r="B317" s="9" t="inlineStr">
        <is>
          <t>A</t>
        </is>
      </c>
      <c r="C317" s="9" t="inlineStr">
        <is>
          <t>Power block</t>
        </is>
      </c>
      <c r="D317" s="9" t="inlineStr">
        <is>
          <t>Control</t>
        </is>
      </c>
      <c r="E317" s="9" t="inlineStr">
        <is>
          <t>R3</t>
        </is>
      </c>
      <c r="F317" s="9" t="inlineStr">
        <is>
          <t>R3: ST auxiliary electrical e-house (40 x 65 ft)</t>
        </is>
      </c>
      <c r="G317" s="9" t="inlineStr">
        <is>
          <t>SPC-3</t>
        </is>
      </c>
      <c r="H317" s="9" t="inlineStr">
        <is>
          <t>SPC-3: surge-protection and VT cubicle on the IPB (GTG-3)</t>
        </is>
      </c>
      <c r="I317" s="9" t="inlineStr">
        <is>
          <t>Control</t>
        </is>
      </c>
      <c r="J317" s="9" t="inlineStr">
        <is>
          <t>Control cable 600 V Type TC-ER, Cu #14 AWG, PVC jacket</t>
        </is>
      </c>
      <c r="K317" s="9" t="inlineStr">
        <is>
          <t>CT|7/C|14</t>
        </is>
      </c>
      <c r="L317" s="9" t="inlineStr">
        <is>
          <t>7/C</t>
        </is>
      </c>
      <c r="M317" s="9" t="inlineStr">
        <is>
          <t>14</t>
        </is>
      </c>
      <c r="N317" s="9" t="n">
        <v>1</v>
      </c>
      <c r="O317" s="9" t="n">
        <v>1</v>
      </c>
      <c r="P317" s="9" t="n"/>
      <c r="Q317" s="9" t="n"/>
      <c r="R317" s="9" t="n"/>
      <c r="S317" s="9" t="inlineStr">
        <is>
          <t>Tray</t>
        </is>
      </c>
      <c r="T317" s="10" t="n">
        <v>580</v>
      </c>
      <c r="U317" s="10" t="n">
        <v>86</v>
      </c>
      <c r="V317" s="10">
        <f>ROUNDUP((T317+U317+2*'Read Me'!$B$13)*(1+'Read Me'!$B$12),-1)</f>
        <v/>
      </c>
      <c r="W317" s="10">
        <f>V317*N317*O317</f>
        <v/>
      </c>
      <c r="X317" s="9">
        <f>IF(LEFT(I317,2)="MV",2*N317*IF(L317="1/C",O317,1),0)</f>
        <v/>
      </c>
      <c r="Y317" s="9">
        <f>IF(OR(LEFT(K317,4)="LVAX",LEFT(K317,6)="MV15AX",LEFT(K317,4)="CTAX",LEFT(K317,2)="W|"),2*N317*O317,0)</f>
        <v/>
      </c>
      <c r="Z317" s="9" t="inlineStr"/>
    </row>
    <row r="318">
      <c r="A318" s="9" t="inlineStr">
        <is>
          <t>A-C-0306</t>
        </is>
      </c>
      <c r="B318" s="9" t="inlineStr">
        <is>
          <t>A</t>
        </is>
      </c>
      <c r="C318" s="9" t="inlineStr">
        <is>
          <t>Power block</t>
        </is>
      </c>
      <c r="D318" s="9" t="inlineStr">
        <is>
          <t>Control</t>
        </is>
      </c>
      <c r="E318" s="9" t="inlineStr">
        <is>
          <t>R3</t>
        </is>
      </c>
      <c r="F318" s="9" t="inlineStr">
        <is>
          <t>R3: ST auxiliary electrical e-house (40 x 65 ft)</t>
        </is>
      </c>
      <c r="G318" s="9" t="inlineStr">
        <is>
          <t>SPC-3</t>
        </is>
      </c>
      <c r="H318" s="9" t="inlineStr">
        <is>
          <t>SPC-3: surge-protection and VT cubicle on the IPB (GTG-3)</t>
        </is>
      </c>
      <c r="I318" s="9" t="inlineStr">
        <is>
          <t>Control</t>
        </is>
      </c>
      <c r="J318" s="9" t="inlineStr">
        <is>
          <t>Control cable 600 V Type TC-ER, Cu #14 AWG, PVC jacket</t>
        </is>
      </c>
      <c r="K318" s="9" t="inlineStr">
        <is>
          <t>CT|7/C|14</t>
        </is>
      </c>
      <c r="L318" s="9" t="inlineStr">
        <is>
          <t>7/C</t>
        </is>
      </c>
      <c r="M318" s="9" t="inlineStr">
        <is>
          <t>14</t>
        </is>
      </c>
      <c r="N318" s="9" t="n">
        <v>1</v>
      </c>
      <c r="O318" s="9" t="n">
        <v>1</v>
      </c>
      <c r="P318" s="9" t="n"/>
      <c r="Q318" s="9" t="n"/>
      <c r="R318" s="9" t="n"/>
      <c r="S318" s="9" t="inlineStr">
        <is>
          <t>Tray</t>
        </is>
      </c>
      <c r="T318" s="10" t="n">
        <v>580</v>
      </c>
      <c r="U318" s="10" t="n">
        <v>86</v>
      </c>
      <c r="V318" s="10">
        <f>ROUNDUP((T318+U318+2*'Read Me'!$B$13)*(1+'Read Me'!$B$12),-1)</f>
        <v/>
      </c>
      <c r="W318" s="10">
        <f>V318*N318*O318</f>
        <v/>
      </c>
      <c r="X318" s="9">
        <f>IF(LEFT(I318,2)="MV",2*N318*IF(L318="1/C",O318,1),0)</f>
        <v/>
      </c>
      <c r="Y318" s="9">
        <f>IF(OR(LEFT(K318,4)="LVAX",LEFT(K318,6)="MV15AX",LEFT(K318,4)="CTAX",LEFT(K318,2)="W|"),2*N318*O318,0)</f>
        <v/>
      </c>
      <c r="Z318" s="9" t="inlineStr"/>
    </row>
    <row r="319">
      <c r="A319" s="9" t="inlineStr">
        <is>
          <t>A-C-0307</t>
        </is>
      </c>
      <c r="B319" s="9" t="inlineStr">
        <is>
          <t>A</t>
        </is>
      </c>
      <c r="C319" s="9" t="inlineStr">
        <is>
          <t>Power block</t>
        </is>
      </c>
      <c r="D319" s="9" t="inlineStr">
        <is>
          <t>Control</t>
        </is>
      </c>
      <c r="E319" s="9" t="inlineStr">
        <is>
          <t>R3</t>
        </is>
      </c>
      <c r="F319" s="9" t="inlineStr">
        <is>
          <t>R3: ST auxiliary electrical e-house (40 x 65 ft)</t>
        </is>
      </c>
      <c r="G319" s="9" t="inlineStr">
        <is>
          <t>SPC-3</t>
        </is>
      </c>
      <c r="H319" s="9" t="inlineStr">
        <is>
          <t>SPC-3: surge-protection and VT cubicle on the IPB (GTG-3)</t>
        </is>
      </c>
      <c r="I319" s="9" t="inlineStr">
        <is>
          <t>Control</t>
        </is>
      </c>
      <c r="J319" s="9" t="inlineStr">
        <is>
          <t>Control cable 600 V Type TC-ER, Cu #14 AWG, PVC jacket</t>
        </is>
      </c>
      <c r="K319" s="9" t="inlineStr">
        <is>
          <t>CT|12/C|14</t>
        </is>
      </c>
      <c r="L319" s="9" t="inlineStr">
        <is>
          <t>12/C</t>
        </is>
      </c>
      <c r="M319" s="9" t="inlineStr">
        <is>
          <t>14</t>
        </is>
      </c>
      <c r="N319" s="9" t="n">
        <v>1</v>
      </c>
      <c r="O319" s="9" t="n">
        <v>1</v>
      </c>
      <c r="P319" s="9" t="n"/>
      <c r="Q319" s="9" t="n"/>
      <c r="R319" s="9" t="n"/>
      <c r="S319" s="9" t="inlineStr">
        <is>
          <t>Tray</t>
        </is>
      </c>
      <c r="T319" s="10" t="n">
        <v>580</v>
      </c>
      <c r="U319" s="10" t="n">
        <v>86</v>
      </c>
      <c r="V319" s="10">
        <f>ROUNDUP((T319+U319+2*'Read Me'!$B$13)*(1+'Read Me'!$B$12),-1)</f>
        <v/>
      </c>
      <c r="W319" s="10">
        <f>V319*N319*O319</f>
        <v/>
      </c>
      <c r="X319" s="9">
        <f>IF(LEFT(I319,2)="MV",2*N319*IF(L319="1/C",O319,1),0)</f>
        <v/>
      </c>
      <c r="Y319" s="9">
        <f>IF(OR(LEFT(K319,4)="LVAX",LEFT(K319,6)="MV15AX",LEFT(K319,4)="CTAX",LEFT(K319,2)="W|"),2*N319*O319,0)</f>
        <v/>
      </c>
      <c r="Z319" s="9" t="inlineStr"/>
    </row>
    <row r="320">
      <c r="A320" s="9" t="inlineStr">
        <is>
          <t>A-C-0308</t>
        </is>
      </c>
      <c r="B320" s="9" t="inlineStr">
        <is>
          <t>A</t>
        </is>
      </c>
      <c r="C320" s="9" t="inlineStr">
        <is>
          <t>Power block</t>
        </is>
      </c>
      <c r="D320" s="9" t="inlineStr">
        <is>
          <t>Control</t>
        </is>
      </c>
      <c r="E320" s="9" t="inlineStr">
        <is>
          <t>R3</t>
        </is>
      </c>
      <c r="F320" s="9" t="inlineStr">
        <is>
          <t>R3: ST auxiliary electrical e-house (40 x 65 ft)</t>
        </is>
      </c>
      <c r="G320" s="9" t="inlineStr">
        <is>
          <t>SPC-3</t>
        </is>
      </c>
      <c r="H320" s="9" t="inlineStr">
        <is>
          <t>SPC-3: surge-protection and VT cubicle on the IPB (GTG-3)</t>
        </is>
      </c>
      <c r="I320" s="9" t="inlineStr">
        <is>
          <t>Control</t>
        </is>
      </c>
      <c r="J320" s="9" t="inlineStr">
        <is>
          <t>Control cable 600 V Type TC-ER, Cu #14 AWG, PVC jacket</t>
        </is>
      </c>
      <c r="K320" s="9" t="inlineStr">
        <is>
          <t>CT|12/C|14</t>
        </is>
      </c>
      <c r="L320" s="9" t="inlineStr">
        <is>
          <t>12/C</t>
        </is>
      </c>
      <c r="M320" s="9" t="inlineStr">
        <is>
          <t>14</t>
        </is>
      </c>
      <c r="N320" s="9" t="n">
        <v>1</v>
      </c>
      <c r="O320" s="9" t="n">
        <v>1</v>
      </c>
      <c r="P320" s="9" t="n"/>
      <c r="Q320" s="9" t="n"/>
      <c r="R320" s="9" t="n"/>
      <c r="S320" s="9" t="inlineStr">
        <is>
          <t>Tray</t>
        </is>
      </c>
      <c r="T320" s="10" t="n">
        <v>580</v>
      </c>
      <c r="U320" s="10" t="n">
        <v>86</v>
      </c>
      <c r="V320" s="10">
        <f>ROUNDUP((T320+U320+2*'Read Me'!$B$13)*(1+'Read Me'!$B$12),-1)</f>
        <v/>
      </c>
      <c r="W320" s="10">
        <f>V320*N320*O320</f>
        <v/>
      </c>
      <c r="X320" s="9">
        <f>IF(LEFT(I320,2)="MV",2*N320*IF(L320="1/C",O320,1),0)</f>
        <v/>
      </c>
      <c r="Y320" s="9">
        <f>IF(OR(LEFT(K320,4)="LVAX",LEFT(K320,6)="MV15AX",LEFT(K320,4)="CTAX",LEFT(K320,2)="W|"),2*N320*O320,0)</f>
        <v/>
      </c>
      <c r="Z320" s="9" t="inlineStr"/>
    </row>
    <row r="321">
      <c r="A321" s="9" t="inlineStr">
        <is>
          <t>A-C-0309</t>
        </is>
      </c>
      <c r="B321" s="9" t="inlineStr">
        <is>
          <t>A</t>
        </is>
      </c>
      <c r="C321" s="9" t="inlineStr">
        <is>
          <t>Power block</t>
        </is>
      </c>
      <c r="D321" s="9" t="inlineStr">
        <is>
          <t>Control</t>
        </is>
      </c>
      <c r="E321" s="9" t="inlineStr">
        <is>
          <t>R3</t>
        </is>
      </c>
      <c r="F321" s="9" t="inlineStr">
        <is>
          <t>R3: ST auxiliary electrical e-house (40 x 65 ft)</t>
        </is>
      </c>
      <c r="G321" s="9" t="inlineStr">
        <is>
          <t>SPC-3</t>
        </is>
      </c>
      <c r="H321" s="9" t="inlineStr">
        <is>
          <t>SPC-3: surge-protection and VT cubicle on the IPB (GTG-3)</t>
        </is>
      </c>
      <c r="I321" s="9" t="inlineStr">
        <is>
          <t>Control</t>
        </is>
      </c>
      <c r="J321" s="9" t="inlineStr">
        <is>
          <t>Control cable 600 V Type TC-ER, Cu #14 AWG, PVC jacket</t>
        </is>
      </c>
      <c r="K321" s="9" t="inlineStr">
        <is>
          <t>CT|12/C|14</t>
        </is>
      </c>
      <c r="L321" s="9" t="inlineStr">
        <is>
          <t>12/C</t>
        </is>
      </c>
      <c r="M321" s="9" t="inlineStr">
        <is>
          <t>14</t>
        </is>
      </c>
      <c r="N321" s="9" t="n">
        <v>1</v>
      </c>
      <c r="O321" s="9" t="n">
        <v>1</v>
      </c>
      <c r="P321" s="9" t="n"/>
      <c r="Q321" s="9" t="n"/>
      <c r="R321" s="9" t="n"/>
      <c r="S321" s="9" t="inlineStr">
        <is>
          <t>Tray</t>
        </is>
      </c>
      <c r="T321" s="10" t="n">
        <v>580</v>
      </c>
      <c r="U321" s="10" t="n">
        <v>86</v>
      </c>
      <c r="V321" s="10">
        <f>ROUNDUP((T321+U321+2*'Read Me'!$B$13)*(1+'Read Me'!$B$12),-1)</f>
        <v/>
      </c>
      <c r="W321" s="10">
        <f>V321*N321*O321</f>
        <v/>
      </c>
      <c r="X321" s="9">
        <f>IF(LEFT(I321,2)="MV",2*N321*IF(L321="1/C",O321,1),0)</f>
        <v/>
      </c>
      <c r="Y321" s="9">
        <f>IF(OR(LEFT(K321,4)="LVAX",LEFT(K321,6)="MV15AX",LEFT(K321,4)="CTAX",LEFT(K321,2)="W|"),2*N321*O321,0)</f>
        <v/>
      </c>
      <c r="Z321" s="9" t="inlineStr"/>
    </row>
    <row r="322">
      <c r="A322" s="9" t="inlineStr">
        <is>
          <t>A-C-0310</t>
        </is>
      </c>
      <c r="B322" s="9" t="inlineStr">
        <is>
          <t>A</t>
        </is>
      </c>
      <c r="C322" s="9" t="inlineStr">
        <is>
          <t>Power block</t>
        </is>
      </c>
      <c r="D322" s="9" t="inlineStr">
        <is>
          <t>Control</t>
        </is>
      </c>
      <c r="E322" s="9" t="inlineStr">
        <is>
          <t>R3</t>
        </is>
      </c>
      <c r="F322" s="9" t="inlineStr">
        <is>
          <t>R3: ST auxiliary electrical e-house (40 x 65 ft)</t>
        </is>
      </c>
      <c r="G322" s="9" t="inlineStr">
        <is>
          <t>SPC-3</t>
        </is>
      </c>
      <c r="H322" s="9" t="inlineStr">
        <is>
          <t>SPC-3: surge-protection and VT cubicle on the IPB (GTG-3)</t>
        </is>
      </c>
      <c r="I322" s="9" t="inlineStr">
        <is>
          <t>Control</t>
        </is>
      </c>
      <c r="J322" s="9" t="inlineStr">
        <is>
          <t>Control cable 600 V Type TC-ER, Cu #14 AWG, PVC jacket</t>
        </is>
      </c>
      <c r="K322" s="9" t="inlineStr">
        <is>
          <t>CT|12/C|14</t>
        </is>
      </c>
      <c r="L322" s="9" t="inlineStr">
        <is>
          <t>12/C</t>
        </is>
      </c>
      <c r="M322" s="9" t="inlineStr">
        <is>
          <t>14</t>
        </is>
      </c>
      <c r="N322" s="9" t="n">
        <v>1</v>
      </c>
      <c r="O322" s="9" t="n">
        <v>1</v>
      </c>
      <c r="P322" s="9" t="n"/>
      <c r="Q322" s="9" t="n"/>
      <c r="R322" s="9" t="n"/>
      <c r="S322" s="9" t="inlineStr">
        <is>
          <t>Tray</t>
        </is>
      </c>
      <c r="T322" s="10" t="n">
        <v>580</v>
      </c>
      <c r="U322" s="10" t="n">
        <v>86</v>
      </c>
      <c r="V322" s="10">
        <f>ROUNDUP((T322+U322+2*'Read Me'!$B$13)*(1+'Read Me'!$B$12),-1)</f>
        <v/>
      </c>
      <c r="W322" s="10">
        <f>V322*N322*O322</f>
        <v/>
      </c>
      <c r="X322" s="9">
        <f>IF(LEFT(I322,2)="MV",2*N322*IF(L322="1/C",O322,1),0)</f>
        <v/>
      </c>
      <c r="Y322" s="9">
        <f>IF(OR(LEFT(K322,4)="LVAX",LEFT(K322,6)="MV15AX",LEFT(K322,4)="CTAX",LEFT(K322,2)="W|"),2*N322*O322,0)</f>
        <v/>
      </c>
      <c r="Z322" s="9" t="inlineStr"/>
    </row>
    <row r="323">
      <c r="A323" s="9" t="inlineStr">
        <is>
          <t>A-C-0311</t>
        </is>
      </c>
      <c r="B323" s="9" t="inlineStr">
        <is>
          <t>A</t>
        </is>
      </c>
      <c r="C323" s="9" t="inlineStr">
        <is>
          <t>Power block</t>
        </is>
      </c>
      <c r="D323" s="9" t="inlineStr">
        <is>
          <t>Control</t>
        </is>
      </c>
      <c r="E323" s="9" t="inlineStr">
        <is>
          <t>R3</t>
        </is>
      </c>
      <c r="F323" s="9" t="inlineStr">
        <is>
          <t>R3: ST auxiliary electrical e-house (40 x 65 ft)</t>
        </is>
      </c>
      <c r="G323" s="9" t="inlineStr">
        <is>
          <t>SPC-3</t>
        </is>
      </c>
      <c r="H323" s="9" t="inlineStr">
        <is>
          <t>SPC-3: surge-protection and VT cubicle on the IPB (GTG-3)</t>
        </is>
      </c>
      <c r="I323" s="9" t="inlineStr">
        <is>
          <t>Control</t>
        </is>
      </c>
      <c r="J323" s="9" t="inlineStr">
        <is>
          <t>Control cable 600 V Type TC-ER, Cu #14 AWG, PVC jacket</t>
        </is>
      </c>
      <c r="K323" s="9" t="inlineStr">
        <is>
          <t>CT|12/C|14</t>
        </is>
      </c>
      <c r="L323" s="9" t="inlineStr">
        <is>
          <t>12/C</t>
        </is>
      </c>
      <c r="M323" s="9" t="inlineStr">
        <is>
          <t>14</t>
        </is>
      </c>
      <c r="N323" s="9" t="n">
        <v>1</v>
      </c>
      <c r="O323" s="9" t="n">
        <v>1</v>
      </c>
      <c r="P323" s="9" t="n"/>
      <c r="Q323" s="9" t="n"/>
      <c r="R323" s="9" t="n"/>
      <c r="S323" s="9" t="inlineStr">
        <is>
          <t>Tray</t>
        </is>
      </c>
      <c r="T323" s="10" t="n">
        <v>580</v>
      </c>
      <c r="U323" s="10" t="n">
        <v>86</v>
      </c>
      <c r="V323" s="10">
        <f>ROUNDUP((T323+U323+2*'Read Me'!$B$13)*(1+'Read Me'!$B$12),-1)</f>
        <v/>
      </c>
      <c r="W323" s="10">
        <f>V323*N323*O323</f>
        <v/>
      </c>
      <c r="X323" s="9">
        <f>IF(LEFT(I323,2)="MV",2*N323*IF(L323="1/C",O323,1),0)</f>
        <v/>
      </c>
      <c r="Y323" s="9">
        <f>IF(OR(LEFT(K323,4)="LVAX",LEFT(K323,6)="MV15AX",LEFT(K323,4)="CTAX",LEFT(K323,2)="W|"),2*N323*O323,0)</f>
        <v/>
      </c>
      <c r="Z323" s="9" t="inlineStr"/>
    </row>
    <row r="324">
      <c r="A324" s="9" t="inlineStr">
        <is>
          <t>A-C-0312</t>
        </is>
      </c>
      <c r="B324" s="9" t="inlineStr">
        <is>
          <t>A</t>
        </is>
      </c>
      <c r="C324" s="9" t="inlineStr">
        <is>
          <t>Power block</t>
        </is>
      </c>
      <c r="D324" s="9" t="inlineStr">
        <is>
          <t>Control</t>
        </is>
      </c>
      <c r="E324" s="9" t="inlineStr">
        <is>
          <t>R3</t>
        </is>
      </c>
      <c r="F324" s="9" t="inlineStr">
        <is>
          <t>R3: ST auxiliary electrical e-house (40 x 65 ft)</t>
        </is>
      </c>
      <c r="G324" s="9" t="inlineStr">
        <is>
          <t>SPC-3</t>
        </is>
      </c>
      <c r="H324" s="9" t="inlineStr">
        <is>
          <t>SPC-3: surge-protection and VT cubicle on the IPB (GTG-3)</t>
        </is>
      </c>
      <c r="I324" s="9" t="inlineStr">
        <is>
          <t>Control</t>
        </is>
      </c>
      <c r="J324" s="9" t="inlineStr">
        <is>
          <t>Control cable 600 V Type TC-ER, Cu #14 AWG, PVC jacket</t>
        </is>
      </c>
      <c r="K324" s="9" t="inlineStr">
        <is>
          <t>CT|12/C|14</t>
        </is>
      </c>
      <c r="L324" s="9" t="inlineStr">
        <is>
          <t>12/C</t>
        </is>
      </c>
      <c r="M324" s="9" t="inlineStr">
        <is>
          <t>14</t>
        </is>
      </c>
      <c r="N324" s="9" t="n">
        <v>1</v>
      </c>
      <c r="O324" s="9" t="n">
        <v>1</v>
      </c>
      <c r="P324" s="9" t="n"/>
      <c r="Q324" s="9" t="n"/>
      <c r="R324" s="9" t="n"/>
      <c r="S324" s="9" t="inlineStr">
        <is>
          <t>Tray</t>
        </is>
      </c>
      <c r="T324" s="10" t="n">
        <v>580</v>
      </c>
      <c r="U324" s="10" t="n">
        <v>86</v>
      </c>
      <c r="V324" s="10">
        <f>ROUNDUP((T324+U324+2*'Read Me'!$B$13)*(1+'Read Me'!$B$12),-1)</f>
        <v/>
      </c>
      <c r="W324" s="10">
        <f>V324*N324*O324</f>
        <v/>
      </c>
      <c r="X324" s="9">
        <f>IF(LEFT(I324,2)="MV",2*N324*IF(L324="1/C",O324,1),0)</f>
        <v/>
      </c>
      <c r="Y324" s="9">
        <f>IF(OR(LEFT(K324,4)="LVAX",LEFT(K324,6)="MV15AX",LEFT(K324,4)="CTAX",LEFT(K324,2)="W|"),2*N324*O324,0)</f>
        <v/>
      </c>
      <c r="Z324" s="9" t="inlineStr"/>
    </row>
    <row r="325">
      <c r="A325" s="9" t="inlineStr">
        <is>
          <t>A-C-0313</t>
        </is>
      </c>
      <c r="B325" s="9" t="inlineStr">
        <is>
          <t>A</t>
        </is>
      </c>
      <c r="C325" s="9" t="inlineStr">
        <is>
          <t>Power block</t>
        </is>
      </c>
      <c r="D325" s="9" t="inlineStr">
        <is>
          <t>Control</t>
        </is>
      </c>
      <c r="E325" s="9" t="inlineStr">
        <is>
          <t>R3</t>
        </is>
      </c>
      <c r="F325" s="9" t="inlineStr">
        <is>
          <t>R3: ST auxiliary electrical e-house (40 x 65 ft)</t>
        </is>
      </c>
      <c r="G325" s="9" t="inlineStr">
        <is>
          <t>ST aux</t>
        </is>
      </c>
      <c r="H325" s="9" t="inlineStr">
        <is>
          <t>ST aux: lube oil, turning gear, EHC</t>
        </is>
      </c>
      <c r="I325" s="9" t="inlineStr">
        <is>
          <t>Control</t>
        </is>
      </c>
      <c r="J325" s="9" t="inlineStr">
        <is>
          <t>Control cable 600 V Type TC-ER, Cu #14 AWG, PVC jacket</t>
        </is>
      </c>
      <c r="K325" s="9" t="inlineStr">
        <is>
          <t>CT|7/C|14</t>
        </is>
      </c>
      <c r="L325" s="9" t="inlineStr">
        <is>
          <t>7/C</t>
        </is>
      </c>
      <c r="M325" s="9" t="inlineStr">
        <is>
          <t>14</t>
        </is>
      </c>
      <c r="N325" s="9" t="n">
        <v>1</v>
      </c>
      <c r="O325" s="9" t="n">
        <v>1</v>
      </c>
      <c r="P325" s="9" t="n"/>
      <c r="Q325" s="9" t="n"/>
      <c r="R325" s="9" t="n"/>
      <c r="S325" s="9" t="inlineStr">
        <is>
          <t>Tray</t>
        </is>
      </c>
      <c r="T325" s="10" t="n">
        <v>91</v>
      </c>
      <c r="U325" s="10" t="n">
        <v>70</v>
      </c>
      <c r="V325" s="10">
        <f>ROUNDUP((T325+U325+2*'Read Me'!$B$13)*(1+'Read Me'!$B$12),-1)</f>
        <v/>
      </c>
      <c r="W325" s="10">
        <f>V325*N325*O325</f>
        <v/>
      </c>
      <c r="X325" s="9">
        <f>IF(LEFT(I325,2)="MV",2*N325*IF(L325="1/C",O325,1),0)</f>
        <v/>
      </c>
      <c r="Y325" s="9">
        <f>IF(OR(LEFT(K325,4)="LVAX",LEFT(K325,6)="MV15AX",LEFT(K325,4)="CTAX",LEFT(K325,2)="W|"),2*N325*O325,0)</f>
        <v/>
      </c>
      <c r="Z325" s="9" t="inlineStr"/>
    </row>
    <row r="326">
      <c r="A326" s="9" t="inlineStr">
        <is>
          <t>A-C-0314</t>
        </is>
      </c>
      <c r="B326" s="9" t="inlineStr">
        <is>
          <t>A</t>
        </is>
      </c>
      <c r="C326" s="9" t="inlineStr">
        <is>
          <t>Power block</t>
        </is>
      </c>
      <c r="D326" s="9" t="inlineStr">
        <is>
          <t>Control</t>
        </is>
      </c>
      <c r="E326" s="9" t="inlineStr">
        <is>
          <t>R3</t>
        </is>
      </c>
      <c r="F326" s="9" t="inlineStr">
        <is>
          <t>R3: ST auxiliary electrical e-house (40 x 65 ft)</t>
        </is>
      </c>
      <c r="G326" s="9" t="inlineStr">
        <is>
          <t>ST</t>
        </is>
      </c>
      <c r="H326" s="9" t="inlineStr">
        <is>
          <t>ST: steam turbine (HP/IP + LP), ACC plant</t>
        </is>
      </c>
      <c r="I326" s="9" t="inlineStr">
        <is>
          <t>Control</t>
        </is>
      </c>
      <c r="J326" s="9" t="inlineStr">
        <is>
          <t>Control cable 600 V Type TC-ER, Cu #14 AWG, PVC jacket</t>
        </is>
      </c>
      <c r="K326" s="9" t="inlineStr">
        <is>
          <t>CT|7/C|14</t>
        </is>
      </c>
      <c r="L326" s="9" t="inlineStr">
        <is>
          <t>7/C</t>
        </is>
      </c>
      <c r="M326" s="9" t="inlineStr">
        <is>
          <t>14</t>
        </is>
      </c>
      <c r="N326" s="9" t="n">
        <v>1</v>
      </c>
      <c r="O326" s="9" t="n">
        <v>1</v>
      </c>
      <c r="P326" s="9" t="n"/>
      <c r="Q326" s="9" t="n"/>
      <c r="R326" s="9" t="n"/>
      <c r="S326" s="9" t="inlineStr">
        <is>
          <t>Tray</t>
        </is>
      </c>
      <c r="T326" s="10" t="n">
        <v>14</v>
      </c>
      <c r="U326" s="10" t="n">
        <v>78</v>
      </c>
      <c r="V326" s="10">
        <f>ROUNDUP((T326+U326+2*'Read Me'!$B$13)*(1+'Read Me'!$B$12),-1)</f>
        <v/>
      </c>
      <c r="W326" s="10">
        <f>V326*N326*O326</f>
        <v/>
      </c>
      <c r="X326" s="9">
        <f>IF(LEFT(I326,2)="MV",2*N326*IF(L326="1/C",O326,1),0)</f>
        <v/>
      </c>
      <c r="Y326" s="9">
        <f>IF(OR(LEFT(K326,4)="LVAX",LEFT(K326,6)="MV15AX",LEFT(K326,4)="CTAX",LEFT(K326,2)="W|"),2*N326*O326,0)</f>
        <v/>
      </c>
      <c r="Z326" s="9" t="inlineStr"/>
    </row>
    <row r="327">
      <c r="A327" s="9" t="inlineStr">
        <is>
          <t>A-C-0315</t>
        </is>
      </c>
      <c r="B327" s="9" t="inlineStr">
        <is>
          <t>A</t>
        </is>
      </c>
      <c r="C327" s="9" t="inlineStr">
        <is>
          <t>Power block</t>
        </is>
      </c>
      <c r="D327" s="9" t="inlineStr">
        <is>
          <t>Control</t>
        </is>
      </c>
      <c r="E327" s="9" t="inlineStr">
        <is>
          <t>R3</t>
        </is>
      </c>
      <c r="F327" s="9" t="inlineStr">
        <is>
          <t>R3: ST auxiliary electrical e-house (40 x 65 ft)</t>
        </is>
      </c>
      <c r="G327" s="9" t="inlineStr">
        <is>
          <t>ST</t>
        </is>
      </c>
      <c r="H327" s="9" t="inlineStr">
        <is>
          <t>ST: steam turbine (HP/IP + LP), ACC plant</t>
        </is>
      </c>
      <c r="I327" s="9" t="inlineStr">
        <is>
          <t>Control</t>
        </is>
      </c>
      <c r="J327" s="9" t="inlineStr">
        <is>
          <t>Control cable 600 V Type TC-ER, Cu #14 AWG, PVC jacket</t>
        </is>
      </c>
      <c r="K327" s="9" t="inlineStr">
        <is>
          <t>CT|7/C|14</t>
        </is>
      </c>
      <c r="L327" s="9" t="inlineStr">
        <is>
          <t>7/C</t>
        </is>
      </c>
      <c r="M327" s="9" t="inlineStr">
        <is>
          <t>14</t>
        </is>
      </c>
      <c r="N327" s="9" t="n">
        <v>1</v>
      </c>
      <c r="O327" s="9" t="n">
        <v>1</v>
      </c>
      <c r="P327" s="9" t="n"/>
      <c r="Q327" s="9" t="n"/>
      <c r="R327" s="9" t="n"/>
      <c r="S327" s="9" t="inlineStr">
        <is>
          <t>Tray</t>
        </is>
      </c>
      <c r="T327" s="10" t="n">
        <v>14</v>
      </c>
      <c r="U327" s="10" t="n">
        <v>78</v>
      </c>
      <c r="V327" s="10">
        <f>ROUNDUP((T327+U327+2*'Read Me'!$B$13)*(1+'Read Me'!$B$12),-1)</f>
        <v/>
      </c>
      <c r="W327" s="10">
        <f>V327*N327*O327</f>
        <v/>
      </c>
      <c r="X327" s="9">
        <f>IF(LEFT(I327,2)="MV",2*N327*IF(L327="1/C",O327,1),0)</f>
        <v/>
      </c>
      <c r="Y327" s="9">
        <f>IF(OR(LEFT(K327,4)="LVAX",LEFT(K327,6)="MV15AX",LEFT(K327,4)="CTAX",LEFT(K327,2)="W|"),2*N327*O327,0)</f>
        <v/>
      </c>
      <c r="Z327" s="9" t="inlineStr"/>
    </row>
    <row r="328">
      <c r="A328" s="9" t="inlineStr">
        <is>
          <t>A-C-0316</t>
        </is>
      </c>
      <c r="B328" s="9" t="inlineStr">
        <is>
          <t>A</t>
        </is>
      </c>
      <c r="C328" s="9" t="inlineStr">
        <is>
          <t>Power block</t>
        </is>
      </c>
      <c r="D328" s="9" t="inlineStr">
        <is>
          <t>Control</t>
        </is>
      </c>
      <c r="E328" s="9" t="inlineStr">
        <is>
          <t>R3</t>
        </is>
      </c>
      <c r="F328" s="9" t="inlineStr">
        <is>
          <t>R3: ST auxiliary electrical e-house (40 x 65 ft)</t>
        </is>
      </c>
      <c r="G328" s="9" t="inlineStr">
        <is>
          <t>ST</t>
        </is>
      </c>
      <c r="H328" s="9" t="inlineStr">
        <is>
          <t>ST: steam turbine (HP/IP + LP), ACC plant</t>
        </is>
      </c>
      <c r="I328" s="9" t="inlineStr">
        <is>
          <t>Control</t>
        </is>
      </c>
      <c r="J328" s="9" t="inlineStr">
        <is>
          <t>Control cable 600 V Type TC-ER, Cu #14 AWG, PVC jacket</t>
        </is>
      </c>
      <c r="K328" s="9" t="inlineStr">
        <is>
          <t>CT|12/C|14</t>
        </is>
      </c>
      <c r="L328" s="9" t="inlineStr">
        <is>
          <t>12/C</t>
        </is>
      </c>
      <c r="M328" s="9" t="inlineStr">
        <is>
          <t>14</t>
        </is>
      </c>
      <c r="N328" s="9" t="n">
        <v>1</v>
      </c>
      <c r="O328" s="9" t="n">
        <v>1</v>
      </c>
      <c r="P328" s="9" t="n"/>
      <c r="Q328" s="9" t="n"/>
      <c r="R328" s="9" t="n"/>
      <c r="S328" s="9" t="inlineStr">
        <is>
          <t>Tray</t>
        </is>
      </c>
      <c r="T328" s="10" t="n">
        <v>14</v>
      </c>
      <c r="U328" s="10" t="n">
        <v>78</v>
      </c>
      <c r="V328" s="10">
        <f>ROUNDUP((T328+U328+2*'Read Me'!$B$13)*(1+'Read Me'!$B$12),-1)</f>
        <v/>
      </c>
      <c r="W328" s="10">
        <f>V328*N328*O328</f>
        <v/>
      </c>
      <c r="X328" s="9">
        <f>IF(LEFT(I328,2)="MV",2*N328*IF(L328="1/C",O328,1),0)</f>
        <v/>
      </c>
      <c r="Y328" s="9">
        <f>IF(OR(LEFT(K328,4)="LVAX",LEFT(K328,6)="MV15AX",LEFT(K328,4)="CTAX",LEFT(K328,2)="W|"),2*N328*O328,0)</f>
        <v/>
      </c>
      <c r="Z328" s="9" t="inlineStr"/>
    </row>
    <row r="329">
      <c r="A329" s="9" t="inlineStr">
        <is>
          <t>A-C-0317</t>
        </is>
      </c>
      <c r="B329" s="9" t="inlineStr">
        <is>
          <t>A</t>
        </is>
      </c>
      <c r="C329" s="9" t="inlineStr">
        <is>
          <t>Power block</t>
        </is>
      </c>
      <c r="D329" s="9" t="inlineStr">
        <is>
          <t>Control</t>
        </is>
      </c>
      <c r="E329" s="9" t="inlineStr">
        <is>
          <t>R3</t>
        </is>
      </c>
      <c r="F329" s="9" t="inlineStr">
        <is>
          <t>R3: ST auxiliary electrical e-house (40 x 65 ft)</t>
        </is>
      </c>
      <c r="G329" s="9" t="inlineStr">
        <is>
          <t>ST</t>
        </is>
      </c>
      <c r="H329" s="9" t="inlineStr">
        <is>
          <t>ST: steam turbine (HP/IP + LP), ACC plant</t>
        </is>
      </c>
      <c r="I329" s="9" t="inlineStr">
        <is>
          <t>Control</t>
        </is>
      </c>
      <c r="J329" s="9" t="inlineStr">
        <is>
          <t>Control cable 600 V Type TC-ER, Cu #14 AWG, PVC jacket</t>
        </is>
      </c>
      <c r="K329" s="9" t="inlineStr">
        <is>
          <t>CT|12/C|14</t>
        </is>
      </c>
      <c r="L329" s="9" t="inlineStr">
        <is>
          <t>12/C</t>
        </is>
      </c>
      <c r="M329" s="9" t="inlineStr">
        <is>
          <t>14</t>
        </is>
      </c>
      <c r="N329" s="9" t="n">
        <v>1</v>
      </c>
      <c r="O329" s="9" t="n">
        <v>1</v>
      </c>
      <c r="P329" s="9" t="n"/>
      <c r="Q329" s="9" t="n"/>
      <c r="R329" s="9" t="n"/>
      <c r="S329" s="9" t="inlineStr">
        <is>
          <t>Tray</t>
        </is>
      </c>
      <c r="T329" s="10" t="n">
        <v>14</v>
      </c>
      <c r="U329" s="10" t="n">
        <v>78</v>
      </c>
      <c r="V329" s="10">
        <f>ROUNDUP((T329+U329+2*'Read Me'!$B$13)*(1+'Read Me'!$B$12),-1)</f>
        <v/>
      </c>
      <c r="W329" s="10">
        <f>V329*N329*O329</f>
        <v/>
      </c>
      <c r="X329" s="9">
        <f>IF(LEFT(I329,2)="MV",2*N329*IF(L329="1/C",O329,1),0)</f>
        <v/>
      </c>
      <c r="Y329" s="9">
        <f>IF(OR(LEFT(K329,4)="LVAX",LEFT(K329,6)="MV15AX",LEFT(K329,4)="CTAX",LEFT(K329,2)="W|"),2*N329*O329,0)</f>
        <v/>
      </c>
      <c r="Z329" s="9" t="inlineStr"/>
    </row>
    <row r="330">
      <c r="A330" s="9" t="inlineStr">
        <is>
          <t>A-C-0318</t>
        </is>
      </c>
      <c r="B330" s="9" t="inlineStr">
        <is>
          <t>A</t>
        </is>
      </c>
      <c r="C330" s="9" t="inlineStr">
        <is>
          <t>Power block</t>
        </is>
      </c>
      <c r="D330" s="9" t="inlineStr">
        <is>
          <t>Control</t>
        </is>
      </c>
      <c r="E330" s="9" t="inlineStr">
        <is>
          <t>R3</t>
        </is>
      </c>
      <c r="F330" s="9" t="inlineStr">
        <is>
          <t>R3: ST auxiliary electrical e-house (40 x 65 ft)</t>
        </is>
      </c>
      <c r="G330" s="9" t="inlineStr">
        <is>
          <t>ST</t>
        </is>
      </c>
      <c r="H330" s="9" t="inlineStr">
        <is>
          <t>ST: steam turbine (HP/IP + LP), ACC plant</t>
        </is>
      </c>
      <c r="I330" s="9" t="inlineStr">
        <is>
          <t>Control</t>
        </is>
      </c>
      <c r="J330" s="9" t="inlineStr">
        <is>
          <t>Control cable 600 V Type TC-ER, Cu #14 AWG, PVC jacket</t>
        </is>
      </c>
      <c r="K330" s="9" t="inlineStr">
        <is>
          <t>CT|12/C|14</t>
        </is>
      </c>
      <c r="L330" s="9" t="inlineStr">
        <is>
          <t>12/C</t>
        </is>
      </c>
      <c r="M330" s="9" t="inlineStr">
        <is>
          <t>14</t>
        </is>
      </c>
      <c r="N330" s="9" t="n">
        <v>1</v>
      </c>
      <c r="O330" s="9" t="n">
        <v>1</v>
      </c>
      <c r="P330" s="9" t="n"/>
      <c r="Q330" s="9" t="n"/>
      <c r="R330" s="9" t="n"/>
      <c r="S330" s="9" t="inlineStr">
        <is>
          <t>Tray</t>
        </is>
      </c>
      <c r="T330" s="10" t="n">
        <v>14</v>
      </c>
      <c r="U330" s="10" t="n">
        <v>78</v>
      </c>
      <c r="V330" s="10">
        <f>ROUNDUP((T330+U330+2*'Read Me'!$B$13)*(1+'Read Me'!$B$12),-1)</f>
        <v/>
      </c>
      <c r="W330" s="10">
        <f>V330*N330*O330</f>
        <v/>
      </c>
      <c r="X330" s="9">
        <f>IF(LEFT(I330,2)="MV",2*N330*IF(L330="1/C",O330,1),0)</f>
        <v/>
      </c>
      <c r="Y330" s="9">
        <f>IF(OR(LEFT(K330,4)="LVAX",LEFT(K330,6)="MV15AX",LEFT(K330,4)="CTAX",LEFT(K330,2)="W|"),2*N330*O330,0)</f>
        <v/>
      </c>
      <c r="Z330" s="9" t="inlineStr"/>
    </row>
    <row r="331">
      <c r="A331" s="9" t="inlineStr">
        <is>
          <t>A-C-0319</t>
        </is>
      </c>
      <c r="B331" s="9" t="inlineStr">
        <is>
          <t>A</t>
        </is>
      </c>
      <c r="C331" s="9" t="inlineStr">
        <is>
          <t>Power block</t>
        </is>
      </c>
      <c r="D331" s="9" t="inlineStr">
        <is>
          <t>Control</t>
        </is>
      </c>
      <c r="E331" s="9" t="inlineStr">
        <is>
          <t>R3</t>
        </is>
      </c>
      <c r="F331" s="9" t="inlineStr">
        <is>
          <t>R3: ST auxiliary electrical e-house (40 x 65 ft)</t>
        </is>
      </c>
      <c r="G331" s="9" t="inlineStr">
        <is>
          <t>ST</t>
        </is>
      </c>
      <c r="H331" s="9" t="inlineStr">
        <is>
          <t>ST: steam turbine (HP/IP + LP), ACC plant</t>
        </is>
      </c>
      <c r="I331" s="9" t="inlineStr">
        <is>
          <t>Control</t>
        </is>
      </c>
      <c r="J331" s="9" t="inlineStr">
        <is>
          <t>Control cable 600 V Type TC-ER, Cu #14 AWG, PVC jacket</t>
        </is>
      </c>
      <c r="K331" s="9" t="inlineStr">
        <is>
          <t>CT|12/C|14</t>
        </is>
      </c>
      <c r="L331" s="9" t="inlineStr">
        <is>
          <t>12/C</t>
        </is>
      </c>
      <c r="M331" s="9" t="inlineStr">
        <is>
          <t>14</t>
        </is>
      </c>
      <c r="N331" s="9" t="n">
        <v>1</v>
      </c>
      <c r="O331" s="9" t="n">
        <v>1</v>
      </c>
      <c r="P331" s="9" t="n"/>
      <c r="Q331" s="9" t="n"/>
      <c r="R331" s="9" t="n"/>
      <c r="S331" s="9" t="inlineStr">
        <is>
          <t>Tray</t>
        </is>
      </c>
      <c r="T331" s="10" t="n">
        <v>14</v>
      </c>
      <c r="U331" s="10" t="n">
        <v>78</v>
      </c>
      <c r="V331" s="10">
        <f>ROUNDUP((T331+U331+2*'Read Me'!$B$13)*(1+'Read Me'!$B$12),-1)</f>
        <v/>
      </c>
      <c r="W331" s="10">
        <f>V331*N331*O331</f>
        <v/>
      </c>
      <c r="X331" s="9">
        <f>IF(LEFT(I331,2)="MV",2*N331*IF(L331="1/C",O331,1),0)</f>
        <v/>
      </c>
      <c r="Y331" s="9">
        <f>IF(OR(LEFT(K331,4)="LVAX",LEFT(K331,6)="MV15AX",LEFT(K331,4)="CTAX",LEFT(K331,2)="W|"),2*N331*O331,0)</f>
        <v/>
      </c>
      <c r="Z331" s="9" t="inlineStr"/>
    </row>
    <row r="332">
      <c r="A332" s="9" t="inlineStr">
        <is>
          <t>A-C-0320</t>
        </is>
      </c>
      <c r="B332" s="9" t="inlineStr">
        <is>
          <t>A</t>
        </is>
      </c>
      <c r="C332" s="9" t="inlineStr">
        <is>
          <t>Power block</t>
        </is>
      </c>
      <c r="D332" s="9" t="inlineStr">
        <is>
          <t>Control</t>
        </is>
      </c>
      <c r="E332" s="9" t="inlineStr">
        <is>
          <t>R3</t>
        </is>
      </c>
      <c r="F332" s="9" t="inlineStr">
        <is>
          <t>R3: ST auxiliary electrical e-house (40 x 65 ft)</t>
        </is>
      </c>
      <c r="G332" s="9" t="inlineStr">
        <is>
          <t>ST</t>
        </is>
      </c>
      <c r="H332" s="9" t="inlineStr">
        <is>
          <t>ST: steam turbine (HP/IP + LP), ACC plant</t>
        </is>
      </c>
      <c r="I332" s="9" t="inlineStr">
        <is>
          <t>Control</t>
        </is>
      </c>
      <c r="J332" s="9" t="inlineStr">
        <is>
          <t>Control cable 600 V Type TC-ER, Cu #14 AWG, PVC jacket</t>
        </is>
      </c>
      <c r="K332" s="9" t="inlineStr">
        <is>
          <t>CT|12/C|14</t>
        </is>
      </c>
      <c r="L332" s="9" t="inlineStr">
        <is>
          <t>12/C</t>
        </is>
      </c>
      <c r="M332" s="9" t="inlineStr">
        <is>
          <t>14</t>
        </is>
      </c>
      <c r="N332" s="9" t="n">
        <v>1</v>
      </c>
      <c r="O332" s="9" t="n">
        <v>1</v>
      </c>
      <c r="P332" s="9" t="n"/>
      <c r="Q332" s="9" t="n"/>
      <c r="R332" s="9" t="n"/>
      <c r="S332" s="9" t="inlineStr">
        <is>
          <t>Tray</t>
        </is>
      </c>
      <c r="T332" s="10" t="n">
        <v>14</v>
      </c>
      <c r="U332" s="10" t="n">
        <v>78</v>
      </c>
      <c r="V332" s="10">
        <f>ROUNDUP((T332+U332+2*'Read Me'!$B$13)*(1+'Read Me'!$B$12),-1)</f>
        <v/>
      </c>
      <c r="W332" s="10">
        <f>V332*N332*O332</f>
        <v/>
      </c>
      <c r="X332" s="9">
        <f>IF(LEFT(I332,2)="MV",2*N332*IF(L332="1/C",O332,1),0)</f>
        <v/>
      </c>
      <c r="Y332" s="9">
        <f>IF(OR(LEFT(K332,4)="LVAX",LEFT(K332,6)="MV15AX",LEFT(K332,4)="CTAX",LEFT(K332,2)="W|"),2*N332*O332,0)</f>
        <v/>
      </c>
      <c r="Z332" s="9" t="inlineStr"/>
    </row>
    <row r="333">
      <c r="A333" s="9" t="inlineStr">
        <is>
          <t>A-C-0321</t>
        </is>
      </c>
      <c r="B333" s="9" t="inlineStr">
        <is>
          <t>A</t>
        </is>
      </c>
      <c r="C333" s="9" t="inlineStr">
        <is>
          <t>Power block</t>
        </is>
      </c>
      <c r="D333" s="9" t="inlineStr">
        <is>
          <t>Control</t>
        </is>
      </c>
      <c r="E333" s="9" t="inlineStr">
        <is>
          <t>R3</t>
        </is>
      </c>
      <c r="F333" s="9" t="inlineStr">
        <is>
          <t>R3: ST auxiliary electrical e-house (40 x 65 ft)</t>
        </is>
      </c>
      <c r="G333" s="9" t="inlineStr">
        <is>
          <t>ST</t>
        </is>
      </c>
      <c r="H333" s="9" t="inlineStr">
        <is>
          <t>ST: steam turbine (HP/IP + LP), ACC plant</t>
        </is>
      </c>
      <c r="I333" s="9" t="inlineStr">
        <is>
          <t>Control</t>
        </is>
      </c>
      <c r="J333" s="9" t="inlineStr">
        <is>
          <t>Control cable 600 V Type TC-ER, Cu #14 AWG, PVC jacket</t>
        </is>
      </c>
      <c r="K333" s="9" t="inlineStr">
        <is>
          <t>CT|12/C|14</t>
        </is>
      </c>
      <c r="L333" s="9" t="inlineStr">
        <is>
          <t>12/C</t>
        </is>
      </c>
      <c r="M333" s="9" t="inlineStr">
        <is>
          <t>14</t>
        </is>
      </c>
      <c r="N333" s="9" t="n">
        <v>1</v>
      </c>
      <c r="O333" s="9" t="n">
        <v>1</v>
      </c>
      <c r="P333" s="9" t="n"/>
      <c r="Q333" s="9" t="n"/>
      <c r="R333" s="9" t="n"/>
      <c r="S333" s="9" t="inlineStr">
        <is>
          <t>Tray</t>
        </is>
      </c>
      <c r="T333" s="10" t="n">
        <v>14</v>
      </c>
      <c r="U333" s="10" t="n">
        <v>78</v>
      </c>
      <c r="V333" s="10">
        <f>ROUNDUP((T333+U333+2*'Read Me'!$B$13)*(1+'Read Me'!$B$12),-1)</f>
        <v/>
      </c>
      <c r="W333" s="10">
        <f>V333*N333*O333</f>
        <v/>
      </c>
      <c r="X333" s="9">
        <f>IF(LEFT(I333,2)="MV",2*N333*IF(L333="1/C",O333,1),0)</f>
        <v/>
      </c>
      <c r="Y333" s="9">
        <f>IF(OR(LEFT(K333,4)="LVAX",LEFT(K333,6)="MV15AX",LEFT(K333,4)="CTAX",LEFT(K333,2)="W|"),2*N333*O333,0)</f>
        <v/>
      </c>
      <c r="Z333" s="9" t="inlineStr"/>
    </row>
    <row r="334">
      <c r="A334" s="9" t="inlineStr">
        <is>
          <t>A-C-0322</t>
        </is>
      </c>
      <c r="B334" s="9" t="inlineStr">
        <is>
          <t>A</t>
        </is>
      </c>
      <c r="C334" s="9" t="inlineStr">
        <is>
          <t>Power block</t>
        </is>
      </c>
      <c r="D334" s="9" t="inlineStr">
        <is>
          <t>Control</t>
        </is>
      </c>
      <c r="E334" s="9" t="inlineStr">
        <is>
          <t>R3</t>
        </is>
      </c>
      <c r="F334" s="9" t="inlineStr">
        <is>
          <t>R3: ST auxiliary electrical e-house (40 x 65 ft)</t>
        </is>
      </c>
      <c r="G334" s="9" t="inlineStr">
        <is>
          <t>STG</t>
        </is>
      </c>
      <c r="H334" s="9" t="inlineStr">
        <is>
          <t>STG: steam-turbine generator</t>
        </is>
      </c>
      <c r="I334" s="9" t="inlineStr">
        <is>
          <t>Control</t>
        </is>
      </c>
      <c r="J334" s="9" t="inlineStr">
        <is>
          <t>Control cable 600 V Type TC-ER, Cu #14 AWG, PVC jacket</t>
        </is>
      </c>
      <c r="K334" s="9" t="inlineStr">
        <is>
          <t>CT|7/C|14</t>
        </is>
      </c>
      <c r="L334" s="9" t="inlineStr">
        <is>
          <t>7/C</t>
        </is>
      </c>
      <c r="M334" s="9" t="inlineStr">
        <is>
          <t>14</t>
        </is>
      </c>
      <c r="N334" s="9" t="n">
        <v>1</v>
      </c>
      <c r="O334" s="9" t="n">
        <v>1</v>
      </c>
      <c r="P334" s="9" t="n"/>
      <c r="Q334" s="9" t="n"/>
      <c r="R334" s="9" t="n"/>
      <c r="S334" s="9" t="inlineStr">
        <is>
          <t>Tray</t>
        </is>
      </c>
      <c r="T334" s="10" t="n">
        <v>588</v>
      </c>
      <c r="U334" s="10" t="n">
        <v>103</v>
      </c>
      <c r="V334" s="10">
        <f>ROUNDUP((T334+U334+2*'Read Me'!$B$13)*(1+'Read Me'!$B$12),-1)</f>
        <v/>
      </c>
      <c r="W334" s="10">
        <f>V334*N334*O334</f>
        <v/>
      </c>
      <c r="X334" s="9">
        <f>IF(LEFT(I334,2)="MV",2*N334*IF(L334="1/C",O334,1),0)</f>
        <v/>
      </c>
      <c r="Y334" s="9">
        <f>IF(OR(LEFT(K334,4)="LVAX",LEFT(K334,6)="MV15AX",LEFT(K334,4)="CTAX",LEFT(K334,2)="W|"),2*N334*O334,0)</f>
        <v/>
      </c>
      <c r="Z334" s="9" t="inlineStr"/>
    </row>
    <row r="335">
      <c r="A335" s="9" t="inlineStr">
        <is>
          <t>A-C-0323</t>
        </is>
      </c>
      <c r="B335" s="9" t="inlineStr">
        <is>
          <t>A</t>
        </is>
      </c>
      <c r="C335" s="9" t="inlineStr">
        <is>
          <t>Power block</t>
        </is>
      </c>
      <c r="D335" s="9" t="inlineStr">
        <is>
          <t>Control</t>
        </is>
      </c>
      <c r="E335" s="9" t="inlineStr">
        <is>
          <t>R3</t>
        </is>
      </c>
      <c r="F335" s="9" t="inlineStr">
        <is>
          <t>R3: ST auxiliary electrical e-house (40 x 65 ft)</t>
        </is>
      </c>
      <c r="G335" s="9" t="inlineStr">
        <is>
          <t>STG</t>
        </is>
      </c>
      <c r="H335" s="9" t="inlineStr">
        <is>
          <t>STG: steam-turbine generator</t>
        </is>
      </c>
      <c r="I335" s="9" t="inlineStr">
        <is>
          <t>Control</t>
        </is>
      </c>
      <c r="J335" s="9" t="inlineStr">
        <is>
          <t>Control cable 600 V Type TC-ER, Cu #14 AWG, PVC jacket</t>
        </is>
      </c>
      <c r="K335" s="9" t="inlineStr">
        <is>
          <t>CT|7/C|14</t>
        </is>
      </c>
      <c r="L335" s="9" t="inlineStr">
        <is>
          <t>7/C</t>
        </is>
      </c>
      <c r="M335" s="9" t="inlineStr">
        <is>
          <t>14</t>
        </is>
      </c>
      <c r="N335" s="9" t="n">
        <v>1</v>
      </c>
      <c r="O335" s="9" t="n">
        <v>1</v>
      </c>
      <c r="P335" s="9" t="n"/>
      <c r="Q335" s="9" t="n"/>
      <c r="R335" s="9" t="n"/>
      <c r="S335" s="9" t="inlineStr">
        <is>
          <t>Tray</t>
        </is>
      </c>
      <c r="T335" s="10" t="n">
        <v>588</v>
      </c>
      <c r="U335" s="10" t="n">
        <v>103</v>
      </c>
      <c r="V335" s="10">
        <f>ROUNDUP((T335+U335+2*'Read Me'!$B$13)*(1+'Read Me'!$B$12),-1)</f>
        <v/>
      </c>
      <c r="W335" s="10">
        <f>V335*N335*O335</f>
        <v/>
      </c>
      <c r="X335" s="9">
        <f>IF(LEFT(I335,2)="MV",2*N335*IF(L335="1/C",O335,1),0)</f>
        <v/>
      </c>
      <c r="Y335" s="9">
        <f>IF(OR(LEFT(K335,4)="LVAX",LEFT(K335,6)="MV15AX",LEFT(K335,4)="CTAX",LEFT(K335,2)="W|"),2*N335*O335,0)</f>
        <v/>
      </c>
      <c r="Z335" s="9" t="inlineStr"/>
    </row>
    <row r="336">
      <c r="A336" s="9" t="inlineStr">
        <is>
          <t>A-C-0324</t>
        </is>
      </c>
      <c r="B336" s="9" t="inlineStr">
        <is>
          <t>A</t>
        </is>
      </c>
      <c r="C336" s="9" t="inlineStr">
        <is>
          <t>Power block</t>
        </is>
      </c>
      <c r="D336" s="9" t="inlineStr">
        <is>
          <t>Control</t>
        </is>
      </c>
      <c r="E336" s="9" t="inlineStr">
        <is>
          <t>R3</t>
        </is>
      </c>
      <c r="F336" s="9" t="inlineStr">
        <is>
          <t>R3: ST auxiliary electrical e-house (40 x 65 ft)</t>
        </is>
      </c>
      <c r="G336" s="9" t="inlineStr">
        <is>
          <t>STG</t>
        </is>
      </c>
      <c r="H336" s="9" t="inlineStr">
        <is>
          <t>STG: steam-turbine generator</t>
        </is>
      </c>
      <c r="I336" s="9" t="inlineStr">
        <is>
          <t>Control</t>
        </is>
      </c>
      <c r="J336" s="9" t="inlineStr">
        <is>
          <t>Control cable 600 V Type TC-ER, Cu #14 AWG, PVC jacket</t>
        </is>
      </c>
      <c r="K336" s="9" t="inlineStr">
        <is>
          <t>CT|12/C|14</t>
        </is>
      </c>
      <c r="L336" s="9" t="inlineStr">
        <is>
          <t>12/C</t>
        </is>
      </c>
      <c r="M336" s="9" t="inlineStr">
        <is>
          <t>14</t>
        </is>
      </c>
      <c r="N336" s="9" t="n">
        <v>1</v>
      </c>
      <c r="O336" s="9" t="n">
        <v>1</v>
      </c>
      <c r="P336" s="9" t="n"/>
      <c r="Q336" s="9" t="n"/>
      <c r="R336" s="9" t="n"/>
      <c r="S336" s="9" t="inlineStr">
        <is>
          <t>Tray</t>
        </is>
      </c>
      <c r="T336" s="10" t="n">
        <v>588</v>
      </c>
      <c r="U336" s="10" t="n">
        <v>103</v>
      </c>
      <c r="V336" s="10">
        <f>ROUNDUP((T336+U336+2*'Read Me'!$B$13)*(1+'Read Me'!$B$12),-1)</f>
        <v/>
      </c>
      <c r="W336" s="10">
        <f>V336*N336*O336</f>
        <v/>
      </c>
      <c r="X336" s="9">
        <f>IF(LEFT(I336,2)="MV",2*N336*IF(L336="1/C",O336,1),0)</f>
        <v/>
      </c>
      <c r="Y336" s="9">
        <f>IF(OR(LEFT(K336,4)="LVAX",LEFT(K336,6)="MV15AX",LEFT(K336,4)="CTAX",LEFT(K336,2)="W|"),2*N336*O336,0)</f>
        <v/>
      </c>
      <c r="Z336" s="9" t="inlineStr"/>
    </row>
    <row r="337">
      <c r="A337" s="9" t="inlineStr">
        <is>
          <t>A-C-0325</t>
        </is>
      </c>
      <c r="B337" s="9" t="inlineStr">
        <is>
          <t>A</t>
        </is>
      </c>
      <c r="C337" s="9" t="inlineStr">
        <is>
          <t>Power block</t>
        </is>
      </c>
      <c r="D337" s="9" t="inlineStr">
        <is>
          <t>Control</t>
        </is>
      </c>
      <c r="E337" s="9" t="inlineStr">
        <is>
          <t>R3</t>
        </is>
      </c>
      <c r="F337" s="9" t="inlineStr">
        <is>
          <t>R3: ST auxiliary electrical e-house (40 x 65 ft)</t>
        </is>
      </c>
      <c r="G337" s="9" t="inlineStr">
        <is>
          <t>STG</t>
        </is>
      </c>
      <c r="H337" s="9" t="inlineStr">
        <is>
          <t>STG: steam-turbine generator</t>
        </is>
      </c>
      <c r="I337" s="9" t="inlineStr">
        <is>
          <t>Control</t>
        </is>
      </c>
      <c r="J337" s="9" t="inlineStr">
        <is>
          <t>Control cable 600 V Type TC-ER, Cu #14 AWG, PVC jacket</t>
        </is>
      </c>
      <c r="K337" s="9" t="inlineStr">
        <is>
          <t>CT|12/C|14</t>
        </is>
      </c>
      <c r="L337" s="9" t="inlineStr">
        <is>
          <t>12/C</t>
        </is>
      </c>
      <c r="M337" s="9" t="inlineStr">
        <is>
          <t>14</t>
        </is>
      </c>
      <c r="N337" s="9" t="n">
        <v>1</v>
      </c>
      <c r="O337" s="9" t="n">
        <v>1</v>
      </c>
      <c r="P337" s="9" t="n"/>
      <c r="Q337" s="9" t="n"/>
      <c r="R337" s="9" t="n"/>
      <c r="S337" s="9" t="inlineStr">
        <is>
          <t>Tray</t>
        </is>
      </c>
      <c r="T337" s="10" t="n">
        <v>588</v>
      </c>
      <c r="U337" s="10" t="n">
        <v>103</v>
      </c>
      <c r="V337" s="10">
        <f>ROUNDUP((T337+U337+2*'Read Me'!$B$13)*(1+'Read Me'!$B$12),-1)</f>
        <v/>
      </c>
      <c r="W337" s="10">
        <f>V337*N337*O337</f>
        <v/>
      </c>
      <c r="X337" s="9">
        <f>IF(LEFT(I337,2)="MV",2*N337*IF(L337="1/C",O337,1),0)</f>
        <v/>
      </c>
      <c r="Y337" s="9">
        <f>IF(OR(LEFT(K337,4)="LVAX",LEFT(K337,6)="MV15AX",LEFT(K337,4)="CTAX",LEFT(K337,2)="W|"),2*N337*O337,0)</f>
        <v/>
      </c>
      <c r="Z337" s="9" t="inlineStr"/>
    </row>
    <row r="338">
      <c r="A338" s="9" t="inlineStr">
        <is>
          <t>A-C-0326</t>
        </is>
      </c>
      <c r="B338" s="9" t="inlineStr">
        <is>
          <t>A</t>
        </is>
      </c>
      <c r="C338" s="9" t="inlineStr">
        <is>
          <t>Power block</t>
        </is>
      </c>
      <c r="D338" s="9" t="inlineStr">
        <is>
          <t>Control</t>
        </is>
      </c>
      <c r="E338" s="9" t="inlineStr">
        <is>
          <t>R3</t>
        </is>
      </c>
      <c r="F338" s="9" t="inlineStr">
        <is>
          <t>R3: ST auxiliary electrical e-house (40 x 65 ft)</t>
        </is>
      </c>
      <c r="G338" s="9" t="inlineStr">
        <is>
          <t>STG</t>
        </is>
      </c>
      <c r="H338" s="9" t="inlineStr">
        <is>
          <t>STG: steam-turbine generator</t>
        </is>
      </c>
      <c r="I338" s="9" t="inlineStr">
        <is>
          <t>Control</t>
        </is>
      </c>
      <c r="J338" s="9" t="inlineStr">
        <is>
          <t>Control cable 600 V Type TC-ER, Cu #14 AWG, PVC jacket</t>
        </is>
      </c>
      <c r="K338" s="9" t="inlineStr">
        <is>
          <t>CT|12/C|14</t>
        </is>
      </c>
      <c r="L338" s="9" t="inlineStr">
        <is>
          <t>12/C</t>
        </is>
      </c>
      <c r="M338" s="9" t="inlineStr">
        <is>
          <t>14</t>
        </is>
      </c>
      <c r="N338" s="9" t="n">
        <v>1</v>
      </c>
      <c r="O338" s="9" t="n">
        <v>1</v>
      </c>
      <c r="P338" s="9" t="n"/>
      <c r="Q338" s="9" t="n"/>
      <c r="R338" s="9" t="n"/>
      <c r="S338" s="9" t="inlineStr">
        <is>
          <t>Tray</t>
        </is>
      </c>
      <c r="T338" s="10" t="n">
        <v>588</v>
      </c>
      <c r="U338" s="10" t="n">
        <v>103</v>
      </c>
      <c r="V338" s="10">
        <f>ROUNDUP((T338+U338+2*'Read Me'!$B$13)*(1+'Read Me'!$B$12),-1)</f>
        <v/>
      </c>
      <c r="W338" s="10">
        <f>V338*N338*O338</f>
        <v/>
      </c>
      <c r="X338" s="9">
        <f>IF(LEFT(I338,2)="MV",2*N338*IF(L338="1/C",O338,1),0)</f>
        <v/>
      </c>
      <c r="Y338" s="9">
        <f>IF(OR(LEFT(K338,4)="LVAX",LEFT(K338,6)="MV15AX",LEFT(K338,4)="CTAX",LEFT(K338,2)="W|"),2*N338*O338,0)</f>
        <v/>
      </c>
      <c r="Z338" s="9" t="inlineStr"/>
    </row>
    <row r="339">
      <c r="A339" s="9" t="inlineStr">
        <is>
          <t>A-C-0327</t>
        </is>
      </c>
      <c r="B339" s="9" t="inlineStr">
        <is>
          <t>A</t>
        </is>
      </c>
      <c r="C339" s="9" t="inlineStr">
        <is>
          <t>Power block</t>
        </is>
      </c>
      <c r="D339" s="9" t="inlineStr">
        <is>
          <t>Control</t>
        </is>
      </c>
      <c r="E339" s="9" t="inlineStr">
        <is>
          <t>R3</t>
        </is>
      </c>
      <c r="F339" s="9" t="inlineStr">
        <is>
          <t>R3: ST auxiliary electrical e-house (40 x 65 ft)</t>
        </is>
      </c>
      <c r="G339" s="9" t="inlineStr">
        <is>
          <t>STG</t>
        </is>
      </c>
      <c r="H339" s="9" t="inlineStr">
        <is>
          <t>STG: steam-turbine generator</t>
        </is>
      </c>
      <c r="I339" s="9" t="inlineStr">
        <is>
          <t>Control</t>
        </is>
      </c>
      <c r="J339" s="9" t="inlineStr">
        <is>
          <t>Control cable 600 V Type TC-ER, Cu #14 AWG, PVC jacket</t>
        </is>
      </c>
      <c r="K339" s="9" t="inlineStr">
        <is>
          <t>CT|12/C|14</t>
        </is>
      </c>
      <c r="L339" s="9" t="inlineStr">
        <is>
          <t>12/C</t>
        </is>
      </c>
      <c r="M339" s="9" t="inlineStr">
        <is>
          <t>14</t>
        </is>
      </c>
      <c r="N339" s="9" t="n">
        <v>1</v>
      </c>
      <c r="O339" s="9" t="n">
        <v>1</v>
      </c>
      <c r="P339" s="9" t="n"/>
      <c r="Q339" s="9" t="n"/>
      <c r="R339" s="9" t="n"/>
      <c r="S339" s="9" t="inlineStr">
        <is>
          <t>Tray</t>
        </is>
      </c>
      <c r="T339" s="10" t="n">
        <v>588</v>
      </c>
      <c r="U339" s="10" t="n">
        <v>103</v>
      </c>
      <c r="V339" s="10">
        <f>ROUNDUP((T339+U339+2*'Read Me'!$B$13)*(1+'Read Me'!$B$12),-1)</f>
        <v/>
      </c>
      <c r="W339" s="10">
        <f>V339*N339*O339</f>
        <v/>
      </c>
      <c r="X339" s="9">
        <f>IF(LEFT(I339,2)="MV",2*N339*IF(L339="1/C",O339,1),0)</f>
        <v/>
      </c>
      <c r="Y339" s="9">
        <f>IF(OR(LEFT(K339,4)="LVAX",LEFT(K339,6)="MV15AX",LEFT(K339,4)="CTAX",LEFT(K339,2)="W|"),2*N339*O339,0)</f>
        <v/>
      </c>
      <c r="Z339" s="9" t="inlineStr"/>
    </row>
    <row r="340">
      <c r="A340" s="9" t="inlineStr">
        <is>
          <t>A-C-0328</t>
        </is>
      </c>
      <c r="B340" s="9" t="inlineStr">
        <is>
          <t>A</t>
        </is>
      </c>
      <c r="C340" s="9" t="inlineStr">
        <is>
          <t>Power block</t>
        </is>
      </c>
      <c r="D340" s="9" t="inlineStr">
        <is>
          <t>Control</t>
        </is>
      </c>
      <c r="E340" s="9" t="inlineStr">
        <is>
          <t>R3</t>
        </is>
      </c>
      <c r="F340" s="9" t="inlineStr">
        <is>
          <t>R3: ST auxiliary electrical e-house (40 x 65 ft)</t>
        </is>
      </c>
      <c r="G340" s="9" t="inlineStr">
        <is>
          <t>STG</t>
        </is>
      </c>
      <c r="H340" s="9" t="inlineStr">
        <is>
          <t>STG: steam-turbine generator</t>
        </is>
      </c>
      <c r="I340" s="9" t="inlineStr">
        <is>
          <t>Control</t>
        </is>
      </c>
      <c r="J340" s="9" t="inlineStr">
        <is>
          <t>Control cable 600 V Type TC-ER, Cu #14 AWG, PVC jacket</t>
        </is>
      </c>
      <c r="K340" s="9" t="inlineStr">
        <is>
          <t>CT|12/C|14</t>
        </is>
      </c>
      <c r="L340" s="9" t="inlineStr">
        <is>
          <t>12/C</t>
        </is>
      </c>
      <c r="M340" s="9" t="inlineStr">
        <is>
          <t>14</t>
        </is>
      </c>
      <c r="N340" s="9" t="n">
        <v>1</v>
      </c>
      <c r="O340" s="9" t="n">
        <v>1</v>
      </c>
      <c r="P340" s="9" t="n"/>
      <c r="Q340" s="9" t="n"/>
      <c r="R340" s="9" t="n"/>
      <c r="S340" s="9" t="inlineStr">
        <is>
          <t>Tray</t>
        </is>
      </c>
      <c r="T340" s="10" t="n">
        <v>588</v>
      </c>
      <c r="U340" s="10" t="n">
        <v>103</v>
      </c>
      <c r="V340" s="10">
        <f>ROUNDUP((T340+U340+2*'Read Me'!$B$13)*(1+'Read Me'!$B$12),-1)</f>
        <v/>
      </c>
      <c r="W340" s="10">
        <f>V340*N340*O340</f>
        <v/>
      </c>
      <c r="X340" s="9">
        <f>IF(LEFT(I340,2)="MV",2*N340*IF(L340="1/C",O340,1),0)</f>
        <v/>
      </c>
      <c r="Y340" s="9">
        <f>IF(OR(LEFT(K340,4)="LVAX",LEFT(K340,6)="MV15AX",LEFT(K340,4)="CTAX",LEFT(K340,2)="W|"),2*N340*O340,0)</f>
        <v/>
      </c>
      <c r="Z340" s="9" t="inlineStr"/>
    </row>
    <row r="341">
      <c r="A341" s="9" t="inlineStr">
        <is>
          <t>A-C-0329</t>
        </is>
      </c>
      <c r="B341" s="9" t="inlineStr">
        <is>
          <t>A</t>
        </is>
      </c>
      <c r="C341" s="9" t="inlineStr">
        <is>
          <t>Power block</t>
        </is>
      </c>
      <c r="D341" s="9" t="inlineStr">
        <is>
          <t>Control</t>
        </is>
      </c>
      <c r="E341" s="9" t="inlineStr">
        <is>
          <t>R3</t>
        </is>
      </c>
      <c r="F341" s="9" t="inlineStr">
        <is>
          <t>R3: ST auxiliary electrical e-house (40 x 65 ft)</t>
        </is>
      </c>
      <c r="G341" s="9" t="inlineStr">
        <is>
          <t>STG</t>
        </is>
      </c>
      <c r="H341" s="9" t="inlineStr">
        <is>
          <t>STG: steam-turbine generator</t>
        </is>
      </c>
      <c r="I341" s="9" t="inlineStr">
        <is>
          <t>Control</t>
        </is>
      </c>
      <c r="J341" s="9" t="inlineStr">
        <is>
          <t>Control cable 600 V Type TC-ER, Cu #14 AWG, PVC jacket</t>
        </is>
      </c>
      <c r="K341" s="9" t="inlineStr">
        <is>
          <t>CT|12/C|14</t>
        </is>
      </c>
      <c r="L341" s="9" t="inlineStr">
        <is>
          <t>12/C</t>
        </is>
      </c>
      <c r="M341" s="9" t="inlineStr">
        <is>
          <t>14</t>
        </is>
      </c>
      <c r="N341" s="9" t="n">
        <v>1</v>
      </c>
      <c r="O341" s="9" t="n">
        <v>1</v>
      </c>
      <c r="P341" s="9" t="n"/>
      <c r="Q341" s="9" t="n"/>
      <c r="R341" s="9" t="n"/>
      <c r="S341" s="9" t="inlineStr">
        <is>
          <t>Tray</t>
        </is>
      </c>
      <c r="T341" s="10" t="n">
        <v>588</v>
      </c>
      <c r="U341" s="10" t="n">
        <v>103</v>
      </c>
      <c r="V341" s="10">
        <f>ROUNDUP((T341+U341+2*'Read Me'!$B$13)*(1+'Read Me'!$B$12),-1)</f>
        <v/>
      </c>
      <c r="W341" s="10">
        <f>V341*N341*O341</f>
        <v/>
      </c>
      <c r="X341" s="9">
        <f>IF(LEFT(I341,2)="MV",2*N341*IF(L341="1/C",O341,1),0)</f>
        <v/>
      </c>
      <c r="Y341" s="9">
        <f>IF(OR(LEFT(K341,4)="LVAX",LEFT(K341,6)="MV15AX",LEFT(K341,4)="CTAX",LEFT(K341,2)="W|"),2*N341*O341,0)</f>
        <v/>
      </c>
      <c r="Z341" s="9" t="inlineStr"/>
    </row>
    <row r="342">
      <c r="A342" s="9" t="inlineStr">
        <is>
          <t>A-C-0330</t>
        </is>
      </c>
      <c r="B342" s="9" t="inlineStr">
        <is>
          <t>A</t>
        </is>
      </c>
      <c r="C342" s="9" t="inlineStr">
        <is>
          <t>Power block</t>
        </is>
      </c>
      <c r="D342" s="9" t="inlineStr">
        <is>
          <t>Control</t>
        </is>
      </c>
      <c r="E342" s="9" t="inlineStr">
        <is>
          <t>R2A</t>
        </is>
      </c>
      <c r="F342" s="9" t="inlineStr">
        <is>
          <t>R2A: unit / HRSG electrical e-house (32 x 40 ft)</t>
        </is>
      </c>
      <c r="G342" s="9" t="inlineStr"/>
      <c r="H342" s="9" t="inlineStr">
        <is>
          <t>T-R2A: 13.8/0.48 kV</t>
        </is>
      </c>
      <c r="I342" s="9" t="inlineStr">
        <is>
          <t>Control</t>
        </is>
      </c>
      <c r="J342" s="9" t="inlineStr">
        <is>
          <t>Control cable 600 V Type TC-ER, Cu #14 AWG, PVC jacket</t>
        </is>
      </c>
      <c r="K342" s="9" t="inlineStr">
        <is>
          <t>CT|7/C|14</t>
        </is>
      </c>
      <c r="L342" s="9" t="inlineStr">
        <is>
          <t>7/C</t>
        </is>
      </c>
      <c r="M342" s="9" t="inlineStr">
        <is>
          <t>14</t>
        </is>
      </c>
      <c r="N342" s="9" t="n">
        <v>1</v>
      </c>
      <c r="O342" s="9" t="n">
        <v>1</v>
      </c>
      <c r="P342" s="9" t="n"/>
      <c r="Q342" s="9" t="n"/>
      <c r="R342" s="9" t="n"/>
      <c r="S342" s="9" t="inlineStr">
        <is>
          <t>Tray</t>
        </is>
      </c>
      <c r="T342" s="10" t="n">
        <v>0</v>
      </c>
      <c r="U342" s="10" t="n">
        <v>86</v>
      </c>
      <c r="V342" s="10">
        <f>ROUNDUP((T342+U342+2*'Read Me'!$B$13)*(1+'Read Me'!$B$12),-1)</f>
        <v/>
      </c>
      <c r="W342" s="10">
        <f>V342*N342*O342</f>
        <v/>
      </c>
      <c r="X342" s="9">
        <f>IF(LEFT(I342,2)="MV",2*N342*IF(L342="1/C",O342,1),0)</f>
        <v/>
      </c>
      <c r="Y342" s="9">
        <f>IF(OR(LEFT(K342,4)="LVAX",LEFT(K342,6)="MV15AX",LEFT(K342,4)="CTAX",LEFT(K342,2)="W|"),2*N342*O342,0)</f>
        <v/>
      </c>
      <c r="Z342" s="9" t="inlineStr"/>
    </row>
    <row r="343">
      <c r="A343" s="9" t="inlineStr">
        <is>
          <t>A-C-0331</t>
        </is>
      </c>
      <c r="B343" s="9" t="inlineStr">
        <is>
          <t>A</t>
        </is>
      </c>
      <c r="C343" s="9" t="inlineStr">
        <is>
          <t>Power block</t>
        </is>
      </c>
      <c r="D343" s="9" t="inlineStr">
        <is>
          <t>Control</t>
        </is>
      </c>
      <c r="E343" s="9" t="inlineStr">
        <is>
          <t>R2A</t>
        </is>
      </c>
      <c r="F343" s="9" t="inlineStr">
        <is>
          <t>R2A: unit / HRSG electrical e-house (32 x 40 ft)</t>
        </is>
      </c>
      <c r="G343" s="9" t="inlineStr"/>
      <c r="H343" s="9" t="inlineStr">
        <is>
          <t>T-R2A: 13.8/0.48 kV</t>
        </is>
      </c>
      <c r="I343" s="9" t="inlineStr">
        <is>
          <t>Control</t>
        </is>
      </c>
      <c r="J343" s="9" t="inlineStr">
        <is>
          <t>Control cable 600 V Type TC-ER, Cu #14 AWG, PVC jacket</t>
        </is>
      </c>
      <c r="K343" s="9" t="inlineStr">
        <is>
          <t>CT|12/C|14</t>
        </is>
      </c>
      <c r="L343" s="9" t="inlineStr">
        <is>
          <t>12/C</t>
        </is>
      </c>
      <c r="M343" s="9" t="inlineStr">
        <is>
          <t>14</t>
        </is>
      </c>
      <c r="N343" s="9" t="n">
        <v>1</v>
      </c>
      <c r="O343" s="9" t="n">
        <v>1</v>
      </c>
      <c r="P343" s="9" t="n"/>
      <c r="Q343" s="9" t="n"/>
      <c r="R343" s="9" t="n"/>
      <c r="S343" s="9" t="inlineStr">
        <is>
          <t>Tray</t>
        </is>
      </c>
      <c r="T343" s="10" t="n">
        <v>0</v>
      </c>
      <c r="U343" s="10" t="n">
        <v>86</v>
      </c>
      <c r="V343" s="10">
        <f>ROUNDUP((T343+U343+2*'Read Me'!$B$13)*(1+'Read Me'!$B$12),-1)</f>
        <v/>
      </c>
      <c r="W343" s="10">
        <f>V343*N343*O343</f>
        <v/>
      </c>
      <c r="X343" s="9">
        <f>IF(LEFT(I343,2)="MV",2*N343*IF(L343="1/C",O343,1),0)</f>
        <v/>
      </c>
      <c r="Y343" s="9">
        <f>IF(OR(LEFT(K343,4)="LVAX",LEFT(K343,6)="MV15AX",LEFT(K343,4)="CTAX",LEFT(K343,2)="W|"),2*N343*O343,0)</f>
        <v/>
      </c>
      <c r="Z343" s="9" t="inlineStr"/>
    </row>
    <row r="344">
      <c r="A344" s="9" t="inlineStr">
        <is>
          <t>A-C-0332</t>
        </is>
      </c>
      <c r="B344" s="9" t="inlineStr">
        <is>
          <t>A</t>
        </is>
      </c>
      <c r="C344" s="9" t="inlineStr">
        <is>
          <t>Power block</t>
        </is>
      </c>
      <c r="D344" s="9" t="inlineStr">
        <is>
          <t>CT / VT</t>
        </is>
      </c>
      <c r="E344" s="9" t="inlineStr">
        <is>
          <t>R2A</t>
        </is>
      </c>
      <c r="F344" s="9" t="inlineStr">
        <is>
          <t>R2A: unit / HRSG electrical e-house (32 x 40 ft)</t>
        </is>
      </c>
      <c r="G344" s="9" t="inlineStr"/>
      <c r="H344" s="9" t="inlineStr">
        <is>
          <t>T-R2A: 13.8/0.48 kV</t>
        </is>
      </c>
      <c r="I344" s="9" t="inlineStr">
        <is>
          <t>Control</t>
        </is>
      </c>
      <c r="J344" s="9" t="inlineStr">
        <is>
          <t>Control cable 600 V Type TC-ER, Cu #10 AWG (CT / VT circuits)</t>
        </is>
      </c>
      <c r="K344" s="9" t="inlineStr">
        <is>
          <t>CTCT|4/C|10</t>
        </is>
      </c>
      <c r="L344" s="9" t="inlineStr">
        <is>
          <t>4/C</t>
        </is>
      </c>
      <c r="M344" s="9" t="inlineStr">
        <is>
          <t>10</t>
        </is>
      </c>
      <c r="N344" s="9" t="n">
        <v>1</v>
      </c>
      <c r="O344" s="9" t="n">
        <v>1</v>
      </c>
      <c r="P344" s="9" t="n"/>
      <c r="Q344" s="9" t="n"/>
      <c r="R344" s="9" t="n"/>
      <c r="S344" s="9" t="inlineStr">
        <is>
          <t>Tray</t>
        </is>
      </c>
      <c r="T344" s="10" t="n">
        <v>0</v>
      </c>
      <c r="U344" s="10" t="n">
        <v>86</v>
      </c>
      <c r="V344" s="10">
        <f>ROUNDUP((T344+U344+2*'Read Me'!$B$13)*(1+'Read Me'!$B$12),-1)</f>
        <v/>
      </c>
      <c r="W344" s="10">
        <f>V344*N344*O344</f>
        <v/>
      </c>
      <c r="X344" s="9">
        <f>IF(LEFT(I344,2)="MV",2*N344*IF(L344="1/C",O344,1),0)</f>
        <v/>
      </c>
      <c r="Y344" s="9">
        <f>IF(OR(LEFT(K344,4)="LVAX",LEFT(K344,6)="MV15AX",LEFT(K344,4)="CTAX",LEFT(K344,2)="W|"),2*N344*O344,0)</f>
        <v/>
      </c>
      <c r="Z344" s="9" t="inlineStr"/>
    </row>
    <row r="345">
      <c r="A345" s="9" t="inlineStr">
        <is>
          <t>A-C-0333</t>
        </is>
      </c>
      <c r="B345" s="9" t="inlineStr">
        <is>
          <t>A</t>
        </is>
      </c>
      <c r="C345" s="9" t="inlineStr">
        <is>
          <t>Power block</t>
        </is>
      </c>
      <c r="D345" s="9" t="inlineStr">
        <is>
          <t>CT / VT</t>
        </is>
      </c>
      <c r="E345" s="9" t="inlineStr">
        <is>
          <t>R2A</t>
        </is>
      </c>
      <c r="F345" s="9" t="inlineStr">
        <is>
          <t>R2A: unit / HRSG electrical e-house (32 x 40 ft)</t>
        </is>
      </c>
      <c r="G345" s="9" t="inlineStr"/>
      <c r="H345" s="9" t="inlineStr">
        <is>
          <t>T-R2A: 13.8/0.48 kV</t>
        </is>
      </c>
      <c r="I345" s="9" t="inlineStr">
        <is>
          <t>Control</t>
        </is>
      </c>
      <c r="J345" s="9" t="inlineStr">
        <is>
          <t>Control cable 600 V Type TC-ER, Cu #10 AWG (CT / VT circuits)</t>
        </is>
      </c>
      <c r="K345" s="9" t="inlineStr">
        <is>
          <t>CTCT|4/C|10</t>
        </is>
      </c>
      <c r="L345" s="9" t="inlineStr">
        <is>
          <t>4/C</t>
        </is>
      </c>
      <c r="M345" s="9" t="inlineStr">
        <is>
          <t>10</t>
        </is>
      </c>
      <c r="N345" s="9" t="n">
        <v>1</v>
      </c>
      <c r="O345" s="9" t="n">
        <v>1</v>
      </c>
      <c r="P345" s="9" t="n"/>
      <c r="Q345" s="9" t="n"/>
      <c r="R345" s="9" t="n"/>
      <c r="S345" s="9" t="inlineStr">
        <is>
          <t>Tray</t>
        </is>
      </c>
      <c r="T345" s="10" t="n">
        <v>0</v>
      </c>
      <c r="U345" s="10" t="n">
        <v>86</v>
      </c>
      <c r="V345" s="10">
        <f>ROUNDUP((T345+U345+2*'Read Me'!$B$13)*(1+'Read Me'!$B$12),-1)</f>
        <v/>
      </c>
      <c r="W345" s="10">
        <f>V345*N345*O345</f>
        <v/>
      </c>
      <c r="X345" s="9">
        <f>IF(LEFT(I345,2)="MV",2*N345*IF(L345="1/C",O345,1),0)</f>
        <v/>
      </c>
      <c r="Y345" s="9">
        <f>IF(OR(LEFT(K345,4)="LVAX",LEFT(K345,6)="MV15AX",LEFT(K345,4)="CTAX",LEFT(K345,2)="W|"),2*N345*O345,0)</f>
        <v/>
      </c>
      <c r="Z345" s="9" t="inlineStr"/>
    </row>
    <row r="346">
      <c r="A346" s="9" t="inlineStr">
        <is>
          <t>A-C-0334</t>
        </is>
      </c>
      <c r="B346" s="9" t="inlineStr">
        <is>
          <t>A</t>
        </is>
      </c>
      <c r="C346" s="9" t="inlineStr">
        <is>
          <t>Power block</t>
        </is>
      </c>
      <c r="D346" s="9" t="inlineStr">
        <is>
          <t>Control</t>
        </is>
      </c>
      <c r="E346" s="9" t="inlineStr">
        <is>
          <t>R2B</t>
        </is>
      </c>
      <c r="F346" s="9" t="inlineStr">
        <is>
          <t>R2B: unit / HRSG electrical e-house (32 x 40 ft)</t>
        </is>
      </c>
      <c r="G346" s="9" t="inlineStr"/>
      <c r="H346" s="9" t="inlineStr">
        <is>
          <t>T-R2B: 13.8/0.48 kV</t>
        </is>
      </c>
      <c r="I346" s="9" t="inlineStr">
        <is>
          <t>Control</t>
        </is>
      </c>
      <c r="J346" s="9" t="inlineStr">
        <is>
          <t>Control cable 600 V Type TC-ER, Cu #14 AWG, PVC jacket</t>
        </is>
      </c>
      <c r="K346" s="9" t="inlineStr">
        <is>
          <t>CT|7/C|14</t>
        </is>
      </c>
      <c r="L346" s="9" t="inlineStr">
        <is>
          <t>7/C</t>
        </is>
      </c>
      <c r="M346" s="9" t="inlineStr">
        <is>
          <t>14</t>
        </is>
      </c>
      <c r="N346" s="9" t="n">
        <v>1</v>
      </c>
      <c r="O346" s="9" t="n">
        <v>1</v>
      </c>
      <c r="P346" s="9" t="n"/>
      <c r="Q346" s="9" t="n"/>
      <c r="R346" s="9" t="n"/>
      <c r="S346" s="9" t="inlineStr">
        <is>
          <t>Tray</t>
        </is>
      </c>
      <c r="T346" s="10" t="n">
        <v>0</v>
      </c>
      <c r="U346" s="10" t="n">
        <v>97</v>
      </c>
      <c r="V346" s="10">
        <f>ROUNDUP((T346+U346+2*'Read Me'!$B$13)*(1+'Read Me'!$B$12),-1)</f>
        <v/>
      </c>
      <c r="W346" s="10">
        <f>V346*N346*O346</f>
        <v/>
      </c>
      <c r="X346" s="9">
        <f>IF(LEFT(I346,2)="MV",2*N346*IF(L346="1/C",O346,1),0)</f>
        <v/>
      </c>
      <c r="Y346" s="9">
        <f>IF(OR(LEFT(K346,4)="LVAX",LEFT(K346,6)="MV15AX",LEFT(K346,4)="CTAX",LEFT(K346,2)="W|"),2*N346*O346,0)</f>
        <v/>
      </c>
      <c r="Z346" s="9" t="inlineStr"/>
    </row>
    <row r="347">
      <c r="A347" s="9" t="inlineStr">
        <is>
          <t>A-C-0335</t>
        </is>
      </c>
      <c r="B347" s="9" t="inlineStr">
        <is>
          <t>A</t>
        </is>
      </c>
      <c r="C347" s="9" t="inlineStr">
        <is>
          <t>Power block</t>
        </is>
      </c>
      <c r="D347" s="9" t="inlineStr">
        <is>
          <t>Control</t>
        </is>
      </c>
      <c r="E347" s="9" t="inlineStr">
        <is>
          <t>R2B</t>
        </is>
      </c>
      <c r="F347" s="9" t="inlineStr">
        <is>
          <t>R2B: unit / HRSG electrical e-house (32 x 40 ft)</t>
        </is>
      </c>
      <c r="G347" s="9" t="inlineStr"/>
      <c r="H347" s="9" t="inlineStr">
        <is>
          <t>T-R2B: 13.8/0.48 kV</t>
        </is>
      </c>
      <c r="I347" s="9" t="inlineStr">
        <is>
          <t>Control</t>
        </is>
      </c>
      <c r="J347" s="9" t="inlineStr">
        <is>
          <t>Control cable 600 V Type TC-ER, Cu #14 AWG, PVC jacket</t>
        </is>
      </c>
      <c r="K347" s="9" t="inlineStr">
        <is>
          <t>CT|12/C|14</t>
        </is>
      </c>
      <c r="L347" s="9" t="inlineStr">
        <is>
          <t>12/C</t>
        </is>
      </c>
      <c r="M347" s="9" t="inlineStr">
        <is>
          <t>14</t>
        </is>
      </c>
      <c r="N347" s="9" t="n">
        <v>1</v>
      </c>
      <c r="O347" s="9" t="n">
        <v>1</v>
      </c>
      <c r="P347" s="9" t="n"/>
      <c r="Q347" s="9" t="n"/>
      <c r="R347" s="9" t="n"/>
      <c r="S347" s="9" t="inlineStr">
        <is>
          <t>Tray</t>
        </is>
      </c>
      <c r="T347" s="10" t="n">
        <v>0</v>
      </c>
      <c r="U347" s="10" t="n">
        <v>97</v>
      </c>
      <c r="V347" s="10">
        <f>ROUNDUP((T347+U347+2*'Read Me'!$B$13)*(1+'Read Me'!$B$12),-1)</f>
        <v/>
      </c>
      <c r="W347" s="10">
        <f>V347*N347*O347</f>
        <v/>
      </c>
      <c r="X347" s="9">
        <f>IF(LEFT(I347,2)="MV",2*N347*IF(L347="1/C",O347,1),0)</f>
        <v/>
      </c>
      <c r="Y347" s="9">
        <f>IF(OR(LEFT(K347,4)="LVAX",LEFT(K347,6)="MV15AX",LEFT(K347,4)="CTAX",LEFT(K347,2)="W|"),2*N347*O347,0)</f>
        <v/>
      </c>
      <c r="Z347" s="9" t="inlineStr"/>
    </row>
    <row r="348">
      <c r="A348" s="9" t="inlineStr">
        <is>
          <t>A-C-0336</t>
        </is>
      </c>
      <c r="B348" s="9" t="inlineStr">
        <is>
          <t>A</t>
        </is>
      </c>
      <c r="C348" s="9" t="inlineStr">
        <is>
          <t>Power block</t>
        </is>
      </c>
      <c r="D348" s="9" t="inlineStr">
        <is>
          <t>CT / VT</t>
        </is>
      </c>
      <c r="E348" s="9" t="inlineStr">
        <is>
          <t>R2B</t>
        </is>
      </c>
      <c r="F348" s="9" t="inlineStr">
        <is>
          <t>R2B: unit / HRSG electrical e-house (32 x 40 ft)</t>
        </is>
      </c>
      <c r="G348" s="9" t="inlineStr"/>
      <c r="H348" s="9" t="inlineStr">
        <is>
          <t>T-R2B: 13.8/0.48 kV</t>
        </is>
      </c>
      <c r="I348" s="9" t="inlineStr">
        <is>
          <t>Control</t>
        </is>
      </c>
      <c r="J348" s="9" t="inlineStr">
        <is>
          <t>Control cable 600 V Type TC-ER, Cu #10 AWG (CT / VT circuits)</t>
        </is>
      </c>
      <c r="K348" s="9" t="inlineStr">
        <is>
          <t>CTCT|4/C|10</t>
        </is>
      </c>
      <c r="L348" s="9" t="inlineStr">
        <is>
          <t>4/C</t>
        </is>
      </c>
      <c r="M348" s="9" t="inlineStr">
        <is>
          <t>10</t>
        </is>
      </c>
      <c r="N348" s="9" t="n">
        <v>1</v>
      </c>
      <c r="O348" s="9" t="n">
        <v>1</v>
      </c>
      <c r="P348" s="9" t="n"/>
      <c r="Q348" s="9" t="n"/>
      <c r="R348" s="9" t="n"/>
      <c r="S348" s="9" t="inlineStr">
        <is>
          <t>Tray</t>
        </is>
      </c>
      <c r="T348" s="10" t="n">
        <v>0</v>
      </c>
      <c r="U348" s="10" t="n">
        <v>97</v>
      </c>
      <c r="V348" s="10">
        <f>ROUNDUP((T348+U348+2*'Read Me'!$B$13)*(1+'Read Me'!$B$12),-1)</f>
        <v/>
      </c>
      <c r="W348" s="10">
        <f>V348*N348*O348</f>
        <v/>
      </c>
      <c r="X348" s="9">
        <f>IF(LEFT(I348,2)="MV",2*N348*IF(L348="1/C",O348,1),0)</f>
        <v/>
      </c>
      <c r="Y348" s="9">
        <f>IF(OR(LEFT(K348,4)="LVAX",LEFT(K348,6)="MV15AX",LEFT(K348,4)="CTAX",LEFT(K348,2)="W|"),2*N348*O348,0)</f>
        <v/>
      </c>
      <c r="Z348" s="9" t="inlineStr"/>
    </row>
    <row r="349">
      <c r="A349" s="9" t="inlineStr">
        <is>
          <t>A-C-0337</t>
        </is>
      </c>
      <c r="B349" s="9" t="inlineStr">
        <is>
          <t>A</t>
        </is>
      </c>
      <c r="C349" s="9" t="inlineStr">
        <is>
          <t>Power block</t>
        </is>
      </c>
      <c r="D349" s="9" t="inlineStr">
        <is>
          <t>CT / VT</t>
        </is>
      </c>
      <c r="E349" s="9" t="inlineStr">
        <is>
          <t>R2B</t>
        </is>
      </c>
      <c r="F349" s="9" t="inlineStr">
        <is>
          <t>R2B: unit / HRSG electrical e-house (32 x 40 ft)</t>
        </is>
      </c>
      <c r="G349" s="9" t="inlineStr"/>
      <c r="H349" s="9" t="inlineStr">
        <is>
          <t>T-R2B: 13.8/0.48 kV</t>
        </is>
      </c>
      <c r="I349" s="9" t="inlineStr">
        <is>
          <t>Control</t>
        </is>
      </c>
      <c r="J349" s="9" t="inlineStr">
        <is>
          <t>Control cable 600 V Type TC-ER, Cu #10 AWG (CT / VT circuits)</t>
        </is>
      </c>
      <c r="K349" s="9" t="inlineStr">
        <is>
          <t>CTCT|4/C|10</t>
        </is>
      </c>
      <c r="L349" s="9" t="inlineStr">
        <is>
          <t>4/C</t>
        </is>
      </c>
      <c r="M349" s="9" t="inlineStr">
        <is>
          <t>10</t>
        </is>
      </c>
      <c r="N349" s="9" t="n">
        <v>1</v>
      </c>
      <c r="O349" s="9" t="n">
        <v>1</v>
      </c>
      <c r="P349" s="9" t="n"/>
      <c r="Q349" s="9" t="n"/>
      <c r="R349" s="9" t="n"/>
      <c r="S349" s="9" t="inlineStr">
        <is>
          <t>Tray</t>
        </is>
      </c>
      <c r="T349" s="10" t="n">
        <v>0</v>
      </c>
      <c r="U349" s="10" t="n">
        <v>97</v>
      </c>
      <c r="V349" s="10">
        <f>ROUNDUP((T349+U349+2*'Read Me'!$B$13)*(1+'Read Me'!$B$12),-1)</f>
        <v/>
      </c>
      <c r="W349" s="10">
        <f>V349*N349*O349</f>
        <v/>
      </c>
      <c r="X349" s="9">
        <f>IF(LEFT(I349,2)="MV",2*N349*IF(L349="1/C",O349,1),0)</f>
        <v/>
      </c>
      <c r="Y349" s="9">
        <f>IF(OR(LEFT(K349,4)="LVAX",LEFT(K349,6)="MV15AX",LEFT(K349,4)="CTAX",LEFT(K349,2)="W|"),2*N349*O349,0)</f>
        <v/>
      </c>
      <c r="Z349" s="9" t="inlineStr"/>
    </row>
    <row r="350">
      <c r="A350" s="9" t="inlineStr">
        <is>
          <t>A-C-0338</t>
        </is>
      </c>
      <c r="B350" s="9" t="inlineStr">
        <is>
          <t>A</t>
        </is>
      </c>
      <c r="C350" s="9" t="inlineStr">
        <is>
          <t>Power block</t>
        </is>
      </c>
      <c r="D350" s="9" t="inlineStr">
        <is>
          <t>Control</t>
        </is>
      </c>
      <c r="E350" s="9" t="inlineStr">
        <is>
          <t>R2C</t>
        </is>
      </c>
      <c r="F350" s="9" t="inlineStr">
        <is>
          <t>R2C: unit / HRSG electrical e-house (32 x 40 ft)</t>
        </is>
      </c>
      <c r="G350" s="9" t="inlineStr"/>
      <c r="H350" s="9" t="inlineStr">
        <is>
          <t>T-R2C: 13.8/0.48 kV</t>
        </is>
      </c>
      <c r="I350" s="9" t="inlineStr">
        <is>
          <t>Control</t>
        </is>
      </c>
      <c r="J350" s="9" t="inlineStr">
        <is>
          <t>Control cable 600 V Type TC-ER, Cu #14 AWG, PVC jacket</t>
        </is>
      </c>
      <c r="K350" s="9" t="inlineStr">
        <is>
          <t>CT|7/C|14</t>
        </is>
      </c>
      <c r="L350" s="9" t="inlineStr">
        <is>
          <t>7/C</t>
        </is>
      </c>
      <c r="M350" s="9" t="inlineStr">
        <is>
          <t>14</t>
        </is>
      </c>
      <c r="N350" s="9" t="n">
        <v>1</v>
      </c>
      <c r="O350" s="9" t="n">
        <v>1</v>
      </c>
      <c r="P350" s="9" t="n"/>
      <c r="Q350" s="9" t="n"/>
      <c r="R350" s="9" t="n"/>
      <c r="S350" s="9" t="inlineStr">
        <is>
          <t>Tray</t>
        </is>
      </c>
      <c r="T350" s="10" t="n">
        <v>0</v>
      </c>
      <c r="U350" s="10" t="n">
        <v>97</v>
      </c>
      <c r="V350" s="10">
        <f>ROUNDUP((T350+U350+2*'Read Me'!$B$13)*(1+'Read Me'!$B$12),-1)</f>
        <v/>
      </c>
      <c r="W350" s="10">
        <f>V350*N350*O350</f>
        <v/>
      </c>
      <c r="X350" s="9">
        <f>IF(LEFT(I350,2)="MV",2*N350*IF(L350="1/C",O350,1),0)</f>
        <v/>
      </c>
      <c r="Y350" s="9">
        <f>IF(OR(LEFT(K350,4)="LVAX",LEFT(K350,6)="MV15AX",LEFT(K350,4)="CTAX",LEFT(K350,2)="W|"),2*N350*O350,0)</f>
        <v/>
      </c>
      <c r="Z350" s="9" t="inlineStr"/>
    </row>
    <row r="351">
      <c r="A351" s="9" t="inlineStr">
        <is>
          <t>A-C-0339</t>
        </is>
      </c>
      <c r="B351" s="9" t="inlineStr">
        <is>
          <t>A</t>
        </is>
      </c>
      <c r="C351" s="9" t="inlineStr">
        <is>
          <t>Power block</t>
        </is>
      </c>
      <c r="D351" s="9" t="inlineStr">
        <is>
          <t>Control</t>
        </is>
      </c>
      <c r="E351" s="9" t="inlineStr">
        <is>
          <t>R2C</t>
        </is>
      </c>
      <c r="F351" s="9" t="inlineStr">
        <is>
          <t>R2C: unit / HRSG electrical e-house (32 x 40 ft)</t>
        </is>
      </c>
      <c r="G351" s="9" t="inlineStr"/>
      <c r="H351" s="9" t="inlineStr">
        <is>
          <t>T-R2C: 13.8/0.48 kV</t>
        </is>
      </c>
      <c r="I351" s="9" t="inlineStr">
        <is>
          <t>Control</t>
        </is>
      </c>
      <c r="J351" s="9" t="inlineStr">
        <is>
          <t>Control cable 600 V Type TC-ER, Cu #14 AWG, PVC jacket</t>
        </is>
      </c>
      <c r="K351" s="9" t="inlineStr">
        <is>
          <t>CT|12/C|14</t>
        </is>
      </c>
      <c r="L351" s="9" t="inlineStr">
        <is>
          <t>12/C</t>
        </is>
      </c>
      <c r="M351" s="9" t="inlineStr">
        <is>
          <t>14</t>
        </is>
      </c>
      <c r="N351" s="9" t="n">
        <v>1</v>
      </c>
      <c r="O351" s="9" t="n">
        <v>1</v>
      </c>
      <c r="P351" s="9" t="n"/>
      <c r="Q351" s="9" t="n"/>
      <c r="R351" s="9" t="n"/>
      <c r="S351" s="9" t="inlineStr">
        <is>
          <t>Tray</t>
        </is>
      </c>
      <c r="T351" s="10" t="n">
        <v>0</v>
      </c>
      <c r="U351" s="10" t="n">
        <v>97</v>
      </c>
      <c r="V351" s="10">
        <f>ROUNDUP((T351+U351+2*'Read Me'!$B$13)*(1+'Read Me'!$B$12),-1)</f>
        <v/>
      </c>
      <c r="W351" s="10">
        <f>V351*N351*O351</f>
        <v/>
      </c>
      <c r="X351" s="9">
        <f>IF(LEFT(I351,2)="MV",2*N351*IF(L351="1/C",O351,1),0)</f>
        <v/>
      </c>
      <c r="Y351" s="9">
        <f>IF(OR(LEFT(K351,4)="LVAX",LEFT(K351,6)="MV15AX",LEFT(K351,4)="CTAX",LEFT(K351,2)="W|"),2*N351*O351,0)</f>
        <v/>
      </c>
      <c r="Z351" s="9" t="inlineStr"/>
    </row>
    <row r="352">
      <c r="A352" s="9" t="inlineStr">
        <is>
          <t>A-C-0340</t>
        </is>
      </c>
      <c r="B352" s="9" t="inlineStr">
        <is>
          <t>A</t>
        </is>
      </c>
      <c r="C352" s="9" t="inlineStr">
        <is>
          <t>Power block</t>
        </is>
      </c>
      <c r="D352" s="9" t="inlineStr">
        <is>
          <t>CT / VT</t>
        </is>
      </c>
      <c r="E352" s="9" t="inlineStr">
        <is>
          <t>R2C</t>
        </is>
      </c>
      <c r="F352" s="9" t="inlineStr">
        <is>
          <t>R2C: unit / HRSG electrical e-house (32 x 40 ft)</t>
        </is>
      </c>
      <c r="G352" s="9" t="inlineStr"/>
      <c r="H352" s="9" t="inlineStr">
        <is>
          <t>T-R2C: 13.8/0.48 kV</t>
        </is>
      </c>
      <c r="I352" s="9" t="inlineStr">
        <is>
          <t>Control</t>
        </is>
      </c>
      <c r="J352" s="9" t="inlineStr">
        <is>
          <t>Control cable 600 V Type TC-ER, Cu #10 AWG (CT / VT circuits)</t>
        </is>
      </c>
      <c r="K352" s="9" t="inlineStr">
        <is>
          <t>CTCT|4/C|10</t>
        </is>
      </c>
      <c r="L352" s="9" t="inlineStr">
        <is>
          <t>4/C</t>
        </is>
      </c>
      <c r="M352" s="9" t="inlineStr">
        <is>
          <t>10</t>
        </is>
      </c>
      <c r="N352" s="9" t="n">
        <v>1</v>
      </c>
      <c r="O352" s="9" t="n">
        <v>1</v>
      </c>
      <c r="P352" s="9" t="n"/>
      <c r="Q352" s="9" t="n"/>
      <c r="R352" s="9" t="n"/>
      <c r="S352" s="9" t="inlineStr">
        <is>
          <t>Tray</t>
        </is>
      </c>
      <c r="T352" s="10" t="n">
        <v>0</v>
      </c>
      <c r="U352" s="10" t="n">
        <v>97</v>
      </c>
      <c r="V352" s="10">
        <f>ROUNDUP((T352+U352+2*'Read Me'!$B$13)*(1+'Read Me'!$B$12),-1)</f>
        <v/>
      </c>
      <c r="W352" s="10">
        <f>V352*N352*O352</f>
        <v/>
      </c>
      <c r="X352" s="9">
        <f>IF(LEFT(I352,2)="MV",2*N352*IF(L352="1/C",O352,1),0)</f>
        <v/>
      </c>
      <c r="Y352" s="9">
        <f>IF(OR(LEFT(K352,4)="LVAX",LEFT(K352,6)="MV15AX",LEFT(K352,4)="CTAX",LEFT(K352,2)="W|"),2*N352*O352,0)</f>
        <v/>
      </c>
      <c r="Z352" s="9" t="inlineStr"/>
    </row>
    <row r="353">
      <c r="A353" s="9" t="inlineStr">
        <is>
          <t>A-C-0341</t>
        </is>
      </c>
      <c r="B353" s="9" t="inlineStr">
        <is>
          <t>A</t>
        </is>
      </c>
      <c r="C353" s="9" t="inlineStr">
        <is>
          <t>Power block</t>
        </is>
      </c>
      <c r="D353" s="9" t="inlineStr">
        <is>
          <t>CT / VT</t>
        </is>
      </c>
      <c r="E353" s="9" t="inlineStr">
        <is>
          <t>R2C</t>
        </is>
      </c>
      <c r="F353" s="9" t="inlineStr">
        <is>
          <t>R2C: unit / HRSG electrical e-house (32 x 40 ft)</t>
        </is>
      </c>
      <c r="G353" s="9" t="inlineStr"/>
      <c r="H353" s="9" t="inlineStr">
        <is>
          <t>T-R2C: 13.8/0.48 kV</t>
        </is>
      </c>
      <c r="I353" s="9" t="inlineStr">
        <is>
          <t>Control</t>
        </is>
      </c>
      <c r="J353" s="9" t="inlineStr">
        <is>
          <t>Control cable 600 V Type TC-ER, Cu #10 AWG (CT / VT circuits)</t>
        </is>
      </c>
      <c r="K353" s="9" t="inlineStr">
        <is>
          <t>CTCT|4/C|10</t>
        </is>
      </c>
      <c r="L353" s="9" t="inlineStr">
        <is>
          <t>4/C</t>
        </is>
      </c>
      <c r="M353" s="9" t="inlineStr">
        <is>
          <t>10</t>
        </is>
      </c>
      <c r="N353" s="9" t="n">
        <v>1</v>
      </c>
      <c r="O353" s="9" t="n">
        <v>1</v>
      </c>
      <c r="P353" s="9" t="n"/>
      <c r="Q353" s="9" t="n"/>
      <c r="R353" s="9" t="n"/>
      <c r="S353" s="9" t="inlineStr">
        <is>
          <t>Tray</t>
        </is>
      </c>
      <c r="T353" s="10" t="n">
        <v>0</v>
      </c>
      <c r="U353" s="10" t="n">
        <v>97</v>
      </c>
      <c r="V353" s="10">
        <f>ROUNDUP((T353+U353+2*'Read Me'!$B$13)*(1+'Read Me'!$B$12),-1)</f>
        <v/>
      </c>
      <c r="W353" s="10">
        <f>V353*N353*O353</f>
        <v/>
      </c>
      <c r="X353" s="9">
        <f>IF(LEFT(I353,2)="MV",2*N353*IF(L353="1/C",O353,1),0)</f>
        <v/>
      </c>
      <c r="Y353" s="9">
        <f>IF(OR(LEFT(K353,4)="LVAX",LEFT(K353,6)="MV15AX",LEFT(K353,4)="CTAX",LEFT(K353,2)="W|"),2*N353*O353,0)</f>
        <v/>
      </c>
      <c r="Z353" s="9" t="inlineStr"/>
    </row>
    <row r="354">
      <c r="A354" s="9" t="inlineStr">
        <is>
          <t>A-C-0342</t>
        </is>
      </c>
      <c r="B354" s="9" t="inlineStr">
        <is>
          <t>A</t>
        </is>
      </c>
      <c r="C354" s="9" t="inlineStr">
        <is>
          <t>Power block</t>
        </is>
      </c>
      <c r="D354" s="9" t="inlineStr">
        <is>
          <t>Control</t>
        </is>
      </c>
      <c r="E354" s="9" t="inlineStr">
        <is>
          <t>R3</t>
        </is>
      </c>
      <c r="F354" s="9" t="inlineStr">
        <is>
          <t>R3: ST auxiliary electrical e-house (40 x 65 ft)</t>
        </is>
      </c>
      <c r="G354" s="9" t="inlineStr"/>
      <c r="H354" s="9" t="inlineStr">
        <is>
          <t>T-R3: 13.8/0.48 kV</t>
        </is>
      </c>
      <c r="I354" s="9" t="inlineStr">
        <is>
          <t>Control</t>
        </is>
      </c>
      <c r="J354" s="9" t="inlineStr">
        <is>
          <t>Control cable 600 V Type TC-ER, Cu #14 AWG, PVC jacket</t>
        </is>
      </c>
      <c r="K354" s="9" t="inlineStr">
        <is>
          <t>CT|7/C|14</t>
        </is>
      </c>
      <c r="L354" s="9" t="inlineStr">
        <is>
          <t>7/C</t>
        </is>
      </c>
      <c r="M354" s="9" t="inlineStr">
        <is>
          <t>14</t>
        </is>
      </c>
      <c r="N354" s="9" t="n">
        <v>1</v>
      </c>
      <c r="O354" s="9" t="n">
        <v>1</v>
      </c>
      <c r="P354" s="9" t="n"/>
      <c r="Q354" s="9" t="n"/>
      <c r="R354" s="9" t="n"/>
      <c r="S354" s="9" t="inlineStr">
        <is>
          <t>Tray</t>
        </is>
      </c>
      <c r="T354" s="10" t="n">
        <v>2</v>
      </c>
      <c r="U354" s="10" t="n">
        <v>109</v>
      </c>
      <c r="V354" s="10">
        <f>ROUNDUP((T354+U354+2*'Read Me'!$B$13)*(1+'Read Me'!$B$12),-1)</f>
        <v/>
      </c>
      <c r="W354" s="10">
        <f>V354*N354*O354</f>
        <v/>
      </c>
      <c r="X354" s="9">
        <f>IF(LEFT(I354,2)="MV",2*N354*IF(L354="1/C",O354,1),0)</f>
        <v/>
      </c>
      <c r="Y354" s="9">
        <f>IF(OR(LEFT(K354,4)="LVAX",LEFT(K354,6)="MV15AX",LEFT(K354,4)="CTAX",LEFT(K354,2)="W|"),2*N354*O354,0)</f>
        <v/>
      </c>
      <c r="Z354" s="9" t="inlineStr"/>
    </row>
    <row r="355">
      <c r="A355" s="9" t="inlineStr">
        <is>
          <t>A-C-0343</t>
        </is>
      </c>
      <c r="B355" s="9" t="inlineStr">
        <is>
          <t>A</t>
        </is>
      </c>
      <c r="C355" s="9" t="inlineStr">
        <is>
          <t>Power block</t>
        </is>
      </c>
      <c r="D355" s="9" t="inlineStr">
        <is>
          <t>Control</t>
        </is>
      </c>
      <c r="E355" s="9" t="inlineStr">
        <is>
          <t>R3</t>
        </is>
      </c>
      <c r="F355" s="9" t="inlineStr">
        <is>
          <t>R3: ST auxiliary electrical e-house (40 x 65 ft)</t>
        </is>
      </c>
      <c r="G355" s="9" t="inlineStr"/>
      <c r="H355" s="9" t="inlineStr">
        <is>
          <t>T-R3: 13.8/0.48 kV</t>
        </is>
      </c>
      <c r="I355" s="9" t="inlineStr">
        <is>
          <t>Control</t>
        </is>
      </c>
      <c r="J355" s="9" t="inlineStr">
        <is>
          <t>Control cable 600 V Type TC-ER, Cu #14 AWG, PVC jacket</t>
        </is>
      </c>
      <c r="K355" s="9" t="inlineStr">
        <is>
          <t>CT|12/C|14</t>
        </is>
      </c>
      <c r="L355" s="9" t="inlineStr">
        <is>
          <t>12/C</t>
        </is>
      </c>
      <c r="M355" s="9" t="inlineStr">
        <is>
          <t>14</t>
        </is>
      </c>
      <c r="N355" s="9" t="n">
        <v>1</v>
      </c>
      <c r="O355" s="9" t="n">
        <v>1</v>
      </c>
      <c r="P355" s="9" t="n"/>
      <c r="Q355" s="9" t="n"/>
      <c r="R355" s="9" t="n"/>
      <c r="S355" s="9" t="inlineStr">
        <is>
          <t>Tray</t>
        </is>
      </c>
      <c r="T355" s="10" t="n">
        <v>2</v>
      </c>
      <c r="U355" s="10" t="n">
        <v>109</v>
      </c>
      <c r="V355" s="10">
        <f>ROUNDUP((T355+U355+2*'Read Me'!$B$13)*(1+'Read Me'!$B$12),-1)</f>
        <v/>
      </c>
      <c r="W355" s="10">
        <f>V355*N355*O355</f>
        <v/>
      </c>
      <c r="X355" s="9">
        <f>IF(LEFT(I355,2)="MV",2*N355*IF(L355="1/C",O355,1),0)</f>
        <v/>
      </c>
      <c r="Y355" s="9">
        <f>IF(OR(LEFT(K355,4)="LVAX",LEFT(K355,6)="MV15AX",LEFT(K355,4)="CTAX",LEFT(K355,2)="W|"),2*N355*O355,0)</f>
        <v/>
      </c>
      <c r="Z355" s="9" t="inlineStr"/>
    </row>
    <row r="356">
      <c r="A356" s="9" t="inlineStr">
        <is>
          <t>A-C-0344</t>
        </is>
      </c>
      <c r="B356" s="9" t="inlineStr">
        <is>
          <t>A</t>
        </is>
      </c>
      <c r="C356" s="9" t="inlineStr">
        <is>
          <t>Power block</t>
        </is>
      </c>
      <c r="D356" s="9" t="inlineStr">
        <is>
          <t>CT / VT</t>
        </is>
      </c>
      <c r="E356" s="9" t="inlineStr">
        <is>
          <t>R3</t>
        </is>
      </c>
      <c r="F356" s="9" t="inlineStr">
        <is>
          <t>R3: ST auxiliary electrical e-house (40 x 65 ft)</t>
        </is>
      </c>
      <c r="G356" s="9" t="inlineStr"/>
      <c r="H356" s="9" t="inlineStr">
        <is>
          <t>T-R3: 13.8/0.48 kV</t>
        </is>
      </c>
      <c r="I356" s="9" t="inlineStr">
        <is>
          <t>Control</t>
        </is>
      </c>
      <c r="J356" s="9" t="inlineStr">
        <is>
          <t>Control cable 600 V Type TC-ER, Cu #10 AWG (CT / VT circuits)</t>
        </is>
      </c>
      <c r="K356" s="9" t="inlineStr">
        <is>
          <t>CTCT|4/C|10</t>
        </is>
      </c>
      <c r="L356" s="9" t="inlineStr">
        <is>
          <t>4/C</t>
        </is>
      </c>
      <c r="M356" s="9" t="inlineStr">
        <is>
          <t>10</t>
        </is>
      </c>
      <c r="N356" s="9" t="n">
        <v>1</v>
      </c>
      <c r="O356" s="9" t="n">
        <v>1</v>
      </c>
      <c r="P356" s="9" t="n"/>
      <c r="Q356" s="9" t="n"/>
      <c r="R356" s="9" t="n"/>
      <c r="S356" s="9" t="inlineStr">
        <is>
          <t>Tray</t>
        </is>
      </c>
      <c r="T356" s="10" t="n">
        <v>2</v>
      </c>
      <c r="U356" s="10" t="n">
        <v>109</v>
      </c>
      <c r="V356" s="10">
        <f>ROUNDUP((T356+U356+2*'Read Me'!$B$13)*(1+'Read Me'!$B$12),-1)</f>
        <v/>
      </c>
      <c r="W356" s="10">
        <f>V356*N356*O356</f>
        <v/>
      </c>
      <c r="X356" s="9">
        <f>IF(LEFT(I356,2)="MV",2*N356*IF(L356="1/C",O356,1),0)</f>
        <v/>
      </c>
      <c r="Y356" s="9">
        <f>IF(OR(LEFT(K356,4)="LVAX",LEFT(K356,6)="MV15AX",LEFT(K356,4)="CTAX",LEFT(K356,2)="W|"),2*N356*O356,0)</f>
        <v/>
      </c>
      <c r="Z356" s="9" t="inlineStr"/>
    </row>
    <row r="357">
      <c r="A357" s="9" t="inlineStr">
        <is>
          <t>A-C-0345</t>
        </is>
      </c>
      <c r="B357" s="9" t="inlineStr">
        <is>
          <t>A</t>
        </is>
      </c>
      <c r="C357" s="9" t="inlineStr">
        <is>
          <t>Power block</t>
        </is>
      </c>
      <c r="D357" s="9" t="inlineStr">
        <is>
          <t>CT / VT</t>
        </is>
      </c>
      <c r="E357" s="9" t="inlineStr">
        <is>
          <t>R3</t>
        </is>
      </c>
      <c r="F357" s="9" t="inlineStr">
        <is>
          <t>R3: ST auxiliary electrical e-house (40 x 65 ft)</t>
        </is>
      </c>
      <c r="G357" s="9" t="inlineStr"/>
      <c r="H357" s="9" t="inlineStr">
        <is>
          <t>T-R3: 13.8/0.48 kV</t>
        </is>
      </c>
      <c r="I357" s="9" t="inlineStr">
        <is>
          <t>Control</t>
        </is>
      </c>
      <c r="J357" s="9" t="inlineStr">
        <is>
          <t>Control cable 600 V Type TC-ER, Cu #10 AWG (CT / VT circuits)</t>
        </is>
      </c>
      <c r="K357" s="9" t="inlineStr">
        <is>
          <t>CTCT|4/C|10</t>
        </is>
      </c>
      <c r="L357" s="9" t="inlineStr">
        <is>
          <t>4/C</t>
        </is>
      </c>
      <c r="M357" s="9" t="inlineStr">
        <is>
          <t>10</t>
        </is>
      </c>
      <c r="N357" s="9" t="n">
        <v>1</v>
      </c>
      <c r="O357" s="9" t="n">
        <v>1</v>
      </c>
      <c r="P357" s="9" t="n"/>
      <c r="Q357" s="9" t="n"/>
      <c r="R357" s="9" t="n"/>
      <c r="S357" s="9" t="inlineStr">
        <is>
          <t>Tray</t>
        </is>
      </c>
      <c r="T357" s="10" t="n">
        <v>2</v>
      </c>
      <c r="U357" s="10" t="n">
        <v>109</v>
      </c>
      <c r="V357" s="10">
        <f>ROUNDUP((T357+U357+2*'Read Me'!$B$13)*(1+'Read Me'!$B$12),-1)</f>
        <v/>
      </c>
      <c r="W357" s="10">
        <f>V357*N357*O357</f>
        <v/>
      </c>
      <c r="X357" s="9">
        <f>IF(LEFT(I357,2)="MV",2*N357*IF(L357="1/C",O357,1),0)</f>
        <v/>
      </c>
      <c r="Y357" s="9">
        <f>IF(OR(LEFT(K357,4)="LVAX",LEFT(K357,6)="MV15AX",LEFT(K357,4)="CTAX",LEFT(K357,2)="W|"),2*N357*O357,0)</f>
        <v/>
      </c>
      <c r="Z357" s="9" t="inlineStr"/>
    </row>
    <row r="358">
      <c r="A358" s="9" t="inlineStr">
        <is>
          <t>A-C-0346</t>
        </is>
      </c>
      <c r="B358" s="9" t="inlineStr">
        <is>
          <t>A</t>
        </is>
      </c>
      <c r="C358" s="9" t="inlineStr">
        <is>
          <t>Power block</t>
        </is>
      </c>
      <c r="D358" s="9" t="inlineStr">
        <is>
          <t>Control</t>
        </is>
      </c>
      <c r="E358" s="9" t="inlineStr">
        <is>
          <t>R1</t>
        </is>
      </c>
      <c r="F358" s="9" t="inlineStr">
        <is>
          <t>R1: main electrical building (64 x 180 ft)</t>
        </is>
      </c>
      <c r="G358" s="9" t="inlineStr">
        <is>
          <t>T4-A</t>
        </is>
      </c>
      <c r="H358" s="9" t="inlineStr">
        <is>
          <t>T4-A: 13.8/4.16 kV station transformer</t>
        </is>
      </c>
      <c r="I358" s="9" t="inlineStr">
        <is>
          <t>Control</t>
        </is>
      </c>
      <c r="J358" s="9" t="inlineStr">
        <is>
          <t>Control cable 600 V Type TC-ER, Cu #14 AWG, PVC jacket</t>
        </is>
      </c>
      <c r="K358" s="9" t="inlineStr">
        <is>
          <t>CT|7/C|14</t>
        </is>
      </c>
      <c r="L358" s="9" t="inlineStr">
        <is>
          <t>7/C</t>
        </is>
      </c>
      <c r="M358" s="9" t="inlineStr">
        <is>
          <t>14</t>
        </is>
      </c>
      <c r="N358" s="9" t="n">
        <v>1</v>
      </c>
      <c r="O358" s="9" t="n">
        <v>1</v>
      </c>
      <c r="P358" s="9" t="n"/>
      <c r="Q358" s="9" t="n"/>
      <c r="R358" s="9" t="n"/>
      <c r="S358" s="9" t="inlineStr">
        <is>
          <t>Duct bank</t>
        </is>
      </c>
      <c r="T358" s="10" t="n">
        <v>1367</v>
      </c>
      <c r="U358" s="10" t="n">
        <v>46</v>
      </c>
      <c r="V358" s="10">
        <f>ROUNDUP((T358+U358+2*'Read Me'!$B$13)*(1+'Read Me'!$B$12),-1)</f>
        <v/>
      </c>
      <c r="W358" s="10">
        <f>V358*N358*O358</f>
        <v/>
      </c>
      <c r="X358" s="9">
        <f>IF(LEFT(I358,2)="MV",2*N358*IF(L358="1/C",O358,1),0)</f>
        <v/>
      </c>
      <c r="Y358" s="9">
        <f>IF(OR(LEFT(K358,4)="LVAX",LEFT(K358,6)="MV15AX",LEFT(K358,4)="CTAX",LEFT(K358,2)="W|"),2*N358*O358,0)</f>
        <v/>
      </c>
      <c r="Z358" s="9" t="inlineStr"/>
    </row>
    <row r="359">
      <c r="A359" s="9" t="inlineStr">
        <is>
          <t>A-C-0347</t>
        </is>
      </c>
      <c r="B359" s="9" t="inlineStr">
        <is>
          <t>A</t>
        </is>
      </c>
      <c r="C359" s="9" t="inlineStr">
        <is>
          <t>Power block</t>
        </is>
      </c>
      <c r="D359" s="9" t="inlineStr">
        <is>
          <t>Control</t>
        </is>
      </c>
      <c r="E359" s="9" t="inlineStr">
        <is>
          <t>R1</t>
        </is>
      </c>
      <c r="F359" s="9" t="inlineStr">
        <is>
          <t>R1: main electrical building (64 x 180 ft)</t>
        </is>
      </c>
      <c r="G359" s="9" t="inlineStr">
        <is>
          <t>T4-A</t>
        </is>
      </c>
      <c r="H359" s="9" t="inlineStr">
        <is>
          <t>T4-A: 13.8/4.16 kV station transformer</t>
        </is>
      </c>
      <c r="I359" s="9" t="inlineStr">
        <is>
          <t>Control</t>
        </is>
      </c>
      <c r="J359" s="9" t="inlineStr">
        <is>
          <t>Control cable 600 V Type TC-ER, Cu #14 AWG, PVC jacket</t>
        </is>
      </c>
      <c r="K359" s="9" t="inlineStr">
        <is>
          <t>CT|12/C|14</t>
        </is>
      </c>
      <c r="L359" s="9" t="inlineStr">
        <is>
          <t>12/C</t>
        </is>
      </c>
      <c r="M359" s="9" t="inlineStr">
        <is>
          <t>14</t>
        </is>
      </c>
      <c r="N359" s="9" t="n">
        <v>1</v>
      </c>
      <c r="O359" s="9" t="n">
        <v>1</v>
      </c>
      <c r="P359" s="9" t="n"/>
      <c r="Q359" s="9" t="n"/>
      <c r="R359" s="9" t="n"/>
      <c r="S359" s="9" t="inlineStr">
        <is>
          <t>Duct bank</t>
        </is>
      </c>
      <c r="T359" s="10" t="n">
        <v>1367</v>
      </c>
      <c r="U359" s="10" t="n">
        <v>46</v>
      </c>
      <c r="V359" s="10">
        <f>ROUNDUP((T359+U359+2*'Read Me'!$B$13)*(1+'Read Me'!$B$12),-1)</f>
        <v/>
      </c>
      <c r="W359" s="10">
        <f>V359*N359*O359</f>
        <v/>
      </c>
      <c r="X359" s="9">
        <f>IF(LEFT(I359,2)="MV",2*N359*IF(L359="1/C",O359,1),0)</f>
        <v/>
      </c>
      <c r="Y359" s="9">
        <f>IF(OR(LEFT(K359,4)="LVAX",LEFT(K359,6)="MV15AX",LEFT(K359,4)="CTAX",LEFT(K359,2)="W|"),2*N359*O359,0)</f>
        <v/>
      </c>
      <c r="Z359" s="9" t="inlineStr"/>
    </row>
    <row r="360">
      <c r="A360" s="9" t="inlineStr">
        <is>
          <t>A-C-0348</t>
        </is>
      </c>
      <c r="B360" s="9" t="inlineStr">
        <is>
          <t>A</t>
        </is>
      </c>
      <c r="C360" s="9" t="inlineStr">
        <is>
          <t>Power block</t>
        </is>
      </c>
      <c r="D360" s="9" t="inlineStr">
        <is>
          <t>CT / VT</t>
        </is>
      </c>
      <c r="E360" s="9" t="inlineStr">
        <is>
          <t>R1</t>
        </is>
      </c>
      <c r="F360" s="9" t="inlineStr">
        <is>
          <t>R1: main electrical building (64 x 180 ft)</t>
        </is>
      </c>
      <c r="G360" s="9" t="inlineStr">
        <is>
          <t>T4-A</t>
        </is>
      </c>
      <c r="H360" s="9" t="inlineStr">
        <is>
          <t>T4-A: 13.8/4.16 kV station transformer</t>
        </is>
      </c>
      <c r="I360" s="9" t="inlineStr">
        <is>
          <t>Control</t>
        </is>
      </c>
      <c r="J360" s="9" t="inlineStr">
        <is>
          <t>Control cable 600 V Type TC-ER, Cu #10 AWG (CT / VT circuits)</t>
        </is>
      </c>
      <c r="K360" s="9" t="inlineStr">
        <is>
          <t>CTCT|4/C|10</t>
        </is>
      </c>
      <c r="L360" s="9" t="inlineStr">
        <is>
          <t>4/C</t>
        </is>
      </c>
      <c r="M360" s="9" t="inlineStr">
        <is>
          <t>10</t>
        </is>
      </c>
      <c r="N360" s="9" t="n">
        <v>1</v>
      </c>
      <c r="O360" s="9" t="n">
        <v>1</v>
      </c>
      <c r="P360" s="9" t="n"/>
      <c r="Q360" s="9" t="n"/>
      <c r="R360" s="9" t="n"/>
      <c r="S360" s="9" t="inlineStr">
        <is>
          <t>Duct bank</t>
        </is>
      </c>
      <c r="T360" s="10" t="n">
        <v>1367</v>
      </c>
      <c r="U360" s="10" t="n">
        <v>46</v>
      </c>
      <c r="V360" s="10">
        <f>ROUNDUP((T360+U360+2*'Read Me'!$B$13)*(1+'Read Me'!$B$12),-1)</f>
        <v/>
      </c>
      <c r="W360" s="10">
        <f>V360*N360*O360</f>
        <v/>
      </c>
      <c r="X360" s="9">
        <f>IF(LEFT(I360,2)="MV",2*N360*IF(L360="1/C",O360,1),0)</f>
        <v/>
      </c>
      <c r="Y360" s="9">
        <f>IF(OR(LEFT(K360,4)="LVAX",LEFT(K360,6)="MV15AX",LEFT(K360,4)="CTAX",LEFT(K360,2)="W|"),2*N360*O360,0)</f>
        <v/>
      </c>
      <c r="Z360" s="9" t="inlineStr"/>
    </row>
    <row r="361">
      <c r="A361" s="9" t="inlineStr">
        <is>
          <t>A-C-0349</t>
        </is>
      </c>
      <c r="B361" s="9" t="inlineStr">
        <is>
          <t>A</t>
        </is>
      </c>
      <c r="C361" s="9" t="inlineStr">
        <is>
          <t>Power block</t>
        </is>
      </c>
      <c r="D361" s="9" t="inlineStr">
        <is>
          <t>CT / VT</t>
        </is>
      </c>
      <c r="E361" s="9" t="inlineStr">
        <is>
          <t>R1</t>
        </is>
      </c>
      <c r="F361" s="9" t="inlineStr">
        <is>
          <t>R1: main electrical building (64 x 180 ft)</t>
        </is>
      </c>
      <c r="G361" s="9" t="inlineStr">
        <is>
          <t>T4-A</t>
        </is>
      </c>
      <c r="H361" s="9" t="inlineStr">
        <is>
          <t>T4-A: 13.8/4.16 kV station transformer</t>
        </is>
      </c>
      <c r="I361" s="9" t="inlineStr">
        <is>
          <t>Control</t>
        </is>
      </c>
      <c r="J361" s="9" t="inlineStr">
        <is>
          <t>Control cable 600 V Type TC-ER, Cu #10 AWG (CT / VT circuits)</t>
        </is>
      </c>
      <c r="K361" s="9" t="inlineStr">
        <is>
          <t>CTCT|4/C|10</t>
        </is>
      </c>
      <c r="L361" s="9" t="inlineStr">
        <is>
          <t>4/C</t>
        </is>
      </c>
      <c r="M361" s="9" t="inlineStr">
        <is>
          <t>10</t>
        </is>
      </c>
      <c r="N361" s="9" t="n">
        <v>1</v>
      </c>
      <c r="O361" s="9" t="n">
        <v>1</v>
      </c>
      <c r="P361" s="9" t="n"/>
      <c r="Q361" s="9" t="n"/>
      <c r="R361" s="9" t="n"/>
      <c r="S361" s="9" t="inlineStr">
        <is>
          <t>Duct bank</t>
        </is>
      </c>
      <c r="T361" s="10" t="n">
        <v>1367</v>
      </c>
      <c r="U361" s="10" t="n">
        <v>46</v>
      </c>
      <c r="V361" s="10">
        <f>ROUNDUP((T361+U361+2*'Read Me'!$B$13)*(1+'Read Me'!$B$12),-1)</f>
        <v/>
      </c>
      <c r="W361" s="10">
        <f>V361*N361*O361</f>
        <v/>
      </c>
      <c r="X361" s="9">
        <f>IF(LEFT(I361,2)="MV",2*N361*IF(L361="1/C",O361,1),0)</f>
        <v/>
      </c>
      <c r="Y361" s="9">
        <f>IF(OR(LEFT(K361,4)="LVAX",LEFT(K361,6)="MV15AX",LEFT(K361,4)="CTAX",LEFT(K361,2)="W|"),2*N361*O361,0)</f>
        <v/>
      </c>
      <c r="Z361" s="9" t="inlineStr"/>
    </row>
    <row r="362">
      <c r="A362" s="9" t="inlineStr">
        <is>
          <t>A-C-0350</t>
        </is>
      </c>
      <c r="B362" s="9" t="inlineStr">
        <is>
          <t>A</t>
        </is>
      </c>
      <c r="C362" s="9" t="inlineStr">
        <is>
          <t>Power block</t>
        </is>
      </c>
      <c r="D362" s="9" t="inlineStr">
        <is>
          <t>Control</t>
        </is>
      </c>
      <c r="E362" s="9" t="inlineStr">
        <is>
          <t>R1</t>
        </is>
      </c>
      <c r="F362" s="9" t="inlineStr">
        <is>
          <t>R1: main electrical building (64 x 180 ft)</t>
        </is>
      </c>
      <c r="G362" s="9" t="inlineStr">
        <is>
          <t>T4-B</t>
        </is>
      </c>
      <c r="H362" s="9" t="inlineStr">
        <is>
          <t>T4-B: 13.8/4.16 kV station transformer</t>
        </is>
      </c>
      <c r="I362" s="9" t="inlineStr">
        <is>
          <t>Control</t>
        </is>
      </c>
      <c r="J362" s="9" t="inlineStr">
        <is>
          <t>Control cable 600 V Type TC-ER, Cu #14 AWG, PVC jacket</t>
        </is>
      </c>
      <c r="K362" s="9" t="inlineStr">
        <is>
          <t>CT|7/C|14</t>
        </is>
      </c>
      <c r="L362" s="9" t="inlineStr">
        <is>
          <t>7/C</t>
        </is>
      </c>
      <c r="M362" s="9" t="inlineStr">
        <is>
          <t>14</t>
        </is>
      </c>
      <c r="N362" s="9" t="n">
        <v>1</v>
      </c>
      <c r="O362" s="9" t="n">
        <v>1</v>
      </c>
      <c r="P362" s="9" t="n"/>
      <c r="Q362" s="9" t="n"/>
      <c r="R362" s="9" t="n"/>
      <c r="S362" s="9" t="inlineStr">
        <is>
          <t>Duct bank</t>
        </is>
      </c>
      <c r="T362" s="10" t="n">
        <v>1389</v>
      </c>
      <c r="U362" s="10" t="n">
        <v>46</v>
      </c>
      <c r="V362" s="10">
        <f>ROUNDUP((T362+U362+2*'Read Me'!$B$13)*(1+'Read Me'!$B$12),-1)</f>
        <v/>
      </c>
      <c r="W362" s="10">
        <f>V362*N362*O362</f>
        <v/>
      </c>
      <c r="X362" s="9">
        <f>IF(LEFT(I362,2)="MV",2*N362*IF(L362="1/C",O362,1),0)</f>
        <v/>
      </c>
      <c r="Y362" s="9">
        <f>IF(OR(LEFT(K362,4)="LVAX",LEFT(K362,6)="MV15AX",LEFT(K362,4)="CTAX",LEFT(K362,2)="W|"),2*N362*O362,0)</f>
        <v/>
      </c>
      <c r="Z362" s="9" t="inlineStr"/>
    </row>
    <row r="363">
      <c r="A363" s="9" t="inlineStr">
        <is>
          <t>A-C-0351</t>
        </is>
      </c>
      <c r="B363" s="9" t="inlineStr">
        <is>
          <t>A</t>
        </is>
      </c>
      <c r="C363" s="9" t="inlineStr">
        <is>
          <t>Power block</t>
        </is>
      </c>
      <c r="D363" s="9" t="inlineStr">
        <is>
          <t>Control</t>
        </is>
      </c>
      <c r="E363" s="9" t="inlineStr">
        <is>
          <t>R1</t>
        </is>
      </c>
      <c r="F363" s="9" t="inlineStr">
        <is>
          <t>R1: main electrical building (64 x 180 ft)</t>
        </is>
      </c>
      <c r="G363" s="9" t="inlineStr">
        <is>
          <t>T4-B</t>
        </is>
      </c>
      <c r="H363" s="9" t="inlineStr">
        <is>
          <t>T4-B: 13.8/4.16 kV station transformer</t>
        </is>
      </c>
      <c r="I363" s="9" t="inlineStr">
        <is>
          <t>Control</t>
        </is>
      </c>
      <c r="J363" s="9" t="inlineStr">
        <is>
          <t>Control cable 600 V Type TC-ER, Cu #14 AWG, PVC jacket</t>
        </is>
      </c>
      <c r="K363" s="9" t="inlineStr">
        <is>
          <t>CT|12/C|14</t>
        </is>
      </c>
      <c r="L363" s="9" t="inlineStr">
        <is>
          <t>12/C</t>
        </is>
      </c>
      <c r="M363" s="9" t="inlineStr">
        <is>
          <t>14</t>
        </is>
      </c>
      <c r="N363" s="9" t="n">
        <v>1</v>
      </c>
      <c r="O363" s="9" t="n">
        <v>1</v>
      </c>
      <c r="P363" s="9" t="n"/>
      <c r="Q363" s="9" t="n"/>
      <c r="R363" s="9" t="n"/>
      <c r="S363" s="9" t="inlineStr">
        <is>
          <t>Duct bank</t>
        </is>
      </c>
      <c r="T363" s="10" t="n">
        <v>1389</v>
      </c>
      <c r="U363" s="10" t="n">
        <v>46</v>
      </c>
      <c r="V363" s="10">
        <f>ROUNDUP((T363+U363+2*'Read Me'!$B$13)*(1+'Read Me'!$B$12),-1)</f>
        <v/>
      </c>
      <c r="W363" s="10">
        <f>V363*N363*O363</f>
        <v/>
      </c>
      <c r="X363" s="9">
        <f>IF(LEFT(I363,2)="MV",2*N363*IF(L363="1/C",O363,1),0)</f>
        <v/>
      </c>
      <c r="Y363" s="9">
        <f>IF(OR(LEFT(K363,4)="LVAX",LEFT(K363,6)="MV15AX",LEFT(K363,4)="CTAX",LEFT(K363,2)="W|"),2*N363*O363,0)</f>
        <v/>
      </c>
      <c r="Z363" s="9" t="inlineStr"/>
    </row>
    <row r="364">
      <c r="A364" s="9" t="inlineStr">
        <is>
          <t>A-C-0352</t>
        </is>
      </c>
      <c r="B364" s="9" t="inlineStr">
        <is>
          <t>A</t>
        </is>
      </c>
      <c r="C364" s="9" t="inlineStr">
        <is>
          <t>Power block</t>
        </is>
      </c>
      <c r="D364" s="9" t="inlineStr">
        <is>
          <t>CT / VT</t>
        </is>
      </c>
      <c r="E364" s="9" t="inlineStr">
        <is>
          <t>R1</t>
        </is>
      </c>
      <c r="F364" s="9" t="inlineStr">
        <is>
          <t>R1: main electrical building (64 x 180 ft)</t>
        </is>
      </c>
      <c r="G364" s="9" t="inlineStr">
        <is>
          <t>T4-B</t>
        </is>
      </c>
      <c r="H364" s="9" t="inlineStr">
        <is>
          <t>T4-B: 13.8/4.16 kV station transformer</t>
        </is>
      </c>
      <c r="I364" s="9" t="inlineStr">
        <is>
          <t>Control</t>
        </is>
      </c>
      <c r="J364" s="9" t="inlineStr">
        <is>
          <t>Control cable 600 V Type TC-ER, Cu #10 AWG (CT / VT circuits)</t>
        </is>
      </c>
      <c r="K364" s="9" t="inlineStr">
        <is>
          <t>CTCT|4/C|10</t>
        </is>
      </c>
      <c r="L364" s="9" t="inlineStr">
        <is>
          <t>4/C</t>
        </is>
      </c>
      <c r="M364" s="9" t="inlineStr">
        <is>
          <t>10</t>
        </is>
      </c>
      <c r="N364" s="9" t="n">
        <v>1</v>
      </c>
      <c r="O364" s="9" t="n">
        <v>1</v>
      </c>
      <c r="P364" s="9" t="n"/>
      <c r="Q364" s="9" t="n"/>
      <c r="R364" s="9" t="n"/>
      <c r="S364" s="9" t="inlineStr">
        <is>
          <t>Duct bank</t>
        </is>
      </c>
      <c r="T364" s="10" t="n">
        <v>1389</v>
      </c>
      <c r="U364" s="10" t="n">
        <v>46</v>
      </c>
      <c r="V364" s="10">
        <f>ROUNDUP((T364+U364+2*'Read Me'!$B$13)*(1+'Read Me'!$B$12),-1)</f>
        <v/>
      </c>
      <c r="W364" s="10">
        <f>V364*N364*O364</f>
        <v/>
      </c>
      <c r="X364" s="9">
        <f>IF(LEFT(I364,2)="MV",2*N364*IF(L364="1/C",O364,1),0)</f>
        <v/>
      </c>
      <c r="Y364" s="9">
        <f>IF(OR(LEFT(K364,4)="LVAX",LEFT(K364,6)="MV15AX",LEFT(K364,4)="CTAX",LEFT(K364,2)="W|"),2*N364*O364,0)</f>
        <v/>
      </c>
      <c r="Z364" s="9" t="inlineStr"/>
    </row>
    <row r="365">
      <c r="A365" s="9" t="inlineStr">
        <is>
          <t>A-C-0353</t>
        </is>
      </c>
      <c r="B365" s="9" t="inlineStr">
        <is>
          <t>A</t>
        </is>
      </c>
      <c r="C365" s="9" t="inlineStr">
        <is>
          <t>Power block</t>
        </is>
      </c>
      <c r="D365" s="9" t="inlineStr">
        <is>
          <t>CT / VT</t>
        </is>
      </c>
      <c r="E365" s="9" t="inlineStr">
        <is>
          <t>R1</t>
        </is>
      </c>
      <c r="F365" s="9" t="inlineStr">
        <is>
          <t>R1: main electrical building (64 x 180 ft)</t>
        </is>
      </c>
      <c r="G365" s="9" t="inlineStr">
        <is>
          <t>T4-B</t>
        </is>
      </c>
      <c r="H365" s="9" t="inlineStr">
        <is>
          <t>T4-B: 13.8/4.16 kV station transformer</t>
        </is>
      </c>
      <c r="I365" s="9" t="inlineStr">
        <is>
          <t>Control</t>
        </is>
      </c>
      <c r="J365" s="9" t="inlineStr">
        <is>
          <t>Control cable 600 V Type TC-ER, Cu #10 AWG (CT / VT circuits)</t>
        </is>
      </c>
      <c r="K365" s="9" t="inlineStr">
        <is>
          <t>CTCT|4/C|10</t>
        </is>
      </c>
      <c r="L365" s="9" t="inlineStr">
        <is>
          <t>4/C</t>
        </is>
      </c>
      <c r="M365" s="9" t="inlineStr">
        <is>
          <t>10</t>
        </is>
      </c>
      <c r="N365" s="9" t="n">
        <v>1</v>
      </c>
      <c r="O365" s="9" t="n">
        <v>1</v>
      </c>
      <c r="P365" s="9" t="n"/>
      <c r="Q365" s="9" t="n"/>
      <c r="R365" s="9" t="n"/>
      <c r="S365" s="9" t="inlineStr">
        <is>
          <t>Duct bank</t>
        </is>
      </c>
      <c r="T365" s="10" t="n">
        <v>1389</v>
      </c>
      <c r="U365" s="10" t="n">
        <v>46</v>
      </c>
      <c r="V365" s="10">
        <f>ROUNDUP((T365+U365+2*'Read Me'!$B$13)*(1+'Read Me'!$B$12),-1)</f>
        <v/>
      </c>
      <c r="W365" s="10">
        <f>V365*N365*O365</f>
        <v/>
      </c>
      <c r="X365" s="9">
        <f>IF(LEFT(I365,2)="MV",2*N365*IF(L365="1/C",O365,1),0)</f>
        <v/>
      </c>
      <c r="Y365" s="9">
        <f>IF(OR(LEFT(K365,4)="LVAX",LEFT(K365,6)="MV15AX",LEFT(K365,4)="CTAX",LEFT(K365,2)="W|"),2*N365*O365,0)</f>
        <v/>
      </c>
      <c r="Z365" s="9" t="inlineStr"/>
    </row>
    <row r="366">
      <c r="A366" s="9" t="inlineStr">
        <is>
          <t>A-C-0354</t>
        </is>
      </c>
      <c r="B366" s="9" t="inlineStr">
        <is>
          <t>A</t>
        </is>
      </c>
      <c r="C366" s="9" t="inlineStr">
        <is>
          <t>Power block</t>
        </is>
      </c>
      <c r="D366" s="9" t="inlineStr">
        <is>
          <t>Control</t>
        </is>
      </c>
      <c r="E366" s="9" t="inlineStr">
        <is>
          <t>R2A</t>
        </is>
      </c>
      <c r="F366" s="9" t="inlineStr">
        <is>
          <t>R2A: unit / HRSG electrical e-house (32 x 40 ft)</t>
        </is>
      </c>
      <c r="G366" s="9" t="inlineStr">
        <is>
          <t>TCP-1</t>
        </is>
      </c>
      <c r="H366" s="9" t="inlineStr">
        <is>
          <t>TCP-1: GT1 turbine control and protection cabinets</t>
        </is>
      </c>
      <c r="I366" s="9" t="inlineStr">
        <is>
          <t>Control</t>
        </is>
      </c>
      <c r="J366" s="9" t="inlineStr">
        <is>
          <t>Control cable 600 V Type TC-ER, Cu #14 AWG, PVC jacket</t>
        </is>
      </c>
      <c r="K366" s="9" t="inlineStr">
        <is>
          <t>CT|7/C|14</t>
        </is>
      </c>
      <c r="L366" s="9" t="inlineStr">
        <is>
          <t>7/C</t>
        </is>
      </c>
      <c r="M366" s="9" t="inlineStr">
        <is>
          <t>14</t>
        </is>
      </c>
      <c r="N366" s="9" t="n">
        <v>1</v>
      </c>
      <c r="O366" s="9" t="n">
        <v>1</v>
      </c>
      <c r="P366" s="9" t="n"/>
      <c r="Q366" s="9" t="n"/>
      <c r="R366" s="9" t="n"/>
      <c r="S366" s="9" t="inlineStr">
        <is>
          <t>Tray</t>
        </is>
      </c>
      <c r="T366" s="10" t="n">
        <v>178</v>
      </c>
      <c r="U366" s="10" t="n">
        <v>94</v>
      </c>
      <c r="V366" s="10">
        <f>ROUNDUP((T366+U366+2*'Read Me'!$B$13)*(1+'Read Me'!$B$12),-1)</f>
        <v/>
      </c>
      <c r="W366" s="10">
        <f>V366*N366*O366</f>
        <v/>
      </c>
      <c r="X366" s="9">
        <f>IF(LEFT(I366,2)="MV",2*N366*IF(L366="1/C",O366,1),0)</f>
        <v/>
      </c>
      <c r="Y366" s="9">
        <f>IF(OR(LEFT(K366,4)="LVAX",LEFT(K366,6)="MV15AX",LEFT(K366,4)="CTAX",LEFT(K366,2)="W|"),2*N366*O366,0)</f>
        <v/>
      </c>
      <c r="Z366" s="9" t="inlineStr"/>
    </row>
    <row r="367">
      <c r="A367" s="9" t="inlineStr">
        <is>
          <t>A-C-0355</t>
        </is>
      </c>
      <c r="B367" s="9" t="inlineStr">
        <is>
          <t>A</t>
        </is>
      </c>
      <c r="C367" s="9" t="inlineStr">
        <is>
          <t>Power block</t>
        </is>
      </c>
      <c r="D367" s="9" t="inlineStr">
        <is>
          <t>Control</t>
        </is>
      </c>
      <c r="E367" s="9" t="inlineStr">
        <is>
          <t>R2B</t>
        </is>
      </c>
      <c r="F367" s="9" t="inlineStr">
        <is>
          <t>R2B: unit / HRSG electrical e-house (32 x 40 ft)</t>
        </is>
      </c>
      <c r="G367" s="9" t="inlineStr">
        <is>
          <t>TCP-2</t>
        </is>
      </c>
      <c r="H367" s="9" t="inlineStr">
        <is>
          <t>TCP-2: GT2 turbine control and protection cabinets</t>
        </is>
      </c>
      <c r="I367" s="9" t="inlineStr">
        <is>
          <t>Control</t>
        </is>
      </c>
      <c r="J367" s="9" t="inlineStr">
        <is>
          <t>Control cable 600 V Type TC-ER, Cu #14 AWG, PVC jacket</t>
        </is>
      </c>
      <c r="K367" s="9" t="inlineStr">
        <is>
          <t>CT|7/C|14</t>
        </is>
      </c>
      <c r="L367" s="9" t="inlineStr">
        <is>
          <t>7/C</t>
        </is>
      </c>
      <c r="M367" s="9" t="inlineStr">
        <is>
          <t>14</t>
        </is>
      </c>
      <c r="N367" s="9" t="n">
        <v>1</v>
      </c>
      <c r="O367" s="9" t="n">
        <v>1</v>
      </c>
      <c r="P367" s="9" t="n"/>
      <c r="Q367" s="9" t="n"/>
      <c r="R367" s="9" t="n"/>
      <c r="S367" s="9" t="inlineStr">
        <is>
          <t>Tray</t>
        </is>
      </c>
      <c r="T367" s="10" t="n">
        <v>917</v>
      </c>
      <c r="U367" s="10" t="n">
        <v>96</v>
      </c>
      <c r="V367" s="10">
        <f>ROUNDUP((T367+U367+2*'Read Me'!$B$13)*(1+'Read Me'!$B$12),-1)</f>
        <v/>
      </c>
      <c r="W367" s="10">
        <f>V367*N367*O367</f>
        <v/>
      </c>
      <c r="X367" s="9">
        <f>IF(LEFT(I367,2)="MV",2*N367*IF(L367="1/C",O367,1),0)</f>
        <v/>
      </c>
      <c r="Y367" s="9">
        <f>IF(OR(LEFT(K367,4)="LVAX",LEFT(K367,6)="MV15AX",LEFT(K367,4)="CTAX",LEFT(K367,2)="W|"),2*N367*O367,0)</f>
        <v/>
      </c>
      <c r="Z367" s="9" t="inlineStr"/>
    </row>
    <row r="368">
      <c r="A368" s="9" t="inlineStr">
        <is>
          <t>A-C-0356</t>
        </is>
      </c>
      <c r="B368" s="9" t="inlineStr">
        <is>
          <t>A</t>
        </is>
      </c>
      <c r="C368" s="9" t="inlineStr">
        <is>
          <t>Power block</t>
        </is>
      </c>
      <c r="D368" s="9" t="inlineStr">
        <is>
          <t>Control</t>
        </is>
      </c>
      <c r="E368" s="9" t="inlineStr">
        <is>
          <t>R2C</t>
        </is>
      </c>
      <c r="F368" s="9" t="inlineStr">
        <is>
          <t>R2C: unit / HRSG electrical e-house (32 x 40 ft)</t>
        </is>
      </c>
      <c r="G368" s="9" t="inlineStr">
        <is>
          <t>TCP-3</t>
        </is>
      </c>
      <c r="H368" s="9" t="inlineStr">
        <is>
          <t>TCP-3: GT3 turbine control and protection cabinets</t>
        </is>
      </c>
      <c r="I368" s="9" t="inlineStr">
        <is>
          <t>Control</t>
        </is>
      </c>
      <c r="J368" s="9" t="inlineStr">
        <is>
          <t>Control cable 600 V Type TC-ER, Cu #14 AWG, PVC jacket</t>
        </is>
      </c>
      <c r="K368" s="9" t="inlineStr">
        <is>
          <t>CT|7/C|14</t>
        </is>
      </c>
      <c r="L368" s="9" t="inlineStr">
        <is>
          <t>7/C</t>
        </is>
      </c>
      <c r="M368" s="9" t="inlineStr">
        <is>
          <t>14</t>
        </is>
      </c>
      <c r="N368" s="9" t="n">
        <v>1</v>
      </c>
      <c r="O368" s="9" t="n">
        <v>1</v>
      </c>
      <c r="P368" s="9" t="n"/>
      <c r="Q368" s="9" t="n"/>
      <c r="R368" s="9" t="n"/>
      <c r="S368" s="9" t="inlineStr">
        <is>
          <t>Tray</t>
        </is>
      </c>
      <c r="T368" s="10" t="n">
        <v>1092</v>
      </c>
      <c r="U368" s="10" t="n">
        <v>112</v>
      </c>
      <c r="V368" s="10">
        <f>ROUNDUP((T368+U368+2*'Read Me'!$B$13)*(1+'Read Me'!$B$12),-1)</f>
        <v/>
      </c>
      <c r="W368" s="10">
        <f>V368*N368*O368</f>
        <v/>
      </c>
      <c r="X368" s="9">
        <f>IF(LEFT(I368,2)="MV",2*N368*IF(L368="1/C",O368,1),0)</f>
        <v/>
      </c>
      <c r="Y368" s="9">
        <f>IF(OR(LEFT(K368,4)="LVAX",LEFT(K368,6)="MV15AX",LEFT(K368,4)="CTAX",LEFT(K368,2)="W|"),2*N368*O368,0)</f>
        <v/>
      </c>
      <c r="Z368" s="9" t="inlineStr"/>
    </row>
    <row r="369">
      <c r="A369" s="9" t="inlineStr">
        <is>
          <t>A-C-0357</t>
        </is>
      </c>
      <c r="B369" s="9" t="inlineStr">
        <is>
          <t>A</t>
        </is>
      </c>
      <c r="C369" s="9" t="inlineStr">
        <is>
          <t>Power block</t>
        </is>
      </c>
      <c r="D369" s="9" t="inlineStr">
        <is>
          <t>Control</t>
        </is>
      </c>
      <c r="E369" s="9" t="inlineStr">
        <is>
          <t>R3</t>
        </is>
      </c>
      <c r="F369" s="9" t="inlineStr">
        <is>
          <t>R3: ST auxiliary electrical e-house (40 x 65 ft)</t>
        </is>
      </c>
      <c r="G369" s="9" t="inlineStr">
        <is>
          <t>TCP-ST</t>
        </is>
      </c>
      <c r="H369" s="9" t="inlineStr">
        <is>
          <t>TCP-ST: ST turbine control and protection cabinets</t>
        </is>
      </c>
      <c r="I369" s="9" t="inlineStr">
        <is>
          <t>Control</t>
        </is>
      </c>
      <c r="J369" s="9" t="inlineStr">
        <is>
          <t>Control cable 600 V Type TC-ER, Cu #14 AWG, PVC jacket</t>
        </is>
      </c>
      <c r="K369" s="9" t="inlineStr">
        <is>
          <t>CT|7/C|14</t>
        </is>
      </c>
      <c r="L369" s="9" t="inlineStr">
        <is>
          <t>7/C</t>
        </is>
      </c>
      <c r="M369" s="9" t="inlineStr">
        <is>
          <t>14</t>
        </is>
      </c>
      <c r="N369" s="9" t="n">
        <v>1</v>
      </c>
      <c r="O369" s="9" t="n">
        <v>1</v>
      </c>
      <c r="P369" s="9" t="n"/>
      <c r="Q369" s="9" t="n"/>
      <c r="R369" s="9" t="n"/>
      <c r="S369" s="9" t="inlineStr">
        <is>
          <t>Tray</t>
        </is>
      </c>
      <c r="T369" s="10" t="n">
        <v>606</v>
      </c>
      <c r="U369" s="10" t="n">
        <v>98</v>
      </c>
      <c r="V369" s="10">
        <f>ROUNDUP((T369+U369+2*'Read Me'!$B$13)*(1+'Read Me'!$B$12),-1)</f>
        <v/>
      </c>
      <c r="W369" s="10">
        <f>V369*N369*O369</f>
        <v/>
      </c>
      <c r="X369" s="9">
        <f>IF(LEFT(I369,2)="MV",2*N369*IF(L369="1/C",O369,1),0)</f>
        <v/>
      </c>
      <c r="Y369" s="9">
        <f>IF(OR(LEFT(K369,4)="LVAX",LEFT(K369,6)="MV15AX",LEFT(K369,4)="CTAX",LEFT(K369,2)="W|"),2*N369*O369,0)</f>
        <v/>
      </c>
      <c r="Z369" s="9" t="inlineStr"/>
    </row>
    <row r="370">
      <c r="A370" s="9" t="inlineStr">
        <is>
          <t>A-C-0358</t>
        </is>
      </c>
      <c r="B370" s="9" t="inlineStr">
        <is>
          <t>A</t>
        </is>
      </c>
      <c r="C370" s="9" t="inlineStr">
        <is>
          <t>Power block</t>
        </is>
      </c>
      <c r="D370" s="9" t="inlineStr">
        <is>
          <t>Control</t>
        </is>
      </c>
      <c r="E370" s="9" t="inlineStr">
        <is>
          <t>R2B</t>
        </is>
      </c>
      <c r="F370" s="9" t="inlineStr">
        <is>
          <t>R2B: unit / HRSG electrical e-house (32 x 40 ft)</t>
        </is>
      </c>
      <c r="G370" s="9" t="inlineStr">
        <is>
          <t>UAT-1</t>
        </is>
      </c>
      <c r="H370" s="9" t="inlineStr">
        <is>
          <t>UAT-1: 21/13.8 kV unit auxiliary transformer</t>
        </is>
      </c>
      <c r="I370" s="9" t="inlineStr">
        <is>
          <t>Control</t>
        </is>
      </c>
      <c r="J370" s="9" t="inlineStr">
        <is>
          <t>Control cable 600 V Type TC-ER, Cu #14 AWG, PVC jacket</t>
        </is>
      </c>
      <c r="K370" s="9" t="inlineStr">
        <is>
          <t>CT|7/C|14</t>
        </is>
      </c>
      <c r="L370" s="9" t="inlineStr">
        <is>
          <t>7/C</t>
        </is>
      </c>
      <c r="M370" s="9" t="inlineStr">
        <is>
          <t>14</t>
        </is>
      </c>
      <c r="N370" s="9" t="n">
        <v>1</v>
      </c>
      <c r="O370" s="9" t="n">
        <v>1</v>
      </c>
      <c r="P370" s="9" t="n"/>
      <c r="Q370" s="9" t="n"/>
      <c r="R370" s="9" t="n"/>
      <c r="S370" s="9" t="inlineStr">
        <is>
          <t>Tray</t>
        </is>
      </c>
      <c r="T370" s="10" t="n">
        <v>1217</v>
      </c>
      <c r="U370" s="10" t="n">
        <v>78</v>
      </c>
      <c r="V370" s="10">
        <f>ROUNDUP((T370+U370+2*'Read Me'!$B$13)*(1+'Read Me'!$B$12),-1)</f>
        <v/>
      </c>
      <c r="W370" s="10">
        <f>V370*N370*O370</f>
        <v/>
      </c>
      <c r="X370" s="9">
        <f>IF(LEFT(I370,2)="MV",2*N370*IF(L370="1/C",O370,1),0)</f>
        <v/>
      </c>
      <c r="Y370" s="9">
        <f>IF(OR(LEFT(K370,4)="LVAX",LEFT(K370,6)="MV15AX",LEFT(K370,4)="CTAX",LEFT(K370,2)="W|"),2*N370*O370,0)</f>
        <v/>
      </c>
      <c r="Z370" s="9" t="inlineStr"/>
    </row>
    <row r="371">
      <c r="A371" s="9" t="inlineStr">
        <is>
          <t>A-C-0359</t>
        </is>
      </c>
      <c r="B371" s="9" t="inlineStr">
        <is>
          <t>A</t>
        </is>
      </c>
      <c r="C371" s="9" t="inlineStr">
        <is>
          <t>Power block</t>
        </is>
      </c>
      <c r="D371" s="9" t="inlineStr">
        <is>
          <t>Control</t>
        </is>
      </c>
      <c r="E371" s="9" t="inlineStr">
        <is>
          <t>R2B</t>
        </is>
      </c>
      <c r="F371" s="9" t="inlineStr">
        <is>
          <t>R2B: unit / HRSG electrical e-house (32 x 40 ft)</t>
        </is>
      </c>
      <c r="G371" s="9" t="inlineStr">
        <is>
          <t>UAT-1</t>
        </is>
      </c>
      <c r="H371" s="9" t="inlineStr">
        <is>
          <t>UAT-1: 21/13.8 kV unit auxiliary transformer</t>
        </is>
      </c>
      <c r="I371" s="9" t="inlineStr">
        <is>
          <t>Control</t>
        </is>
      </c>
      <c r="J371" s="9" t="inlineStr">
        <is>
          <t>Control cable 600 V Type TC-ER, Cu #14 AWG, PVC jacket</t>
        </is>
      </c>
      <c r="K371" s="9" t="inlineStr">
        <is>
          <t>CT|12/C|14</t>
        </is>
      </c>
      <c r="L371" s="9" t="inlineStr">
        <is>
          <t>12/C</t>
        </is>
      </c>
      <c r="M371" s="9" t="inlineStr">
        <is>
          <t>14</t>
        </is>
      </c>
      <c r="N371" s="9" t="n">
        <v>1</v>
      </c>
      <c r="O371" s="9" t="n">
        <v>1</v>
      </c>
      <c r="P371" s="9" t="n"/>
      <c r="Q371" s="9" t="n"/>
      <c r="R371" s="9" t="n"/>
      <c r="S371" s="9" t="inlineStr">
        <is>
          <t>Tray</t>
        </is>
      </c>
      <c r="T371" s="10" t="n">
        <v>1217</v>
      </c>
      <c r="U371" s="10" t="n">
        <v>78</v>
      </c>
      <c r="V371" s="10">
        <f>ROUNDUP((T371+U371+2*'Read Me'!$B$13)*(1+'Read Me'!$B$12),-1)</f>
        <v/>
      </c>
      <c r="W371" s="10">
        <f>V371*N371*O371</f>
        <v/>
      </c>
      <c r="X371" s="9">
        <f>IF(LEFT(I371,2)="MV",2*N371*IF(L371="1/C",O371,1),0)</f>
        <v/>
      </c>
      <c r="Y371" s="9">
        <f>IF(OR(LEFT(K371,4)="LVAX",LEFT(K371,6)="MV15AX",LEFT(K371,4)="CTAX",LEFT(K371,2)="W|"),2*N371*O371,0)</f>
        <v/>
      </c>
      <c r="Z371" s="9" t="inlineStr"/>
    </row>
    <row r="372">
      <c r="A372" s="9" t="inlineStr">
        <is>
          <t>A-C-0360</t>
        </is>
      </c>
      <c r="B372" s="9" t="inlineStr">
        <is>
          <t>A</t>
        </is>
      </c>
      <c r="C372" s="9" t="inlineStr">
        <is>
          <t>Power block</t>
        </is>
      </c>
      <c r="D372" s="9" t="inlineStr">
        <is>
          <t>CT / VT</t>
        </is>
      </c>
      <c r="E372" s="9" t="inlineStr">
        <is>
          <t>R2B</t>
        </is>
      </c>
      <c r="F372" s="9" t="inlineStr">
        <is>
          <t>R2B: unit / HRSG electrical e-house (32 x 40 ft)</t>
        </is>
      </c>
      <c r="G372" s="9" t="inlineStr">
        <is>
          <t>UAT-1</t>
        </is>
      </c>
      <c r="H372" s="9" t="inlineStr">
        <is>
          <t>UAT-1: 21/13.8 kV unit auxiliary transformer</t>
        </is>
      </c>
      <c r="I372" s="9" t="inlineStr">
        <is>
          <t>Control</t>
        </is>
      </c>
      <c r="J372" s="9" t="inlineStr">
        <is>
          <t>Control cable 600 V Type TC-ER, Cu #10 AWG (CT / VT circuits)</t>
        </is>
      </c>
      <c r="K372" s="9" t="inlineStr">
        <is>
          <t>CTCT|4/C|10</t>
        </is>
      </c>
      <c r="L372" s="9" t="inlineStr">
        <is>
          <t>4/C</t>
        </is>
      </c>
      <c r="M372" s="9" t="inlineStr">
        <is>
          <t>10</t>
        </is>
      </c>
      <c r="N372" s="9" t="n">
        <v>1</v>
      </c>
      <c r="O372" s="9" t="n">
        <v>1</v>
      </c>
      <c r="P372" s="9" t="n"/>
      <c r="Q372" s="9" t="n"/>
      <c r="R372" s="9" t="n"/>
      <c r="S372" s="9" t="inlineStr">
        <is>
          <t>Tray</t>
        </is>
      </c>
      <c r="T372" s="10" t="n">
        <v>1217</v>
      </c>
      <c r="U372" s="10" t="n">
        <v>78</v>
      </c>
      <c r="V372" s="10">
        <f>ROUNDUP((T372+U372+2*'Read Me'!$B$13)*(1+'Read Me'!$B$12),-1)</f>
        <v/>
      </c>
      <c r="W372" s="10">
        <f>V372*N372*O372</f>
        <v/>
      </c>
      <c r="X372" s="9">
        <f>IF(LEFT(I372,2)="MV",2*N372*IF(L372="1/C",O372,1),0)</f>
        <v/>
      </c>
      <c r="Y372" s="9">
        <f>IF(OR(LEFT(K372,4)="LVAX",LEFT(K372,6)="MV15AX",LEFT(K372,4)="CTAX",LEFT(K372,2)="W|"),2*N372*O372,0)</f>
        <v/>
      </c>
      <c r="Z372" s="9" t="inlineStr"/>
    </row>
    <row r="373">
      <c r="A373" s="9" t="inlineStr">
        <is>
          <t>A-C-0361</t>
        </is>
      </c>
      <c r="B373" s="9" t="inlineStr">
        <is>
          <t>A</t>
        </is>
      </c>
      <c r="C373" s="9" t="inlineStr">
        <is>
          <t>Power block</t>
        </is>
      </c>
      <c r="D373" s="9" t="inlineStr">
        <is>
          <t>CT / VT</t>
        </is>
      </c>
      <c r="E373" s="9" t="inlineStr">
        <is>
          <t>R2B</t>
        </is>
      </c>
      <c r="F373" s="9" t="inlineStr">
        <is>
          <t>R2B: unit / HRSG electrical e-house (32 x 40 ft)</t>
        </is>
      </c>
      <c r="G373" s="9" t="inlineStr">
        <is>
          <t>UAT-1</t>
        </is>
      </c>
      <c r="H373" s="9" t="inlineStr">
        <is>
          <t>UAT-1: 21/13.8 kV unit auxiliary transformer</t>
        </is>
      </c>
      <c r="I373" s="9" t="inlineStr">
        <is>
          <t>Control</t>
        </is>
      </c>
      <c r="J373" s="9" t="inlineStr">
        <is>
          <t>Control cable 600 V Type TC-ER, Cu #10 AWG (CT / VT circuits)</t>
        </is>
      </c>
      <c r="K373" s="9" t="inlineStr">
        <is>
          <t>CTCT|4/C|10</t>
        </is>
      </c>
      <c r="L373" s="9" t="inlineStr">
        <is>
          <t>4/C</t>
        </is>
      </c>
      <c r="M373" s="9" t="inlineStr">
        <is>
          <t>10</t>
        </is>
      </c>
      <c r="N373" s="9" t="n">
        <v>1</v>
      </c>
      <c r="O373" s="9" t="n">
        <v>1</v>
      </c>
      <c r="P373" s="9" t="n"/>
      <c r="Q373" s="9" t="n"/>
      <c r="R373" s="9" t="n"/>
      <c r="S373" s="9" t="inlineStr">
        <is>
          <t>Tray</t>
        </is>
      </c>
      <c r="T373" s="10" t="n">
        <v>1217</v>
      </c>
      <c r="U373" s="10" t="n">
        <v>78</v>
      </c>
      <c r="V373" s="10">
        <f>ROUNDUP((T373+U373+2*'Read Me'!$B$13)*(1+'Read Me'!$B$12),-1)</f>
        <v/>
      </c>
      <c r="W373" s="10">
        <f>V373*N373*O373</f>
        <v/>
      </c>
      <c r="X373" s="9">
        <f>IF(LEFT(I373,2)="MV",2*N373*IF(L373="1/C",O373,1),0)</f>
        <v/>
      </c>
      <c r="Y373" s="9">
        <f>IF(OR(LEFT(K373,4)="LVAX",LEFT(K373,6)="MV15AX",LEFT(K373,4)="CTAX",LEFT(K373,2)="W|"),2*N373*O373,0)</f>
        <v/>
      </c>
      <c r="Z373" s="9" t="inlineStr"/>
    </row>
    <row r="374">
      <c r="A374" s="9" t="inlineStr">
        <is>
          <t>A-C-0362</t>
        </is>
      </c>
      <c r="B374" s="9" t="inlineStr">
        <is>
          <t>A</t>
        </is>
      </c>
      <c r="C374" s="9" t="inlineStr">
        <is>
          <t>Power block</t>
        </is>
      </c>
      <c r="D374" s="9" t="inlineStr">
        <is>
          <t>Control</t>
        </is>
      </c>
      <c r="E374" s="9" t="inlineStr">
        <is>
          <t>R2C</t>
        </is>
      </c>
      <c r="F374" s="9" t="inlineStr">
        <is>
          <t>R2C: unit / HRSG electrical e-house (32 x 40 ft)</t>
        </is>
      </c>
      <c r="G374" s="9" t="inlineStr">
        <is>
          <t>UAT-2</t>
        </is>
      </c>
      <c r="H374" s="9" t="inlineStr">
        <is>
          <t>UAT-2: 21/13.8 kV unit auxiliary transformer</t>
        </is>
      </c>
      <c r="I374" s="9" t="inlineStr">
        <is>
          <t>Control</t>
        </is>
      </c>
      <c r="J374" s="9" t="inlineStr">
        <is>
          <t>Control cable 600 V Type TC-ER, Cu #14 AWG, PVC jacket</t>
        </is>
      </c>
      <c r="K374" s="9" t="inlineStr">
        <is>
          <t>CT|7/C|14</t>
        </is>
      </c>
      <c r="L374" s="9" t="inlineStr">
        <is>
          <t>7/C</t>
        </is>
      </c>
      <c r="M374" s="9" t="inlineStr">
        <is>
          <t>14</t>
        </is>
      </c>
      <c r="N374" s="9" t="n">
        <v>1</v>
      </c>
      <c r="O374" s="9" t="n">
        <v>1</v>
      </c>
      <c r="P374" s="9" t="n"/>
      <c r="Q374" s="9" t="n"/>
      <c r="R374" s="9" t="n"/>
      <c r="S374" s="9" t="inlineStr">
        <is>
          <t>Tray</t>
        </is>
      </c>
      <c r="T374" s="10" t="n">
        <v>1537</v>
      </c>
      <c r="U374" s="10" t="n">
        <v>78</v>
      </c>
      <c r="V374" s="10">
        <f>ROUNDUP((T374+U374+2*'Read Me'!$B$13)*(1+'Read Me'!$B$12),-1)</f>
        <v/>
      </c>
      <c r="W374" s="10">
        <f>V374*N374*O374</f>
        <v/>
      </c>
      <c r="X374" s="9">
        <f>IF(LEFT(I374,2)="MV",2*N374*IF(L374="1/C",O374,1),0)</f>
        <v/>
      </c>
      <c r="Y374" s="9">
        <f>IF(OR(LEFT(K374,4)="LVAX",LEFT(K374,6)="MV15AX",LEFT(K374,4)="CTAX",LEFT(K374,2)="W|"),2*N374*O374,0)</f>
        <v/>
      </c>
      <c r="Z374" s="9" t="inlineStr"/>
    </row>
    <row r="375">
      <c r="A375" s="9" t="inlineStr">
        <is>
          <t>A-C-0363</t>
        </is>
      </c>
      <c r="B375" s="9" t="inlineStr">
        <is>
          <t>A</t>
        </is>
      </c>
      <c r="C375" s="9" t="inlineStr">
        <is>
          <t>Power block</t>
        </is>
      </c>
      <c r="D375" s="9" t="inlineStr">
        <is>
          <t>Control</t>
        </is>
      </c>
      <c r="E375" s="9" t="inlineStr">
        <is>
          <t>R2C</t>
        </is>
      </c>
      <c r="F375" s="9" t="inlineStr">
        <is>
          <t>R2C: unit / HRSG electrical e-house (32 x 40 ft)</t>
        </is>
      </c>
      <c r="G375" s="9" t="inlineStr">
        <is>
          <t>UAT-2</t>
        </is>
      </c>
      <c r="H375" s="9" t="inlineStr">
        <is>
          <t>UAT-2: 21/13.8 kV unit auxiliary transformer</t>
        </is>
      </c>
      <c r="I375" s="9" t="inlineStr">
        <is>
          <t>Control</t>
        </is>
      </c>
      <c r="J375" s="9" t="inlineStr">
        <is>
          <t>Control cable 600 V Type TC-ER, Cu #14 AWG, PVC jacket</t>
        </is>
      </c>
      <c r="K375" s="9" t="inlineStr">
        <is>
          <t>CT|12/C|14</t>
        </is>
      </c>
      <c r="L375" s="9" t="inlineStr">
        <is>
          <t>12/C</t>
        </is>
      </c>
      <c r="M375" s="9" t="inlineStr">
        <is>
          <t>14</t>
        </is>
      </c>
      <c r="N375" s="9" t="n">
        <v>1</v>
      </c>
      <c r="O375" s="9" t="n">
        <v>1</v>
      </c>
      <c r="P375" s="9" t="n"/>
      <c r="Q375" s="9" t="n"/>
      <c r="R375" s="9" t="n"/>
      <c r="S375" s="9" t="inlineStr">
        <is>
          <t>Tray</t>
        </is>
      </c>
      <c r="T375" s="10" t="n">
        <v>1537</v>
      </c>
      <c r="U375" s="10" t="n">
        <v>78</v>
      </c>
      <c r="V375" s="10">
        <f>ROUNDUP((T375+U375+2*'Read Me'!$B$13)*(1+'Read Me'!$B$12),-1)</f>
        <v/>
      </c>
      <c r="W375" s="10">
        <f>V375*N375*O375</f>
        <v/>
      </c>
      <c r="X375" s="9">
        <f>IF(LEFT(I375,2)="MV",2*N375*IF(L375="1/C",O375,1),0)</f>
        <v/>
      </c>
      <c r="Y375" s="9">
        <f>IF(OR(LEFT(K375,4)="LVAX",LEFT(K375,6)="MV15AX",LEFT(K375,4)="CTAX",LEFT(K375,2)="W|"),2*N375*O375,0)</f>
        <v/>
      </c>
      <c r="Z375" s="9" t="inlineStr"/>
    </row>
    <row r="376">
      <c r="A376" s="9" t="inlineStr">
        <is>
          <t>A-C-0364</t>
        </is>
      </c>
      <c r="B376" s="9" t="inlineStr">
        <is>
          <t>A</t>
        </is>
      </c>
      <c r="C376" s="9" t="inlineStr">
        <is>
          <t>Power block</t>
        </is>
      </c>
      <c r="D376" s="9" t="inlineStr">
        <is>
          <t>CT / VT</t>
        </is>
      </c>
      <c r="E376" s="9" t="inlineStr">
        <is>
          <t>R2C</t>
        </is>
      </c>
      <c r="F376" s="9" t="inlineStr">
        <is>
          <t>R2C: unit / HRSG electrical e-house (32 x 40 ft)</t>
        </is>
      </c>
      <c r="G376" s="9" t="inlineStr">
        <is>
          <t>UAT-2</t>
        </is>
      </c>
      <c r="H376" s="9" t="inlineStr">
        <is>
          <t>UAT-2: 21/13.8 kV unit auxiliary transformer</t>
        </is>
      </c>
      <c r="I376" s="9" t="inlineStr">
        <is>
          <t>Control</t>
        </is>
      </c>
      <c r="J376" s="9" t="inlineStr">
        <is>
          <t>Control cable 600 V Type TC-ER, Cu #10 AWG (CT / VT circuits)</t>
        </is>
      </c>
      <c r="K376" s="9" t="inlineStr">
        <is>
          <t>CTCT|4/C|10</t>
        </is>
      </c>
      <c r="L376" s="9" t="inlineStr">
        <is>
          <t>4/C</t>
        </is>
      </c>
      <c r="M376" s="9" t="inlineStr">
        <is>
          <t>10</t>
        </is>
      </c>
      <c r="N376" s="9" t="n">
        <v>1</v>
      </c>
      <c r="O376" s="9" t="n">
        <v>1</v>
      </c>
      <c r="P376" s="9" t="n"/>
      <c r="Q376" s="9" t="n"/>
      <c r="R376" s="9" t="n"/>
      <c r="S376" s="9" t="inlineStr">
        <is>
          <t>Tray</t>
        </is>
      </c>
      <c r="T376" s="10" t="n">
        <v>1537</v>
      </c>
      <c r="U376" s="10" t="n">
        <v>78</v>
      </c>
      <c r="V376" s="10">
        <f>ROUNDUP((T376+U376+2*'Read Me'!$B$13)*(1+'Read Me'!$B$12),-1)</f>
        <v/>
      </c>
      <c r="W376" s="10">
        <f>V376*N376*O376</f>
        <v/>
      </c>
      <c r="X376" s="9">
        <f>IF(LEFT(I376,2)="MV",2*N376*IF(L376="1/C",O376,1),0)</f>
        <v/>
      </c>
      <c r="Y376" s="9">
        <f>IF(OR(LEFT(K376,4)="LVAX",LEFT(K376,6)="MV15AX",LEFT(K376,4)="CTAX",LEFT(K376,2)="W|"),2*N376*O376,0)</f>
        <v/>
      </c>
      <c r="Z376" s="9" t="inlineStr"/>
    </row>
    <row r="377">
      <c r="A377" s="9" t="inlineStr">
        <is>
          <t>A-C-0365</t>
        </is>
      </c>
      <c r="B377" s="9" t="inlineStr">
        <is>
          <t>A</t>
        </is>
      </c>
      <c r="C377" s="9" t="inlineStr">
        <is>
          <t>Power block</t>
        </is>
      </c>
      <c r="D377" s="9" t="inlineStr">
        <is>
          <t>CT / VT</t>
        </is>
      </c>
      <c r="E377" s="9" t="inlineStr">
        <is>
          <t>R2C</t>
        </is>
      </c>
      <c r="F377" s="9" t="inlineStr">
        <is>
          <t>R2C: unit / HRSG electrical e-house (32 x 40 ft)</t>
        </is>
      </c>
      <c r="G377" s="9" t="inlineStr">
        <is>
          <t>UAT-2</t>
        </is>
      </c>
      <c r="H377" s="9" t="inlineStr">
        <is>
          <t>UAT-2: 21/13.8 kV unit auxiliary transformer</t>
        </is>
      </c>
      <c r="I377" s="9" t="inlineStr">
        <is>
          <t>Control</t>
        </is>
      </c>
      <c r="J377" s="9" t="inlineStr">
        <is>
          <t>Control cable 600 V Type TC-ER, Cu #10 AWG (CT / VT circuits)</t>
        </is>
      </c>
      <c r="K377" s="9" t="inlineStr">
        <is>
          <t>CTCT|4/C|10</t>
        </is>
      </c>
      <c r="L377" s="9" t="inlineStr">
        <is>
          <t>4/C</t>
        </is>
      </c>
      <c r="M377" s="9" t="inlineStr">
        <is>
          <t>10</t>
        </is>
      </c>
      <c r="N377" s="9" t="n">
        <v>1</v>
      </c>
      <c r="O377" s="9" t="n">
        <v>1</v>
      </c>
      <c r="P377" s="9" t="n"/>
      <c r="Q377" s="9" t="n"/>
      <c r="R377" s="9" t="n"/>
      <c r="S377" s="9" t="inlineStr">
        <is>
          <t>Tray</t>
        </is>
      </c>
      <c r="T377" s="10" t="n">
        <v>1537</v>
      </c>
      <c r="U377" s="10" t="n">
        <v>78</v>
      </c>
      <c r="V377" s="10">
        <f>ROUNDUP((T377+U377+2*'Read Me'!$B$13)*(1+'Read Me'!$B$12),-1)</f>
        <v/>
      </c>
      <c r="W377" s="10">
        <f>V377*N377*O377</f>
        <v/>
      </c>
      <c r="X377" s="9">
        <f>IF(LEFT(I377,2)="MV",2*N377*IF(L377="1/C",O377,1),0)</f>
        <v/>
      </c>
      <c r="Y377" s="9">
        <f>IF(OR(LEFT(K377,4)="LVAX",LEFT(K377,6)="MV15AX",LEFT(K377,4)="CTAX",LEFT(K377,2)="W|"),2*N377*O377,0)</f>
        <v/>
      </c>
      <c r="Z377" s="9" t="inlineStr"/>
    </row>
    <row r="378">
      <c r="A378" s="9" t="inlineStr">
        <is>
          <t>A-C-0366</t>
        </is>
      </c>
      <c r="B378" s="9" t="inlineStr">
        <is>
          <t>A</t>
        </is>
      </c>
      <c r="C378" s="9" t="inlineStr">
        <is>
          <t>Power block</t>
        </is>
      </c>
      <c r="D378" s="9" t="inlineStr">
        <is>
          <t>Control</t>
        </is>
      </c>
      <c r="E378" s="9" t="inlineStr">
        <is>
          <t>R3</t>
        </is>
      </c>
      <c r="F378" s="9" t="inlineStr">
        <is>
          <t>R3: ST auxiliary electrical e-house (40 x 65 ft)</t>
        </is>
      </c>
      <c r="G378" s="9" t="inlineStr">
        <is>
          <t>UAT-3</t>
        </is>
      </c>
      <c r="H378" s="9" t="inlineStr">
        <is>
          <t>UAT-3: 21/13.8 kV unit auxiliary transformer</t>
        </is>
      </c>
      <c r="I378" s="9" t="inlineStr">
        <is>
          <t>Control</t>
        </is>
      </c>
      <c r="J378" s="9" t="inlineStr">
        <is>
          <t>Control cable 600 V Type TC-ER, Cu #14 AWG, PVC jacket</t>
        </is>
      </c>
      <c r="K378" s="9" t="inlineStr">
        <is>
          <t>CT|7/C|14</t>
        </is>
      </c>
      <c r="L378" s="9" t="inlineStr">
        <is>
          <t>7/C</t>
        </is>
      </c>
      <c r="M378" s="9" t="inlineStr">
        <is>
          <t>14</t>
        </is>
      </c>
      <c r="N378" s="9" t="n">
        <v>1</v>
      </c>
      <c r="O378" s="9" t="n">
        <v>1</v>
      </c>
      <c r="P378" s="9" t="n"/>
      <c r="Q378" s="9" t="n"/>
      <c r="R378" s="9" t="n"/>
      <c r="S378" s="9" t="inlineStr">
        <is>
          <t>Tray</t>
        </is>
      </c>
      <c r="T378" s="10" t="n">
        <v>667</v>
      </c>
      <c r="U378" s="10" t="n">
        <v>131</v>
      </c>
      <c r="V378" s="10">
        <f>ROUNDUP((T378+U378+2*'Read Me'!$B$13)*(1+'Read Me'!$B$12),-1)</f>
        <v/>
      </c>
      <c r="W378" s="10">
        <f>V378*N378*O378</f>
        <v/>
      </c>
      <c r="X378" s="9">
        <f>IF(LEFT(I378,2)="MV",2*N378*IF(L378="1/C",O378,1),0)</f>
        <v/>
      </c>
      <c r="Y378" s="9">
        <f>IF(OR(LEFT(K378,4)="LVAX",LEFT(K378,6)="MV15AX",LEFT(K378,4)="CTAX",LEFT(K378,2)="W|"),2*N378*O378,0)</f>
        <v/>
      </c>
      <c r="Z378" s="9" t="inlineStr"/>
    </row>
    <row r="379">
      <c r="A379" s="9" t="inlineStr">
        <is>
          <t>A-C-0367</t>
        </is>
      </c>
      <c r="B379" s="9" t="inlineStr">
        <is>
          <t>A</t>
        </is>
      </c>
      <c r="C379" s="9" t="inlineStr">
        <is>
          <t>Power block</t>
        </is>
      </c>
      <c r="D379" s="9" t="inlineStr">
        <is>
          <t>Control</t>
        </is>
      </c>
      <c r="E379" s="9" t="inlineStr">
        <is>
          <t>R3</t>
        </is>
      </c>
      <c r="F379" s="9" t="inlineStr">
        <is>
          <t>R3: ST auxiliary electrical e-house (40 x 65 ft)</t>
        </is>
      </c>
      <c r="G379" s="9" t="inlineStr">
        <is>
          <t>UAT-3</t>
        </is>
      </c>
      <c r="H379" s="9" t="inlineStr">
        <is>
          <t>UAT-3: 21/13.8 kV unit auxiliary transformer</t>
        </is>
      </c>
      <c r="I379" s="9" t="inlineStr">
        <is>
          <t>Control</t>
        </is>
      </c>
      <c r="J379" s="9" t="inlineStr">
        <is>
          <t>Control cable 600 V Type TC-ER, Cu #14 AWG, PVC jacket</t>
        </is>
      </c>
      <c r="K379" s="9" t="inlineStr">
        <is>
          <t>CT|12/C|14</t>
        </is>
      </c>
      <c r="L379" s="9" t="inlineStr">
        <is>
          <t>12/C</t>
        </is>
      </c>
      <c r="M379" s="9" t="inlineStr">
        <is>
          <t>14</t>
        </is>
      </c>
      <c r="N379" s="9" t="n">
        <v>1</v>
      </c>
      <c r="O379" s="9" t="n">
        <v>1</v>
      </c>
      <c r="P379" s="9" t="n"/>
      <c r="Q379" s="9" t="n"/>
      <c r="R379" s="9" t="n"/>
      <c r="S379" s="9" t="inlineStr">
        <is>
          <t>Tray</t>
        </is>
      </c>
      <c r="T379" s="10" t="n">
        <v>667</v>
      </c>
      <c r="U379" s="10" t="n">
        <v>131</v>
      </c>
      <c r="V379" s="10">
        <f>ROUNDUP((T379+U379+2*'Read Me'!$B$13)*(1+'Read Me'!$B$12),-1)</f>
        <v/>
      </c>
      <c r="W379" s="10">
        <f>V379*N379*O379</f>
        <v/>
      </c>
      <c r="X379" s="9">
        <f>IF(LEFT(I379,2)="MV",2*N379*IF(L379="1/C",O379,1),0)</f>
        <v/>
      </c>
      <c r="Y379" s="9">
        <f>IF(OR(LEFT(K379,4)="LVAX",LEFT(K379,6)="MV15AX",LEFT(K379,4)="CTAX",LEFT(K379,2)="W|"),2*N379*O379,0)</f>
        <v/>
      </c>
      <c r="Z379" s="9" t="inlineStr"/>
    </row>
    <row r="380">
      <c r="A380" s="9" t="inlineStr">
        <is>
          <t>A-C-0368</t>
        </is>
      </c>
      <c r="B380" s="9" t="inlineStr">
        <is>
          <t>A</t>
        </is>
      </c>
      <c r="C380" s="9" t="inlineStr">
        <is>
          <t>Power block</t>
        </is>
      </c>
      <c r="D380" s="9" t="inlineStr">
        <is>
          <t>CT / VT</t>
        </is>
      </c>
      <c r="E380" s="9" t="inlineStr">
        <is>
          <t>R3</t>
        </is>
      </c>
      <c r="F380" s="9" t="inlineStr">
        <is>
          <t>R3: ST auxiliary electrical e-house (40 x 65 ft)</t>
        </is>
      </c>
      <c r="G380" s="9" t="inlineStr">
        <is>
          <t>UAT-3</t>
        </is>
      </c>
      <c r="H380" s="9" t="inlineStr">
        <is>
          <t>UAT-3: 21/13.8 kV unit auxiliary transformer</t>
        </is>
      </c>
      <c r="I380" s="9" t="inlineStr">
        <is>
          <t>Control</t>
        </is>
      </c>
      <c r="J380" s="9" t="inlineStr">
        <is>
          <t>Control cable 600 V Type TC-ER, Cu #10 AWG (CT / VT circuits)</t>
        </is>
      </c>
      <c r="K380" s="9" t="inlineStr">
        <is>
          <t>CTCT|4/C|10</t>
        </is>
      </c>
      <c r="L380" s="9" t="inlineStr">
        <is>
          <t>4/C</t>
        </is>
      </c>
      <c r="M380" s="9" t="inlineStr">
        <is>
          <t>10</t>
        </is>
      </c>
      <c r="N380" s="9" t="n">
        <v>1</v>
      </c>
      <c r="O380" s="9" t="n">
        <v>1</v>
      </c>
      <c r="P380" s="9" t="n"/>
      <c r="Q380" s="9" t="n"/>
      <c r="R380" s="9" t="n"/>
      <c r="S380" s="9" t="inlineStr">
        <is>
          <t>Tray</t>
        </is>
      </c>
      <c r="T380" s="10" t="n">
        <v>667</v>
      </c>
      <c r="U380" s="10" t="n">
        <v>131</v>
      </c>
      <c r="V380" s="10">
        <f>ROUNDUP((T380+U380+2*'Read Me'!$B$13)*(1+'Read Me'!$B$12),-1)</f>
        <v/>
      </c>
      <c r="W380" s="10">
        <f>V380*N380*O380</f>
        <v/>
      </c>
      <c r="X380" s="9">
        <f>IF(LEFT(I380,2)="MV",2*N380*IF(L380="1/C",O380,1),0)</f>
        <v/>
      </c>
      <c r="Y380" s="9">
        <f>IF(OR(LEFT(K380,4)="LVAX",LEFT(K380,6)="MV15AX",LEFT(K380,4)="CTAX",LEFT(K380,2)="W|"),2*N380*O380,0)</f>
        <v/>
      </c>
      <c r="Z380" s="9" t="inlineStr"/>
    </row>
    <row r="381">
      <c r="A381" s="9" t="inlineStr">
        <is>
          <t>A-C-0369</t>
        </is>
      </c>
      <c r="B381" s="9" t="inlineStr">
        <is>
          <t>A</t>
        </is>
      </c>
      <c r="C381" s="9" t="inlineStr">
        <is>
          <t>Power block</t>
        </is>
      </c>
      <c r="D381" s="9" t="inlineStr">
        <is>
          <t>CT / VT</t>
        </is>
      </c>
      <c r="E381" s="9" t="inlineStr">
        <is>
          <t>R3</t>
        </is>
      </c>
      <c r="F381" s="9" t="inlineStr">
        <is>
          <t>R3: ST auxiliary electrical e-house (40 x 65 ft)</t>
        </is>
      </c>
      <c r="G381" s="9" t="inlineStr">
        <is>
          <t>UAT-3</t>
        </is>
      </c>
      <c r="H381" s="9" t="inlineStr">
        <is>
          <t>UAT-3: 21/13.8 kV unit auxiliary transformer</t>
        </is>
      </c>
      <c r="I381" s="9" t="inlineStr">
        <is>
          <t>Control</t>
        </is>
      </c>
      <c r="J381" s="9" t="inlineStr">
        <is>
          <t>Control cable 600 V Type TC-ER, Cu #10 AWG (CT / VT circuits)</t>
        </is>
      </c>
      <c r="K381" s="9" t="inlineStr">
        <is>
          <t>CTCT|4/C|10</t>
        </is>
      </c>
      <c r="L381" s="9" t="inlineStr">
        <is>
          <t>4/C</t>
        </is>
      </c>
      <c r="M381" s="9" t="inlineStr">
        <is>
          <t>10</t>
        </is>
      </c>
      <c r="N381" s="9" t="n">
        <v>1</v>
      </c>
      <c r="O381" s="9" t="n">
        <v>1</v>
      </c>
      <c r="P381" s="9" t="n"/>
      <c r="Q381" s="9" t="n"/>
      <c r="R381" s="9" t="n"/>
      <c r="S381" s="9" t="inlineStr">
        <is>
          <t>Tray</t>
        </is>
      </c>
      <c r="T381" s="10" t="n">
        <v>667</v>
      </c>
      <c r="U381" s="10" t="n">
        <v>131</v>
      </c>
      <c r="V381" s="10">
        <f>ROUNDUP((T381+U381+2*'Read Me'!$B$13)*(1+'Read Me'!$B$12),-1)</f>
        <v/>
      </c>
      <c r="W381" s="10">
        <f>V381*N381*O381</f>
        <v/>
      </c>
      <c r="X381" s="9">
        <f>IF(LEFT(I381,2)="MV",2*N381*IF(L381="1/C",O381,1),0)</f>
        <v/>
      </c>
      <c r="Y381" s="9">
        <f>IF(OR(LEFT(K381,4)="LVAX",LEFT(K381,6)="MV15AX",LEFT(K381,4)="CTAX",LEFT(K381,2)="W|"),2*N381*O381,0)</f>
        <v/>
      </c>
      <c r="Z381" s="9" t="inlineStr"/>
    </row>
    <row r="382">
      <c r="A382" s="9" t="inlineStr">
        <is>
          <t>A-C-0370</t>
        </is>
      </c>
      <c r="B382" s="9" t="inlineStr">
        <is>
          <t>A</t>
        </is>
      </c>
      <c r="C382" s="9" t="inlineStr">
        <is>
          <t>Power block</t>
        </is>
      </c>
      <c r="D382" s="9" t="inlineStr">
        <is>
          <t>Control</t>
        </is>
      </c>
      <c r="E382" s="9" t="inlineStr">
        <is>
          <t>R2A</t>
        </is>
      </c>
      <c r="F382" s="9" t="inlineStr">
        <is>
          <t>R2A: unit / HRSG electrical e-house (32 x 40 ft)</t>
        </is>
      </c>
      <c r="G382" s="9" t="inlineStr">
        <is>
          <t>WASH-GT1</t>
        </is>
      </c>
      <c r="H382" s="9" t="inlineStr">
        <is>
          <t>WASH-GT1: compressor water-wash skid</t>
        </is>
      </c>
      <c r="I382" s="9" t="inlineStr">
        <is>
          <t>Control</t>
        </is>
      </c>
      <c r="J382" s="9" t="inlineStr">
        <is>
          <t>ARMOR-X MC-HL 600 V control, Cu #14 AWG (Class I Div 2)</t>
        </is>
      </c>
      <c r="K382" s="9" t="inlineStr">
        <is>
          <t>CTAX|7/C|14</t>
        </is>
      </c>
      <c r="L382" s="9" t="inlineStr">
        <is>
          <t>7/C</t>
        </is>
      </c>
      <c r="M382" s="9" t="inlineStr">
        <is>
          <t>14</t>
        </is>
      </c>
      <c r="N382" s="9" t="n">
        <v>1</v>
      </c>
      <c r="O382" s="9" t="n">
        <v>1</v>
      </c>
      <c r="P382" s="9" t="n"/>
      <c r="Q382" s="9" t="n"/>
      <c r="R382" s="9" t="n"/>
      <c r="S382" s="9" t="inlineStr">
        <is>
          <t>Tray</t>
        </is>
      </c>
      <c r="T382" s="10" t="n">
        <v>183</v>
      </c>
      <c r="U382" s="10" t="n">
        <v>94</v>
      </c>
      <c r="V382" s="10">
        <f>ROUNDUP((T382+U382+2*'Read Me'!$B$13)*(1+'Read Me'!$B$12),-1)</f>
        <v/>
      </c>
      <c r="W382" s="10">
        <f>V382*N382*O382</f>
        <v/>
      </c>
      <c r="X382" s="9">
        <f>IF(LEFT(I382,2)="MV",2*N382*IF(L382="1/C",O382,1),0)</f>
        <v/>
      </c>
      <c r="Y382" s="9">
        <f>IF(OR(LEFT(K382,4)="LVAX",LEFT(K382,6)="MV15AX",LEFT(K382,4)="CTAX",LEFT(K382,2)="W|"),2*N382*O382,0)</f>
        <v/>
      </c>
      <c r="Z382" s="9" t="inlineStr"/>
    </row>
    <row r="383">
      <c r="A383" s="9" t="inlineStr">
        <is>
          <t>A-C-0371</t>
        </is>
      </c>
      <c r="B383" s="9" t="inlineStr">
        <is>
          <t>A</t>
        </is>
      </c>
      <c r="C383" s="9" t="inlineStr">
        <is>
          <t>Power block</t>
        </is>
      </c>
      <c r="D383" s="9" t="inlineStr">
        <is>
          <t>Control</t>
        </is>
      </c>
      <c r="E383" s="9" t="inlineStr">
        <is>
          <t>R2A</t>
        </is>
      </c>
      <c r="F383" s="9" t="inlineStr">
        <is>
          <t>R2A: unit / HRSG electrical e-house (32 x 40 ft)</t>
        </is>
      </c>
      <c r="G383" s="9" t="inlineStr">
        <is>
          <t>WASH-GT1</t>
        </is>
      </c>
      <c r="H383" s="9" t="inlineStr">
        <is>
          <t>WASH-GT1: compressor water-wash skid</t>
        </is>
      </c>
      <c r="I383" s="9" t="inlineStr">
        <is>
          <t>Control</t>
        </is>
      </c>
      <c r="J383" s="9" t="inlineStr">
        <is>
          <t>ARMOR-X MC-HL 600 V control, Cu #14 AWG (Class I Div 2)</t>
        </is>
      </c>
      <c r="K383" s="9" t="inlineStr">
        <is>
          <t>CTAX|7/C|14</t>
        </is>
      </c>
      <c r="L383" s="9" t="inlineStr">
        <is>
          <t>7/C</t>
        </is>
      </c>
      <c r="M383" s="9" t="inlineStr">
        <is>
          <t>14</t>
        </is>
      </c>
      <c r="N383" s="9" t="n">
        <v>1</v>
      </c>
      <c r="O383" s="9" t="n">
        <v>1</v>
      </c>
      <c r="P383" s="9" t="n"/>
      <c r="Q383" s="9" t="n"/>
      <c r="R383" s="9" t="n"/>
      <c r="S383" s="9" t="inlineStr">
        <is>
          <t>Tray</t>
        </is>
      </c>
      <c r="T383" s="10" t="n">
        <v>183</v>
      </c>
      <c r="U383" s="10" t="n">
        <v>94</v>
      </c>
      <c r="V383" s="10">
        <f>ROUNDUP((T383+U383+2*'Read Me'!$B$13)*(1+'Read Me'!$B$12),-1)</f>
        <v/>
      </c>
      <c r="W383" s="10">
        <f>V383*N383*O383</f>
        <v/>
      </c>
      <c r="X383" s="9">
        <f>IF(LEFT(I383,2)="MV",2*N383*IF(L383="1/C",O383,1),0)</f>
        <v/>
      </c>
      <c r="Y383" s="9">
        <f>IF(OR(LEFT(K383,4)="LVAX",LEFT(K383,6)="MV15AX",LEFT(K383,4)="CTAX",LEFT(K383,2)="W|"),2*N383*O383,0)</f>
        <v/>
      </c>
      <c r="Z383" s="9" t="inlineStr"/>
    </row>
    <row r="384">
      <c r="A384" s="9" t="inlineStr">
        <is>
          <t>A-C-0372</t>
        </is>
      </c>
      <c r="B384" s="9" t="inlineStr">
        <is>
          <t>A</t>
        </is>
      </c>
      <c r="C384" s="9" t="inlineStr">
        <is>
          <t>Power block</t>
        </is>
      </c>
      <c r="D384" s="9" t="inlineStr">
        <is>
          <t>Control</t>
        </is>
      </c>
      <c r="E384" s="9" t="inlineStr">
        <is>
          <t>R2A</t>
        </is>
      </c>
      <c r="F384" s="9" t="inlineStr">
        <is>
          <t>R2A: unit / HRSG electrical e-house (32 x 40 ft)</t>
        </is>
      </c>
      <c r="G384" s="9" t="inlineStr">
        <is>
          <t>WASH-GT1</t>
        </is>
      </c>
      <c r="H384" s="9" t="inlineStr">
        <is>
          <t>WASH-GT1: compressor water-wash skid</t>
        </is>
      </c>
      <c r="I384" s="9" t="inlineStr">
        <is>
          <t>Control</t>
        </is>
      </c>
      <c r="J384" s="9" t="inlineStr">
        <is>
          <t>ARMOR-X MC-HL 600 V control, Cu #14 AWG (Class I Div 2)</t>
        </is>
      </c>
      <c r="K384" s="9" t="inlineStr">
        <is>
          <t>CTAX|12/C|14</t>
        </is>
      </c>
      <c r="L384" s="9" t="inlineStr">
        <is>
          <t>12/C</t>
        </is>
      </c>
      <c r="M384" s="9" t="inlineStr">
        <is>
          <t>14</t>
        </is>
      </c>
      <c r="N384" s="9" t="n">
        <v>1</v>
      </c>
      <c r="O384" s="9" t="n">
        <v>1</v>
      </c>
      <c r="P384" s="9" t="n"/>
      <c r="Q384" s="9" t="n"/>
      <c r="R384" s="9" t="n"/>
      <c r="S384" s="9" t="inlineStr">
        <is>
          <t>Tray</t>
        </is>
      </c>
      <c r="T384" s="10" t="n">
        <v>183</v>
      </c>
      <c r="U384" s="10" t="n">
        <v>94</v>
      </c>
      <c r="V384" s="10">
        <f>ROUNDUP((T384+U384+2*'Read Me'!$B$13)*(1+'Read Me'!$B$12),-1)</f>
        <v/>
      </c>
      <c r="W384" s="10">
        <f>V384*N384*O384</f>
        <v/>
      </c>
      <c r="X384" s="9">
        <f>IF(LEFT(I384,2)="MV",2*N384*IF(L384="1/C",O384,1),0)</f>
        <v/>
      </c>
      <c r="Y384" s="9">
        <f>IF(OR(LEFT(K384,4)="LVAX",LEFT(K384,6)="MV15AX",LEFT(K384,4)="CTAX",LEFT(K384,2)="W|"),2*N384*O384,0)</f>
        <v/>
      </c>
      <c r="Z384" s="9" t="inlineStr"/>
    </row>
    <row r="385">
      <c r="A385" s="9" t="inlineStr">
        <is>
          <t>A-C-0373</t>
        </is>
      </c>
      <c r="B385" s="9" t="inlineStr">
        <is>
          <t>A</t>
        </is>
      </c>
      <c r="C385" s="9" t="inlineStr">
        <is>
          <t>Power block</t>
        </is>
      </c>
      <c r="D385" s="9" t="inlineStr">
        <is>
          <t>Control</t>
        </is>
      </c>
      <c r="E385" s="9" t="inlineStr">
        <is>
          <t>R2A</t>
        </is>
      </c>
      <c r="F385" s="9" t="inlineStr">
        <is>
          <t>R2A: unit / HRSG electrical e-house (32 x 40 ft)</t>
        </is>
      </c>
      <c r="G385" s="9" t="inlineStr">
        <is>
          <t>WASH-GT1</t>
        </is>
      </c>
      <c r="H385" s="9" t="inlineStr">
        <is>
          <t>WASH-GT1: compressor water-wash skid</t>
        </is>
      </c>
      <c r="I385" s="9" t="inlineStr">
        <is>
          <t>Control</t>
        </is>
      </c>
      <c r="J385" s="9" t="inlineStr">
        <is>
          <t>ARMOR-X MC-HL 600 V control, Cu #14 AWG (Class I Div 2)</t>
        </is>
      </c>
      <c r="K385" s="9" t="inlineStr">
        <is>
          <t>CTAX|12/C|14</t>
        </is>
      </c>
      <c r="L385" s="9" t="inlineStr">
        <is>
          <t>12/C</t>
        </is>
      </c>
      <c r="M385" s="9" t="inlineStr">
        <is>
          <t>14</t>
        </is>
      </c>
      <c r="N385" s="9" t="n">
        <v>1</v>
      </c>
      <c r="O385" s="9" t="n">
        <v>1</v>
      </c>
      <c r="P385" s="9" t="n"/>
      <c r="Q385" s="9" t="n"/>
      <c r="R385" s="9" t="n"/>
      <c r="S385" s="9" t="inlineStr">
        <is>
          <t>Tray</t>
        </is>
      </c>
      <c r="T385" s="10" t="n">
        <v>183</v>
      </c>
      <c r="U385" s="10" t="n">
        <v>94</v>
      </c>
      <c r="V385" s="10">
        <f>ROUNDUP((T385+U385+2*'Read Me'!$B$13)*(1+'Read Me'!$B$12),-1)</f>
        <v/>
      </c>
      <c r="W385" s="10">
        <f>V385*N385*O385</f>
        <v/>
      </c>
      <c r="X385" s="9">
        <f>IF(LEFT(I385,2)="MV",2*N385*IF(L385="1/C",O385,1),0)</f>
        <v/>
      </c>
      <c r="Y385" s="9">
        <f>IF(OR(LEFT(K385,4)="LVAX",LEFT(K385,6)="MV15AX",LEFT(K385,4)="CTAX",LEFT(K385,2)="W|"),2*N385*O385,0)</f>
        <v/>
      </c>
      <c r="Z385" s="9" t="inlineStr"/>
    </row>
    <row r="386">
      <c r="A386" s="9" t="inlineStr">
        <is>
          <t>A-C-0374</t>
        </is>
      </c>
      <c r="B386" s="9" t="inlineStr">
        <is>
          <t>A</t>
        </is>
      </c>
      <c r="C386" s="9" t="inlineStr">
        <is>
          <t>Power block</t>
        </is>
      </c>
      <c r="D386" s="9" t="inlineStr">
        <is>
          <t>Control</t>
        </is>
      </c>
      <c r="E386" s="9" t="inlineStr">
        <is>
          <t>R2A</t>
        </is>
      </c>
      <c r="F386" s="9" t="inlineStr">
        <is>
          <t>R2A: unit / HRSG electrical e-house (32 x 40 ft)</t>
        </is>
      </c>
      <c r="G386" s="9" t="inlineStr">
        <is>
          <t>WASH-GT1</t>
        </is>
      </c>
      <c r="H386" s="9" t="inlineStr">
        <is>
          <t>WASH-GT1: compressor water-wash skid</t>
        </is>
      </c>
      <c r="I386" s="9" t="inlineStr">
        <is>
          <t>Control</t>
        </is>
      </c>
      <c r="J386" s="9" t="inlineStr">
        <is>
          <t>ARMOR-X MC-HL 600 V control, Cu #14 AWG (Class I Div 2)</t>
        </is>
      </c>
      <c r="K386" s="9" t="inlineStr">
        <is>
          <t>CTAX|12/C|14</t>
        </is>
      </c>
      <c r="L386" s="9" t="inlineStr">
        <is>
          <t>12/C</t>
        </is>
      </c>
      <c r="M386" s="9" t="inlineStr">
        <is>
          <t>14</t>
        </is>
      </c>
      <c r="N386" s="9" t="n">
        <v>1</v>
      </c>
      <c r="O386" s="9" t="n">
        <v>1</v>
      </c>
      <c r="P386" s="9" t="n"/>
      <c r="Q386" s="9" t="n"/>
      <c r="R386" s="9" t="n"/>
      <c r="S386" s="9" t="inlineStr">
        <is>
          <t>Tray</t>
        </is>
      </c>
      <c r="T386" s="10" t="n">
        <v>183</v>
      </c>
      <c r="U386" s="10" t="n">
        <v>94</v>
      </c>
      <c r="V386" s="10">
        <f>ROUNDUP((T386+U386+2*'Read Me'!$B$13)*(1+'Read Me'!$B$12),-1)</f>
        <v/>
      </c>
      <c r="W386" s="10">
        <f>V386*N386*O386</f>
        <v/>
      </c>
      <c r="X386" s="9">
        <f>IF(LEFT(I386,2)="MV",2*N386*IF(L386="1/C",O386,1),0)</f>
        <v/>
      </c>
      <c r="Y386" s="9">
        <f>IF(OR(LEFT(K386,4)="LVAX",LEFT(K386,6)="MV15AX",LEFT(K386,4)="CTAX",LEFT(K386,2)="W|"),2*N386*O386,0)</f>
        <v/>
      </c>
      <c r="Z386" s="9" t="inlineStr"/>
    </row>
    <row r="387">
      <c r="A387" s="9" t="inlineStr">
        <is>
          <t>A-C-0375</t>
        </is>
      </c>
      <c r="B387" s="9" t="inlineStr">
        <is>
          <t>A</t>
        </is>
      </c>
      <c r="C387" s="9" t="inlineStr">
        <is>
          <t>Power block</t>
        </is>
      </c>
      <c r="D387" s="9" t="inlineStr">
        <is>
          <t>Control</t>
        </is>
      </c>
      <c r="E387" s="9" t="inlineStr">
        <is>
          <t>R2A</t>
        </is>
      </c>
      <c r="F387" s="9" t="inlineStr">
        <is>
          <t>R2A: unit / HRSG electrical e-house (32 x 40 ft)</t>
        </is>
      </c>
      <c r="G387" s="9" t="inlineStr">
        <is>
          <t>WASH-GT1</t>
        </is>
      </c>
      <c r="H387" s="9" t="inlineStr">
        <is>
          <t>WASH-GT1: compressor water-wash skid</t>
        </is>
      </c>
      <c r="I387" s="9" t="inlineStr">
        <is>
          <t>Control</t>
        </is>
      </c>
      <c r="J387" s="9" t="inlineStr">
        <is>
          <t>ARMOR-X MC-HL 600 V control, Cu #14 AWG (Class I Div 2)</t>
        </is>
      </c>
      <c r="K387" s="9" t="inlineStr">
        <is>
          <t>CTAX|12/C|14</t>
        </is>
      </c>
      <c r="L387" s="9" t="inlineStr">
        <is>
          <t>12/C</t>
        </is>
      </c>
      <c r="M387" s="9" t="inlineStr">
        <is>
          <t>14</t>
        </is>
      </c>
      <c r="N387" s="9" t="n">
        <v>1</v>
      </c>
      <c r="O387" s="9" t="n">
        <v>1</v>
      </c>
      <c r="P387" s="9" t="n"/>
      <c r="Q387" s="9" t="n"/>
      <c r="R387" s="9" t="n"/>
      <c r="S387" s="9" t="inlineStr">
        <is>
          <t>Tray</t>
        </is>
      </c>
      <c r="T387" s="10" t="n">
        <v>183</v>
      </c>
      <c r="U387" s="10" t="n">
        <v>94</v>
      </c>
      <c r="V387" s="10">
        <f>ROUNDUP((T387+U387+2*'Read Me'!$B$13)*(1+'Read Me'!$B$12),-1)</f>
        <v/>
      </c>
      <c r="W387" s="10">
        <f>V387*N387*O387</f>
        <v/>
      </c>
      <c r="X387" s="9">
        <f>IF(LEFT(I387,2)="MV",2*N387*IF(L387="1/C",O387,1),0)</f>
        <v/>
      </c>
      <c r="Y387" s="9">
        <f>IF(OR(LEFT(K387,4)="LVAX",LEFT(K387,6)="MV15AX",LEFT(K387,4)="CTAX",LEFT(K387,2)="W|"),2*N387*O387,0)</f>
        <v/>
      </c>
      <c r="Z387" s="9" t="inlineStr"/>
    </row>
    <row r="388">
      <c r="A388" s="9" t="inlineStr">
        <is>
          <t>A-C-0376</t>
        </is>
      </c>
      <c r="B388" s="9" t="inlineStr">
        <is>
          <t>A</t>
        </is>
      </c>
      <c r="C388" s="9" t="inlineStr">
        <is>
          <t>Power block</t>
        </is>
      </c>
      <c r="D388" s="9" t="inlineStr">
        <is>
          <t>Control</t>
        </is>
      </c>
      <c r="E388" s="9" t="inlineStr">
        <is>
          <t>R2A</t>
        </is>
      </c>
      <c r="F388" s="9" t="inlineStr">
        <is>
          <t>R2A: unit / HRSG electrical e-house (32 x 40 ft)</t>
        </is>
      </c>
      <c r="G388" s="9" t="inlineStr">
        <is>
          <t>WASH-GT1</t>
        </is>
      </c>
      <c r="H388" s="9" t="inlineStr">
        <is>
          <t>WASH-GT1: compressor water-wash skid</t>
        </is>
      </c>
      <c r="I388" s="9" t="inlineStr">
        <is>
          <t>Control</t>
        </is>
      </c>
      <c r="J388" s="9" t="inlineStr">
        <is>
          <t>ARMOR-X MC-HL 600 V control, Cu #14 AWG (Class I Div 2)</t>
        </is>
      </c>
      <c r="K388" s="9" t="inlineStr">
        <is>
          <t>CTAX|12/C|14</t>
        </is>
      </c>
      <c r="L388" s="9" t="inlineStr">
        <is>
          <t>12/C</t>
        </is>
      </c>
      <c r="M388" s="9" t="inlineStr">
        <is>
          <t>14</t>
        </is>
      </c>
      <c r="N388" s="9" t="n">
        <v>1</v>
      </c>
      <c r="O388" s="9" t="n">
        <v>1</v>
      </c>
      <c r="P388" s="9" t="n"/>
      <c r="Q388" s="9" t="n"/>
      <c r="R388" s="9" t="n"/>
      <c r="S388" s="9" t="inlineStr">
        <is>
          <t>Tray</t>
        </is>
      </c>
      <c r="T388" s="10" t="n">
        <v>183</v>
      </c>
      <c r="U388" s="10" t="n">
        <v>94</v>
      </c>
      <c r="V388" s="10">
        <f>ROUNDUP((T388+U388+2*'Read Me'!$B$13)*(1+'Read Me'!$B$12),-1)</f>
        <v/>
      </c>
      <c r="W388" s="10">
        <f>V388*N388*O388</f>
        <v/>
      </c>
      <c r="X388" s="9">
        <f>IF(LEFT(I388,2)="MV",2*N388*IF(L388="1/C",O388,1),0)</f>
        <v/>
      </c>
      <c r="Y388" s="9">
        <f>IF(OR(LEFT(K388,4)="LVAX",LEFT(K388,6)="MV15AX",LEFT(K388,4)="CTAX",LEFT(K388,2)="W|"),2*N388*O388,0)</f>
        <v/>
      </c>
      <c r="Z388" s="9" t="inlineStr"/>
    </row>
    <row r="389">
      <c r="A389" s="9" t="inlineStr">
        <is>
          <t>A-C-0377</t>
        </is>
      </c>
      <c r="B389" s="9" t="inlineStr">
        <is>
          <t>A</t>
        </is>
      </c>
      <c r="C389" s="9" t="inlineStr">
        <is>
          <t>Power block</t>
        </is>
      </c>
      <c r="D389" s="9" t="inlineStr">
        <is>
          <t>Control</t>
        </is>
      </c>
      <c r="E389" s="9" t="inlineStr">
        <is>
          <t>R2A</t>
        </is>
      </c>
      <c r="F389" s="9" t="inlineStr">
        <is>
          <t>R2A: unit / HRSG electrical e-house (32 x 40 ft)</t>
        </is>
      </c>
      <c r="G389" s="9" t="inlineStr">
        <is>
          <t>WASH-GT1</t>
        </is>
      </c>
      <c r="H389" s="9" t="inlineStr">
        <is>
          <t>WASH-GT1: compressor water-wash skid</t>
        </is>
      </c>
      <c r="I389" s="9" t="inlineStr">
        <is>
          <t>Control</t>
        </is>
      </c>
      <c r="J389" s="9" t="inlineStr">
        <is>
          <t>ARMOR-X MC-HL 600 V control, Cu #14 AWG (Class I Div 2)</t>
        </is>
      </c>
      <c r="K389" s="9" t="inlineStr">
        <is>
          <t>CTAX|12/C|14</t>
        </is>
      </c>
      <c r="L389" s="9" t="inlineStr">
        <is>
          <t>12/C</t>
        </is>
      </c>
      <c r="M389" s="9" t="inlineStr">
        <is>
          <t>14</t>
        </is>
      </c>
      <c r="N389" s="9" t="n">
        <v>1</v>
      </c>
      <c r="O389" s="9" t="n">
        <v>1</v>
      </c>
      <c r="P389" s="9" t="n"/>
      <c r="Q389" s="9" t="n"/>
      <c r="R389" s="9" t="n"/>
      <c r="S389" s="9" t="inlineStr">
        <is>
          <t>Tray</t>
        </is>
      </c>
      <c r="T389" s="10" t="n">
        <v>183</v>
      </c>
      <c r="U389" s="10" t="n">
        <v>94</v>
      </c>
      <c r="V389" s="10">
        <f>ROUNDUP((T389+U389+2*'Read Me'!$B$13)*(1+'Read Me'!$B$12),-1)</f>
        <v/>
      </c>
      <c r="W389" s="10">
        <f>V389*N389*O389</f>
        <v/>
      </c>
      <c r="X389" s="9">
        <f>IF(LEFT(I389,2)="MV",2*N389*IF(L389="1/C",O389,1),0)</f>
        <v/>
      </c>
      <c r="Y389" s="9">
        <f>IF(OR(LEFT(K389,4)="LVAX",LEFT(K389,6)="MV15AX",LEFT(K389,4)="CTAX",LEFT(K389,2)="W|"),2*N389*O389,0)</f>
        <v/>
      </c>
      <c r="Z389" s="9" t="inlineStr"/>
    </row>
    <row r="390">
      <c r="A390" s="9" t="inlineStr">
        <is>
          <t>A-C-0378</t>
        </is>
      </c>
      <c r="B390" s="9" t="inlineStr">
        <is>
          <t>A</t>
        </is>
      </c>
      <c r="C390" s="9" t="inlineStr">
        <is>
          <t>Power block</t>
        </is>
      </c>
      <c r="D390" s="9" t="inlineStr">
        <is>
          <t>Control</t>
        </is>
      </c>
      <c r="E390" s="9" t="inlineStr">
        <is>
          <t>R2B</t>
        </is>
      </c>
      <c r="F390" s="9" t="inlineStr">
        <is>
          <t>R2B: unit / HRSG electrical e-house (32 x 40 ft)</t>
        </is>
      </c>
      <c r="G390" s="9" t="inlineStr">
        <is>
          <t>WASH-GT2</t>
        </is>
      </c>
      <c r="H390" s="9" t="inlineStr">
        <is>
          <t>WASH-GT2: compressor water-wash skid</t>
        </is>
      </c>
      <c r="I390" s="9" t="inlineStr">
        <is>
          <t>Control</t>
        </is>
      </c>
      <c r="J390" s="9" t="inlineStr">
        <is>
          <t>ARMOR-X MC-HL 600 V control, Cu #14 AWG (Class I Div 2)</t>
        </is>
      </c>
      <c r="K390" s="9" t="inlineStr">
        <is>
          <t>CTAX|7/C|14</t>
        </is>
      </c>
      <c r="L390" s="9" t="inlineStr">
        <is>
          <t>7/C</t>
        </is>
      </c>
      <c r="M390" s="9" t="inlineStr">
        <is>
          <t>14</t>
        </is>
      </c>
      <c r="N390" s="9" t="n">
        <v>1</v>
      </c>
      <c r="O390" s="9" t="n">
        <v>1</v>
      </c>
      <c r="P390" s="9" t="n"/>
      <c r="Q390" s="9" t="n"/>
      <c r="R390" s="9" t="n"/>
      <c r="S390" s="9" t="inlineStr">
        <is>
          <t>Tray</t>
        </is>
      </c>
      <c r="T390" s="10" t="n">
        <v>922</v>
      </c>
      <c r="U390" s="10" t="n">
        <v>96</v>
      </c>
      <c r="V390" s="10">
        <f>ROUNDUP((T390+U390+2*'Read Me'!$B$13)*(1+'Read Me'!$B$12),-1)</f>
        <v/>
      </c>
      <c r="W390" s="10">
        <f>V390*N390*O390</f>
        <v/>
      </c>
      <c r="X390" s="9">
        <f>IF(LEFT(I390,2)="MV",2*N390*IF(L390="1/C",O390,1),0)</f>
        <v/>
      </c>
      <c r="Y390" s="9">
        <f>IF(OR(LEFT(K390,4)="LVAX",LEFT(K390,6)="MV15AX",LEFT(K390,4)="CTAX",LEFT(K390,2)="W|"),2*N390*O390,0)</f>
        <v/>
      </c>
      <c r="Z390" s="9" t="inlineStr"/>
    </row>
    <row r="391">
      <c r="A391" s="9" t="inlineStr">
        <is>
          <t>A-C-0379</t>
        </is>
      </c>
      <c r="B391" s="9" t="inlineStr">
        <is>
          <t>A</t>
        </is>
      </c>
      <c r="C391" s="9" t="inlineStr">
        <is>
          <t>Power block</t>
        </is>
      </c>
      <c r="D391" s="9" t="inlineStr">
        <is>
          <t>Control</t>
        </is>
      </c>
      <c r="E391" s="9" t="inlineStr">
        <is>
          <t>R2B</t>
        </is>
      </c>
      <c r="F391" s="9" t="inlineStr">
        <is>
          <t>R2B: unit / HRSG electrical e-house (32 x 40 ft)</t>
        </is>
      </c>
      <c r="G391" s="9" t="inlineStr">
        <is>
          <t>WASH-GT2</t>
        </is>
      </c>
      <c r="H391" s="9" t="inlineStr">
        <is>
          <t>WASH-GT2: compressor water-wash skid</t>
        </is>
      </c>
      <c r="I391" s="9" t="inlineStr">
        <is>
          <t>Control</t>
        </is>
      </c>
      <c r="J391" s="9" t="inlineStr">
        <is>
          <t>ARMOR-X MC-HL 600 V control, Cu #14 AWG (Class I Div 2)</t>
        </is>
      </c>
      <c r="K391" s="9" t="inlineStr">
        <is>
          <t>CTAX|7/C|14</t>
        </is>
      </c>
      <c r="L391" s="9" t="inlineStr">
        <is>
          <t>7/C</t>
        </is>
      </c>
      <c r="M391" s="9" t="inlineStr">
        <is>
          <t>14</t>
        </is>
      </c>
      <c r="N391" s="9" t="n">
        <v>1</v>
      </c>
      <c r="O391" s="9" t="n">
        <v>1</v>
      </c>
      <c r="P391" s="9" t="n"/>
      <c r="Q391" s="9" t="n"/>
      <c r="R391" s="9" t="n"/>
      <c r="S391" s="9" t="inlineStr">
        <is>
          <t>Tray</t>
        </is>
      </c>
      <c r="T391" s="10" t="n">
        <v>922</v>
      </c>
      <c r="U391" s="10" t="n">
        <v>96</v>
      </c>
      <c r="V391" s="10">
        <f>ROUNDUP((T391+U391+2*'Read Me'!$B$13)*(1+'Read Me'!$B$12),-1)</f>
        <v/>
      </c>
      <c r="W391" s="10">
        <f>V391*N391*O391</f>
        <v/>
      </c>
      <c r="X391" s="9">
        <f>IF(LEFT(I391,2)="MV",2*N391*IF(L391="1/C",O391,1),0)</f>
        <v/>
      </c>
      <c r="Y391" s="9">
        <f>IF(OR(LEFT(K391,4)="LVAX",LEFT(K391,6)="MV15AX",LEFT(K391,4)="CTAX",LEFT(K391,2)="W|"),2*N391*O391,0)</f>
        <v/>
      </c>
      <c r="Z391" s="9" t="inlineStr"/>
    </row>
    <row r="392">
      <c r="A392" s="9" t="inlineStr">
        <is>
          <t>A-C-0380</t>
        </is>
      </c>
      <c r="B392" s="9" t="inlineStr">
        <is>
          <t>A</t>
        </is>
      </c>
      <c r="C392" s="9" t="inlineStr">
        <is>
          <t>Power block</t>
        </is>
      </c>
      <c r="D392" s="9" t="inlineStr">
        <is>
          <t>Control</t>
        </is>
      </c>
      <c r="E392" s="9" t="inlineStr">
        <is>
          <t>R2B</t>
        </is>
      </c>
      <c r="F392" s="9" t="inlineStr">
        <is>
          <t>R2B: unit / HRSG electrical e-house (32 x 40 ft)</t>
        </is>
      </c>
      <c r="G392" s="9" t="inlineStr">
        <is>
          <t>WASH-GT2</t>
        </is>
      </c>
      <c r="H392" s="9" t="inlineStr">
        <is>
          <t>WASH-GT2: compressor water-wash skid</t>
        </is>
      </c>
      <c r="I392" s="9" t="inlineStr">
        <is>
          <t>Control</t>
        </is>
      </c>
      <c r="J392" s="9" t="inlineStr">
        <is>
          <t>ARMOR-X MC-HL 600 V control, Cu #14 AWG (Class I Div 2)</t>
        </is>
      </c>
      <c r="K392" s="9" t="inlineStr">
        <is>
          <t>CTAX|12/C|14</t>
        </is>
      </c>
      <c r="L392" s="9" t="inlineStr">
        <is>
          <t>12/C</t>
        </is>
      </c>
      <c r="M392" s="9" t="inlineStr">
        <is>
          <t>14</t>
        </is>
      </c>
      <c r="N392" s="9" t="n">
        <v>1</v>
      </c>
      <c r="O392" s="9" t="n">
        <v>1</v>
      </c>
      <c r="P392" s="9" t="n"/>
      <c r="Q392" s="9" t="n"/>
      <c r="R392" s="9" t="n"/>
      <c r="S392" s="9" t="inlineStr">
        <is>
          <t>Tray</t>
        </is>
      </c>
      <c r="T392" s="10" t="n">
        <v>922</v>
      </c>
      <c r="U392" s="10" t="n">
        <v>96</v>
      </c>
      <c r="V392" s="10">
        <f>ROUNDUP((T392+U392+2*'Read Me'!$B$13)*(1+'Read Me'!$B$12),-1)</f>
        <v/>
      </c>
      <c r="W392" s="10">
        <f>V392*N392*O392</f>
        <v/>
      </c>
      <c r="X392" s="9">
        <f>IF(LEFT(I392,2)="MV",2*N392*IF(L392="1/C",O392,1),0)</f>
        <v/>
      </c>
      <c r="Y392" s="9">
        <f>IF(OR(LEFT(K392,4)="LVAX",LEFT(K392,6)="MV15AX",LEFT(K392,4)="CTAX",LEFT(K392,2)="W|"),2*N392*O392,0)</f>
        <v/>
      </c>
      <c r="Z392" s="9" t="inlineStr"/>
    </row>
    <row r="393">
      <c r="A393" s="9" t="inlineStr">
        <is>
          <t>A-C-0381</t>
        </is>
      </c>
      <c r="B393" s="9" t="inlineStr">
        <is>
          <t>A</t>
        </is>
      </c>
      <c r="C393" s="9" t="inlineStr">
        <is>
          <t>Power block</t>
        </is>
      </c>
      <c r="D393" s="9" t="inlineStr">
        <is>
          <t>Control</t>
        </is>
      </c>
      <c r="E393" s="9" t="inlineStr">
        <is>
          <t>R2B</t>
        </is>
      </c>
      <c r="F393" s="9" t="inlineStr">
        <is>
          <t>R2B: unit / HRSG electrical e-house (32 x 40 ft)</t>
        </is>
      </c>
      <c r="G393" s="9" t="inlineStr">
        <is>
          <t>WASH-GT2</t>
        </is>
      </c>
      <c r="H393" s="9" t="inlineStr">
        <is>
          <t>WASH-GT2: compressor water-wash skid</t>
        </is>
      </c>
      <c r="I393" s="9" t="inlineStr">
        <is>
          <t>Control</t>
        </is>
      </c>
      <c r="J393" s="9" t="inlineStr">
        <is>
          <t>ARMOR-X MC-HL 600 V control, Cu #14 AWG (Class I Div 2)</t>
        </is>
      </c>
      <c r="K393" s="9" t="inlineStr">
        <is>
          <t>CTAX|12/C|14</t>
        </is>
      </c>
      <c r="L393" s="9" t="inlineStr">
        <is>
          <t>12/C</t>
        </is>
      </c>
      <c r="M393" s="9" t="inlineStr">
        <is>
          <t>14</t>
        </is>
      </c>
      <c r="N393" s="9" t="n">
        <v>1</v>
      </c>
      <c r="O393" s="9" t="n">
        <v>1</v>
      </c>
      <c r="P393" s="9" t="n"/>
      <c r="Q393" s="9" t="n"/>
      <c r="R393" s="9" t="n"/>
      <c r="S393" s="9" t="inlineStr">
        <is>
          <t>Tray</t>
        </is>
      </c>
      <c r="T393" s="10" t="n">
        <v>922</v>
      </c>
      <c r="U393" s="10" t="n">
        <v>96</v>
      </c>
      <c r="V393" s="10">
        <f>ROUNDUP((T393+U393+2*'Read Me'!$B$13)*(1+'Read Me'!$B$12),-1)</f>
        <v/>
      </c>
      <c r="W393" s="10">
        <f>V393*N393*O393</f>
        <v/>
      </c>
      <c r="X393" s="9">
        <f>IF(LEFT(I393,2)="MV",2*N393*IF(L393="1/C",O393,1),0)</f>
        <v/>
      </c>
      <c r="Y393" s="9">
        <f>IF(OR(LEFT(K393,4)="LVAX",LEFT(K393,6)="MV15AX",LEFT(K393,4)="CTAX",LEFT(K393,2)="W|"),2*N393*O393,0)</f>
        <v/>
      </c>
      <c r="Z393" s="9" t="inlineStr"/>
    </row>
    <row r="394">
      <c r="A394" s="9" t="inlineStr">
        <is>
          <t>A-C-0382</t>
        </is>
      </c>
      <c r="B394" s="9" t="inlineStr">
        <is>
          <t>A</t>
        </is>
      </c>
      <c r="C394" s="9" t="inlineStr">
        <is>
          <t>Power block</t>
        </is>
      </c>
      <c r="D394" s="9" t="inlineStr">
        <is>
          <t>Control</t>
        </is>
      </c>
      <c r="E394" s="9" t="inlineStr">
        <is>
          <t>R2B</t>
        </is>
      </c>
      <c r="F394" s="9" t="inlineStr">
        <is>
          <t>R2B: unit / HRSG electrical e-house (32 x 40 ft)</t>
        </is>
      </c>
      <c r="G394" s="9" t="inlineStr">
        <is>
          <t>WASH-GT2</t>
        </is>
      </c>
      <c r="H394" s="9" t="inlineStr">
        <is>
          <t>WASH-GT2: compressor water-wash skid</t>
        </is>
      </c>
      <c r="I394" s="9" t="inlineStr">
        <is>
          <t>Control</t>
        </is>
      </c>
      <c r="J394" s="9" t="inlineStr">
        <is>
          <t>ARMOR-X MC-HL 600 V control, Cu #14 AWG (Class I Div 2)</t>
        </is>
      </c>
      <c r="K394" s="9" t="inlineStr">
        <is>
          <t>CTAX|12/C|14</t>
        </is>
      </c>
      <c r="L394" s="9" t="inlineStr">
        <is>
          <t>12/C</t>
        </is>
      </c>
      <c r="M394" s="9" t="inlineStr">
        <is>
          <t>14</t>
        </is>
      </c>
      <c r="N394" s="9" t="n">
        <v>1</v>
      </c>
      <c r="O394" s="9" t="n">
        <v>1</v>
      </c>
      <c r="P394" s="9" t="n"/>
      <c r="Q394" s="9" t="n"/>
      <c r="R394" s="9" t="n"/>
      <c r="S394" s="9" t="inlineStr">
        <is>
          <t>Tray</t>
        </is>
      </c>
      <c r="T394" s="10" t="n">
        <v>922</v>
      </c>
      <c r="U394" s="10" t="n">
        <v>96</v>
      </c>
      <c r="V394" s="10">
        <f>ROUNDUP((T394+U394+2*'Read Me'!$B$13)*(1+'Read Me'!$B$12),-1)</f>
        <v/>
      </c>
      <c r="W394" s="10">
        <f>V394*N394*O394</f>
        <v/>
      </c>
      <c r="X394" s="9">
        <f>IF(LEFT(I394,2)="MV",2*N394*IF(L394="1/C",O394,1),0)</f>
        <v/>
      </c>
      <c r="Y394" s="9">
        <f>IF(OR(LEFT(K394,4)="LVAX",LEFT(K394,6)="MV15AX",LEFT(K394,4)="CTAX",LEFT(K394,2)="W|"),2*N394*O394,0)</f>
        <v/>
      </c>
      <c r="Z394" s="9" t="inlineStr"/>
    </row>
    <row r="395">
      <c r="A395" s="9" t="inlineStr">
        <is>
          <t>A-C-0383</t>
        </is>
      </c>
      <c r="B395" s="9" t="inlineStr">
        <is>
          <t>A</t>
        </is>
      </c>
      <c r="C395" s="9" t="inlineStr">
        <is>
          <t>Power block</t>
        </is>
      </c>
      <c r="D395" s="9" t="inlineStr">
        <is>
          <t>Control</t>
        </is>
      </c>
      <c r="E395" s="9" t="inlineStr">
        <is>
          <t>R2B</t>
        </is>
      </c>
      <c r="F395" s="9" t="inlineStr">
        <is>
          <t>R2B: unit / HRSG electrical e-house (32 x 40 ft)</t>
        </is>
      </c>
      <c r="G395" s="9" t="inlineStr">
        <is>
          <t>WASH-GT2</t>
        </is>
      </c>
      <c r="H395" s="9" t="inlineStr">
        <is>
          <t>WASH-GT2: compressor water-wash skid</t>
        </is>
      </c>
      <c r="I395" s="9" t="inlineStr">
        <is>
          <t>Control</t>
        </is>
      </c>
      <c r="J395" s="9" t="inlineStr">
        <is>
          <t>ARMOR-X MC-HL 600 V control, Cu #14 AWG (Class I Div 2)</t>
        </is>
      </c>
      <c r="K395" s="9" t="inlineStr">
        <is>
          <t>CTAX|12/C|14</t>
        </is>
      </c>
      <c r="L395" s="9" t="inlineStr">
        <is>
          <t>12/C</t>
        </is>
      </c>
      <c r="M395" s="9" t="inlineStr">
        <is>
          <t>14</t>
        </is>
      </c>
      <c r="N395" s="9" t="n">
        <v>1</v>
      </c>
      <c r="O395" s="9" t="n">
        <v>1</v>
      </c>
      <c r="P395" s="9" t="n"/>
      <c r="Q395" s="9" t="n"/>
      <c r="R395" s="9" t="n"/>
      <c r="S395" s="9" t="inlineStr">
        <is>
          <t>Tray</t>
        </is>
      </c>
      <c r="T395" s="10" t="n">
        <v>922</v>
      </c>
      <c r="U395" s="10" t="n">
        <v>96</v>
      </c>
      <c r="V395" s="10">
        <f>ROUNDUP((T395+U395+2*'Read Me'!$B$13)*(1+'Read Me'!$B$12),-1)</f>
        <v/>
      </c>
      <c r="W395" s="10">
        <f>V395*N395*O395</f>
        <v/>
      </c>
      <c r="X395" s="9">
        <f>IF(LEFT(I395,2)="MV",2*N395*IF(L395="1/C",O395,1),0)</f>
        <v/>
      </c>
      <c r="Y395" s="9">
        <f>IF(OR(LEFT(K395,4)="LVAX",LEFT(K395,6)="MV15AX",LEFT(K395,4)="CTAX",LEFT(K395,2)="W|"),2*N395*O395,0)</f>
        <v/>
      </c>
      <c r="Z395" s="9" t="inlineStr"/>
    </row>
    <row r="396">
      <c r="A396" s="9" t="inlineStr">
        <is>
          <t>A-C-0384</t>
        </is>
      </c>
      <c r="B396" s="9" t="inlineStr">
        <is>
          <t>A</t>
        </is>
      </c>
      <c r="C396" s="9" t="inlineStr">
        <is>
          <t>Power block</t>
        </is>
      </c>
      <c r="D396" s="9" t="inlineStr">
        <is>
          <t>Control</t>
        </is>
      </c>
      <c r="E396" s="9" t="inlineStr">
        <is>
          <t>R2B</t>
        </is>
      </c>
      <c r="F396" s="9" t="inlineStr">
        <is>
          <t>R2B: unit / HRSG electrical e-house (32 x 40 ft)</t>
        </is>
      </c>
      <c r="G396" s="9" t="inlineStr">
        <is>
          <t>WASH-GT2</t>
        </is>
      </c>
      <c r="H396" s="9" t="inlineStr">
        <is>
          <t>WASH-GT2: compressor water-wash skid</t>
        </is>
      </c>
      <c r="I396" s="9" t="inlineStr">
        <is>
          <t>Control</t>
        </is>
      </c>
      <c r="J396" s="9" t="inlineStr">
        <is>
          <t>ARMOR-X MC-HL 600 V control, Cu #14 AWG (Class I Div 2)</t>
        </is>
      </c>
      <c r="K396" s="9" t="inlineStr">
        <is>
          <t>CTAX|12/C|14</t>
        </is>
      </c>
      <c r="L396" s="9" t="inlineStr">
        <is>
          <t>12/C</t>
        </is>
      </c>
      <c r="M396" s="9" t="inlineStr">
        <is>
          <t>14</t>
        </is>
      </c>
      <c r="N396" s="9" t="n">
        <v>1</v>
      </c>
      <c r="O396" s="9" t="n">
        <v>1</v>
      </c>
      <c r="P396" s="9" t="n"/>
      <c r="Q396" s="9" t="n"/>
      <c r="R396" s="9" t="n"/>
      <c r="S396" s="9" t="inlineStr">
        <is>
          <t>Tray</t>
        </is>
      </c>
      <c r="T396" s="10" t="n">
        <v>922</v>
      </c>
      <c r="U396" s="10" t="n">
        <v>96</v>
      </c>
      <c r="V396" s="10">
        <f>ROUNDUP((T396+U396+2*'Read Me'!$B$13)*(1+'Read Me'!$B$12),-1)</f>
        <v/>
      </c>
      <c r="W396" s="10">
        <f>V396*N396*O396</f>
        <v/>
      </c>
      <c r="X396" s="9">
        <f>IF(LEFT(I396,2)="MV",2*N396*IF(L396="1/C",O396,1),0)</f>
        <v/>
      </c>
      <c r="Y396" s="9">
        <f>IF(OR(LEFT(K396,4)="LVAX",LEFT(K396,6)="MV15AX",LEFT(K396,4)="CTAX",LEFT(K396,2)="W|"),2*N396*O396,0)</f>
        <v/>
      </c>
      <c r="Z396" s="9" t="inlineStr"/>
    </row>
    <row r="397">
      <c r="A397" s="9" t="inlineStr">
        <is>
          <t>A-C-0385</t>
        </is>
      </c>
      <c r="B397" s="9" t="inlineStr">
        <is>
          <t>A</t>
        </is>
      </c>
      <c r="C397" s="9" t="inlineStr">
        <is>
          <t>Power block</t>
        </is>
      </c>
      <c r="D397" s="9" t="inlineStr">
        <is>
          <t>Control</t>
        </is>
      </c>
      <c r="E397" s="9" t="inlineStr">
        <is>
          <t>R2B</t>
        </is>
      </c>
      <c r="F397" s="9" t="inlineStr">
        <is>
          <t>R2B: unit / HRSG electrical e-house (32 x 40 ft)</t>
        </is>
      </c>
      <c r="G397" s="9" t="inlineStr">
        <is>
          <t>WASH-GT2</t>
        </is>
      </c>
      <c r="H397" s="9" t="inlineStr">
        <is>
          <t>WASH-GT2: compressor water-wash skid</t>
        </is>
      </c>
      <c r="I397" s="9" t="inlineStr">
        <is>
          <t>Control</t>
        </is>
      </c>
      <c r="J397" s="9" t="inlineStr">
        <is>
          <t>ARMOR-X MC-HL 600 V control, Cu #14 AWG (Class I Div 2)</t>
        </is>
      </c>
      <c r="K397" s="9" t="inlineStr">
        <is>
          <t>CTAX|12/C|14</t>
        </is>
      </c>
      <c r="L397" s="9" t="inlineStr">
        <is>
          <t>12/C</t>
        </is>
      </c>
      <c r="M397" s="9" t="inlineStr">
        <is>
          <t>14</t>
        </is>
      </c>
      <c r="N397" s="9" t="n">
        <v>1</v>
      </c>
      <c r="O397" s="9" t="n">
        <v>1</v>
      </c>
      <c r="P397" s="9" t="n"/>
      <c r="Q397" s="9" t="n"/>
      <c r="R397" s="9" t="n"/>
      <c r="S397" s="9" t="inlineStr">
        <is>
          <t>Tray</t>
        </is>
      </c>
      <c r="T397" s="10" t="n">
        <v>922</v>
      </c>
      <c r="U397" s="10" t="n">
        <v>96</v>
      </c>
      <c r="V397" s="10">
        <f>ROUNDUP((T397+U397+2*'Read Me'!$B$13)*(1+'Read Me'!$B$12),-1)</f>
        <v/>
      </c>
      <c r="W397" s="10">
        <f>V397*N397*O397</f>
        <v/>
      </c>
      <c r="X397" s="9">
        <f>IF(LEFT(I397,2)="MV",2*N397*IF(L397="1/C",O397,1),0)</f>
        <v/>
      </c>
      <c r="Y397" s="9">
        <f>IF(OR(LEFT(K397,4)="LVAX",LEFT(K397,6)="MV15AX",LEFT(K397,4)="CTAX",LEFT(K397,2)="W|"),2*N397*O397,0)</f>
        <v/>
      </c>
      <c r="Z397" s="9" t="inlineStr"/>
    </row>
    <row r="398">
      <c r="A398" s="9" t="inlineStr">
        <is>
          <t>A-C-0386</t>
        </is>
      </c>
      <c r="B398" s="9" t="inlineStr">
        <is>
          <t>A</t>
        </is>
      </c>
      <c r="C398" s="9" t="inlineStr">
        <is>
          <t>Power block</t>
        </is>
      </c>
      <c r="D398" s="9" t="inlineStr">
        <is>
          <t>Control</t>
        </is>
      </c>
      <c r="E398" s="9" t="inlineStr">
        <is>
          <t>R2C</t>
        </is>
      </c>
      <c r="F398" s="9" t="inlineStr">
        <is>
          <t>R2C: unit / HRSG electrical e-house (32 x 40 ft)</t>
        </is>
      </c>
      <c r="G398" s="9" t="inlineStr">
        <is>
          <t>WASH-GT3</t>
        </is>
      </c>
      <c r="H398" s="9" t="inlineStr">
        <is>
          <t>WASH-GT3: compressor water-wash skid</t>
        </is>
      </c>
      <c r="I398" s="9" t="inlineStr">
        <is>
          <t>Control</t>
        </is>
      </c>
      <c r="J398" s="9" t="inlineStr">
        <is>
          <t>ARMOR-X MC-HL 600 V control, Cu #14 AWG (Class I Div 2)</t>
        </is>
      </c>
      <c r="K398" s="9" t="inlineStr">
        <is>
          <t>CTAX|7/C|14</t>
        </is>
      </c>
      <c r="L398" s="9" t="inlineStr">
        <is>
          <t>7/C</t>
        </is>
      </c>
      <c r="M398" s="9" t="inlineStr">
        <is>
          <t>14</t>
        </is>
      </c>
      <c r="N398" s="9" t="n">
        <v>1</v>
      </c>
      <c r="O398" s="9" t="n">
        <v>1</v>
      </c>
      <c r="P398" s="9" t="n"/>
      <c r="Q398" s="9" t="n"/>
      <c r="R398" s="9" t="n"/>
      <c r="S398" s="9" t="inlineStr">
        <is>
          <t>Tray</t>
        </is>
      </c>
      <c r="T398" s="10" t="n">
        <v>1092</v>
      </c>
      <c r="U398" s="10" t="n">
        <v>139</v>
      </c>
      <c r="V398" s="10">
        <f>ROUNDUP((T398+U398+2*'Read Me'!$B$13)*(1+'Read Me'!$B$12),-1)</f>
        <v/>
      </c>
      <c r="W398" s="10">
        <f>V398*N398*O398</f>
        <v/>
      </c>
      <c r="X398" s="9">
        <f>IF(LEFT(I398,2)="MV",2*N398*IF(L398="1/C",O398,1),0)</f>
        <v/>
      </c>
      <c r="Y398" s="9">
        <f>IF(OR(LEFT(K398,4)="LVAX",LEFT(K398,6)="MV15AX",LEFT(K398,4)="CTAX",LEFT(K398,2)="W|"),2*N398*O398,0)</f>
        <v/>
      </c>
      <c r="Z398" s="9" t="inlineStr"/>
    </row>
    <row r="399">
      <c r="A399" s="9" t="inlineStr">
        <is>
          <t>A-C-0387</t>
        </is>
      </c>
      <c r="B399" s="9" t="inlineStr">
        <is>
          <t>A</t>
        </is>
      </c>
      <c r="C399" s="9" t="inlineStr">
        <is>
          <t>Power block</t>
        </is>
      </c>
      <c r="D399" s="9" t="inlineStr">
        <is>
          <t>Control</t>
        </is>
      </c>
      <c r="E399" s="9" t="inlineStr">
        <is>
          <t>R2C</t>
        </is>
      </c>
      <c r="F399" s="9" t="inlineStr">
        <is>
          <t>R2C: unit / HRSG electrical e-house (32 x 40 ft)</t>
        </is>
      </c>
      <c r="G399" s="9" t="inlineStr">
        <is>
          <t>WASH-GT3</t>
        </is>
      </c>
      <c r="H399" s="9" t="inlineStr">
        <is>
          <t>WASH-GT3: compressor water-wash skid</t>
        </is>
      </c>
      <c r="I399" s="9" t="inlineStr">
        <is>
          <t>Control</t>
        </is>
      </c>
      <c r="J399" s="9" t="inlineStr">
        <is>
          <t>ARMOR-X MC-HL 600 V control, Cu #14 AWG (Class I Div 2)</t>
        </is>
      </c>
      <c r="K399" s="9" t="inlineStr">
        <is>
          <t>CTAX|7/C|14</t>
        </is>
      </c>
      <c r="L399" s="9" t="inlineStr">
        <is>
          <t>7/C</t>
        </is>
      </c>
      <c r="M399" s="9" t="inlineStr">
        <is>
          <t>14</t>
        </is>
      </c>
      <c r="N399" s="9" t="n">
        <v>1</v>
      </c>
      <c r="O399" s="9" t="n">
        <v>1</v>
      </c>
      <c r="P399" s="9" t="n"/>
      <c r="Q399" s="9" t="n"/>
      <c r="R399" s="9" t="n"/>
      <c r="S399" s="9" t="inlineStr">
        <is>
          <t>Tray</t>
        </is>
      </c>
      <c r="T399" s="10" t="n">
        <v>1092</v>
      </c>
      <c r="U399" s="10" t="n">
        <v>139</v>
      </c>
      <c r="V399" s="10">
        <f>ROUNDUP((T399+U399+2*'Read Me'!$B$13)*(1+'Read Me'!$B$12),-1)</f>
        <v/>
      </c>
      <c r="W399" s="10">
        <f>V399*N399*O399</f>
        <v/>
      </c>
      <c r="X399" s="9">
        <f>IF(LEFT(I399,2)="MV",2*N399*IF(L399="1/C",O399,1),0)</f>
        <v/>
      </c>
      <c r="Y399" s="9">
        <f>IF(OR(LEFT(K399,4)="LVAX",LEFT(K399,6)="MV15AX",LEFT(K399,4)="CTAX",LEFT(K399,2)="W|"),2*N399*O399,0)</f>
        <v/>
      </c>
      <c r="Z399" s="9" t="inlineStr"/>
    </row>
    <row r="400">
      <c r="A400" s="9" t="inlineStr">
        <is>
          <t>A-C-0388</t>
        </is>
      </c>
      <c r="B400" s="9" t="inlineStr">
        <is>
          <t>A</t>
        </is>
      </c>
      <c r="C400" s="9" t="inlineStr">
        <is>
          <t>Power block</t>
        </is>
      </c>
      <c r="D400" s="9" t="inlineStr">
        <is>
          <t>Control</t>
        </is>
      </c>
      <c r="E400" s="9" t="inlineStr">
        <is>
          <t>R2C</t>
        </is>
      </c>
      <c r="F400" s="9" t="inlineStr">
        <is>
          <t>R2C: unit / HRSG electrical e-house (32 x 40 ft)</t>
        </is>
      </c>
      <c r="G400" s="9" t="inlineStr">
        <is>
          <t>WASH-GT3</t>
        </is>
      </c>
      <c r="H400" s="9" t="inlineStr">
        <is>
          <t>WASH-GT3: compressor water-wash skid</t>
        </is>
      </c>
      <c r="I400" s="9" t="inlineStr">
        <is>
          <t>Control</t>
        </is>
      </c>
      <c r="J400" s="9" t="inlineStr">
        <is>
          <t>ARMOR-X MC-HL 600 V control, Cu #14 AWG (Class I Div 2)</t>
        </is>
      </c>
      <c r="K400" s="9" t="inlineStr">
        <is>
          <t>CTAX|12/C|14</t>
        </is>
      </c>
      <c r="L400" s="9" t="inlineStr">
        <is>
          <t>12/C</t>
        </is>
      </c>
      <c r="M400" s="9" t="inlineStr">
        <is>
          <t>14</t>
        </is>
      </c>
      <c r="N400" s="9" t="n">
        <v>1</v>
      </c>
      <c r="O400" s="9" t="n">
        <v>1</v>
      </c>
      <c r="P400" s="9" t="n"/>
      <c r="Q400" s="9" t="n"/>
      <c r="R400" s="9" t="n"/>
      <c r="S400" s="9" t="inlineStr">
        <is>
          <t>Tray</t>
        </is>
      </c>
      <c r="T400" s="10" t="n">
        <v>1092</v>
      </c>
      <c r="U400" s="10" t="n">
        <v>139</v>
      </c>
      <c r="V400" s="10">
        <f>ROUNDUP((T400+U400+2*'Read Me'!$B$13)*(1+'Read Me'!$B$12),-1)</f>
        <v/>
      </c>
      <c r="W400" s="10">
        <f>V400*N400*O400</f>
        <v/>
      </c>
      <c r="X400" s="9">
        <f>IF(LEFT(I400,2)="MV",2*N400*IF(L400="1/C",O400,1),0)</f>
        <v/>
      </c>
      <c r="Y400" s="9">
        <f>IF(OR(LEFT(K400,4)="LVAX",LEFT(K400,6)="MV15AX",LEFT(K400,4)="CTAX",LEFT(K400,2)="W|"),2*N400*O400,0)</f>
        <v/>
      </c>
      <c r="Z400" s="9" t="inlineStr"/>
    </row>
    <row r="401">
      <c r="A401" s="9" t="inlineStr">
        <is>
          <t>A-C-0389</t>
        </is>
      </c>
      <c r="B401" s="9" t="inlineStr">
        <is>
          <t>A</t>
        </is>
      </c>
      <c r="C401" s="9" t="inlineStr">
        <is>
          <t>Power block</t>
        </is>
      </c>
      <c r="D401" s="9" t="inlineStr">
        <is>
          <t>Control</t>
        </is>
      </c>
      <c r="E401" s="9" t="inlineStr">
        <is>
          <t>R2C</t>
        </is>
      </c>
      <c r="F401" s="9" t="inlineStr">
        <is>
          <t>R2C: unit / HRSG electrical e-house (32 x 40 ft)</t>
        </is>
      </c>
      <c r="G401" s="9" t="inlineStr">
        <is>
          <t>WASH-GT3</t>
        </is>
      </c>
      <c r="H401" s="9" t="inlineStr">
        <is>
          <t>WASH-GT3: compressor water-wash skid</t>
        </is>
      </c>
      <c r="I401" s="9" t="inlineStr">
        <is>
          <t>Control</t>
        </is>
      </c>
      <c r="J401" s="9" t="inlineStr">
        <is>
          <t>ARMOR-X MC-HL 600 V control, Cu #14 AWG (Class I Div 2)</t>
        </is>
      </c>
      <c r="K401" s="9" t="inlineStr">
        <is>
          <t>CTAX|12/C|14</t>
        </is>
      </c>
      <c r="L401" s="9" t="inlineStr">
        <is>
          <t>12/C</t>
        </is>
      </c>
      <c r="M401" s="9" t="inlineStr">
        <is>
          <t>14</t>
        </is>
      </c>
      <c r="N401" s="9" t="n">
        <v>1</v>
      </c>
      <c r="O401" s="9" t="n">
        <v>1</v>
      </c>
      <c r="P401" s="9" t="n"/>
      <c r="Q401" s="9" t="n"/>
      <c r="R401" s="9" t="n"/>
      <c r="S401" s="9" t="inlineStr">
        <is>
          <t>Tray</t>
        </is>
      </c>
      <c r="T401" s="10" t="n">
        <v>1092</v>
      </c>
      <c r="U401" s="10" t="n">
        <v>139</v>
      </c>
      <c r="V401" s="10">
        <f>ROUNDUP((T401+U401+2*'Read Me'!$B$13)*(1+'Read Me'!$B$12),-1)</f>
        <v/>
      </c>
      <c r="W401" s="10">
        <f>V401*N401*O401</f>
        <v/>
      </c>
      <c r="X401" s="9">
        <f>IF(LEFT(I401,2)="MV",2*N401*IF(L401="1/C",O401,1),0)</f>
        <v/>
      </c>
      <c r="Y401" s="9">
        <f>IF(OR(LEFT(K401,4)="LVAX",LEFT(K401,6)="MV15AX",LEFT(K401,4)="CTAX",LEFT(K401,2)="W|"),2*N401*O401,0)</f>
        <v/>
      </c>
      <c r="Z401" s="9" t="inlineStr"/>
    </row>
    <row r="402">
      <c r="A402" s="9" t="inlineStr">
        <is>
          <t>A-C-0390</t>
        </is>
      </c>
      <c r="B402" s="9" t="inlineStr">
        <is>
          <t>A</t>
        </is>
      </c>
      <c r="C402" s="9" t="inlineStr">
        <is>
          <t>Power block</t>
        </is>
      </c>
      <c r="D402" s="9" t="inlineStr">
        <is>
          <t>Control</t>
        </is>
      </c>
      <c r="E402" s="9" t="inlineStr">
        <is>
          <t>R2C</t>
        </is>
      </c>
      <c r="F402" s="9" t="inlineStr">
        <is>
          <t>R2C: unit / HRSG electrical e-house (32 x 40 ft)</t>
        </is>
      </c>
      <c r="G402" s="9" t="inlineStr">
        <is>
          <t>WASH-GT3</t>
        </is>
      </c>
      <c r="H402" s="9" t="inlineStr">
        <is>
          <t>WASH-GT3: compressor water-wash skid</t>
        </is>
      </c>
      <c r="I402" s="9" t="inlineStr">
        <is>
          <t>Control</t>
        </is>
      </c>
      <c r="J402" s="9" t="inlineStr">
        <is>
          <t>ARMOR-X MC-HL 600 V control, Cu #14 AWG (Class I Div 2)</t>
        </is>
      </c>
      <c r="K402" s="9" t="inlineStr">
        <is>
          <t>CTAX|12/C|14</t>
        </is>
      </c>
      <c r="L402" s="9" t="inlineStr">
        <is>
          <t>12/C</t>
        </is>
      </c>
      <c r="M402" s="9" t="inlineStr">
        <is>
          <t>14</t>
        </is>
      </c>
      <c r="N402" s="9" t="n">
        <v>1</v>
      </c>
      <c r="O402" s="9" t="n">
        <v>1</v>
      </c>
      <c r="P402" s="9" t="n"/>
      <c r="Q402" s="9" t="n"/>
      <c r="R402" s="9" t="n"/>
      <c r="S402" s="9" t="inlineStr">
        <is>
          <t>Tray</t>
        </is>
      </c>
      <c r="T402" s="10" t="n">
        <v>1092</v>
      </c>
      <c r="U402" s="10" t="n">
        <v>139</v>
      </c>
      <c r="V402" s="10">
        <f>ROUNDUP((T402+U402+2*'Read Me'!$B$13)*(1+'Read Me'!$B$12),-1)</f>
        <v/>
      </c>
      <c r="W402" s="10">
        <f>V402*N402*O402</f>
        <v/>
      </c>
      <c r="X402" s="9">
        <f>IF(LEFT(I402,2)="MV",2*N402*IF(L402="1/C",O402,1),0)</f>
        <v/>
      </c>
      <c r="Y402" s="9">
        <f>IF(OR(LEFT(K402,4)="LVAX",LEFT(K402,6)="MV15AX",LEFT(K402,4)="CTAX",LEFT(K402,2)="W|"),2*N402*O402,0)</f>
        <v/>
      </c>
      <c r="Z402" s="9" t="inlineStr"/>
    </row>
    <row r="403">
      <c r="A403" s="9" t="inlineStr">
        <is>
          <t>A-C-0391</t>
        </is>
      </c>
      <c r="B403" s="9" t="inlineStr">
        <is>
          <t>A</t>
        </is>
      </c>
      <c r="C403" s="9" t="inlineStr">
        <is>
          <t>Power block</t>
        </is>
      </c>
      <c r="D403" s="9" t="inlineStr">
        <is>
          <t>Control</t>
        </is>
      </c>
      <c r="E403" s="9" t="inlineStr">
        <is>
          <t>R2C</t>
        </is>
      </c>
      <c r="F403" s="9" t="inlineStr">
        <is>
          <t>R2C: unit / HRSG electrical e-house (32 x 40 ft)</t>
        </is>
      </c>
      <c r="G403" s="9" t="inlineStr">
        <is>
          <t>WASH-GT3</t>
        </is>
      </c>
      <c r="H403" s="9" t="inlineStr">
        <is>
          <t>WASH-GT3: compressor water-wash skid</t>
        </is>
      </c>
      <c r="I403" s="9" t="inlineStr">
        <is>
          <t>Control</t>
        </is>
      </c>
      <c r="J403" s="9" t="inlineStr">
        <is>
          <t>ARMOR-X MC-HL 600 V control, Cu #14 AWG (Class I Div 2)</t>
        </is>
      </c>
      <c r="K403" s="9" t="inlineStr">
        <is>
          <t>CTAX|12/C|14</t>
        </is>
      </c>
      <c r="L403" s="9" t="inlineStr">
        <is>
          <t>12/C</t>
        </is>
      </c>
      <c r="M403" s="9" t="inlineStr">
        <is>
          <t>14</t>
        </is>
      </c>
      <c r="N403" s="9" t="n">
        <v>1</v>
      </c>
      <c r="O403" s="9" t="n">
        <v>1</v>
      </c>
      <c r="P403" s="9" t="n"/>
      <c r="Q403" s="9" t="n"/>
      <c r="R403" s="9" t="n"/>
      <c r="S403" s="9" t="inlineStr">
        <is>
          <t>Tray</t>
        </is>
      </c>
      <c r="T403" s="10" t="n">
        <v>1092</v>
      </c>
      <c r="U403" s="10" t="n">
        <v>139</v>
      </c>
      <c r="V403" s="10">
        <f>ROUNDUP((T403+U403+2*'Read Me'!$B$13)*(1+'Read Me'!$B$12),-1)</f>
        <v/>
      </c>
      <c r="W403" s="10">
        <f>V403*N403*O403</f>
        <v/>
      </c>
      <c r="X403" s="9">
        <f>IF(LEFT(I403,2)="MV",2*N403*IF(L403="1/C",O403,1),0)</f>
        <v/>
      </c>
      <c r="Y403" s="9">
        <f>IF(OR(LEFT(K403,4)="LVAX",LEFT(K403,6)="MV15AX",LEFT(K403,4)="CTAX",LEFT(K403,2)="W|"),2*N403*O403,0)</f>
        <v/>
      </c>
      <c r="Z403" s="9" t="inlineStr"/>
    </row>
    <row r="404">
      <c r="A404" s="9" t="inlineStr">
        <is>
          <t>A-C-0392</t>
        </is>
      </c>
      <c r="B404" s="9" t="inlineStr">
        <is>
          <t>A</t>
        </is>
      </c>
      <c r="C404" s="9" t="inlineStr">
        <is>
          <t>Power block</t>
        </is>
      </c>
      <c r="D404" s="9" t="inlineStr">
        <is>
          <t>Control</t>
        </is>
      </c>
      <c r="E404" s="9" t="inlineStr">
        <is>
          <t>R2C</t>
        </is>
      </c>
      <c r="F404" s="9" t="inlineStr">
        <is>
          <t>R2C: unit / HRSG electrical e-house (32 x 40 ft)</t>
        </is>
      </c>
      <c r="G404" s="9" t="inlineStr">
        <is>
          <t>WASH-GT3</t>
        </is>
      </c>
      <c r="H404" s="9" t="inlineStr">
        <is>
          <t>WASH-GT3: compressor water-wash skid</t>
        </is>
      </c>
      <c r="I404" s="9" t="inlineStr">
        <is>
          <t>Control</t>
        </is>
      </c>
      <c r="J404" s="9" t="inlineStr">
        <is>
          <t>ARMOR-X MC-HL 600 V control, Cu #14 AWG (Class I Div 2)</t>
        </is>
      </c>
      <c r="K404" s="9" t="inlineStr">
        <is>
          <t>CTAX|12/C|14</t>
        </is>
      </c>
      <c r="L404" s="9" t="inlineStr">
        <is>
          <t>12/C</t>
        </is>
      </c>
      <c r="M404" s="9" t="inlineStr">
        <is>
          <t>14</t>
        </is>
      </c>
      <c r="N404" s="9" t="n">
        <v>1</v>
      </c>
      <c r="O404" s="9" t="n">
        <v>1</v>
      </c>
      <c r="P404" s="9" t="n"/>
      <c r="Q404" s="9" t="n"/>
      <c r="R404" s="9" t="n"/>
      <c r="S404" s="9" t="inlineStr">
        <is>
          <t>Tray</t>
        </is>
      </c>
      <c r="T404" s="10" t="n">
        <v>1092</v>
      </c>
      <c r="U404" s="10" t="n">
        <v>139</v>
      </c>
      <c r="V404" s="10">
        <f>ROUNDUP((T404+U404+2*'Read Me'!$B$13)*(1+'Read Me'!$B$12),-1)</f>
        <v/>
      </c>
      <c r="W404" s="10">
        <f>V404*N404*O404</f>
        <v/>
      </c>
      <c r="X404" s="9">
        <f>IF(LEFT(I404,2)="MV",2*N404*IF(L404="1/C",O404,1),0)</f>
        <v/>
      </c>
      <c r="Y404" s="9">
        <f>IF(OR(LEFT(K404,4)="LVAX",LEFT(K404,6)="MV15AX",LEFT(K404,4)="CTAX",LEFT(K404,2)="W|"),2*N404*O404,0)</f>
        <v/>
      </c>
      <c r="Z404" s="9" t="inlineStr"/>
    </row>
    <row r="405">
      <c r="A405" s="9" t="inlineStr">
        <is>
          <t>A-C-0393</t>
        </is>
      </c>
      <c r="B405" s="9" t="inlineStr">
        <is>
          <t>A</t>
        </is>
      </c>
      <c r="C405" s="9" t="inlineStr">
        <is>
          <t>Power block</t>
        </is>
      </c>
      <c r="D405" s="9" t="inlineStr">
        <is>
          <t>Control</t>
        </is>
      </c>
      <c r="E405" s="9" t="inlineStr">
        <is>
          <t>R2C</t>
        </is>
      </c>
      <c r="F405" s="9" t="inlineStr">
        <is>
          <t>R2C: unit / HRSG electrical e-house (32 x 40 ft)</t>
        </is>
      </c>
      <c r="G405" s="9" t="inlineStr">
        <is>
          <t>WASH-GT3</t>
        </is>
      </c>
      <c r="H405" s="9" t="inlineStr">
        <is>
          <t>WASH-GT3: compressor water-wash skid</t>
        </is>
      </c>
      <c r="I405" s="9" t="inlineStr">
        <is>
          <t>Control</t>
        </is>
      </c>
      <c r="J405" s="9" t="inlineStr">
        <is>
          <t>ARMOR-X MC-HL 600 V control, Cu #14 AWG (Class I Div 2)</t>
        </is>
      </c>
      <c r="K405" s="9" t="inlineStr">
        <is>
          <t>CTAX|12/C|14</t>
        </is>
      </c>
      <c r="L405" s="9" t="inlineStr">
        <is>
          <t>12/C</t>
        </is>
      </c>
      <c r="M405" s="9" t="inlineStr">
        <is>
          <t>14</t>
        </is>
      </c>
      <c r="N405" s="9" t="n">
        <v>1</v>
      </c>
      <c r="O405" s="9" t="n">
        <v>1</v>
      </c>
      <c r="P405" s="9" t="n"/>
      <c r="Q405" s="9" t="n"/>
      <c r="R405" s="9" t="n"/>
      <c r="S405" s="9" t="inlineStr">
        <is>
          <t>Tray</t>
        </is>
      </c>
      <c r="T405" s="10" t="n">
        <v>1092</v>
      </c>
      <c r="U405" s="10" t="n">
        <v>139</v>
      </c>
      <c r="V405" s="10">
        <f>ROUNDUP((T405+U405+2*'Read Me'!$B$13)*(1+'Read Me'!$B$12),-1)</f>
        <v/>
      </c>
      <c r="W405" s="10">
        <f>V405*N405*O405</f>
        <v/>
      </c>
      <c r="X405" s="9">
        <f>IF(LEFT(I405,2)="MV",2*N405*IF(L405="1/C",O405,1),0)</f>
        <v/>
      </c>
      <c r="Y405" s="9">
        <f>IF(OR(LEFT(K405,4)="LVAX",LEFT(K405,6)="MV15AX",LEFT(K405,4)="CTAX",LEFT(K405,2)="W|"),2*N405*O405,0)</f>
        <v/>
      </c>
      <c r="Z405" s="9" t="inlineStr"/>
    </row>
    <row r="406">
      <c r="A406" s="9" t="inlineStr">
        <is>
          <t>A-F-0001</t>
        </is>
      </c>
      <c r="B406" s="9" t="inlineStr">
        <is>
          <t>A</t>
        </is>
      </c>
      <c r="C406" s="9" t="inlineStr">
        <is>
          <t>Power block</t>
        </is>
      </c>
      <c r="D406" s="9" t="inlineStr">
        <is>
          <t>Plant network / DCS fibre</t>
        </is>
      </c>
      <c r="E406" s="9" t="inlineStr">
        <is>
          <t>CR</t>
        </is>
      </c>
      <c r="F406" s="9" t="inlineStr">
        <is>
          <t>Control / admin building (main control room)</t>
        </is>
      </c>
      <c r="G406" s="9" t="inlineStr">
        <is>
          <t>CEMS-1</t>
        </is>
      </c>
      <c r="H406" s="9" t="inlineStr">
        <is>
          <t>CEMS shelter, HRSG 1</t>
        </is>
      </c>
      <c r="I406" s="9" t="inlineStr">
        <is>
          <t>Fibre / data</t>
        </is>
      </c>
      <c r="J406" s="9" t="inlineStr">
        <is>
          <t>Fibre optic, single-mode, 12-fibre, armored, orange jacket</t>
        </is>
      </c>
      <c r="K406" s="9" t="inlineStr">
        <is>
          <t>FO|12 SM|-</t>
        </is>
      </c>
      <c r="L406" s="9" t="inlineStr">
        <is>
          <t>12 SM</t>
        </is>
      </c>
      <c r="M406" s="9" t="inlineStr">
        <is>
          <t>-</t>
        </is>
      </c>
      <c r="N406" s="9" t="n">
        <v>1</v>
      </c>
      <c r="O406" s="9" t="n">
        <v>1</v>
      </c>
      <c r="P406" s="9" t="n"/>
      <c r="Q406" s="9" t="n"/>
      <c r="R406" s="9" t="n"/>
      <c r="S406" s="9" t="inlineStr">
        <is>
          <t>Duct bank</t>
        </is>
      </c>
      <c r="T406" s="10" t="n">
        <v>1738</v>
      </c>
      <c r="U406" s="10" t="n">
        <v>97</v>
      </c>
      <c r="V406" s="10">
        <f>ROUNDUP((T406+U406+2*'Read Me'!$B$13)*(1+'Read Me'!$B$12),-1)</f>
        <v/>
      </c>
      <c r="W406" s="10">
        <f>V406*N406*O406</f>
        <v/>
      </c>
      <c r="X406" s="9">
        <f>IF(LEFT(I406,2)="MV",2*N406*IF(L406="1/C",O406,1),0)</f>
        <v/>
      </c>
      <c r="Y406" s="9">
        <f>IF(OR(LEFT(K406,4)="LVAX",LEFT(K406,6)="MV15AX",LEFT(K406,4)="CTAX",LEFT(K406,2)="W|"),2*N406*O406,0)</f>
        <v/>
      </c>
      <c r="Z406" s="9" t="inlineStr"/>
    </row>
    <row r="407">
      <c r="A407" s="9" t="inlineStr">
        <is>
          <t>A-F-0002</t>
        </is>
      </c>
      <c r="B407" s="9" t="inlineStr">
        <is>
          <t>A</t>
        </is>
      </c>
      <c r="C407" s="9" t="inlineStr">
        <is>
          <t>Power block</t>
        </is>
      </c>
      <c r="D407" s="9" t="inlineStr">
        <is>
          <t>Plant network / DCS fibre</t>
        </is>
      </c>
      <c r="E407" s="9" t="inlineStr">
        <is>
          <t>CR</t>
        </is>
      </c>
      <c r="F407" s="9" t="inlineStr">
        <is>
          <t>Control / admin building (main control room)</t>
        </is>
      </c>
      <c r="G407" s="9" t="inlineStr">
        <is>
          <t>CEMS-2</t>
        </is>
      </c>
      <c r="H407" s="9" t="inlineStr">
        <is>
          <t>CEMS shelter, HRSG 2</t>
        </is>
      </c>
      <c r="I407" s="9" t="inlineStr">
        <is>
          <t>Fibre / data</t>
        </is>
      </c>
      <c r="J407" s="9" t="inlineStr">
        <is>
          <t>Fibre optic, single-mode, 12-fibre, armored, orange jacket</t>
        </is>
      </c>
      <c r="K407" s="9" t="inlineStr">
        <is>
          <t>FO|12 SM|-</t>
        </is>
      </c>
      <c r="L407" s="9" t="inlineStr">
        <is>
          <t>12 SM</t>
        </is>
      </c>
      <c r="M407" s="9" t="inlineStr">
        <is>
          <t>-</t>
        </is>
      </c>
      <c r="N407" s="9" t="n">
        <v>1</v>
      </c>
      <c r="O407" s="9" t="n">
        <v>1</v>
      </c>
      <c r="P407" s="9" t="n"/>
      <c r="Q407" s="9" t="n"/>
      <c r="R407" s="9" t="n"/>
      <c r="S407" s="9" t="inlineStr">
        <is>
          <t>Duct bank</t>
        </is>
      </c>
      <c r="T407" s="10" t="n">
        <v>1894</v>
      </c>
      <c r="U407" s="10" t="n">
        <v>93</v>
      </c>
      <c r="V407" s="10">
        <f>ROUNDUP((T407+U407+2*'Read Me'!$B$13)*(1+'Read Me'!$B$12),-1)</f>
        <v/>
      </c>
      <c r="W407" s="10">
        <f>V407*N407*O407</f>
        <v/>
      </c>
      <c r="X407" s="9">
        <f>IF(LEFT(I407,2)="MV",2*N407*IF(L407="1/C",O407,1),0)</f>
        <v/>
      </c>
      <c r="Y407" s="9">
        <f>IF(OR(LEFT(K407,4)="LVAX",LEFT(K407,6)="MV15AX",LEFT(K407,4)="CTAX",LEFT(K407,2)="W|"),2*N407*O407,0)</f>
        <v/>
      </c>
      <c r="Z407" s="9" t="inlineStr"/>
    </row>
    <row r="408">
      <c r="A408" s="9" t="inlineStr">
        <is>
          <t>A-F-0003</t>
        </is>
      </c>
      <c r="B408" s="9" t="inlineStr">
        <is>
          <t>A</t>
        </is>
      </c>
      <c r="C408" s="9" t="inlineStr">
        <is>
          <t>Power block</t>
        </is>
      </c>
      <c r="D408" s="9" t="inlineStr">
        <is>
          <t>Plant network / DCS fibre</t>
        </is>
      </c>
      <c r="E408" s="9" t="inlineStr">
        <is>
          <t>CR</t>
        </is>
      </c>
      <c r="F408" s="9" t="inlineStr">
        <is>
          <t>Control / admin building (main control room)</t>
        </is>
      </c>
      <c r="G408" s="9" t="inlineStr">
        <is>
          <t>CEMS-3</t>
        </is>
      </c>
      <c r="H408" s="9" t="inlineStr">
        <is>
          <t>CEMS shelter, HRSG 3</t>
        </is>
      </c>
      <c r="I408" s="9" t="inlineStr">
        <is>
          <t>Fibre / data</t>
        </is>
      </c>
      <c r="J408" s="9" t="inlineStr">
        <is>
          <t>Fibre optic, single-mode, 12-fibre, armored, orange jacket</t>
        </is>
      </c>
      <c r="K408" s="9" t="inlineStr">
        <is>
          <t>FO|12 SM|-</t>
        </is>
      </c>
      <c r="L408" s="9" t="inlineStr">
        <is>
          <t>12 SM</t>
        </is>
      </c>
      <c r="M408" s="9" t="inlineStr">
        <is>
          <t>-</t>
        </is>
      </c>
      <c r="N408" s="9" t="n">
        <v>1</v>
      </c>
      <c r="O408" s="9" t="n">
        <v>1</v>
      </c>
      <c r="P408" s="9" t="n"/>
      <c r="Q408" s="9" t="n"/>
      <c r="R408" s="9" t="n"/>
      <c r="S408" s="9" t="inlineStr">
        <is>
          <t>Tray</t>
        </is>
      </c>
      <c r="T408" s="10" t="n">
        <v>2058</v>
      </c>
      <c r="U408" s="10" t="n">
        <v>97</v>
      </c>
      <c r="V408" s="10">
        <f>ROUNDUP((T408+U408+2*'Read Me'!$B$13)*(1+'Read Me'!$B$12),-1)</f>
        <v/>
      </c>
      <c r="W408" s="10">
        <f>V408*N408*O408</f>
        <v/>
      </c>
      <c r="X408" s="9">
        <f>IF(LEFT(I408,2)="MV",2*N408*IF(L408="1/C",O408,1),0)</f>
        <v/>
      </c>
      <c r="Y408" s="9">
        <f>IF(OR(LEFT(K408,4)="LVAX",LEFT(K408,6)="MV15AX",LEFT(K408,4)="CTAX",LEFT(K408,2)="W|"),2*N408*O408,0)</f>
        <v/>
      </c>
      <c r="Z408" s="9" t="inlineStr"/>
    </row>
    <row r="409">
      <c r="A409" s="9" t="inlineStr">
        <is>
          <t>A-F-0004</t>
        </is>
      </c>
      <c r="B409" s="9" t="inlineStr">
        <is>
          <t>A</t>
        </is>
      </c>
      <c r="C409" s="9" t="inlineStr">
        <is>
          <t>Power block</t>
        </is>
      </c>
      <c r="D409" s="9" t="inlineStr">
        <is>
          <t>Plant network / DCS fibre</t>
        </is>
      </c>
      <c r="E409" s="9" t="inlineStr">
        <is>
          <t>CR</t>
        </is>
      </c>
      <c r="F409" s="9" t="inlineStr">
        <is>
          <t>Control / admin building (main control room)</t>
        </is>
      </c>
      <c r="G409" s="9" t="inlineStr">
        <is>
          <t>EXC-1</t>
        </is>
      </c>
      <c r="H409" s="9" t="inlineStr">
        <is>
          <t>EXC-1: static excitation cubicles (GTG-1)</t>
        </is>
      </c>
      <c r="I409" s="9" t="inlineStr">
        <is>
          <t>Fibre / data</t>
        </is>
      </c>
      <c r="J409" s="9" t="inlineStr">
        <is>
          <t>Fibre optic, single-mode, 12-fibre, armored, orange jacket</t>
        </is>
      </c>
      <c r="K409" s="9" t="inlineStr">
        <is>
          <t>FO|12 SM|-</t>
        </is>
      </c>
      <c r="L409" s="9" t="inlineStr">
        <is>
          <t>12 SM</t>
        </is>
      </c>
      <c r="M409" s="9" t="inlineStr">
        <is>
          <t>-</t>
        </is>
      </c>
      <c r="N409" s="9" t="n">
        <v>1</v>
      </c>
      <c r="O409" s="9" t="n">
        <v>1</v>
      </c>
      <c r="P409" s="9" t="n"/>
      <c r="Q409" s="9" t="n"/>
      <c r="R409" s="9" t="n"/>
      <c r="S409" s="9" t="inlineStr">
        <is>
          <t>Duct bank</t>
        </is>
      </c>
      <c r="T409" s="10" t="n">
        <v>993</v>
      </c>
      <c r="U409" s="10" t="n">
        <v>46</v>
      </c>
      <c r="V409" s="10">
        <f>ROUNDUP((T409+U409+2*'Read Me'!$B$13)*(1+'Read Me'!$B$12),-1)</f>
        <v/>
      </c>
      <c r="W409" s="10">
        <f>V409*N409*O409</f>
        <v/>
      </c>
      <c r="X409" s="9">
        <f>IF(LEFT(I409,2)="MV",2*N409*IF(L409="1/C",O409,1),0)</f>
        <v/>
      </c>
      <c r="Y409" s="9">
        <f>IF(OR(LEFT(K409,4)="LVAX",LEFT(K409,6)="MV15AX",LEFT(K409,4)="CTAX",LEFT(K409,2)="W|"),2*N409*O409,0)</f>
        <v/>
      </c>
      <c r="Z409" s="9" t="inlineStr"/>
    </row>
    <row r="410">
      <c r="A410" s="9" t="inlineStr">
        <is>
          <t>A-F-0005</t>
        </is>
      </c>
      <c r="B410" s="9" t="inlineStr">
        <is>
          <t>A</t>
        </is>
      </c>
      <c r="C410" s="9" t="inlineStr">
        <is>
          <t>Power block</t>
        </is>
      </c>
      <c r="D410" s="9" t="inlineStr">
        <is>
          <t>Plant network / DCS fibre</t>
        </is>
      </c>
      <c r="E410" s="9" t="inlineStr">
        <is>
          <t>CR</t>
        </is>
      </c>
      <c r="F410" s="9" t="inlineStr">
        <is>
          <t>Control / admin building (main control room)</t>
        </is>
      </c>
      <c r="G410" s="9" t="inlineStr">
        <is>
          <t>EXC-2</t>
        </is>
      </c>
      <c r="H410" s="9" t="inlineStr">
        <is>
          <t>EXC-2: static excitation cubicles (GTG-2)</t>
        </is>
      </c>
      <c r="I410" s="9" t="inlineStr">
        <is>
          <t>Fibre / data</t>
        </is>
      </c>
      <c r="J410" s="9" t="inlineStr">
        <is>
          <t>Fibre optic, single-mode, 12-fibre, armored, orange jacket</t>
        </is>
      </c>
      <c r="K410" s="9" t="inlineStr">
        <is>
          <t>FO|12 SM|-</t>
        </is>
      </c>
      <c r="L410" s="9" t="inlineStr">
        <is>
          <t>12 SM</t>
        </is>
      </c>
      <c r="M410" s="9" t="inlineStr">
        <is>
          <t>-</t>
        </is>
      </c>
      <c r="N410" s="9" t="n">
        <v>1</v>
      </c>
      <c r="O410" s="9" t="n">
        <v>1</v>
      </c>
      <c r="P410" s="9" t="n"/>
      <c r="Q410" s="9" t="n"/>
      <c r="R410" s="9" t="n"/>
      <c r="S410" s="9" t="inlineStr">
        <is>
          <t>Duct bank</t>
        </is>
      </c>
      <c r="T410" s="10" t="n">
        <v>1153</v>
      </c>
      <c r="U410" s="10" t="n">
        <v>46</v>
      </c>
      <c r="V410" s="10">
        <f>ROUNDUP((T410+U410+2*'Read Me'!$B$13)*(1+'Read Me'!$B$12),-1)</f>
        <v/>
      </c>
      <c r="W410" s="10">
        <f>V410*N410*O410</f>
        <v/>
      </c>
      <c r="X410" s="9">
        <f>IF(LEFT(I410,2)="MV",2*N410*IF(L410="1/C",O410,1),0)</f>
        <v/>
      </c>
      <c r="Y410" s="9">
        <f>IF(OR(LEFT(K410,4)="LVAX",LEFT(K410,6)="MV15AX",LEFT(K410,4)="CTAX",LEFT(K410,2)="W|"),2*N410*O410,0)</f>
        <v/>
      </c>
      <c r="Z410" s="9" t="inlineStr"/>
    </row>
    <row r="411">
      <c r="A411" s="9" t="inlineStr">
        <is>
          <t>A-F-0006</t>
        </is>
      </c>
      <c r="B411" s="9" t="inlineStr">
        <is>
          <t>A</t>
        </is>
      </c>
      <c r="C411" s="9" t="inlineStr">
        <is>
          <t>Power block</t>
        </is>
      </c>
      <c r="D411" s="9" t="inlineStr">
        <is>
          <t>Plant network / DCS fibre</t>
        </is>
      </c>
      <c r="E411" s="9" t="inlineStr">
        <is>
          <t>CR</t>
        </is>
      </c>
      <c r="F411" s="9" t="inlineStr">
        <is>
          <t>Control / admin building (main control room)</t>
        </is>
      </c>
      <c r="G411" s="9" t="inlineStr">
        <is>
          <t>EXC-3</t>
        </is>
      </c>
      <c r="H411" s="9" t="inlineStr">
        <is>
          <t>EXC-3: static excitation cubicles (GTG-3)</t>
        </is>
      </c>
      <c r="I411" s="9" t="inlineStr">
        <is>
          <t>Fibre / data</t>
        </is>
      </c>
      <c r="J411" s="9" t="inlineStr">
        <is>
          <t>Fibre optic, single-mode, 12-fibre, armored, orange jacket</t>
        </is>
      </c>
      <c r="K411" s="9" t="inlineStr">
        <is>
          <t>FO|12 SM|-</t>
        </is>
      </c>
      <c r="L411" s="9" t="inlineStr">
        <is>
          <t>12 SM</t>
        </is>
      </c>
      <c r="M411" s="9" t="inlineStr">
        <is>
          <t>-</t>
        </is>
      </c>
      <c r="N411" s="9" t="n">
        <v>1</v>
      </c>
      <c r="O411" s="9" t="n">
        <v>1</v>
      </c>
      <c r="P411" s="9" t="n"/>
      <c r="Q411" s="9" t="n"/>
      <c r="R411" s="9" t="n"/>
      <c r="S411" s="9" t="inlineStr">
        <is>
          <t>Duct bank</t>
        </is>
      </c>
      <c r="T411" s="10" t="n">
        <v>1313</v>
      </c>
      <c r="U411" s="10" t="n">
        <v>46</v>
      </c>
      <c r="V411" s="10">
        <f>ROUNDUP((T411+U411+2*'Read Me'!$B$13)*(1+'Read Me'!$B$12),-1)</f>
        <v/>
      </c>
      <c r="W411" s="10">
        <f>V411*N411*O411</f>
        <v/>
      </c>
      <c r="X411" s="9">
        <f>IF(LEFT(I411,2)="MV",2*N411*IF(L411="1/C",O411,1),0)</f>
        <v/>
      </c>
      <c r="Y411" s="9">
        <f>IF(OR(LEFT(K411,4)="LVAX",LEFT(K411,6)="MV15AX",LEFT(K411,4)="CTAX",LEFT(K411,2)="W|"),2*N411*O411,0)</f>
        <v/>
      </c>
      <c r="Z411" s="9" t="inlineStr"/>
    </row>
    <row r="412">
      <c r="A412" s="9" t="inlineStr">
        <is>
          <t>A-F-0007</t>
        </is>
      </c>
      <c r="B412" s="9" t="inlineStr">
        <is>
          <t>A</t>
        </is>
      </c>
      <c r="C412" s="9" t="inlineStr">
        <is>
          <t>Power block</t>
        </is>
      </c>
      <c r="D412" s="9" t="inlineStr">
        <is>
          <t>Plant network / DCS fibre</t>
        </is>
      </c>
      <c r="E412" s="9" t="inlineStr">
        <is>
          <t>CR</t>
        </is>
      </c>
      <c r="F412" s="9" t="inlineStr">
        <is>
          <t>Control / admin building (main control room)</t>
        </is>
      </c>
      <c r="G412" s="9" t="inlineStr">
        <is>
          <t>EXC-ST</t>
        </is>
      </c>
      <c r="H412" s="9" t="inlineStr">
        <is>
          <t>EXC-ST: static excitation cubicles (STG)</t>
        </is>
      </c>
      <c r="I412" s="9" t="inlineStr">
        <is>
          <t>Fibre / data</t>
        </is>
      </c>
      <c r="J412" s="9" t="inlineStr">
        <is>
          <t>Fibre optic, single-mode, 12-fibre, armored, orange jacket</t>
        </is>
      </c>
      <c r="K412" s="9" t="inlineStr">
        <is>
          <t>FO|12 SM|-</t>
        </is>
      </c>
      <c r="L412" s="9" t="inlineStr">
        <is>
          <t>12 SM</t>
        </is>
      </c>
      <c r="M412" s="9" t="inlineStr">
        <is>
          <t>-</t>
        </is>
      </c>
      <c r="N412" s="9" t="n">
        <v>1</v>
      </c>
      <c r="O412" s="9" t="n">
        <v>1</v>
      </c>
      <c r="P412" s="9" t="n"/>
      <c r="Q412" s="9" t="n"/>
      <c r="R412" s="9" t="n"/>
      <c r="S412" s="9" t="inlineStr">
        <is>
          <t>Duct bank</t>
        </is>
      </c>
      <c r="T412" s="10" t="n">
        <v>1740</v>
      </c>
      <c r="U412" s="10" t="n">
        <v>94</v>
      </c>
      <c r="V412" s="10">
        <f>ROUNDUP((T412+U412+2*'Read Me'!$B$13)*(1+'Read Me'!$B$12),-1)</f>
        <v/>
      </c>
      <c r="W412" s="10">
        <f>V412*N412*O412</f>
        <v/>
      </c>
      <c r="X412" s="9">
        <f>IF(LEFT(I412,2)="MV",2*N412*IF(L412="1/C",O412,1),0)</f>
        <v/>
      </c>
      <c r="Y412" s="9">
        <f>IF(OR(LEFT(K412,4)="LVAX",LEFT(K412,6)="MV15AX",LEFT(K412,4)="CTAX",LEFT(K412,2)="W|"),2*N412*O412,0)</f>
        <v/>
      </c>
      <c r="Z412" s="9" t="inlineStr"/>
    </row>
    <row r="413">
      <c r="A413" s="9" t="inlineStr">
        <is>
          <t>A-F-0008</t>
        </is>
      </c>
      <c r="B413" s="9" t="inlineStr">
        <is>
          <t>A</t>
        </is>
      </c>
      <c r="C413" s="9" t="inlineStr">
        <is>
          <t>Power block</t>
        </is>
      </c>
      <c r="D413" s="9" t="inlineStr">
        <is>
          <t>Plant network / DCS fibre</t>
        </is>
      </c>
      <c r="E413" s="9" t="inlineStr">
        <is>
          <t>CR</t>
        </is>
      </c>
      <c r="F413" s="9" t="inlineStr">
        <is>
          <t>Control / admin building (main control room)</t>
        </is>
      </c>
      <c r="G413" s="9" t="inlineStr">
        <is>
          <t>NGT-1</t>
        </is>
      </c>
      <c r="H413" s="9" t="inlineStr">
        <is>
          <t>NGT-1: neutral grounding cubicle (GTG-1)</t>
        </is>
      </c>
      <c r="I413" s="9" t="inlineStr">
        <is>
          <t>Fibre / data</t>
        </is>
      </c>
      <c r="J413" s="9" t="inlineStr">
        <is>
          <t>Fibre optic, single-mode, 12-fibre, armored, orange jacket</t>
        </is>
      </c>
      <c r="K413" s="9" t="inlineStr">
        <is>
          <t>FO|12 SM|-</t>
        </is>
      </c>
      <c r="L413" s="9" t="inlineStr">
        <is>
          <t>12 SM</t>
        </is>
      </c>
      <c r="M413" s="9" t="inlineStr">
        <is>
          <t>-</t>
        </is>
      </c>
      <c r="N413" s="9" t="n">
        <v>1</v>
      </c>
      <c r="O413" s="9" t="n">
        <v>1</v>
      </c>
      <c r="P413" s="9" t="n"/>
      <c r="Q413" s="9" t="n"/>
      <c r="R413" s="9" t="n"/>
      <c r="S413" s="9" t="inlineStr">
        <is>
          <t>Duct bank</t>
        </is>
      </c>
      <c r="T413" s="10" t="n">
        <v>993</v>
      </c>
      <c r="U413" s="10" t="n">
        <v>63</v>
      </c>
      <c r="V413" s="10">
        <f>ROUNDUP((T413+U413+2*'Read Me'!$B$13)*(1+'Read Me'!$B$12),-1)</f>
        <v/>
      </c>
      <c r="W413" s="10">
        <f>V413*N413*O413</f>
        <v/>
      </c>
      <c r="X413" s="9">
        <f>IF(LEFT(I413,2)="MV",2*N413*IF(L413="1/C",O413,1),0)</f>
        <v/>
      </c>
      <c r="Y413" s="9">
        <f>IF(OR(LEFT(K413,4)="LVAX",LEFT(K413,6)="MV15AX",LEFT(K413,4)="CTAX",LEFT(K413,2)="W|"),2*N413*O413,0)</f>
        <v/>
      </c>
      <c r="Z413" s="9" t="inlineStr"/>
    </row>
    <row r="414">
      <c r="A414" s="9" t="inlineStr">
        <is>
          <t>A-F-0009</t>
        </is>
      </c>
      <c r="B414" s="9" t="inlineStr">
        <is>
          <t>A</t>
        </is>
      </c>
      <c r="C414" s="9" t="inlineStr">
        <is>
          <t>Power block</t>
        </is>
      </c>
      <c r="D414" s="9" t="inlineStr">
        <is>
          <t>Plant network / DCS fibre</t>
        </is>
      </c>
      <c r="E414" s="9" t="inlineStr">
        <is>
          <t>CR</t>
        </is>
      </c>
      <c r="F414" s="9" t="inlineStr">
        <is>
          <t>Control / admin building (main control room)</t>
        </is>
      </c>
      <c r="G414" s="9" t="inlineStr">
        <is>
          <t>NGT-2</t>
        </is>
      </c>
      <c r="H414" s="9" t="inlineStr">
        <is>
          <t>NGT-2: neutral grounding cubicle (GTG-2)</t>
        </is>
      </c>
      <c r="I414" s="9" t="inlineStr">
        <is>
          <t>Fibre / data</t>
        </is>
      </c>
      <c r="J414" s="9" t="inlineStr">
        <is>
          <t>Fibre optic, single-mode, 12-fibre, armored, orange jacket</t>
        </is>
      </c>
      <c r="K414" s="9" t="inlineStr">
        <is>
          <t>FO|12 SM|-</t>
        </is>
      </c>
      <c r="L414" s="9" t="inlineStr">
        <is>
          <t>12 SM</t>
        </is>
      </c>
      <c r="M414" s="9" t="inlineStr">
        <is>
          <t>-</t>
        </is>
      </c>
      <c r="N414" s="9" t="n">
        <v>1</v>
      </c>
      <c r="O414" s="9" t="n">
        <v>1</v>
      </c>
      <c r="P414" s="9" t="n"/>
      <c r="Q414" s="9" t="n"/>
      <c r="R414" s="9" t="n"/>
      <c r="S414" s="9" t="inlineStr">
        <is>
          <t>Duct bank</t>
        </is>
      </c>
      <c r="T414" s="10" t="n">
        <v>1153</v>
      </c>
      <c r="U414" s="10" t="n">
        <v>63</v>
      </c>
      <c r="V414" s="10">
        <f>ROUNDUP((T414+U414+2*'Read Me'!$B$13)*(1+'Read Me'!$B$12),-1)</f>
        <v/>
      </c>
      <c r="W414" s="10">
        <f>V414*N414*O414</f>
        <v/>
      </c>
      <c r="X414" s="9">
        <f>IF(LEFT(I414,2)="MV",2*N414*IF(L414="1/C",O414,1),0)</f>
        <v/>
      </c>
      <c r="Y414" s="9">
        <f>IF(OR(LEFT(K414,4)="LVAX",LEFT(K414,6)="MV15AX",LEFT(K414,4)="CTAX",LEFT(K414,2)="W|"),2*N414*O414,0)</f>
        <v/>
      </c>
      <c r="Z414" s="9" t="inlineStr"/>
    </row>
    <row r="415">
      <c r="A415" s="9" t="inlineStr">
        <is>
          <t>A-F-0010</t>
        </is>
      </c>
      <c r="B415" s="9" t="inlineStr">
        <is>
          <t>A</t>
        </is>
      </c>
      <c r="C415" s="9" t="inlineStr">
        <is>
          <t>Power block</t>
        </is>
      </c>
      <c r="D415" s="9" t="inlineStr">
        <is>
          <t>Plant network / DCS fibre</t>
        </is>
      </c>
      <c r="E415" s="9" t="inlineStr">
        <is>
          <t>CR</t>
        </is>
      </c>
      <c r="F415" s="9" t="inlineStr">
        <is>
          <t>Control / admin building (main control room)</t>
        </is>
      </c>
      <c r="G415" s="9" t="inlineStr">
        <is>
          <t>NGT-3</t>
        </is>
      </c>
      <c r="H415" s="9" t="inlineStr">
        <is>
          <t>NGT-3: neutral grounding cubicle (GTG-3)</t>
        </is>
      </c>
      <c r="I415" s="9" t="inlineStr">
        <is>
          <t>Fibre / data</t>
        </is>
      </c>
      <c r="J415" s="9" t="inlineStr">
        <is>
          <t>Fibre optic, single-mode, 12-fibre, armored, orange jacket</t>
        </is>
      </c>
      <c r="K415" s="9" t="inlineStr">
        <is>
          <t>FO|12 SM|-</t>
        </is>
      </c>
      <c r="L415" s="9" t="inlineStr">
        <is>
          <t>12 SM</t>
        </is>
      </c>
      <c r="M415" s="9" t="inlineStr">
        <is>
          <t>-</t>
        </is>
      </c>
      <c r="N415" s="9" t="n">
        <v>1</v>
      </c>
      <c r="O415" s="9" t="n">
        <v>1</v>
      </c>
      <c r="P415" s="9" t="n"/>
      <c r="Q415" s="9" t="n"/>
      <c r="R415" s="9" t="n"/>
      <c r="S415" s="9" t="inlineStr">
        <is>
          <t>Duct bank</t>
        </is>
      </c>
      <c r="T415" s="10" t="n">
        <v>1313</v>
      </c>
      <c r="U415" s="10" t="n">
        <v>63</v>
      </c>
      <c r="V415" s="10">
        <f>ROUNDUP((T415+U415+2*'Read Me'!$B$13)*(1+'Read Me'!$B$12),-1)</f>
        <v/>
      </c>
      <c r="W415" s="10">
        <f>V415*N415*O415</f>
        <v/>
      </c>
      <c r="X415" s="9">
        <f>IF(LEFT(I415,2)="MV",2*N415*IF(L415="1/C",O415,1),0)</f>
        <v/>
      </c>
      <c r="Y415" s="9">
        <f>IF(OR(LEFT(K415,4)="LVAX",LEFT(K415,6)="MV15AX",LEFT(K415,4)="CTAX",LEFT(K415,2)="W|"),2*N415*O415,0)</f>
        <v/>
      </c>
      <c r="Z415" s="9" t="inlineStr"/>
    </row>
    <row r="416">
      <c r="A416" s="9" t="inlineStr">
        <is>
          <t>A-F-0011</t>
        </is>
      </c>
      <c r="B416" s="9" t="inlineStr">
        <is>
          <t>A</t>
        </is>
      </c>
      <c r="C416" s="9" t="inlineStr">
        <is>
          <t>Power block</t>
        </is>
      </c>
      <c r="D416" s="9" t="inlineStr">
        <is>
          <t>Plant network / DCS fibre</t>
        </is>
      </c>
      <c r="E416" s="9" t="inlineStr">
        <is>
          <t>CR</t>
        </is>
      </c>
      <c r="F416" s="9" t="inlineStr">
        <is>
          <t>Control / admin building (main control room)</t>
        </is>
      </c>
      <c r="G416" s="9" t="inlineStr">
        <is>
          <t>NGT-ST</t>
        </is>
      </c>
      <c r="H416" s="9" t="inlineStr">
        <is>
          <t>NGT-ST: neutral grounding cubicle (STG)</t>
        </is>
      </c>
      <c r="I416" s="9" t="inlineStr">
        <is>
          <t>Fibre / data</t>
        </is>
      </c>
      <c r="J416" s="9" t="inlineStr">
        <is>
          <t>Fibre optic, single-mode, 12-fibre, armored, orange jacket</t>
        </is>
      </c>
      <c r="K416" s="9" t="inlineStr">
        <is>
          <t>FO|12 SM|-</t>
        </is>
      </c>
      <c r="L416" s="9" t="inlineStr">
        <is>
          <t>12 SM</t>
        </is>
      </c>
      <c r="M416" s="9" t="inlineStr">
        <is>
          <t>-</t>
        </is>
      </c>
      <c r="N416" s="9" t="n">
        <v>1</v>
      </c>
      <c r="O416" s="9" t="n">
        <v>1</v>
      </c>
      <c r="P416" s="9" t="n"/>
      <c r="Q416" s="9" t="n"/>
      <c r="R416" s="9" t="n"/>
      <c r="S416" s="9" t="inlineStr">
        <is>
          <t>Duct bank</t>
        </is>
      </c>
      <c r="T416" s="10" t="n">
        <v>1740</v>
      </c>
      <c r="U416" s="10" t="n">
        <v>78</v>
      </c>
      <c r="V416" s="10">
        <f>ROUNDUP((T416+U416+2*'Read Me'!$B$13)*(1+'Read Me'!$B$12),-1)</f>
        <v/>
      </c>
      <c r="W416" s="10">
        <f>V416*N416*O416</f>
        <v/>
      </c>
      <c r="X416" s="9">
        <f>IF(LEFT(I416,2)="MV",2*N416*IF(L416="1/C",O416,1),0)</f>
        <v/>
      </c>
      <c r="Y416" s="9">
        <f>IF(OR(LEFT(K416,4)="LVAX",LEFT(K416,6)="MV15AX",LEFT(K416,4)="CTAX",LEFT(K416,2)="W|"),2*N416*O416,0)</f>
        <v/>
      </c>
      <c r="Z416" s="9" t="inlineStr"/>
    </row>
    <row r="417">
      <c r="A417" s="9" t="inlineStr">
        <is>
          <t>A-F-0012</t>
        </is>
      </c>
      <c r="B417" s="9" t="inlineStr">
        <is>
          <t>A</t>
        </is>
      </c>
      <c r="C417" s="9" t="inlineStr">
        <is>
          <t>Power block</t>
        </is>
      </c>
      <c r="D417" s="9" t="inlineStr">
        <is>
          <t>Plant network / DCS fibre</t>
        </is>
      </c>
      <c r="E417" s="9" t="inlineStr">
        <is>
          <t>CR</t>
        </is>
      </c>
      <c r="F417" s="9" t="inlineStr">
        <is>
          <t>Control / admin building (main control room)</t>
        </is>
      </c>
      <c r="G417" s="9" t="inlineStr">
        <is>
          <t>R1</t>
        </is>
      </c>
      <c r="H417" s="9" t="inlineStr">
        <is>
          <t>R1: main electrical building (64 x 180 ft)</t>
        </is>
      </c>
      <c r="I417" s="9" t="inlineStr">
        <is>
          <t>Fibre / data</t>
        </is>
      </c>
      <c r="J417" s="9" t="inlineStr">
        <is>
          <t>Fibre optic, single-mode, 12-fibre, armored, orange jacket</t>
        </is>
      </c>
      <c r="K417" s="9" t="inlineStr">
        <is>
          <t>FO|12 SM|-</t>
        </is>
      </c>
      <c r="L417" s="9" t="inlineStr">
        <is>
          <t>12 SM</t>
        </is>
      </c>
      <c r="M417" s="9" t="inlineStr">
        <is>
          <t>-</t>
        </is>
      </c>
      <c r="N417" s="9" t="n">
        <v>1</v>
      </c>
      <c r="O417" s="9" t="n">
        <v>1</v>
      </c>
      <c r="P417" s="9" t="n"/>
      <c r="Q417" s="9" t="n"/>
      <c r="R417" s="9" t="n"/>
      <c r="S417" s="9" t="inlineStr">
        <is>
          <t>Duct bank</t>
        </is>
      </c>
      <c r="T417" s="10" t="n">
        <v>313</v>
      </c>
      <c r="U417" s="10" t="n">
        <v>32</v>
      </c>
      <c r="V417" s="10">
        <f>ROUNDUP((T417+U417+2*'Read Me'!$B$13)*(1+'Read Me'!$B$12),-1)</f>
        <v/>
      </c>
      <c r="W417" s="10">
        <f>V417*N417*O417</f>
        <v/>
      </c>
      <c r="X417" s="9">
        <f>IF(LEFT(I417,2)="MV",2*N417*IF(L417="1/C",O417,1),0)</f>
        <v/>
      </c>
      <c r="Y417" s="9">
        <f>IF(OR(LEFT(K417,4)="LVAX",LEFT(K417,6)="MV15AX",LEFT(K417,4)="CTAX",LEFT(K417,2)="W|"),2*N417*O417,0)</f>
        <v/>
      </c>
      <c r="Z417" s="9" t="inlineStr"/>
    </row>
    <row r="418">
      <c r="A418" s="9" t="inlineStr">
        <is>
          <t>A-F-0013</t>
        </is>
      </c>
      <c r="B418" s="9" t="inlineStr">
        <is>
          <t>A</t>
        </is>
      </c>
      <c r="C418" s="9" t="inlineStr">
        <is>
          <t>Power block</t>
        </is>
      </c>
      <c r="D418" s="9" t="inlineStr">
        <is>
          <t>Plant network / DCS fibre</t>
        </is>
      </c>
      <c r="E418" s="9" t="inlineStr">
        <is>
          <t>CR</t>
        </is>
      </c>
      <c r="F418" s="9" t="inlineStr">
        <is>
          <t>Control / admin building (main control room)</t>
        </is>
      </c>
      <c r="G418" s="9" t="inlineStr">
        <is>
          <t>R2A</t>
        </is>
      </c>
      <c r="H418" s="9" t="inlineStr">
        <is>
          <t>R2A: unit / HRSG electrical e-house (32 x 40 ft)</t>
        </is>
      </c>
      <c r="I418" s="9" t="inlineStr">
        <is>
          <t>Fibre / data</t>
        </is>
      </c>
      <c r="J418" s="9" t="inlineStr">
        <is>
          <t>Fibre optic, single-mode, 12-fibre, armored, orange jacket</t>
        </is>
      </c>
      <c r="K418" s="9" t="inlineStr">
        <is>
          <t>FO|12 SM|-</t>
        </is>
      </c>
      <c r="L418" s="9" t="inlineStr">
        <is>
          <t>12 SM</t>
        </is>
      </c>
      <c r="M418" s="9" t="inlineStr">
        <is>
          <t>-</t>
        </is>
      </c>
      <c r="N418" s="9" t="n">
        <v>1</v>
      </c>
      <c r="O418" s="9" t="n">
        <v>1</v>
      </c>
      <c r="P418" s="9" t="n"/>
      <c r="Q418" s="9" t="n"/>
      <c r="R418" s="9" t="n"/>
      <c r="S418" s="9" t="inlineStr">
        <is>
          <t>Duct bank</t>
        </is>
      </c>
      <c r="T418" s="10" t="n">
        <v>1395</v>
      </c>
      <c r="U418" s="10" t="n">
        <v>82</v>
      </c>
      <c r="V418" s="10">
        <f>ROUNDUP((T418+U418+2*'Read Me'!$B$13)*(1+'Read Me'!$B$12),-1)</f>
        <v/>
      </c>
      <c r="W418" s="10">
        <f>V418*N418*O418</f>
        <v/>
      </c>
      <c r="X418" s="9">
        <f>IF(LEFT(I418,2)="MV",2*N418*IF(L418="1/C",O418,1),0)</f>
        <v/>
      </c>
      <c r="Y418" s="9">
        <f>IF(OR(LEFT(K418,4)="LVAX",LEFT(K418,6)="MV15AX",LEFT(K418,4)="CTAX",LEFT(K418,2)="W|"),2*N418*O418,0)</f>
        <v/>
      </c>
      <c r="Z418" s="9" t="inlineStr"/>
    </row>
    <row r="419">
      <c r="A419" s="9" t="inlineStr">
        <is>
          <t>A-F-0014</t>
        </is>
      </c>
      <c r="B419" s="9" t="inlineStr">
        <is>
          <t>A</t>
        </is>
      </c>
      <c r="C419" s="9" t="inlineStr">
        <is>
          <t>Power block</t>
        </is>
      </c>
      <c r="D419" s="9" t="inlineStr">
        <is>
          <t>Plant network / DCS fibre</t>
        </is>
      </c>
      <c r="E419" s="9" t="inlineStr">
        <is>
          <t>CR</t>
        </is>
      </c>
      <c r="F419" s="9" t="inlineStr">
        <is>
          <t>Control / admin building (main control room)</t>
        </is>
      </c>
      <c r="G419" s="9" t="inlineStr">
        <is>
          <t>R2B</t>
        </is>
      </c>
      <c r="H419" s="9" t="inlineStr">
        <is>
          <t>R2B: unit / HRSG electrical e-house (32 x 40 ft)</t>
        </is>
      </c>
      <c r="I419" s="9" t="inlineStr">
        <is>
          <t>Fibre / data</t>
        </is>
      </c>
      <c r="J419" s="9" t="inlineStr">
        <is>
          <t>Fibre optic, single-mode, 12-fibre, armored, orange jacket</t>
        </is>
      </c>
      <c r="K419" s="9" t="inlineStr">
        <is>
          <t>FO|12 SM|-</t>
        </is>
      </c>
      <c r="L419" s="9" t="inlineStr">
        <is>
          <t>12 SM</t>
        </is>
      </c>
      <c r="M419" s="9" t="inlineStr">
        <is>
          <t>-</t>
        </is>
      </c>
      <c r="N419" s="9" t="n">
        <v>1</v>
      </c>
      <c r="O419" s="9" t="n">
        <v>1</v>
      </c>
      <c r="P419" s="9" t="n"/>
      <c r="Q419" s="9" t="n"/>
      <c r="R419" s="9" t="n"/>
      <c r="S419" s="9" t="inlineStr">
        <is>
          <t>Tray</t>
        </is>
      </c>
      <c r="T419" s="10" t="n">
        <v>1950</v>
      </c>
      <c r="U419" s="10" t="n">
        <v>108</v>
      </c>
      <c r="V419" s="10">
        <f>ROUNDUP((T419+U419+2*'Read Me'!$B$13)*(1+'Read Me'!$B$12),-1)</f>
        <v/>
      </c>
      <c r="W419" s="10">
        <f>V419*N419*O419</f>
        <v/>
      </c>
      <c r="X419" s="9">
        <f>IF(LEFT(I419,2)="MV",2*N419*IF(L419="1/C",O419,1),0)</f>
        <v/>
      </c>
      <c r="Y419" s="9">
        <f>IF(OR(LEFT(K419,4)="LVAX",LEFT(K419,6)="MV15AX",LEFT(K419,4)="CTAX",LEFT(K419,2)="W|"),2*N419*O419,0)</f>
        <v/>
      </c>
      <c r="Z419" s="9" t="inlineStr"/>
    </row>
    <row r="420">
      <c r="A420" s="9" t="inlineStr">
        <is>
          <t>A-F-0015</t>
        </is>
      </c>
      <c r="B420" s="9" t="inlineStr">
        <is>
          <t>A</t>
        </is>
      </c>
      <c r="C420" s="9" t="inlineStr">
        <is>
          <t>Power block</t>
        </is>
      </c>
      <c r="D420" s="9" t="inlineStr">
        <is>
          <t>Plant network / DCS fibre</t>
        </is>
      </c>
      <c r="E420" s="9" t="inlineStr">
        <is>
          <t>CR</t>
        </is>
      </c>
      <c r="F420" s="9" t="inlineStr">
        <is>
          <t>Control / admin building (main control room)</t>
        </is>
      </c>
      <c r="G420" s="9" t="inlineStr">
        <is>
          <t>R2C</t>
        </is>
      </c>
      <c r="H420" s="9" t="inlineStr">
        <is>
          <t>R2C: unit / HRSG electrical e-house (32 x 40 ft)</t>
        </is>
      </c>
      <c r="I420" s="9" t="inlineStr">
        <is>
          <t>Fibre / data</t>
        </is>
      </c>
      <c r="J420" s="9" t="inlineStr">
        <is>
          <t>Fibre optic, single-mode, 12-fibre, armored, orange jacket</t>
        </is>
      </c>
      <c r="K420" s="9" t="inlineStr">
        <is>
          <t>FO|12 SM|-</t>
        </is>
      </c>
      <c r="L420" s="9" t="inlineStr">
        <is>
          <t>12 SM</t>
        </is>
      </c>
      <c r="M420" s="9" t="inlineStr">
        <is>
          <t>-</t>
        </is>
      </c>
      <c r="N420" s="9" t="n">
        <v>1</v>
      </c>
      <c r="O420" s="9" t="n">
        <v>1</v>
      </c>
      <c r="P420" s="9" t="n"/>
      <c r="Q420" s="9" t="n"/>
      <c r="R420" s="9" t="n"/>
      <c r="S420" s="9" t="inlineStr">
        <is>
          <t>Tray</t>
        </is>
      </c>
      <c r="T420" s="10" t="n">
        <v>2110</v>
      </c>
      <c r="U420" s="10" t="n">
        <v>108</v>
      </c>
      <c r="V420" s="10">
        <f>ROUNDUP((T420+U420+2*'Read Me'!$B$13)*(1+'Read Me'!$B$12),-1)</f>
        <v/>
      </c>
      <c r="W420" s="10">
        <f>V420*N420*O420</f>
        <v/>
      </c>
      <c r="X420" s="9">
        <f>IF(LEFT(I420,2)="MV",2*N420*IF(L420="1/C",O420,1),0)</f>
        <v/>
      </c>
      <c r="Y420" s="9">
        <f>IF(OR(LEFT(K420,4)="LVAX",LEFT(K420,6)="MV15AX",LEFT(K420,4)="CTAX",LEFT(K420,2)="W|"),2*N420*O420,0)</f>
        <v/>
      </c>
      <c r="Z420" s="9" t="inlineStr"/>
    </row>
    <row r="421">
      <c r="A421" s="9" t="inlineStr">
        <is>
          <t>A-F-0016</t>
        </is>
      </c>
      <c r="B421" s="9" t="inlineStr">
        <is>
          <t>A</t>
        </is>
      </c>
      <c r="C421" s="9" t="inlineStr">
        <is>
          <t>Power block</t>
        </is>
      </c>
      <c r="D421" s="9" t="inlineStr">
        <is>
          <t>Plant network / DCS fibre</t>
        </is>
      </c>
      <c r="E421" s="9" t="inlineStr">
        <is>
          <t>CR</t>
        </is>
      </c>
      <c r="F421" s="9" t="inlineStr">
        <is>
          <t>Control / admin building (main control room)</t>
        </is>
      </c>
      <c r="G421" s="9" t="inlineStr">
        <is>
          <t>R3</t>
        </is>
      </c>
      <c r="H421" s="9" t="inlineStr">
        <is>
          <t>R3: ST auxiliary electrical e-house (40 x 65 ft)</t>
        </is>
      </c>
      <c r="I421" s="9" t="inlineStr">
        <is>
          <t>Fibre / data</t>
        </is>
      </c>
      <c r="J421" s="9" t="inlineStr">
        <is>
          <t>Fibre optic, single-mode, 12-fibre, armored, orange jacket</t>
        </is>
      </c>
      <c r="K421" s="9" t="inlineStr">
        <is>
          <t>FO|12 SM|-</t>
        </is>
      </c>
      <c r="L421" s="9" t="inlineStr">
        <is>
          <t>12 SM</t>
        </is>
      </c>
      <c r="M421" s="9" t="inlineStr">
        <is>
          <t>-</t>
        </is>
      </c>
      <c r="N421" s="9" t="n">
        <v>1</v>
      </c>
      <c r="O421" s="9" t="n">
        <v>1</v>
      </c>
      <c r="P421" s="9" t="n"/>
      <c r="Q421" s="9" t="n"/>
      <c r="R421" s="9" t="n"/>
      <c r="S421" s="9" t="inlineStr">
        <is>
          <t>Duct bank</t>
        </is>
      </c>
      <c r="T421" s="10" t="n">
        <v>1794</v>
      </c>
      <c r="U421" s="10" t="n">
        <v>82</v>
      </c>
      <c r="V421" s="10">
        <f>ROUNDUP((T421+U421+2*'Read Me'!$B$13)*(1+'Read Me'!$B$12),-1)</f>
        <v/>
      </c>
      <c r="W421" s="10">
        <f>V421*N421*O421</f>
        <v/>
      </c>
      <c r="X421" s="9">
        <f>IF(LEFT(I421,2)="MV",2*N421*IF(L421="1/C",O421,1),0)</f>
        <v/>
      </c>
      <c r="Y421" s="9">
        <f>IF(OR(LEFT(K421,4)="LVAX",LEFT(K421,6)="MV15AX",LEFT(K421,4)="CTAX",LEFT(K421,2)="W|"),2*N421*O421,0)</f>
        <v/>
      </c>
      <c r="Z421" s="9" t="inlineStr"/>
    </row>
    <row r="422">
      <c r="A422" s="9" t="inlineStr">
        <is>
          <t>A-F-0017</t>
        </is>
      </c>
      <c r="B422" s="9" t="inlineStr">
        <is>
          <t>A</t>
        </is>
      </c>
      <c r="C422" s="9" t="inlineStr">
        <is>
          <t>Power block</t>
        </is>
      </c>
      <c r="D422" s="9" t="inlineStr">
        <is>
          <t>Plant network / DCS fibre</t>
        </is>
      </c>
      <c r="E422" s="9" t="inlineStr">
        <is>
          <t>CR</t>
        </is>
      </c>
      <c r="F422" s="9" t="inlineStr">
        <is>
          <t>Control / admin building (main control room)</t>
        </is>
      </c>
      <c r="G422" s="9" t="inlineStr">
        <is>
          <t>SPC-1</t>
        </is>
      </c>
      <c r="H422" s="9" t="inlineStr">
        <is>
          <t>SPC-1: surge-protection and VT cubicle on the IPB (GTG-1)</t>
        </is>
      </c>
      <c r="I422" s="9" t="inlineStr">
        <is>
          <t>Fibre / data</t>
        </is>
      </c>
      <c r="J422" s="9" t="inlineStr">
        <is>
          <t>Fibre optic, single-mode, 12-fibre, armored, orange jacket</t>
        </is>
      </c>
      <c r="K422" s="9" t="inlineStr">
        <is>
          <t>FO|12 SM|-</t>
        </is>
      </c>
      <c r="L422" s="9" t="inlineStr">
        <is>
          <t>12 SM</t>
        </is>
      </c>
      <c r="M422" s="9" t="inlineStr">
        <is>
          <t>-</t>
        </is>
      </c>
      <c r="N422" s="9" t="n">
        <v>1</v>
      </c>
      <c r="O422" s="9" t="n">
        <v>1</v>
      </c>
      <c r="P422" s="9" t="n"/>
      <c r="Q422" s="9" t="n"/>
      <c r="R422" s="9" t="n"/>
      <c r="S422" s="9" t="inlineStr">
        <is>
          <t>Duct bank</t>
        </is>
      </c>
      <c r="T422" s="10" t="n">
        <v>960</v>
      </c>
      <c r="U422" s="10" t="n">
        <v>53</v>
      </c>
      <c r="V422" s="10">
        <f>ROUNDUP((T422+U422+2*'Read Me'!$B$13)*(1+'Read Me'!$B$12),-1)</f>
        <v/>
      </c>
      <c r="W422" s="10">
        <f>V422*N422*O422</f>
        <v/>
      </c>
      <c r="X422" s="9">
        <f>IF(LEFT(I422,2)="MV",2*N422*IF(L422="1/C",O422,1),0)</f>
        <v/>
      </c>
      <c r="Y422" s="9">
        <f>IF(OR(LEFT(K422,4)="LVAX",LEFT(K422,6)="MV15AX",LEFT(K422,4)="CTAX",LEFT(K422,2)="W|"),2*N422*O422,0)</f>
        <v/>
      </c>
      <c r="Z422" s="9" t="inlineStr"/>
    </row>
    <row r="423">
      <c r="A423" s="9" t="inlineStr">
        <is>
          <t>A-F-0018</t>
        </is>
      </c>
      <c r="B423" s="9" t="inlineStr">
        <is>
          <t>A</t>
        </is>
      </c>
      <c r="C423" s="9" t="inlineStr">
        <is>
          <t>Power block</t>
        </is>
      </c>
      <c r="D423" s="9" t="inlineStr">
        <is>
          <t>Plant network / DCS fibre</t>
        </is>
      </c>
      <c r="E423" s="9" t="inlineStr">
        <is>
          <t>CR</t>
        </is>
      </c>
      <c r="F423" s="9" t="inlineStr">
        <is>
          <t>Control / admin building (main control room)</t>
        </is>
      </c>
      <c r="G423" s="9" t="inlineStr">
        <is>
          <t>SPC-2</t>
        </is>
      </c>
      <c r="H423" s="9" t="inlineStr">
        <is>
          <t>SPC-2: surge-protection and VT cubicle on the IPB (GTG-2)</t>
        </is>
      </c>
      <c r="I423" s="9" t="inlineStr">
        <is>
          <t>Fibre / data</t>
        </is>
      </c>
      <c r="J423" s="9" t="inlineStr">
        <is>
          <t>Fibre optic, single-mode, 12-fibre, armored, orange jacket</t>
        </is>
      </c>
      <c r="K423" s="9" t="inlineStr">
        <is>
          <t>FO|12 SM|-</t>
        </is>
      </c>
      <c r="L423" s="9" t="inlineStr">
        <is>
          <t>12 SM</t>
        </is>
      </c>
      <c r="M423" s="9" t="inlineStr">
        <is>
          <t>-</t>
        </is>
      </c>
      <c r="N423" s="9" t="n">
        <v>1</v>
      </c>
      <c r="O423" s="9" t="n">
        <v>1</v>
      </c>
      <c r="P423" s="9" t="n"/>
      <c r="Q423" s="9" t="n"/>
      <c r="R423" s="9" t="n"/>
      <c r="S423" s="9" t="inlineStr">
        <is>
          <t>Duct bank</t>
        </is>
      </c>
      <c r="T423" s="10" t="n">
        <v>1120</v>
      </c>
      <c r="U423" s="10" t="n">
        <v>53</v>
      </c>
      <c r="V423" s="10">
        <f>ROUNDUP((T423+U423+2*'Read Me'!$B$13)*(1+'Read Me'!$B$12),-1)</f>
        <v/>
      </c>
      <c r="W423" s="10">
        <f>V423*N423*O423</f>
        <v/>
      </c>
      <c r="X423" s="9">
        <f>IF(LEFT(I423,2)="MV",2*N423*IF(L423="1/C",O423,1),0)</f>
        <v/>
      </c>
      <c r="Y423" s="9">
        <f>IF(OR(LEFT(K423,4)="LVAX",LEFT(K423,6)="MV15AX",LEFT(K423,4)="CTAX",LEFT(K423,2)="W|"),2*N423*O423,0)</f>
        <v/>
      </c>
      <c r="Z423" s="9" t="inlineStr"/>
    </row>
    <row r="424">
      <c r="A424" s="9" t="inlineStr">
        <is>
          <t>A-F-0019</t>
        </is>
      </c>
      <c r="B424" s="9" t="inlineStr">
        <is>
          <t>A</t>
        </is>
      </c>
      <c r="C424" s="9" t="inlineStr">
        <is>
          <t>Power block</t>
        </is>
      </c>
      <c r="D424" s="9" t="inlineStr">
        <is>
          <t>Plant network / DCS fibre</t>
        </is>
      </c>
      <c r="E424" s="9" t="inlineStr">
        <is>
          <t>CR</t>
        </is>
      </c>
      <c r="F424" s="9" t="inlineStr">
        <is>
          <t>Control / admin building (main control room)</t>
        </is>
      </c>
      <c r="G424" s="9" t="inlineStr">
        <is>
          <t>SPC-3</t>
        </is>
      </c>
      <c r="H424" s="9" t="inlineStr">
        <is>
          <t>SPC-3: surge-protection and VT cubicle on the IPB (GTG-3)</t>
        </is>
      </c>
      <c r="I424" s="9" t="inlineStr">
        <is>
          <t>Fibre / data</t>
        </is>
      </c>
      <c r="J424" s="9" t="inlineStr">
        <is>
          <t>Fibre optic, single-mode, 12-fibre, armored, orange jacket</t>
        </is>
      </c>
      <c r="K424" s="9" t="inlineStr">
        <is>
          <t>FO|12 SM|-</t>
        </is>
      </c>
      <c r="L424" s="9" t="inlineStr">
        <is>
          <t>12 SM</t>
        </is>
      </c>
      <c r="M424" s="9" t="inlineStr">
        <is>
          <t>-</t>
        </is>
      </c>
      <c r="N424" s="9" t="n">
        <v>1</v>
      </c>
      <c r="O424" s="9" t="n">
        <v>1</v>
      </c>
      <c r="P424" s="9" t="n"/>
      <c r="Q424" s="9" t="n"/>
      <c r="R424" s="9" t="n"/>
      <c r="S424" s="9" t="inlineStr">
        <is>
          <t>Duct bank</t>
        </is>
      </c>
      <c r="T424" s="10" t="n">
        <v>1280</v>
      </c>
      <c r="U424" s="10" t="n">
        <v>53</v>
      </c>
      <c r="V424" s="10">
        <f>ROUNDUP((T424+U424+2*'Read Me'!$B$13)*(1+'Read Me'!$B$12),-1)</f>
        <v/>
      </c>
      <c r="W424" s="10">
        <f>V424*N424*O424</f>
        <v/>
      </c>
      <c r="X424" s="9">
        <f>IF(LEFT(I424,2)="MV",2*N424*IF(L424="1/C",O424,1),0)</f>
        <v/>
      </c>
      <c r="Y424" s="9">
        <f>IF(OR(LEFT(K424,4)="LVAX",LEFT(K424,6)="MV15AX",LEFT(K424,4)="CTAX",LEFT(K424,2)="W|"),2*N424*O424,0)</f>
        <v/>
      </c>
      <c r="Z424" s="9" t="inlineStr"/>
    </row>
    <row r="425">
      <c r="A425" s="9" t="inlineStr">
        <is>
          <t>A-FA-0001</t>
        </is>
      </c>
      <c r="B425" s="9" t="inlineStr">
        <is>
          <t>A</t>
        </is>
      </c>
      <c r="C425" s="9" t="inlineStr">
        <is>
          <t>Power block</t>
        </is>
      </c>
      <c r="D425" s="9" t="inlineStr">
        <is>
          <t>Fire alarm / F&amp;G loop (to the local FACP / F&amp;G node)</t>
        </is>
      </c>
      <c r="E425" s="9" t="inlineStr">
        <is>
          <t>R2B</t>
        </is>
      </c>
      <c r="F425" s="9" t="inlineStr">
        <is>
          <t>R2B: unit / HRSG electrical e-house (32 x 40 ft)</t>
        </is>
      </c>
      <c r="G425" s="9" t="inlineStr">
        <is>
          <t>CEMS-1</t>
        </is>
      </c>
      <c r="H425" s="9" t="inlineStr">
        <is>
          <t>CEMS shelter, HRSG 1</t>
        </is>
      </c>
      <c r="I425" s="9" t="inlineStr">
        <is>
          <t>Fire alarm</t>
        </is>
      </c>
      <c r="J425" s="9" t="inlineStr">
        <is>
          <t>Fire alarm FPLR 2/C #14 shielded, red jacket (NEC 760)</t>
        </is>
      </c>
      <c r="K425" s="9" t="inlineStr">
        <is>
          <t>FA|2/C|14</t>
        </is>
      </c>
      <c r="L425" s="9" t="inlineStr">
        <is>
          <t>2/C</t>
        </is>
      </c>
      <c r="M425" s="9" t="inlineStr">
        <is>
          <t>14</t>
        </is>
      </c>
      <c r="N425" s="9" t="n">
        <v>1</v>
      </c>
      <c r="O425" s="9" t="n">
        <v>1</v>
      </c>
      <c r="P425" s="9" t="n"/>
      <c r="Q425" s="9" t="n"/>
      <c r="R425" s="9" t="n"/>
      <c r="S425" s="9" t="inlineStr">
        <is>
          <t>Tray</t>
        </is>
      </c>
      <c r="T425" s="10" t="n">
        <v>242</v>
      </c>
      <c r="U425" s="10" t="n">
        <v>103</v>
      </c>
      <c r="V425" s="10">
        <f>ROUNDUP((T425+U425+2*'Read Me'!$B$13)*(1+'Read Me'!$B$12),-1)</f>
        <v/>
      </c>
      <c r="W425" s="10">
        <f>V425*N425*O425</f>
        <v/>
      </c>
      <c r="X425" s="9">
        <f>IF(LEFT(I425,2)="MV",2*N425*IF(L425="1/C",O425,1),0)</f>
        <v/>
      </c>
      <c r="Y425" s="9">
        <f>IF(OR(LEFT(K425,4)="LVAX",LEFT(K425,6)="MV15AX",LEFT(K425,4)="CTAX",LEFT(K425,2)="W|"),2*N425*O425,0)</f>
        <v/>
      </c>
      <c r="Z425" s="9" t="inlineStr"/>
    </row>
    <row r="426">
      <c r="A426" s="9" t="inlineStr">
        <is>
          <t>A-FA-0002</t>
        </is>
      </c>
      <c r="B426" s="9" t="inlineStr">
        <is>
          <t>A</t>
        </is>
      </c>
      <c r="C426" s="9" t="inlineStr">
        <is>
          <t>Power block</t>
        </is>
      </c>
      <c r="D426" s="9" t="inlineStr">
        <is>
          <t>Fire alarm / F&amp;G loop (to the local FACP / F&amp;G node)</t>
        </is>
      </c>
      <c r="E426" s="9" t="inlineStr">
        <is>
          <t>R2C</t>
        </is>
      </c>
      <c r="F426" s="9" t="inlineStr">
        <is>
          <t>R2C: unit / HRSG electrical e-house (32 x 40 ft)</t>
        </is>
      </c>
      <c r="G426" s="9" t="inlineStr">
        <is>
          <t>CEMS-2</t>
        </is>
      </c>
      <c r="H426" s="9" t="inlineStr">
        <is>
          <t>CEMS shelter, HRSG 2</t>
        </is>
      </c>
      <c r="I426" s="9" t="inlineStr">
        <is>
          <t>Fire alarm</t>
        </is>
      </c>
      <c r="J426" s="9" t="inlineStr">
        <is>
          <t>Fire alarm FPLR 2/C #14 shielded, red jacket (NEC 760)</t>
        </is>
      </c>
      <c r="K426" s="9" t="inlineStr">
        <is>
          <t>FA|2/C|14</t>
        </is>
      </c>
      <c r="L426" s="9" t="inlineStr">
        <is>
          <t>2/C</t>
        </is>
      </c>
      <c r="M426" s="9" t="inlineStr">
        <is>
          <t>14</t>
        </is>
      </c>
      <c r="N426" s="9" t="n">
        <v>1</v>
      </c>
      <c r="O426" s="9" t="n">
        <v>1</v>
      </c>
      <c r="P426" s="9" t="n"/>
      <c r="Q426" s="9" t="n"/>
      <c r="R426" s="9" t="n"/>
      <c r="S426" s="9" t="inlineStr">
        <is>
          <t>Tray</t>
        </is>
      </c>
      <c r="T426" s="10" t="n">
        <v>246</v>
      </c>
      <c r="U426" s="10" t="n">
        <v>99</v>
      </c>
      <c r="V426" s="10">
        <f>ROUNDUP((T426+U426+2*'Read Me'!$B$13)*(1+'Read Me'!$B$12),-1)</f>
        <v/>
      </c>
      <c r="W426" s="10">
        <f>V426*N426*O426</f>
        <v/>
      </c>
      <c r="X426" s="9">
        <f>IF(LEFT(I426,2)="MV",2*N426*IF(L426="1/C",O426,1),0)</f>
        <v/>
      </c>
      <c r="Y426" s="9">
        <f>IF(OR(LEFT(K426,4)="LVAX",LEFT(K426,6)="MV15AX",LEFT(K426,4)="CTAX",LEFT(K426,2)="W|"),2*N426*O426,0)</f>
        <v/>
      </c>
      <c r="Z426" s="9" t="inlineStr"/>
    </row>
    <row r="427">
      <c r="A427" s="9" t="inlineStr">
        <is>
          <t>A-FA-0003</t>
        </is>
      </c>
      <c r="B427" s="9" t="inlineStr">
        <is>
          <t>A</t>
        </is>
      </c>
      <c r="C427" s="9" t="inlineStr">
        <is>
          <t>Power block</t>
        </is>
      </c>
      <c r="D427" s="9" t="inlineStr">
        <is>
          <t>Fire alarm / F&amp;G loop (to the local FACP / F&amp;G node)</t>
        </is>
      </c>
      <c r="E427" s="9" t="inlineStr">
        <is>
          <t>R2C</t>
        </is>
      </c>
      <c r="F427" s="9" t="inlineStr">
        <is>
          <t>R2C: unit / HRSG electrical e-house (32 x 40 ft)</t>
        </is>
      </c>
      <c r="G427" s="9" t="inlineStr">
        <is>
          <t>CEMS-3</t>
        </is>
      </c>
      <c r="H427" s="9" t="inlineStr">
        <is>
          <t>CEMS shelter, HRSG 3</t>
        </is>
      </c>
      <c r="I427" s="9" t="inlineStr">
        <is>
          <t>Fire alarm</t>
        </is>
      </c>
      <c r="J427" s="9" t="inlineStr">
        <is>
          <t>Fire alarm FPLR 2/C #14 shielded, red jacket (NEC 760)</t>
        </is>
      </c>
      <c r="K427" s="9" t="inlineStr">
        <is>
          <t>FA|2/C|14</t>
        </is>
      </c>
      <c r="L427" s="9" t="inlineStr">
        <is>
          <t>2/C</t>
        </is>
      </c>
      <c r="M427" s="9" t="inlineStr">
        <is>
          <t>14</t>
        </is>
      </c>
      <c r="N427" s="9" t="n">
        <v>1</v>
      </c>
      <c r="O427" s="9" t="n">
        <v>1</v>
      </c>
      <c r="P427" s="9" t="n"/>
      <c r="Q427" s="9" t="n"/>
      <c r="R427" s="9" t="n"/>
      <c r="S427" s="9" t="inlineStr">
        <is>
          <t>Tray</t>
        </is>
      </c>
      <c r="T427" s="10" t="n">
        <v>277</v>
      </c>
      <c r="U427" s="10" t="n">
        <v>97</v>
      </c>
      <c r="V427" s="10">
        <f>ROUNDUP((T427+U427+2*'Read Me'!$B$13)*(1+'Read Me'!$B$12),-1)</f>
        <v/>
      </c>
      <c r="W427" s="10">
        <f>V427*N427*O427</f>
        <v/>
      </c>
      <c r="X427" s="9">
        <f>IF(LEFT(I427,2)="MV",2*N427*IF(L427="1/C",O427,1),0)</f>
        <v/>
      </c>
      <c r="Y427" s="9">
        <f>IF(OR(LEFT(K427,4)="LVAX",LEFT(K427,6)="MV15AX",LEFT(K427,4)="CTAX",LEFT(K427,2)="W|"),2*N427*O427,0)</f>
        <v/>
      </c>
      <c r="Z427" s="9" t="inlineStr"/>
    </row>
    <row r="428">
      <c r="A428" s="9" t="inlineStr">
        <is>
          <t>A-FA-0004</t>
        </is>
      </c>
      <c r="B428" s="9" t="inlineStr">
        <is>
          <t>A</t>
        </is>
      </c>
      <c r="C428" s="9" t="inlineStr">
        <is>
          <t>Power block</t>
        </is>
      </c>
      <c r="D428" s="9" t="inlineStr">
        <is>
          <t>Fire alarm / F&amp;G loop (to the local FACP / F&amp;G node)</t>
        </is>
      </c>
      <c r="E428" s="9" t="inlineStr">
        <is>
          <t>R2B</t>
        </is>
      </c>
      <c r="F428" s="9" t="inlineStr">
        <is>
          <t>R2B: unit / HRSG electrical e-house (32 x 40 ft)</t>
        </is>
      </c>
      <c r="G428" s="9" t="inlineStr">
        <is>
          <t>HALL</t>
        </is>
      </c>
      <c r="H428" s="9" t="inlineStr">
        <is>
          <t>Common turbine hall</t>
        </is>
      </c>
      <c r="I428" s="9" t="inlineStr">
        <is>
          <t>Fire alarm</t>
        </is>
      </c>
      <c r="J428" s="9" t="inlineStr">
        <is>
          <t>Fire alarm FPLR 2/C #14 shielded, red jacket (NEC 760)</t>
        </is>
      </c>
      <c r="K428" s="9" t="inlineStr">
        <is>
          <t>FA|2/C|14</t>
        </is>
      </c>
      <c r="L428" s="9" t="inlineStr">
        <is>
          <t>2/C</t>
        </is>
      </c>
      <c r="M428" s="9" t="inlineStr">
        <is>
          <t>14</t>
        </is>
      </c>
      <c r="N428" s="9" t="n">
        <v>1</v>
      </c>
      <c r="O428" s="9" t="n">
        <v>1</v>
      </c>
      <c r="P428" s="9" t="n"/>
      <c r="Q428" s="9" t="n"/>
      <c r="R428" s="9" t="n"/>
      <c r="S428" s="9" t="inlineStr">
        <is>
          <t>Tray</t>
        </is>
      </c>
      <c r="T428" s="10" t="n">
        <v>918</v>
      </c>
      <c r="U428" s="10" t="n">
        <v>96</v>
      </c>
      <c r="V428" s="10">
        <f>ROUNDUP((T428+U428+2*'Read Me'!$B$13)*(1+'Read Me'!$B$12),-1)</f>
        <v/>
      </c>
      <c r="W428" s="10">
        <f>V428*N428*O428</f>
        <v/>
      </c>
      <c r="X428" s="9">
        <f>IF(LEFT(I428,2)="MV",2*N428*IF(L428="1/C",O428,1),0)</f>
        <v/>
      </c>
      <c r="Y428" s="9">
        <f>IF(OR(LEFT(K428,4)="LVAX",LEFT(K428,6)="MV15AX",LEFT(K428,4)="CTAX",LEFT(K428,2)="W|"),2*N428*O428,0)</f>
        <v/>
      </c>
      <c r="Z428" s="9" t="inlineStr"/>
    </row>
    <row r="429">
      <c r="A429" s="9" t="inlineStr">
        <is>
          <t>A-FA-0005</t>
        </is>
      </c>
      <c r="B429" s="9" t="inlineStr">
        <is>
          <t>A</t>
        </is>
      </c>
      <c r="C429" s="9" t="inlineStr">
        <is>
          <t>Power block</t>
        </is>
      </c>
      <c r="D429" s="9" t="inlineStr">
        <is>
          <t>Fire alarm / F&amp;G loop (to the local FACP / F&amp;G node)</t>
        </is>
      </c>
      <c r="E429" s="9" t="inlineStr">
        <is>
          <t>R2B</t>
        </is>
      </c>
      <c r="F429" s="9" t="inlineStr">
        <is>
          <t>R2B: unit / HRSG electrical e-house (32 x 40 ft)</t>
        </is>
      </c>
      <c r="G429" s="9" t="inlineStr">
        <is>
          <t>EXC-1</t>
        </is>
      </c>
      <c r="H429" s="9" t="inlineStr">
        <is>
          <t>EXC-1: static excitation cubicles (GTG-1)</t>
        </is>
      </c>
      <c r="I429" s="9" t="inlineStr">
        <is>
          <t>Fire alarm</t>
        </is>
      </c>
      <c r="J429" s="9" t="inlineStr">
        <is>
          <t>Fire alarm FPLR 2/C #14 shielded, red jacket (NEC 760)</t>
        </is>
      </c>
      <c r="K429" s="9" t="inlineStr">
        <is>
          <t>FA|2/C|14</t>
        </is>
      </c>
      <c r="L429" s="9" t="inlineStr">
        <is>
          <t>2/C</t>
        </is>
      </c>
      <c r="M429" s="9" t="inlineStr">
        <is>
          <t>14</t>
        </is>
      </c>
      <c r="N429" s="9" t="n">
        <v>1</v>
      </c>
      <c r="O429" s="9" t="n">
        <v>1</v>
      </c>
      <c r="P429" s="9" t="n"/>
      <c r="Q429" s="9" t="n"/>
      <c r="R429" s="9" t="n"/>
      <c r="S429" s="9" t="inlineStr">
        <is>
          <t>Tray</t>
        </is>
      </c>
      <c r="T429" s="10" t="n">
        <v>960</v>
      </c>
      <c r="U429" s="10" t="n">
        <v>84</v>
      </c>
      <c r="V429" s="10">
        <f>ROUNDUP((T429+U429+2*'Read Me'!$B$13)*(1+'Read Me'!$B$12),-1)</f>
        <v/>
      </c>
      <c r="W429" s="10">
        <f>V429*N429*O429</f>
        <v/>
      </c>
      <c r="X429" s="9">
        <f>IF(LEFT(I429,2)="MV",2*N429*IF(L429="1/C",O429,1),0)</f>
        <v/>
      </c>
      <c r="Y429" s="9">
        <f>IF(OR(LEFT(K429,4)="LVAX",LEFT(K429,6)="MV15AX",LEFT(K429,4)="CTAX",LEFT(K429,2)="W|"),2*N429*O429,0)</f>
        <v/>
      </c>
      <c r="Z429" s="9" t="inlineStr"/>
    </row>
    <row r="430">
      <c r="A430" s="9" t="inlineStr">
        <is>
          <t>A-FA-0006</t>
        </is>
      </c>
      <c r="B430" s="9" t="inlineStr">
        <is>
          <t>A</t>
        </is>
      </c>
      <c r="C430" s="9" t="inlineStr">
        <is>
          <t>Power block</t>
        </is>
      </c>
      <c r="D430" s="9" t="inlineStr">
        <is>
          <t>Fire alarm / F&amp;G loop (to the local FACP / F&amp;G node)</t>
        </is>
      </c>
      <c r="E430" s="9" t="inlineStr">
        <is>
          <t>R2C</t>
        </is>
      </c>
      <c r="F430" s="9" t="inlineStr">
        <is>
          <t>R2C: unit / HRSG electrical e-house (32 x 40 ft)</t>
        </is>
      </c>
      <c r="G430" s="9" t="inlineStr">
        <is>
          <t>EXC-2</t>
        </is>
      </c>
      <c r="H430" s="9" t="inlineStr">
        <is>
          <t>EXC-2: static excitation cubicles (GTG-2)</t>
        </is>
      </c>
      <c r="I430" s="9" t="inlineStr">
        <is>
          <t>Fire alarm</t>
        </is>
      </c>
      <c r="J430" s="9" t="inlineStr">
        <is>
          <t>Fire alarm FPLR 2/C #14 shielded, red jacket (NEC 760)</t>
        </is>
      </c>
      <c r="K430" s="9" t="inlineStr">
        <is>
          <t>FA|2/C|14</t>
        </is>
      </c>
      <c r="L430" s="9" t="inlineStr">
        <is>
          <t>2/C</t>
        </is>
      </c>
      <c r="M430" s="9" t="inlineStr">
        <is>
          <t>14</t>
        </is>
      </c>
      <c r="N430" s="9" t="n">
        <v>1</v>
      </c>
      <c r="O430" s="9" t="n">
        <v>1</v>
      </c>
      <c r="P430" s="9" t="n"/>
      <c r="Q430" s="9" t="n"/>
      <c r="R430" s="9" t="n"/>
      <c r="S430" s="9" t="inlineStr">
        <is>
          <t>Tray</t>
        </is>
      </c>
      <c r="T430" s="10" t="n">
        <v>1280</v>
      </c>
      <c r="U430" s="10" t="n">
        <v>84</v>
      </c>
      <c r="V430" s="10">
        <f>ROUNDUP((T430+U430+2*'Read Me'!$B$13)*(1+'Read Me'!$B$12),-1)</f>
        <v/>
      </c>
      <c r="W430" s="10">
        <f>V430*N430*O430</f>
        <v/>
      </c>
      <c r="X430" s="9">
        <f>IF(LEFT(I430,2)="MV",2*N430*IF(L430="1/C",O430,1),0)</f>
        <v/>
      </c>
      <c r="Y430" s="9">
        <f>IF(OR(LEFT(K430,4)="LVAX",LEFT(K430,6)="MV15AX",LEFT(K430,4)="CTAX",LEFT(K430,2)="W|"),2*N430*O430,0)</f>
        <v/>
      </c>
      <c r="Z430" s="9" t="inlineStr"/>
    </row>
    <row r="431">
      <c r="A431" s="9" t="inlineStr">
        <is>
          <t>A-FA-0007</t>
        </is>
      </c>
      <c r="B431" s="9" t="inlineStr">
        <is>
          <t>A</t>
        </is>
      </c>
      <c r="C431" s="9" t="inlineStr">
        <is>
          <t>Power block</t>
        </is>
      </c>
      <c r="D431" s="9" t="inlineStr">
        <is>
          <t>Fire alarm / F&amp;G loop (to the local FACP / F&amp;G node)</t>
        </is>
      </c>
      <c r="E431" s="9" t="inlineStr">
        <is>
          <t>R3</t>
        </is>
      </c>
      <c r="F431" s="9" t="inlineStr">
        <is>
          <t>R3: ST auxiliary electrical e-house (40 x 65 ft)</t>
        </is>
      </c>
      <c r="G431" s="9" t="inlineStr">
        <is>
          <t>EXC-3</t>
        </is>
      </c>
      <c r="H431" s="9" t="inlineStr">
        <is>
          <t>EXC-3: static excitation cubicles (GTG-3)</t>
        </is>
      </c>
      <c r="I431" s="9" t="inlineStr">
        <is>
          <t>Fire alarm</t>
        </is>
      </c>
      <c r="J431" s="9" t="inlineStr">
        <is>
          <t>Fire alarm FPLR 2/C #14 shielded, red jacket (NEC 760)</t>
        </is>
      </c>
      <c r="K431" s="9" t="inlineStr">
        <is>
          <t>FA|2/C|14</t>
        </is>
      </c>
      <c r="L431" s="9" t="inlineStr">
        <is>
          <t>2/C</t>
        </is>
      </c>
      <c r="M431" s="9" t="inlineStr">
        <is>
          <t>14</t>
        </is>
      </c>
      <c r="N431" s="9" t="n">
        <v>1</v>
      </c>
      <c r="O431" s="9" t="n">
        <v>1</v>
      </c>
      <c r="P431" s="9" t="n"/>
      <c r="Q431" s="9" t="n"/>
      <c r="R431" s="9" t="n"/>
      <c r="S431" s="9" t="inlineStr">
        <is>
          <t>Tray</t>
        </is>
      </c>
      <c r="T431" s="10" t="n">
        <v>554</v>
      </c>
      <c r="U431" s="10" t="n">
        <v>86</v>
      </c>
      <c r="V431" s="10">
        <f>ROUNDUP((T431+U431+2*'Read Me'!$B$13)*(1+'Read Me'!$B$12),-1)</f>
        <v/>
      </c>
      <c r="W431" s="10">
        <f>V431*N431*O431</f>
        <v/>
      </c>
      <c r="X431" s="9">
        <f>IF(LEFT(I431,2)="MV",2*N431*IF(L431="1/C",O431,1),0)</f>
        <v/>
      </c>
      <c r="Y431" s="9">
        <f>IF(OR(LEFT(K431,4)="LVAX",LEFT(K431,6)="MV15AX",LEFT(K431,4)="CTAX",LEFT(K431,2)="W|"),2*N431*O431,0)</f>
        <v/>
      </c>
      <c r="Z431" s="9" t="inlineStr"/>
    </row>
    <row r="432">
      <c r="A432" s="9" t="inlineStr">
        <is>
          <t>A-FA-0008</t>
        </is>
      </c>
      <c r="B432" s="9" t="inlineStr">
        <is>
          <t>A</t>
        </is>
      </c>
      <c r="C432" s="9" t="inlineStr">
        <is>
          <t>Power block</t>
        </is>
      </c>
      <c r="D432" s="9" t="inlineStr">
        <is>
          <t>Fire alarm / F&amp;G loop (to the local FACP / F&amp;G node)</t>
        </is>
      </c>
      <c r="E432" s="9" t="inlineStr">
        <is>
          <t>R3</t>
        </is>
      </c>
      <c r="F432" s="9" t="inlineStr">
        <is>
          <t>R3: ST auxiliary electrical e-house (40 x 65 ft)</t>
        </is>
      </c>
      <c r="G432" s="9" t="inlineStr">
        <is>
          <t>EXC-ST</t>
        </is>
      </c>
      <c r="H432" s="9" t="inlineStr">
        <is>
          <t>EXC-ST: static excitation cubicles (STG)</t>
        </is>
      </c>
      <c r="I432" s="9" t="inlineStr">
        <is>
          <t>Fire alarm</t>
        </is>
      </c>
      <c r="J432" s="9" t="inlineStr">
        <is>
          <t>Fire alarm FPLR 2/C #14 shielded, red jacket (NEC 760)</t>
        </is>
      </c>
      <c r="K432" s="9" t="inlineStr">
        <is>
          <t>FA|2/C|14</t>
        </is>
      </c>
      <c r="L432" s="9" t="inlineStr">
        <is>
          <t>2/C</t>
        </is>
      </c>
      <c r="M432" s="9" t="inlineStr">
        <is>
          <t>14</t>
        </is>
      </c>
      <c r="N432" s="9" t="n">
        <v>1</v>
      </c>
      <c r="O432" s="9" t="n">
        <v>1</v>
      </c>
      <c r="P432" s="9" t="n"/>
      <c r="Q432" s="9" t="n"/>
      <c r="R432" s="9" t="n"/>
      <c r="S432" s="9" t="inlineStr">
        <is>
          <t>Tray</t>
        </is>
      </c>
      <c r="T432" s="10" t="n">
        <v>602</v>
      </c>
      <c r="U432" s="10" t="n">
        <v>114</v>
      </c>
      <c r="V432" s="10">
        <f>ROUNDUP((T432+U432+2*'Read Me'!$B$13)*(1+'Read Me'!$B$12),-1)</f>
        <v/>
      </c>
      <c r="W432" s="10">
        <f>V432*N432*O432</f>
        <v/>
      </c>
      <c r="X432" s="9">
        <f>IF(LEFT(I432,2)="MV",2*N432*IF(L432="1/C",O432,1),0)</f>
        <v/>
      </c>
      <c r="Y432" s="9">
        <f>IF(OR(LEFT(K432,4)="LVAX",LEFT(K432,6)="MV15AX",LEFT(K432,4)="CTAX",LEFT(K432,2)="W|"),2*N432*O432,0)</f>
        <v/>
      </c>
      <c r="Z432" s="9" t="inlineStr"/>
    </row>
    <row r="433">
      <c r="A433" s="9" t="inlineStr">
        <is>
          <t>A-FA-0009</t>
        </is>
      </c>
      <c r="B433" s="9" t="inlineStr">
        <is>
          <t>A</t>
        </is>
      </c>
      <c r="C433" s="9" t="inlineStr">
        <is>
          <t>Power block</t>
        </is>
      </c>
      <c r="D433" s="9" t="inlineStr">
        <is>
          <t>Fire alarm / F&amp;G loop (to the local FACP / F&amp;G node)</t>
        </is>
      </c>
      <c r="E433" s="9" t="inlineStr">
        <is>
          <t>R2A</t>
        </is>
      </c>
      <c r="F433" s="9" t="inlineStr">
        <is>
          <t>R2A: unit / HRSG electrical e-house (32 x 40 ft)</t>
        </is>
      </c>
      <c r="G433" s="9" t="inlineStr">
        <is>
          <t>GT1</t>
        </is>
      </c>
      <c r="H433" s="9" t="inlineStr">
        <is>
          <t>GT1: H-class gas turbine (60 Hz)</t>
        </is>
      </c>
      <c r="I433" s="9" t="inlineStr">
        <is>
          <t>Fire alarm</t>
        </is>
      </c>
      <c r="J433" s="9" t="inlineStr">
        <is>
          <t>Fire alarm FPLR 2/C #14 shielded, red jacket (NEC 760)</t>
        </is>
      </c>
      <c r="K433" s="9" t="inlineStr">
        <is>
          <t>FA|2/C|14</t>
        </is>
      </c>
      <c r="L433" s="9" t="inlineStr">
        <is>
          <t>2/C</t>
        </is>
      </c>
      <c r="M433" s="9" t="inlineStr">
        <is>
          <t>14</t>
        </is>
      </c>
      <c r="N433" s="9" t="n">
        <v>1</v>
      </c>
      <c r="O433" s="9" t="n">
        <v>1</v>
      </c>
      <c r="P433" s="9" t="n"/>
      <c r="Q433" s="9" t="n"/>
      <c r="R433" s="9" t="n"/>
      <c r="S433" s="9" t="inlineStr">
        <is>
          <t>Tray</t>
        </is>
      </c>
      <c r="T433" s="10" t="n">
        <v>154</v>
      </c>
      <c r="U433" s="10" t="n">
        <v>103</v>
      </c>
      <c r="V433" s="10">
        <f>ROUNDUP((T433+U433+2*'Read Me'!$B$13)*(1+'Read Me'!$B$12),-1)</f>
        <v/>
      </c>
      <c r="W433" s="10">
        <f>V433*N433*O433</f>
        <v/>
      </c>
      <c r="X433" s="9">
        <f>IF(LEFT(I433,2)="MV",2*N433*IF(L433="1/C",O433,1),0)</f>
        <v/>
      </c>
      <c r="Y433" s="9">
        <f>IF(OR(LEFT(K433,4)="LVAX",LEFT(K433,6)="MV15AX",LEFT(K433,4)="CTAX",LEFT(K433,2)="W|"),2*N433*O433,0)</f>
        <v/>
      </c>
      <c r="Z433" s="9" t="inlineStr"/>
    </row>
    <row r="434">
      <c r="A434" s="9" t="inlineStr">
        <is>
          <t>A-FA-0010</t>
        </is>
      </c>
      <c r="B434" s="9" t="inlineStr">
        <is>
          <t>A</t>
        </is>
      </c>
      <c r="C434" s="9" t="inlineStr">
        <is>
          <t>Power block</t>
        </is>
      </c>
      <c r="D434" s="9" t="inlineStr">
        <is>
          <t>Fire alarm / F&amp;G loop (to the local FACP / F&amp;G node)</t>
        </is>
      </c>
      <c r="E434" s="9" t="inlineStr">
        <is>
          <t>R2B</t>
        </is>
      </c>
      <c r="F434" s="9" t="inlineStr">
        <is>
          <t>R2B: unit / HRSG electrical e-house (32 x 40 ft)</t>
        </is>
      </c>
      <c r="G434" s="9" t="inlineStr">
        <is>
          <t>GT2</t>
        </is>
      </c>
      <c r="H434" s="9" t="inlineStr">
        <is>
          <t>GT2: H-class gas turbine (60 Hz)</t>
        </is>
      </c>
      <c r="I434" s="9" t="inlineStr">
        <is>
          <t>Fire alarm</t>
        </is>
      </c>
      <c r="J434" s="9" t="inlineStr">
        <is>
          <t>Fire alarm FPLR 2/C #14 shielded, red jacket (NEC 760)</t>
        </is>
      </c>
      <c r="K434" s="9" t="inlineStr">
        <is>
          <t>FA|2/C|14</t>
        </is>
      </c>
      <c r="L434" s="9" t="inlineStr">
        <is>
          <t>2/C</t>
        </is>
      </c>
      <c r="M434" s="9" t="inlineStr">
        <is>
          <t>14</t>
        </is>
      </c>
      <c r="N434" s="9" t="n">
        <v>1</v>
      </c>
      <c r="O434" s="9" t="n">
        <v>1</v>
      </c>
      <c r="P434" s="9" t="n"/>
      <c r="Q434" s="9" t="n"/>
      <c r="R434" s="9" t="n"/>
      <c r="S434" s="9" t="inlineStr">
        <is>
          <t>Tray</t>
        </is>
      </c>
      <c r="T434" s="10" t="n">
        <v>893</v>
      </c>
      <c r="U434" s="10" t="n">
        <v>105</v>
      </c>
      <c r="V434" s="10">
        <f>ROUNDUP((T434+U434+2*'Read Me'!$B$13)*(1+'Read Me'!$B$12),-1)</f>
        <v/>
      </c>
      <c r="W434" s="10">
        <f>V434*N434*O434</f>
        <v/>
      </c>
      <c r="X434" s="9">
        <f>IF(LEFT(I434,2)="MV",2*N434*IF(L434="1/C",O434,1),0)</f>
        <v/>
      </c>
      <c r="Y434" s="9">
        <f>IF(OR(LEFT(K434,4)="LVAX",LEFT(K434,6)="MV15AX",LEFT(K434,4)="CTAX",LEFT(K434,2)="W|"),2*N434*O434,0)</f>
        <v/>
      </c>
      <c r="Z434" s="9" t="inlineStr"/>
    </row>
    <row r="435">
      <c r="A435" s="9" t="inlineStr">
        <is>
          <t>A-FA-0011</t>
        </is>
      </c>
      <c r="B435" s="9" t="inlineStr">
        <is>
          <t>A</t>
        </is>
      </c>
      <c r="C435" s="9" t="inlineStr">
        <is>
          <t>Power block</t>
        </is>
      </c>
      <c r="D435" s="9" t="inlineStr">
        <is>
          <t>Fire alarm / F&amp;G loop (to the local FACP / F&amp;G node)</t>
        </is>
      </c>
      <c r="E435" s="9" t="inlineStr">
        <is>
          <t>R2C</t>
        </is>
      </c>
      <c r="F435" s="9" t="inlineStr">
        <is>
          <t>R2C: unit / HRSG electrical e-house (32 x 40 ft)</t>
        </is>
      </c>
      <c r="G435" s="9" t="inlineStr">
        <is>
          <t>GT3</t>
        </is>
      </c>
      <c r="H435" s="9" t="inlineStr">
        <is>
          <t>GT3: H-class gas turbine (60 Hz)</t>
        </is>
      </c>
      <c r="I435" s="9" t="inlineStr">
        <is>
          <t>Fire alarm</t>
        </is>
      </c>
      <c r="J435" s="9" t="inlineStr">
        <is>
          <t>Fire alarm FPLR 2/C #14 shielded, red jacket (NEC 760)</t>
        </is>
      </c>
      <c r="K435" s="9" t="inlineStr">
        <is>
          <t>FA|2/C|14</t>
        </is>
      </c>
      <c r="L435" s="9" t="inlineStr">
        <is>
          <t>2/C</t>
        </is>
      </c>
      <c r="M435" s="9" t="inlineStr">
        <is>
          <t>14</t>
        </is>
      </c>
      <c r="N435" s="9" t="n">
        <v>1</v>
      </c>
      <c r="O435" s="9" t="n">
        <v>1</v>
      </c>
      <c r="P435" s="9" t="n"/>
      <c r="Q435" s="9" t="n"/>
      <c r="R435" s="9" t="n"/>
      <c r="S435" s="9" t="inlineStr">
        <is>
          <t>Tray</t>
        </is>
      </c>
      <c r="T435" s="10" t="n">
        <v>1054</v>
      </c>
      <c r="U435" s="10" t="n">
        <v>121</v>
      </c>
      <c r="V435" s="10">
        <f>ROUNDUP((T435+U435+2*'Read Me'!$B$13)*(1+'Read Me'!$B$12),-1)</f>
        <v/>
      </c>
      <c r="W435" s="10">
        <f>V435*N435*O435</f>
        <v/>
      </c>
      <c r="X435" s="9">
        <f>IF(LEFT(I435,2)="MV",2*N435*IF(L435="1/C",O435,1),0)</f>
        <v/>
      </c>
      <c r="Y435" s="9">
        <f>IF(OR(LEFT(K435,4)="LVAX",LEFT(K435,6)="MV15AX",LEFT(K435,4)="CTAX",LEFT(K435,2)="W|"),2*N435*O435,0)</f>
        <v/>
      </c>
      <c r="Z435" s="9" t="inlineStr"/>
    </row>
    <row r="436">
      <c r="A436" s="9" t="inlineStr">
        <is>
          <t>A-FA-0012</t>
        </is>
      </c>
      <c r="B436" s="9" t="inlineStr">
        <is>
          <t>A</t>
        </is>
      </c>
      <c r="C436" s="9" t="inlineStr">
        <is>
          <t>Power block</t>
        </is>
      </c>
      <c r="D436" s="9" t="inlineStr">
        <is>
          <t>Fire alarm / F&amp;G loop (to the local FACP / F&amp;G node)</t>
        </is>
      </c>
      <c r="E436" s="9" t="inlineStr">
        <is>
          <t>R2B</t>
        </is>
      </c>
      <c r="F436" s="9" t="inlineStr">
        <is>
          <t>R2B: unit / HRSG electrical e-house (32 x 40 ft)</t>
        </is>
      </c>
      <c r="G436" s="9" t="inlineStr">
        <is>
          <t>NGT-1</t>
        </is>
      </c>
      <c r="H436" s="9" t="inlineStr">
        <is>
          <t>NGT-1: neutral grounding cubicle (GTG-1)</t>
        </is>
      </c>
      <c r="I436" s="9" t="inlineStr">
        <is>
          <t>Fire alarm</t>
        </is>
      </c>
      <c r="J436" s="9" t="inlineStr">
        <is>
          <t>Fire alarm FPLR 2/C #14 shielded, red jacket (NEC 760)</t>
        </is>
      </c>
      <c r="K436" s="9" t="inlineStr">
        <is>
          <t>FA|2/C|14</t>
        </is>
      </c>
      <c r="L436" s="9" t="inlineStr">
        <is>
          <t>2/C</t>
        </is>
      </c>
      <c r="M436" s="9" t="inlineStr">
        <is>
          <t>14</t>
        </is>
      </c>
      <c r="N436" s="9" t="n">
        <v>1</v>
      </c>
      <c r="O436" s="9" t="n">
        <v>1</v>
      </c>
      <c r="P436" s="9" t="n"/>
      <c r="Q436" s="9" t="n"/>
      <c r="R436" s="9" t="n"/>
      <c r="S436" s="9" t="inlineStr">
        <is>
          <t>Tray</t>
        </is>
      </c>
      <c r="T436" s="10" t="n">
        <v>968</v>
      </c>
      <c r="U436" s="10" t="n">
        <v>87</v>
      </c>
      <c r="V436" s="10">
        <f>ROUNDUP((T436+U436+2*'Read Me'!$B$13)*(1+'Read Me'!$B$12),-1)</f>
        <v/>
      </c>
      <c r="W436" s="10">
        <f>V436*N436*O436</f>
        <v/>
      </c>
      <c r="X436" s="9">
        <f>IF(LEFT(I436,2)="MV",2*N436*IF(L436="1/C",O436,1),0)</f>
        <v/>
      </c>
      <c r="Y436" s="9">
        <f>IF(OR(LEFT(K436,4)="LVAX",LEFT(K436,6)="MV15AX",LEFT(K436,4)="CTAX",LEFT(K436,2)="W|"),2*N436*O436,0)</f>
        <v/>
      </c>
      <c r="Z436" s="9" t="inlineStr"/>
    </row>
    <row r="437">
      <c r="A437" s="9" t="inlineStr">
        <is>
          <t>A-FA-0013</t>
        </is>
      </c>
      <c r="B437" s="9" t="inlineStr">
        <is>
          <t>A</t>
        </is>
      </c>
      <c r="C437" s="9" t="inlineStr">
        <is>
          <t>Power block</t>
        </is>
      </c>
      <c r="D437" s="9" t="inlineStr">
        <is>
          <t>Fire alarm / F&amp;G loop (to the local FACP / F&amp;G node)</t>
        </is>
      </c>
      <c r="E437" s="9" t="inlineStr">
        <is>
          <t>R2C</t>
        </is>
      </c>
      <c r="F437" s="9" t="inlineStr">
        <is>
          <t>R2C: unit / HRSG electrical e-house (32 x 40 ft)</t>
        </is>
      </c>
      <c r="G437" s="9" t="inlineStr">
        <is>
          <t>NGT-2</t>
        </is>
      </c>
      <c r="H437" s="9" t="inlineStr">
        <is>
          <t>NGT-2: neutral grounding cubicle (GTG-2)</t>
        </is>
      </c>
      <c r="I437" s="9" t="inlineStr">
        <is>
          <t>Fire alarm</t>
        </is>
      </c>
      <c r="J437" s="9" t="inlineStr">
        <is>
          <t>Fire alarm FPLR 2/C #14 shielded, red jacket (NEC 760)</t>
        </is>
      </c>
      <c r="K437" s="9" t="inlineStr">
        <is>
          <t>FA|2/C|14</t>
        </is>
      </c>
      <c r="L437" s="9" t="inlineStr">
        <is>
          <t>2/C</t>
        </is>
      </c>
      <c r="M437" s="9" t="inlineStr">
        <is>
          <t>14</t>
        </is>
      </c>
      <c r="N437" s="9" t="n">
        <v>1</v>
      </c>
      <c r="O437" s="9" t="n">
        <v>1</v>
      </c>
      <c r="P437" s="9" t="n"/>
      <c r="Q437" s="9" t="n"/>
      <c r="R437" s="9" t="n"/>
      <c r="S437" s="9" t="inlineStr">
        <is>
          <t>Tray</t>
        </is>
      </c>
      <c r="T437" s="10" t="n">
        <v>1288</v>
      </c>
      <c r="U437" s="10" t="n">
        <v>87</v>
      </c>
      <c r="V437" s="10">
        <f>ROUNDUP((T437+U437+2*'Read Me'!$B$13)*(1+'Read Me'!$B$12),-1)</f>
        <v/>
      </c>
      <c r="W437" s="10">
        <f>V437*N437*O437</f>
        <v/>
      </c>
      <c r="X437" s="9">
        <f>IF(LEFT(I437,2)="MV",2*N437*IF(L437="1/C",O437,1),0)</f>
        <v/>
      </c>
      <c r="Y437" s="9">
        <f>IF(OR(LEFT(K437,4)="LVAX",LEFT(K437,6)="MV15AX",LEFT(K437,4)="CTAX",LEFT(K437,2)="W|"),2*N437*O437,0)</f>
        <v/>
      </c>
      <c r="Z437" s="9" t="inlineStr"/>
    </row>
    <row r="438">
      <c r="A438" s="9" t="inlineStr">
        <is>
          <t>A-FA-0014</t>
        </is>
      </c>
      <c r="B438" s="9" t="inlineStr">
        <is>
          <t>A</t>
        </is>
      </c>
      <c r="C438" s="9" t="inlineStr">
        <is>
          <t>Power block</t>
        </is>
      </c>
      <c r="D438" s="9" t="inlineStr">
        <is>
          <t>Fire alarm / F&amp;G loop (to the local FACP / F&amp;G node)</t>
        </is>
      </c>
      <c r="E438" s="9" t="inlineStr">
        <is>
          <t>R3</t>
        </is>
      </c>
      <c r="F438" s="9" t="inlineStr">
        <is>
          <t>R3: ST auxiliary electrical e-house (40 x 65 ft)</t>
        </is>
      </c>
      <c r="G438" s="9" t="inlineStr">
        <is>
          <t>NGT-3</t>
        </is>
      </c>
      <c r="H438" s="9" t="inlineStr">
        <is>
          <t>NGT-3: neutral grounding cubicle (GTG-3)</t>
        </is>
      </c>
      <c r="I438" s="9" t="inlineStr">
        <is>
          <t>Fire alarm</t>
        </is>
      </c>
      <c r="J438" s="9" t="inlineStr">
        <is>
          <t>Fire alarm FPLR 2/C #14 shielded, red jacket (NEC 760)</t>
        </is>
      </c>
      <c r="K438" s="9" t="inlineStr">
        <is>
          <t>FA|2/C|14</t>
        </is>
      </c>
      <c r="L438" s="9" t="inlineStr">
        <is>
          <t>2/C</t>
        </is>
      </c>
      <c r="M438" s="9" t="inlineStr">
        <is>
          <t>14</t>
        </is>
      </c>
      <c r="N438" s="9" t="n">
        <v>1</v>
      </c>
      <c r="O438" s="9" t="n">
        <v>1</v>
      </c>
      <c r="P438" s="9" t="n"/>
      <c r="Q438" s="9" t="n"/>
      <c r="R438" s="9" t="n"/>
      <c r="S438" s="9" t="inlineStr">
        <is>
          <t>Tray</t>
        </is>
      </c>
      <c r="T438" s="10" t="n">
        <v>562</v>
      </c>
      <c r="U438" s="10" t="n">
        <v>89</v>
      </c>
      <c r="V438" s="10">
        <f>ROUNDUP((T438+U438+2*'Read Me'!$B$13)*(1+'Read Me'!$B$12),-1)</f>
        <v/>
      </c>
      <c r="W438" s="10">
        <f>V438*N438*O438</f>
        <v/>
      </c>
      <c r="X438" s="9">
        <f>IF(LEFT(I438,2)="MV",2*N438*IF(L438="1/C",O438,1),0)</f>
        <v/>
      </c>
      <c r="Y438" s="9">
        <f>IF(OR(LEFT(K438,4)="LVAX",LEFT(K438,6)="MV15AX",LEFT(K438,4)="CTAX",LEFT(K438,2)="W|"),2*N438*O438,0)</f>
        <v/>
      </c>
      <c r="Z438" s="9" t="inlineStr"/>
    </row>
    <row r="439">
      <c r="A439" s="9" t="inlineStr">
        <is>
          <t>A-FA-0015</t>
        </is>
      </c>
      <c r="B439" s="9" t="inlineStr">
        <is>
          <t>A</t>
        </is>
      </c>
      <c r="C439" s="9" t="inlineStr">
        <is>
          <t>Power block</t>
        </is>
      </c>
      <c r="D439" s="9" t="inlineStr">
        <is>
          <t>Fire alarm / F&amp;G loop (to the local FACP / F&amp;G node)</t>
        </is>
      </c>
      <c r="E439" s="9" t="inlineStr">
        <is>
          <t>R3</t>
        </is>
      </c>
      <c r="F439" s="9" t="inlineStr">
        <is>
          <t>R3: ST auxiliary electrical e-house (40 x 65 ft)</t>
        </is>
      </c>
      <c r="G439" s="9" t="inlineStr">
        <is>
          <t>NGT-ST</t>
        </is>
      </c>
      <c r="H439" s="9" t="inlineStr">
        <is>
          <t>NGT-ST: neutral grounding cubicle (STG)</t>
        </is>
      </c>
      <c r="I439" s="9" t="inlineStr">
        <is>
          <t>Fire alarm</t>
        </is>
      </c>
      <c r="J439" s="9" t="inlineStr">
        <is>
          <t>Fire alarm FPLR 2/C #14 shielded, red jacket (NEC 760)</t>
        </is>
      </c>
      <c r="K439" s="9" t="inlineStr">
        <is>
          <t>FA|2/C|14</t>
        </is>
      </c>
      <c r="L439" s="9" t="inlineStr">
        <is>
          <t>2/C</t>
        </is>
      </c>
      <c r="M439" s="9" t="inlineStr">
        <is>
          <t>14</t>
        </is>
      </c>
      <c r="N439" s="9" t="n">
        <v>1</v>
      </c>
      <c r="O439" s="9" t="n">
        <v>1</v>
      </c>
      <c r="P439" s="9" t="n"/>
      <c r="Q439" s="9" t="n"/>
      <c r="R439" s="9" t="n"/>
      <c r="S439" s="9" t="inlineStr">
        <is>
          <t>Tray</t>
        </is>
      </c>
      <c r="T439" s="10" t="n">
        <v>602</v>
      </c>
      <c r="U439" s="10" t="n">
        <v>98</v>
      </c>
      <c r="V439" s="10">
        <f>ROUNDUP((T439+U439+2*'Read Me'!$B$13)*(1+'Read Me'!$B$12),-1)</f>
        <v/>
      </c>
      <c r="W439" s="10">
        <f>V439*N439*O439</f>
        <v/>
      </c>
      <c r="X439" s="9">
        <f>IF(LEFT(I439,2)="MV",2*N439*IF(L439="1/C",O439,1),0)</f>
        <v/>
      </c>
      <c r="Y439" s="9">
        <f>IF(OR(LEFT(K439,4)="LVAX",LEFT(K439,6)="MV15AX",LEFT(K439,4)="CTAX",LEFT(K439,2)="W|"),2*N439*O439,0)</f>
        <v/>
      </c>
      <c r="Z439" s="9" t="inlineStr"/>
    </row>
    <row r="440">
      <c r="A440" s="9" t="inlineStr">
        <is>
          <t>A-FA-0016</t>
        </is>
      </c>
      <c r="B440" s="9" t="inlineStr">
        <is>
          <t>A</t>
        </is>
      </c>
      <c r="C440" s="9" t="inlineStr">
        <is>
          <t>Power block</t>
        </is>
      </c>
      <c r="D440" s="9" t="inlineStr">
        <is>
          <t>Fire alarm / F&amp;G loop (to the local FACP / F&amp;G node)</t>
        </is>
      </c>
      <c r="E440" s="9" t="inlineStr">
        <is>
          <t>R1</t>
        </is>
      </c>
      <c r="F440" s="9" t="inlineStr">
        <is>
          <t>R1: main electrical building (64 x 180 ft)</t>
        </is>
      </c>
      <c r="G440" s="9" t="inlineStr">
        <is>
          <t>EMCC</t>
        </is>
      </c>
      <c r="H440" s="9" t="inlineStr">
        <is>
          <t>R1 EMCC (emergency MCC)</t>
        </is>
      </c>
      <c r="I440" s="9" t="inlineStr">
        <is>
          <t>Fire alarm</t>
        </is>
      </c>
      <c r="J440" s="9" t="inlineStr">
        <is>
          <t>Fire alarm FPLR 2/C #14 shielded, red jacket (NEC 760)</t>
        </is>
      </c>
      <c r="K440" s="9" t="inlineStr">
        <is>
          <t>FA|2/C|14</t>
        </is>
      </c>
      <c r="L440" s="9" t="inlineStr">
        <is>
          <t>2/C</t>
        </is>
      </c>
      <c r="M440" s="9" t="inlineStr">
        <is>
          <t>14</t>
        </is>
      </c>
      <c r="N440" s="9" t="n">
        <v>1</v>
      </c>
      <c r="O440" s="9" t="n">
        <v>1</v>
      </c>
      <c r="P440" s="9" t="n"/>
      <c r="Q440" s="9" t="n"/>
      <c r="R440" s="9" t="n"/>
      <c r="S440" s="9" t="inlineStr">
        <is>
          <t>Tray</t>
        </is>
      </c>
      <c r="T440" s="10" t="n">
        <v>1272</v>
      </c>
      <c r="U440" s="10" t="n">
        <v>66</v>
      </c>
      <c r="V440" s="10">
        <f>ROUNDUP((T440+U440+2*'Read Me'!$B$13)*(1+'Read Me'!$B$12),-1)</f>
        <v/>
      </c>
      <c r="W440" s="10">
        <f>V440*N440*O440</f>
        <v/>
      </c>
      <c r="X440" s="9">
        <f>IF(LEFT(I440,2)="MV",2*N440*IF(L440="1/C",O440,1),0)</f>
        <v/>
      </c>
      <c r="Y440" s="9">
        <f>IF(OR(LEFT(K440,4)="LVAX",LEFT(K440,6)="MV15AX",LEFT(K440,4)="CTAX",LEFT(K440,2)="W|"),2*N440*O440,0)</f>
        <v/>
      </c>
      <c r="Z440" s="9" t="inlineStr"/>
    </row>
    <row r="441">
      <c r="A441" s="9" t="inlineStr">
        <is>
          <t>A-FA-0017</t>
        </is>
      </c>
      <c r="B441" s="9" t="inlineStr">
        <is>
          <t>A</t>
        </is>
      </c>
      <c r="C441" s="9" t="inlineStr">
        <is>
          <t>Power block</t>
        </is>
      </c>
      <c r="D441" s="9" t="inlineStr">
        <is>
          <t>Fire alarm / F&amp;G loop (to the local FACP / F&amp;G node)</t>
        </is>
      </c>
      <c r="E441" s="9" t="inlineStr">
        <is>
          <t>R1</t>
        </is>
      </c>
      <c r="F441" s="9" t="inlineStr">
        <is>
          <t>R1: main electrical building (64 x 180 ft)</t>
        </is>
      </c>
      <c r="G441" s="9" t="inlineStr">
        <is>
          <t>LC-480-A</t>
        </is>
      </c>
      <c r="H441" s="9" t="inlineStr">
        <is>
          <t>R1 LC-480-A (480 V switchgear)</t>
        </is>
      </c>
      <c r="I441" s="9" t="inlineStr">
        <is>
          <t>Fire alarm</t>
        </is>
      </c>
      <c r="J441" s="9" t="inlineStr">
        <is>
          <t>Fire alarm FPLR 2/C #14 shielded, red jacket (NEC 760)</t>
        </is>
      </c>
      <c r="K441" s="9" t="inlineStr">
        <is>
          <t>FA|2/C|14</t>
        </is>
      </c>
      <c r="L441" s="9" t="inlineStr">
        <is>
          <t>2/C</t>
        </is>
      </c>
      <c r="M441" s="9" t="inlineStr">
        <is>
          <t>14</t>
        </is>
      </c>
      <c r="N441" s="9" t="n">
        <v>1</v>
      </c>
      <c r="O441" s="9" t="n">
        <v>1</v>
      </c>
      <c r="P441" s="9" t="n"/>
      <c r="Q441" s="9" t="n"/>
      <c r="R441" s="9" t="n"/>
      <c r="S441" s="9" t="inlineStr">
        <is>
          <t>Tray</t>
        </is>
      </c>
      <c r="T441" s="10" t="n">
        <v>1215</v>
      </c>
      <c r="U441" s="10" t="n">
        <v>108</v>
      </c>
      <c r="V441" s="10">
        <f>ROUNDUP((T441+U441+2*'Read Me'!$B$13)*(1+'Read Me'!$B$12),-1)</f>
        <v/>
      </c>
      <c r="W441" s="10">
        <f>V441*N441*O441</f>
        <v/>
      </c>
      <c r="X441" s="9">
        <f>IF(LEFT(I441,2)="MV",2*N441*IF(L441="1/C",O441,1),0)</f>
        <v/>
      </c>
      <c r="Y441" s="9">
        <f>IF(OR(LEFT(K441,4)="LVAX",LEFT(K441,6)="MV15AX",LEFT(K441,4)="CTAX",LEFT(K441,2)="W|"),2*N441*O441,0)</f>
        <v/>
      </c>
      <c r="Z441" s="9" t="inlineStr"/>
    </row>
    <row r="442">
      <c r="A442" s="9" t="inlineStr">
        <is>
          <t>A-FA-0018</t>
        </is>
      </c>
      <c r="B442" s="9" t="inlineStr">
        <is>
          <t>A</t>
        </is>
      </c>
      <c r="C442" s="9" t="inlineStr">
        <is>
          <t>Power block</t>
        </is>
      </c>
      <c r="D442" s="9" t="inlineStr">
        <is>
          <t>Fire alarm / F&amp;G loop (to the local FACP / F&amp;G node)</t>
        </is>
      </c>
      <c r="E442" s="9" t="inlineStr">
        <is>
          <t>R1</t>
        </is>
      </c>
      <c r="F442" s="9" t="inlineStr">
        <is>
          <t>R1: main electrical building (64 x 180 ft)</t>
        </is>
      </c>
      <c r="G442" s="9" t="inlineStr">
        <is>
          <t>LC-480-B</t>
        </is>
      </c>
      <c r="H442" s="9" t="inlineStr">
        <is>
          <t>R1 LC-480-B (480 V switchgear)</t>
        </is>
      </c>
      <c r="I442" s="9" t="inlineStr">
        <is>
          <t>Fire alarm</t>
        </is>
      </c>
      <c r="J442" s="9" t="inlineStr">
        <is>
          <t>Fire alarm FPLR 2/C #14 shielded, red jacket (NEC 760)</t>
        </is>
      </c>
      <c r="K442" s="9" t="inlineStr">
        <is>
          <t>FA|2/C|14</t>
        </is>
      </c>
      <c r="L442" s="9" t="inlineStr">
        <is>
          <t>2/C</t>
        </is>
      </c>
      <c r="M442" s="9" t="inlineStr">
        <is>
          <t>14</t>
        </is>
      </c>
      <c r="N442" s="9" t="n">
        <v>1</v>
      </c>
      <c r="O442" s="9" t="n">
        <v>1</v>
      </c>
      <c r="P442" s="9" t="n"/>
      <c r="Q442" s="9" t="n"/>
      <c r="R442" s="9" t="n"/>
      <c r="S442" s="9" t="inlineStr">
        <is>
          <t>Tray</t>
        </is>
      </c>
      <c r="T442" s="10" t="n">
        <v>1215</v>
      </c>
      <c r="U442" s="10" t="n">
        <v>98</v>
      </c>
      <c r="V442" s="10">
        <f>ROUNDUP((T442+U442+2*'Read Me'!$B$13)*(1+'Read Me'!$B$12),-1)</f>
        <v/>
      </c>
      <c r="W442" s="10">
        <f>V442*N442*O442</f>
        <v/>
      </c>
      <c r="X442" s="9">
        <f>IF(LEFT(I442,2)="MV",2*N442*IF(L442="1/C",O442,1),0)</f>
        <v/>
      </c>
      <c r="Y442" s="9">
        <f>IF(OR(LEFT(K442,4)="LVAX",LEFT(K442,6)="MV15AX",LEFT(K442,4)="CTAX",LEFT(K442,2)="W|"),2*N442*O442,0)</f>
        <v/>
      </c>
      <c r="Z442" s="9" t="inlineStr"/>
    </row>
    <row r="443">
      <c r="A443" s="9" t="inlineStr">
        <is>
          <t>A-FA-0019</t>
        </is>
      </c>
      <c r="B443" s="9" t="inlineStr">
        <is>
          <t>A</t>
        </is>
      </c>
      <c r="C443" s="9" t="inlineStr">
        <is>
          <t>Power block</t>
        </is>
      </c>
      <c r="D443" s="9" t="inlineStr">
        <is>
          <t>Fire alarm / F&amp;G loop (to the local FACP / F&amp;G node)</t>
        </is>
      </c>
      <c r="E443" s="9" t="inlineStr">
        <is>
          <t>R1</t>
        </is>
      </c>
      <c r="F443" s="9" t="inlineStr">
        <is>
          <t>R1: main electrical building (64 x 180 ft)</t>
        </is>
      </c>
      <c r="G443" s="9" t="inlineStr">
        <is>
          <t>MCC-C1</t>
        </is>
      </c>
      <c r="H443" s="9" t="inlineStr">
        <is>
          <t>R1 MCC-C1</t>
        </is>
      </c>
      <c r="I443" s="9" t="inlineStr">
        <is>
          <t>Fire alarm</t>
        </is>
      </c>
      <c r="J443" s="9" t="inlineStr">
        <is>
          <t>Fire alarm FPLR 2/C #14 shielded, red jacket (NEC 760)</t>
        </is>
      </c>
      <c r="K443" s="9" t="inlineStr">
        <is>
          <t>FA|2/C|14</t>
        </is>
      </c>
      <c r="L443" s="9" t="inlineStr">
        <is>
          <t>2/C</t>
        </is>
      </c>
      <c r="M443" s="9" t="inlineStr">
        <is>
          <t>14</t>
        </is>
      </c>
      <c r="N443" s="9" t="n">
        <v>1</v>
      </c>
      <c r="O443" s="9" t="n">
        <v>1</v>
      </c>
      <c r="P443" s="9" t="n"/>
      <c r="Q443" s="9" t="n"/>
      <c r="R443" s="9" t="n"/>
      <c r="S443" s="9" t="inlineStr">
        <is>
          <t>Duct bank</t>
        </is>
      </c>
      <c r="T443" s="10" t="n">
        <v>1155</v>
      </c>
      <c r="U443" s="10" t="n">
        <v>148</v>
      </c>
      <c r="V443" s="10">
        <f>ROUNDUP((T443+U443+2*'Read Me'!$B$13)*(1+'Read Me'!$B$12),-1)</f>
        <v/>
      </c>
      <c r="W443" s="10">
        <f>V443*N443*O443</f>
        <v/>
      </c>
      <c r="X443" s="9">
        <f>IF(LEFT(I443,2)="MV",2*N443*IF(L443="1/C",O443,1),0)</f>
        <v/>
      </c>
      <c r="Y443" s="9">
        <f>IF(OR(LEFT(K443,4)="LVAX",LEFT(K443,6)="MV15AX",LEFT(K443,4)="CTAX",LEFT(K443,2)="W|"),2*N443*O443,0)</f>
        <v/>
      </c>
      <c r="Z443" s="9" t="inlineStr"/>
    </row>
    <row r="444">
      <c r="A444" s="9" t="inlineStr">
        <is>
          <t>A-FA-0020</t>
        </is>
      </c>
      <c r="B444" s="9" t="inlineStr">
        <is>
          <t>A</t>
        </is>
      </c>
      <c r="C444" s="9" t="inlineStr">
        <is>
          <t>Power block</t>
        </is>
      </c>
      <c r="D444" s="9" t="inlineStr">
        <is>
          <t>Fire alarm / F&amp;G loop (to the local FACP / F&amp;G node)</t>
        </is>
      </c>
      <c r="E444" s="9" t="inlineStr">
        <is>
          <t>R1</t>
        </is>
      </c>
      <c r="F444" s="9" t="inlineStr">
        <is>
          <t>R1: main electrical building (64 x 180 ft)</t>
        </is>
      </c>
      <c r="G444" s="9" t="inlineStr">
        <is>
          <t>MCC-C2</t>
        </is>
      </c>
      <c r="H444" s="9" t="inlineStr">
        <is>
          <t>R1 MCC-C2</t>
        </is>
      </c>
      <c r="I444" s="9" t="inlineStr">
        <is>
          <t>Fire alarm</t>
        </is>
      </c>
      <c r="J444" s="9" t="inlineStr">
        <is>
          <t>Fire alarm FPLR 2/C #14 shielded, red jacket (NEC 760)</t>
        </is>
      </c>
      <c r="K444" s="9" t="inlineStr">
        <is>
          <t>FA|2/C|14</t>
        </is>
      </c>
      <c r="L444" s="9" t="inlineStr">
        <is>
          <t>2/C</t>
        </is>
      </c>
      <c r="M444" s="9" t="inlineStr">
        <is>
          <t>14</t>
        </is>
      </c>
      <c r="N444" s="9" t="n">
        <v>1</v>
      </c>
      <c r="O444" s="9" t="n">
        <v>1</v>
      </c>
      <c r="P444" s="9" t="n"/>
      <c r="Q444" s="9" t="n"/>
      <c r="R444" s="9" t="n"/>
      <c r="S444" s="9" t="inlineStr">
        <is>
          <t>Tray</t>
        </is>
      </c>
      <c r="T444" s="10" t="n">
        <v>1272</v>
      </c>
      <c r="U444" s="10" t="n">
        <v>98</v>
      </c>
      <c r="V444" s="10">
        <f>ROUNDUP((T444+U444+2*'Read Me'!$B$13)*(1+'Read Me'!$B$12),-1)</f>
        <v/>
      </c>
      <c r="W444" s="10">
        <f>V444*N444*O444</f>
        <v/>
      </c>
      <c r="X444" s="9">
        <f>IF(LEFT(I444,2)="MV",2*N444*IF(L444="1/C",O444,1),0)</f>
        <v/>
      </c>
      <c r="Y444" s="9">
        <f>IF(OR(LEFT(K444,4)="LVAX",LEFT(K444,6)="MV15AX",LEFT(K444,4)="CTAX",LEFT(K444,2)="W|"),2*N444*O444,0)</f>
        <v/>
      </c>
      <c r="Z444" s="9" t="inlineStr"/>
    </row>
    <row r="445">
      <c r="A445" s="9" t="inlineStr">
        <is>
          <t>A-FA-0021</t>
        </is>
      </c>
      <c r="B445" s="9" t="inlineStr">
        <is>
          <t>A</t>
        </is>
      </c>
      <c r="C445" s="9" t="inlineStr">
        <is>
          <t>Power block</t>
        </is>
      </c>
      <c r="D445" s="9" t="inlineStr">
        <is>
          <t>Fire alarm / F&amp;G loop (to the local FACP / F&amp;G node)</t>
        </is>
      </c>
      <c r="E445" s="9" t="inlineStr">
        <is>
          <t>R1</t>
        </is>
      </c>
      <c r="F445" s="9" t="inlineStr">
        <is>
          <t>R1: main electrical building (64 x 180 ft)</t>
        </is>
      </c>
      <c r="G445" s="9" t="inlineStr">
        <is>
          <t>MCC-GT1</t>
        </is>
      </c>
      <c r="H445" s="9" t="inlineStr">
        <is>
          <t>R1 MCC-GT1</t>
        </is>
      </c>
      <c r="I445" s="9" t="inlineStr">
        <is>
          <t>Fire alarm</t>
        </is>
      </c>
      <c r="J445" s="9" t="inlineStr">
        <is>
          <t>Fire alarm FPLR 2/C #14 shielded, red jacket (NEC 760)</t>
        </is>
      </c>
      <c r="K445" s="9" t="inlineStr">
        <is>
          <t>FA|2/C|14</t>
        </is>
      </c>
      <c r="L445" s="9" t="inlineStr">
        <is>
          <t>2/C</t>
        </is>
      </c>
      <c r="M445" s="9" t="inlineStr">
        <is>
          <t>14</t>
        </is>
      </c>
      <c r="N445" s="9" t="n">
        <v>1</v>
      </c>
      <c r="O445" s="9" t="n">
        <v>1</v>
      </c>
      <c r="P445" s="9" t="n"/>
      <c r="Q445" s="9" t="n"/>
      <c r="R445" s="9" t="n"/>
      <c r="S445" s="9" t="inlineStr">
        <is>
          <t>Tray</t>
        </is>
      </c>
      <c r="T445" s="10" t="n">
        <v>0</v>
      </c>
      <c r="U445" s="10" t="n">
        <v>79</v>
      </c>
      <c r="V445" s="10">
        <f>ROUNDUP((T445+U445+2*'Read Me'!$B$13)*(1+'Read Me'!$B$12),-1)</f>
        <v/>
      </c>
      <c r="W445" s="10">
        <f>V445*N445*O445</f>
        <v/>
      </c>
      <c r="X445" s="9">
        <f>IF(LEFT(I445,2)="MV",2*N445*IF(L445="1/C",O445,1),0)</f>
        <v/>
      </c>
      <c r="Y445" s="9">
        <f>IF(OR(LEFT(K445,4)="LVAX",LEFT(K445,6)="MV15AX",LEFT(K445,4)="CTAX",LEFT(K445,2)="W|"),2*N445*O445,0)</f>
        <v/>
      </c>
      <c r="Z445" s="9" t="inlineStr"/>
    </row>
    <row r="446">
      <c r="A446" s="9" t="inlineStr">
        <is>
          <t>A-FA-0022</t>
        </is>
      </c>
      <c r="B446" s="9" t="inlineStr">
        <is>
          <t>A</t>
        </is>
      </c>
      <c r="C446" s="9" t="inlineStr">
        <is>
          <t>Power block</t>
        </is>
      </c>
      <c r="D446" s="9" t="inlineStr">
        <is>
          <t>Fire alarm / F&amp;G loop (to the local FACP / F&amp;G node)</t>
        </is>
      </c>
      <c r="E446" s="9" t="inlineStr">
        <is>
          <t>R1</t>
        </is>
      </c>
      <c r="F446" s="9" t="inlineStr">
        <is>
          <t>R1: main electrical building (64 x 180 ft)</t>
        </is>
      </c>
      <c r="G446" s="9" t="inlineStr">
        <is>
          <t>MCC-GT2</t>
        </is>
      </c>
      <c r="H446" s="9" t="inlineStr">
        <is>
          <t>R1 MCC-GT2</t>
        </is>
      </c>
      <c r="I446" s="9" t="inlineStr">
        <is>
          <t>Fire alarm</t>
        </is>
      </c>
      <c r="J446" s="9" t="inlineStr">
        <is>
          <t>Fire alarm FPLR 2/C #14 shielded, red jacket (NEC 760)</t>
        </is>
      </c>
      <c r="K446" s="9" t="inlineStr">
        <is>
          <t>FA|2/C|14</t>
        </is>
      </c>
      <c r="L446" s="9" t="inlineStr">
        <is>
          <t>2/C</t>
        </is>
      </c>
      <c r="M446" s="9" t="inlineStr">
        <is>
          <t>14</t>
        </is>
      </c>
      <c r="N446" s="9" t="n">
        <v>1</v>
      </c>
      <c r="O446" s="9" t="n">
        <v>1</v>
      </c>
      <c r="P446" s="9" t="n"/>
      <c r="Q446" s="9" t="n"/>
      <c r="R446" s="9" t="n"/>
      <c r="S446" s="9" t="inlineStr">
        <is>
          <t>Tray</t>
        </is>
      </c>
      <c r="T446" s="10" t="n">
        <v>0</v>
      </c>
      <c r="U446" s="10" t="n">
        <v>95</v>
      </c>
      <c r="V446" s="10">
        <f>ROUNDUP((T446+U446+2*'Read Me'!$B$13)*(1+'Read Me'!$B$12),-1)</f>
        <v/>
      </c>
      <c r="W446" s="10">
        <f>V446*N446*O446</f>
        <v/>
      </c>
      <c r="X446" s="9">
        <f>IF(LEFT(I446,2)="MV",2*N446*IF(L446="1/C",O446,1),0)</f>
        <v/>
      </c>
      <c r="Y446" s="9">
        <f>IF(OR(LEFT(K446,4)="LVAX",LEFT(K446,6)="MV15AX",LEFT(K446,4)="CTAX",LEFT(K446,2)="W|"),2*N446*O446,0)</f>
        <v/>
      </c>
      <c r="Z446" s="9" t="inlineStr"/>
    </row>
    <row r="447">
      <c r="A447" s="9" t="inlineStr">
        <is>
          <t>A-FA-0023</t>
        </is>
      </c>
      <c r="B447" s="9" t="inlineStr">
        <is>
          <t>A</t>
        </is>
      </c>
      <c r="C447" s="9" t="inlineStr">
        <is>
          <t>Power block</t>
        </is>
      </c>
      <c r="D447" s="9" t="inlineStr">
        <is>
          <t>Fire alarm / F&amp;G loop (to the local FACP / F&amp;G node)</t>
        </is>
      </c>
      <c r="E447" s="9" t="inlineStr">
        <is>
          <t>R1</t>
        </is>
      </c>
      <c r="F447" s="9" t="inlineStr">
        <is>
          <t>R1: main electrical building (64 x 180 ft)</t>
        </is>
      </c>
      <c r="G447" s="9" t="inlineStr">
        <is>
          <t>MCC-GT3</t>
        </is>
      </c>
      <c r="H447" s="9" t="inlineStr">
        <is>
          <t>R1 MCC-GT3</t>
        </is>
      </c>
      <c r="I447" s="9" t="inlineStr">
        <is>
          <t>Fire alarm</t>
        </is>
      </c>
      <c r="J447" s="9" t="inlineStr">
        <is>
          <t>Fire alarm FPLR 2/C #14 shielded, red jacket (NEC 760)</t>
        </is>
      </c>
      <c r="K447" s="9" t="inlineStr">
        <is>
          <t>FA|2/C|14</t>
        </is>
      </c>
      <c r="L447" s="9" t="inlineStr">
        <is>
          <t>2/C</t>
        </is>
      </c>
      <c r="M447" s="9" t="inlineStr">
        <is>
          <t>14</t>
        </is>
      </c>
      <c r="N447" s="9" t="n">
        <v>1</v>
      </c>
      <c r="O447" s="9" t="n">
        <v>1</v>
      </c>
      <c r="P447" s="9" t="n"/>
      <c r="Q447" s="9" t="n"/>
      <c r="R447" s="9" t="n"/>
      <c r="S447" s="9" t="inlineStr">
        <is>
          <t>Tray</t>
        </is>
      </c>
      <c r="T447" s="10" t="n">
        <v>0</v>
      </c>
      <c r="U447" s="10" t="n">
        <v>111</v>
      </c>
      <c r="V447" s="10">
        <f>ROUNDUP((T447+U447+2*'Read Me'!$B$13)*(1+'Read Me'!$B$12),-1)</f>
        <v/>
      </c>
      <c r="W447" s="10">
        <f>V447*N447*O447</f>
        <v/>
      </c>
      <c r="X447" s="9">
        <f>IF(LEFT(I447,2)="MV",2*N447*IF(L447="1/C",O447,1),0)</f>
        <v/>
      </c>
      <c r="Y447" s="9">
        <f>IF(OR(LEFT(K447,4)="LVAX",LEFT(K447,6)="MV15AX",LEFT(K447,4)="CTAX",LEFT(K447,2)="W|"),2*N447*O447,0)</f>
        <v/>
      </c>
      <c r="Z447" s="9" t="inlineStr"/>
    </row>
    <row r="448">
      <c r="A448" s="9" t="inlineStr">
        <is>
          <t>A-FA-0024</t>
        </is>
      </c>
      <c r="B448" s="9" t="inlineStr">
        <is>
          <t>A</t>
        </is>
      </c>
      <c r="C448" s="9" t="inlineStr">
        <is>
          <t>Power block</t>
        </is>
      </c>
      <c r="D448" s="9" t="inlineStr">
        <is>
          <t>Fire alarm / F&amp;G loop (to the local FACP / F&amp;G node)</t>
        </is>
      </c>
      <c r="E448" s="9" t="inlineStr">
        <is>
          <t>R1</t>
        </is>
      </c>
      <c r="F448" s="9" t="inlineStr">
        <is>
          <t>R1: main electrical building (64 x 180 ft)</t>
        </is>
      </c>
      <c r="G448" s="9" t="inlineStr">
        <is>
          <t>SWGR-13.8-1</t>
        </is>
      </c>
      <c r="H448" s="9" t="inlineStr">
        <is>
          <t>R1 SWGR-13.8-1 (11 x 36 in cubicles, 15 kV metal-clad)</t>
        </is>
      </c>
      <c r="I448" s="9" t="inlineStr">
        <is>
          <t>Fire alarm</t>
        </is>
      </c>
      <c r="J448" s="9" t="inlineStr">
        <is>
          <t>Fire alarm FPLR 2/C #14 shielded, red jacket (NEC 760)</t>
        </is>
      </c>
      <c r="K448" s="9" t="inlineStr">
        <is>
          <t>FA|2/C|14</t>
        </is>
      </c>
      <c r="L448" s="9" t="inlineStr">
        <is>
          <t>2/C</t>
        </is>
      </c>
      <c r="M448" s="9" t="inlineStr">
        <is>
          <t>14</t>
        </is>
      </c>
      <c r="N448" s="9" t="n">
        <v>1</v>
      </c>
      <c r="O448" s="9" t="n">
        <v>1</v>
      </c>
      <c r="P448" s="9" t="n"/>
      <c r="Q448" s="9" t="n"/>
      <c r="R448" s="9" t="n"/>
      <c r="S448" s="9" t="inlineStr">
        <is>
          <t>Duct bank</t>
        </is>
      </c>
      <c r="T448" s="10" t="n">
        <v>1145</v>
      </c>
      <c r="U448" s="10" t="n">
        <v>88</v>
      </c>
      <c r="V448" s="10">
        <f>ROUNDUP((T448+U448+2*'Read Me'!$B$13)*(1+'Read Me'!$B$12),-1)</f>
        <v/>
      </c>
      <c r="W448" s="10">
        <f>V448*N448*O448</f>
        <v/>
      </c>
      <c r="X448" s="9">
        <f>IF(LEFT(I448,2)="MV",2*N448*IF(L448="1/C",O448,1),0)</f>
        <v/>
      </c>
      <c r="Y448" s="9">
        <f>IF(OR(LEFT(K448,4)="LVAX",LEFT(K448,6)="MV15AX",LEFT(K448,4)="CTAX",LEFT(K448,2)="W|"),2*N448*O448,0)</f>
        <v/>
      </c>
      <c r="Z448" s="9" t="inlineStr"/>
    </row>
    <row r="449">
      <c r="A449" s="9" t="inlineStr">
        <is>
          <t>A-FA-0025</t>
        </is>
      </c>
      <c r="B449" s="9" t="inlineStr">
        <is>
          <t>A</t>
        </is>
      </c>
      <c r="C449" s="9" t="inlineStr">
        <is>
          <t>Power block</t>
        </is>
      </c>
      <c r="D449" s="9" t="inlineStr">
        <is>
          <t>Fire alarm / F&amp;G loop (to the local FACP / F&amp;G node)</t>
        </is>
      </c>
      <c r="E449" s="9" t="inlineStr">
        <is>
          <t>R1</t>
        </is>
      </c>
      <c r="F449" s="9" t="inlineStr">
        <is>
          <t>R1: main electrical building (64 x 180 ft)</t>
        </is>
      </c>
      <c r="G449" s="9" t="inlineStr">
        <is>
          <t>SWGR-13.8-2</t>
        </is>
      </c>
      <c r="H449" s="9" t="inlineStr">
        <is>
          <t>R1 SWGR-13.8-2 (11 x 36 in cubicles, 15 kV metal-clad)</t>
        </is>
      </c>
      <c r="I449" s="9" t="inlineStr">
        <is>
          <t>Fire alarm</t>
        </is>
      </c>
      <c r="J449" s="9" t="inlineStr">
        <is>
          <t>Fire alarm FPLR 2/C #14 shielded, red jacket (NEC 760)</t>
        </is>
      </c>
      <c r="K449" s="9" t="inlineStr">
        <is>
          <t>FA|2/C|14</t>
        </is>
      </c>
      <c r="L449" s="9" t="inlineStr">
        <is>
          <t>2/C</t>
        </is>
      </c>
      <c r="M449" s="9" t="inlineStr">
        <is>
          <t>14</t>
        </is>
      </c>
      <c r="N449" s="9" t="n">
        <v>1</v>
      </c>
      <c r="O449" s="9" t="n">
        <v>1</v>
      </c>
      <c r="P449" s="9" t="n"/>
      <c r="Q449" s="9" t="n"/>
      <c r="R449" s="9" t="n"/>
      <c r="S449" s="9" t="inlineStr">
        <is>
          <t>Duct bank</t>
        </is>
      </c>
      <c r="T449" s="10" t="n">
        <v>1155</v>
      </c>
      <c r="U449" s="10" t="n">
        <v>110</v>
      </c>
      <c r="V449" s="10">
        <f>ROUNDUP((T449+U449+2*'Read Me'!$B$13)*(1+'Read Me'!$B$12),-1)</f>
        <v/>
      </c>
      <c r="W449" s="10">
        <f>V449*N449*O449</f>
        <v/>
      </c>
      <c r="X449" s="9">
        <f>IF(LEFT(I449,2)="MV",2*N449*IF(L449="1/C",O449,1),0)</f>
        <v/>
      </c>
      <c r="Y449" s="9">
        <f>IF(OR(LEFT(K449,4)="LVAX",LEFT(K449,6)="MV15AX",LEFT(K449,4)="CTAX",LEFT(K449,2)="W|"),2*N449*O449,0)</f>
        <v/>
      </c>
      <c r="Z449" s="9" t="inlineStr"/>
    </row>
    <row r="450">
      <c r="A450" s="9" t="inlineStr">
        <is>
          <t>A-FA-0026</t>
        </is>
      </c>
      <c r="B450" s="9" t="inlineStr">
        <is>
          <t>A</t>
        </is>
      </c>
      <c r="C450" s="9" t="inlineStr">
        <is>
          <t>Power block</t>
        </is>
      </c>
      <c r="D450" s="9" t="inlineStr">
        <is>
          <t>Fire alarm / F&amp;G loop (to the local FACP / F&amp;G node)</t>
        </is>
      </c>
      <c r="E450" s="9" t="inlineStr">
        <is>
          <t>R1</t>
        </is>
      </c>
      <c r="F450" s="9" t="inlineStr">
        <is>
          <t>R1: main electrical building (64 x 180 ft)</t>
        </is>
      </c>
      <c r="G450" s="9" t="inlineStr">
        <is>
          <t>SWGR-13.8-3</t>
        </is>
      </c>
      <c r="H450" s="9" t="inlineStr">
        <is>
          <t>R1 SWGR-13.8-3 (11 x 36 in cubicles, 15 kV metal-clad)</t>
        </is>
      </c>
      <c r="I450" s="9" t="inlineStr">
        <is>
          <t>Fire alarm</t>
        </is>
      </c>
      <c r="J450" s="9" t="inlineStr">
        <is>
          <t>Fire alarm FPLR 2/C #14 shielded, red jacket (NEC 760)</t>
        </is>
      </c>
      <c r="K450" s="9" t="inlineStr">
        <is>
          <t>FA|2/C|14</t>
        </is>
      </c>
      <c r="L450" s="9" t="inlineStr">
        <is>
          <t>2/C</t>
        </is>
      </c>
      <c r="M450" s="9" t="inlineStr">
        <is>
          <t>14</t>
        </is>
      </c>
      <c r="N450" s="9" t="n">
        <v>1</v>
      </c>
      <c r="O450" s="9" t="n">
        <v>1</v>
      </c>
      <c r="P450" s="9" t="n"/>
      <c r="Q450" s="9" t="n"/>
      <c r="R450" s="9" t="n"/>
      <c r="S450" s="9" t="inlineStr">
        <is>
          <t>Tray</t>
        </is>
      </c>
      <c r="T450" s="10" t="n">
        <v>1272</v>
      </c>
      <c r="U450" s="10" t="n">
        <v>50</v>
      </c>
      <c r="V450" s="10">
        <f>ROUNDUP((T450+U450+2*'Read Me'!$B$13)*(1+'Read Me'!$B$12),-1)</f>
        <v/>
      </c>
      <c r="W450" s="10">
        <f>V450*N450*O450</f>
        <v/>
      </c>
      <c r="X450" s="9">
        <f>IF(LEFT(I450,2)="MV",2*N450*IF(L450="1/C",O450,1),0)</f>
        <v/>
      </c>
      <c r="Y450" s="9">
        <f>IF(OR(LEFT(K450,4)="LVAX",LEFT(K450,6)="MV15AX",LEFT(K450,4)="CTAX",LEFT(K450,2)="W|"),2*N450*O450,0)</f>
        <v/>
      </c>
      <c r="Z450" s="9" t="inlineStr"/>
    </row>
    <row r="451">
      <c r="A451" s="9" t="inlineStr">
        <is>
          <t>A-FA-0027</t>
        </is>
      </c>
      <c r="B451" s="9" t="inlineStr">
        <is>
          <t>A</t>
        </is>
      </c>
      <c r="C451" s="9" t="inlineStr">
        <is>
          <t>Power block</t>
        </is>
      </c>
      <c r="D451" s="9" t="inlineStr">
        <is>
          <t>Fire alarm / F&amp;G loop (to the local FACP / F&amp;G node)</t>
        </is>
      </c>
      <c r="E451" s="9" t="inlineStr">
        <is>
          <t>R1</t>
        </is>
      </c>
      <c r="F451" s="9" t="inlineStr">
        <is>
          <t>R1: main electrical building (64 x 180 ft)</t>
        </is>
      </c>
      <c r="G451" s="9" t="inlineStr">
        <is>
          <t>SWGR-4.16-A</t>
        </is>
      </c>
      <c r="H451" s="9" t="inlineStr">
        <is>
          <t>R1 SWGR-4.16-A (9 x 36 in cubicles, 5 kV metal-clad)</t>
        </is>
      </c>
      <c r="I451" s="9" t="inlineStr">
        <is>
          <t>Fire alarm</t>
        </is>
      </c>
      <c r="J451" s="9" t="inlineStr">
        <is>
          <t>Fire alarm FPLR 2/C #14 shielded, red jacket (NEC 760)</t>
        </is>
      </c>
      <c r="K451" s="9" t="inlineStr">
        <is>
          <t>FA|2/C|14</t>
        </is>
      </c>
      <c r="L451" s="9" t="inlineStr">
        <is>
          <t>2/C</t>
        </is>
      </c>
      <c r="M451" s="9" t="inlineStr">
        <is>
          <t>14</t>
        </is>
      </c>
      <c r="N451" s="9" t="n">
        <v>1</v>
      </c>
      <c r="O451" s="9" t="n">
        <v>1</v>
      </c>
      <c r="P451" s="9" t="n"/>
      <c r="Q451" s="9" t="n"/>
      <c r="R451" s="9" t="n"/>
      <c r="S451" s="9" t="inlineStr">
        <is>
          <t>Tray</t>
        </is>
      </c>
      <c r="T451" s="10" t="n">
        <v>0</v>
      </c>
      <c r="U451" s="10" t="n">
        <v>85</v>
      </c>
      <c r="V451" s="10">
        <f>ROUNDUP((T451+U451+2*'Read Me'!$B$13)*(1+'Read Me'!$B$12),-1)</f>
        <v/>
      </c>
      <c r="W451" s="10">
        <f>V451*N451*O451</f>
        <v/>
      </c>
      <c r="X451" s="9">
        <f>IF(LEFT(I451,2)="MV",2*N451*IF(L451="1/C",O451,1),0)</f>
        <v/>
      </c>
      <c r="Y451" s="9">
        <f>IF(OR(LEFT(K451,4)="LVAX",LEFT(K451,6)="MV15AX",LEFT(K451,4)="CTAX",LEFT(K451,2)="W|"),2*N451*O451,0)</f>
        <v/>
      </c>
      <c r="Z451" s="9" t="inlineStr"/>
    </row>
    <row r="452">
      <c r="A452" s="9" t="inlineStr">
        <is>
          <t>A-FA-0028</t>
        </is>
      </c>
      <c r="B452" s="9" t="inlineStr">
        <is>
          <t>A</t>
        </is>
      </c>
      <c r="C452" s="9" t="inlineStr">
        <is>
          <t>Power block</t>
        </is>
      </c>
      <c r="D452" s="9" t="inlineStr">
        <is>
          <t>Fire alarm / F&amp;G loop (to the local FACP / F&amp;G node)</t>
        </is>
      </c>
      <c r="E452" s="9" t="inlineStr">
        <is>
          <t>R1</t>
        </is>
      </c>
      <c r="F452" s="9" t="inlineStr">
        <is>
          <t>R1: main electrical building (64 x 180 ft)</t>
        </is>
      </c>
      <c r="G452" s="9" t="inlineStr">
        <is>
          <t>R1</t>
        </is>
      </c>
      <c r="H452" s="9" t="inlineStr">
        <is>
          <t>R1: main electrical building (64 x 180 ft)</t>
        </is>
      </c>
      <c r="I452" s="9" t="inlineStr">
        <is>
          <t>Fire alarm</t>
        </is>
      </c>
      <c r="J452" s="9" t="inlineStr">
        <is>
          <t>Fire alarm FPLR 2/C #14 shielded, red jacket (NEC 760)</t>
        </is>
      </c>
      <c r="K452" s="9" t="inlineStr">
        <is>
          <t>FA|2/C|14</t>
        </is>
      </c>
      <c r="L452" s="9" t="inlineStr">
        <is>
          <t>2/C</t>
        </is>
      </c>
      <c r="M452" s="9" t="inlineStr">
        <is>
          <t>14</t>
        </is>
      </c>
      <c r="N452" s="9" t="n">
        <v>1</v>
      </c>
      <c r="O452" s="9" t="n">
        <v>1</v>
      </c>
      <c r="P452" s="9" t="n"/>
      <c r="Q452" s="9" t="n"/>
      <c r="R452" s="9" t="n"/>
      <c r="S452" s="9" t="inlineStr">
        <is>
          <t>Tray</t>
        </is>
      </c>
      <c r="T452" s="10" t="n">
        <v>0</v>
      </c>
      <c r="U452" s="10" t="n">
        <v>32</v>
      </c>
      <c r="V452" s="10">
        <f>ROUNDUP((T452+U452+2*'Read Me'!$B$13)*(1+'Read Me'!$B$12),-1)</f>
        <v/>
      </c>
      <c r="W452" s="10">
        <f>V452*N452*O452</f>
        <v/>
      </c>
      <c r="X452" s="9">
        <f>IF(LEFT(I452,2)="MV",2*N452*IF(L452="1/C",O452,1),0)</f>
        <v/>
      </c>
      <c r="Y452" s="9">
        <f>IF(OR(LEFT(K452,4)="LVAX",LEFT(K452,6)="MV15AX",LEFT(K452,4)="CTAX",LEFT(K452,2)="W|"),2*N452*O452,0)</f>
        <v/>
      </c>
      <c r="Z452" s="9" t="inlineStr"/>
    </row>
    <row r="453">
      <c r="A453" s="9" t="inlineStr">
        <is>
          <t>A-FA-0029</t>
        </is>
      </c>
      <c r="B453" s="9" t="inlineStr">
        <is>
          <t>A</t>
        </is>
      </c>
      <c r="C453" s="9" t="inlineStr">
        <is>
          <t>Power block</t>
        </is>
      </c>
      <c r="D453" s="9" t="inlineStr">
        <is>
          <t>Fire alarm / F&amp;G loop (to the local FACP / F&amp;G node)</t>
        </is>
      </c>
      <c r="E453" s="9" t="inlineStr">
        <is>
          <t>R2A</t>
        </is>
      </c>
      <c r="F453" s="9" t="inlineStr">
        <is>
          <t>R2A: unit / HRSG electrical e-house (32 x 40 ft)</t>
        </is>
      </c>
      <c r="G453" s="9" t="inlineStr">
        <is>
          <t>R2A</t>
        </is>
      </c>
      <c r="H453" s="9" t="inlineStr">
        <is>
          <t>R2A: unit / HRSG electrical e-house (32 x 40 ft)</t>
        </is>
      </c>
      <c r="I453" s="9" t="inlineStr">
        <is>
          <t>Fire alarm</t>
        </is>
      </c>
      <c r="J453" s="9" t="inlineStr">
        <is>
          <t>Fire alarm FPLR 2/C #14 shielded, red jacket (NEC 760)</t>
        </is>
      </c>
      <c r="K453" s="9" t="inlineStr">
        <is>
          <t>FA|2/C|14</t>
        </is>
      </c>
      <c r="L453" s="9" t="inlineStr">
        <is>
          <t>2/C</t>
        </is>
      </c>
      <c r="M453" s="9" t="inlineStr">
        <is>
          <t>14</t>
        </is>
      </c>
      <c r="N453" s="9" t="n">
        <v>1</v>
      </c>
      <c r="O453" s="9" t="n">
        <v>1</v>
      </c>
      <c r="P453" s="9" t="n"/>
      <c r="Q453" s="9" t="n"/>
      <c r="R453" s="9" t="n"/>
      <c r="S453" s="9" t="inlineStr">
        <is>
          <t>Tray</t>
        </is>
      </c>
      <c r="T453" s="10" t="n">
        <v>0</v>
      </c>
      <c r="U453" s="10" t="n">
        <v>72</v>
      </c>
      <c r="V453" s="10">
        <f>ROUNDUP((T453+U453+2*'Read Me'!$B$13)*(1+'Read Me'!$B$12),-1)</f>
        <v/>
      </c>
      <c r="W453" s="10">
        <f>V453*N453*O453</f>
        <v/>
      </c>
      <c r="X453" s="9">
        <f>IF(LEFT(I453,2)="MV",2*N453*IF(L453="1/C",O453,1),0)</f>
        <v/>
      </c>
      <c r="Y453" s="9">
        <f>IF(OR(LEFT(K453,4)="LVAX",LEFT(K453,6)="MV15AX",LEFT(K453,4)="CTAX",LEFT(K453,2)="W|"),2*N453*O453,0)</f>
        <v/>
      </c>
      <c r="Z453" s="9" t="inlineStr"/>
    </row>
    <row r="454">
      <c r="A454" s="9" t="inlineStr">
        <is>
          <t>A-FA-0030</t>
        </is>
      </c>
      <c r="B454" s="9" t="inlineStr">
        <is>
          <t>A</t>
        </is>
      </c>
      <c r="C454" s="9" t="inlineStr">
        <is>
          <t>Power block</t>
        </is>
      </c>
      <c r="D454" s="9" t="inlineStr">
        <is>
          <t>Fire alarm / F&amp;G loop (to the local FACP / F&amp;G node)</t>
        </is>
      </c>
      <c r="E454" s="9" t="inlineStr">
        <is>
          <t>R2B</t>
        </is>
      </c>
      <c r="F454" s="9" t="inlineStr">
        <is>
          <t>R2B: unit / HRSG electrical e-house (32 x 40 ft)</t>
        </is>
      </c>
      <c r="G454" s="9" t="inlineStr">
        <is>
          <t>R2B</t>
        </is>
      </c>
      <c r="H454" s="9" t="inlineStr">
        <is>
          <t>R2B: unit / HRSG electrical e-house (32 x 40 ft)</t>
        </is>
      </c>
      <c r="I454" s="9" t="inlineStr">
        <is>
          <t>Fire alarm</t>
        </is>
      </c>
      <c r="J454" s="9" t="inlineStr">
        <is>
          <t>Fire alarm FPLR 2/C #14 shielded, red jacket (NEC 760)</t>
        </is>
      </c>
      <c r="K454" s="9" t="inlineStr">
        <is>
          <t>FA|2/C|14</t>
        </is>
      </c>
      <c r="L454" s="9" t="inlineStr">
        <is>
          <t>2/C</t>
        </is>
      </c>
      <c r="M454" s="9" t="inlineStr">
        <is>
          <t>14</t>
        </is>
      </c>
      <c r="N454" s="9" t="n">
        <v>1</v>
      </c>
      <c r="O454" s="9" t="n">
        <v>1</v>
      </c>
      <c r="P454" s="9" t="n"/>
      <c r="Q454" s="9" t="n"/>
      <c r="R454" s="9" t="n"/>
      <c r="S454" s="9" t="inlineStr">
        <is>
          <t>Tray</t>
        </is>
      </c>
      <c r="T454" s="10" t="n">
        <v>0</v>
      </c>
      <c r="U454" s="10" t="n">
        <v>72</v>
      </c>
      <c r="V454" s="10">
        <f>ROUNDUP((T454+U454+2*'Read Me'!$B$13)*(1+'Read Me'!$B$12),-1)</f>
        <v/>
      </c>
      <c r="W454" s="10">
        <f>V454*N454*O454</f>
        <v/>
      </c>
      <c r="X454" s="9">
        <f>IF(LEFT(I454,2)="MV",2*N454*IF(L454="1/C",O454,1),0)</f>
        <v/>
      </c>
      <c r="Y454" s="9">
        <f>IF(OR(LEFT(K454,4)="LVAX",LEFT(K454,6)="MV15AX",LEFT(K454,4)="CTAX",LEFT(K454,2)="W|"),2*N454*O454,0)</f>
        <v/>
      </c>
      <c r="Z454" s="9" t="inlineStr"/>
    </row>
    <row r="455">
      <c r="A455" s="9" t="inlineStr">
        <is>
          <t>A-FA-0031</t>
        </is>
      </c>
      <c r="B455" s="9" t="inlineStr">
        <is>
          <t>A</t>
        </is>
      </c>
      <c r="C455" s="9" t="inlineStr">
        <is>
          <t>Power block</t>
        </is>
      </c>
      <c r="D455" s="9" t="inlineStr">
        <is>
          <t>Fire alarm / F&amp;G loop (to the local FACP / F&amp;G node)</t>
        </is>
      </c>
      <c r="E455" s="9" t="inlineStr">
        <is>
          <t>R2C</t>
        </is>
      </c>
      <c r="F455" s="9" t="inlineStr">
        <is>
          <t>R2C: unit / HRSG electrical e-house (32 x 40 ft)</t>
        </is>
      </c>
      <c r="G455" s="9" t="inlineStr">
        <is>
          <t>R2C</t>
        </is>
      </c>
      <c r="H455" s="9" t="inlineStr">
        <is>
          <t>R2C: unit / HRSG electrical e-house (32 x 40 ft)</t>
        </is>
      </c>
      <c r="I455" s="9" t="inlineStr">
        <is>
          <t>Fire alarm</t>
        </is>
      </c>
      <c r="J455" s="9" t="inlineStr">
        <is>
          <t>Fire alarm FPLR 2/C #14 shielded, red jacket (NEC 760)</t>
        </is>
      </c>
      <c r="K455" s="9" t="inlineStr">
        <is>
          <t>FA|2/C|14</t>
        </is>
      </c>
      <c r="L455" s="9" t="inlineStr">
        <is>
          <t>2/C</t>
        </is>
      </c>
      <c r="M455" s="9" t="inlineStr">
        <is>
          <t>14</t>
        </is>
      </c>
      <c r="N455" s="9" t="n">
        <v>1</v>
      </c>
      <c r="O455" s="9" t="n">
        <v>1</v>
      </c>
      <c r="P455" s="9" t="n"/>
      <c r="Q455" s="9" t="n"/>
      <c r="R455" s="9" t="n"/>
      <c r="S455" s="9" t="inlineStr">
        <is>
          <t>Tray</t>
        </is>
      </c>
      <c r="T455" s="10" t="n">
        <v>0</v>
      </c>
      <c r="U455" s="10" t="n">
        <v>72</v>
      </c>
      <c r="V455" s="10">
        <f>ROUNDUP((T455+U455+2*'Read Me'!$B$13)*(1+'Read Me'!$B$12),-1)</f>
        <v/>
      </c>
      <c r="W455" s="10">
        <f>V455*N455*O455</f>
        <v/>
      </c>
      <c r="X455" s="9">
        <f>IF(LEFT(I455,2)="MV",2*N455*IF(L455="1/C",O455,1),0)</f>
        <v/>
      </c>
      <c r="Y455" s="9">
        <f>IF(OR(LEFT(K455,4)="LVAX",LEFT(K455,6)="MV15AX",LEFT(K455,4)="CTAX",LEFT(K455,2)="W|"),2*N455*O455,0)</f>
        <v/>
      </c>
      <c r="Z455" s="9" t="inlineStr"/>
    </row>
    <row r="456">
      <c r="A456" s="9" t="inlineStr">
        <is>
          <t>A-FA-0032</t>
        </is>
      </c>
      <c r="B456" s="9" t="inlineStr">
        <is>
          <t>A</t>
        </is>
      </c>
      <c r="C456" s="9" t="inlineStr">
        <is>
          <t>Power block</t>
        </is>
      </c>
      <c r="D456" s="9" t="inlineStr">
        <is>
          <t>Fire alarm / F&amp;G loop (to the local FACP / F&amp;G node)</t>
        </is>
      </c>
      <c r="E456" s="9" t="inlineStr">
        <is>
          <t>R3</t>
        </is>
      </c>
      <c r="F456" s="9" t="inlineStr">
        <is>
          <t>R3: ST auxiliary electrical e-house (40 x 65 ft)</t>
        </is>
      </c>
      <c r="G456" s="9" t="inlineStr">
        <is>
          <t>R3</t>
        </is>
      </c>
      <c r="H456" s="9" t="inlineStr">
        <is>
          <t>R3: ST auxiliary electrical e-house (40 x 65 ft)</t>
        </is>
      </c>
      <c r="I456" s="9" t="inlineStr">
        <is>
          <t>Fire alarm</t>
        </is>
      </c>
      <c r="J456" s="9" t="inlineStr">
        <is>
          <t>Fire alarm FPLR 2/C #14 shielded, red jacket (NEC 760)</t>
        </is>
      </c>
      <c r="K456" s="9" t="inlineStr">
        <is>
          <t>FA|2/C|14</t>
        </is>
      </c>
      <c r="L456" s="9" t="inlineStr">
        <is>
          <t>2/C</t>
        </is>
      </c>
      <c r="M456" s="9" t="inlineStr">
        <is>
          <t>14</t>
        </is>
      </c>
      <c r="N456" s="9" t="n">
        <v>1</v>
      </c>
      <c r="O456" s="9" t="n">
        <v>1</v>
      </c>
      <c r="P456" s="9" t="n"/>
      <c r="Q456" s="9" t="n"/>
      <c r="R456" s="9" t="n"/>
      <c r="S456" s="9" t="inlineStr">
        <is>
          <t>Tray</t>
        </is>
      </c>
      <c r="T456" s="10" t="n">
        <v>0</v>
      </c>
      <c r="U456" s="10" t="n">
        <v>68</v>
      </c>
      <c r="V456" s="10">
        <f>ROUNDUP((T456+U456+2*'Read Me'!$B$13)*(1+'Read Me'!$B$12),-1)</f>
        <v/>
      </c>
      <c r="W456" s="10">
        <f>V456*N456*O456</f>
        <v/>
      </c>
      <c r="X456" s="9">
        <f>IF(LEFT(I456,2)="MV",2*N456*IF(L456="1/C",O456,1),0)</f>
        <v/>
      </c>
      <c r="Y456" s="9">
        <f>IF(OR(LEFT(K456,4)="LVAX",LEFT(K456,6)="MV15AX",LEFT(K456,4)="CTAX",LEFT(K456,2)="W|"),2*N456*O456,0)</f>
        <v/>
      </c>
      <c r="Z456" s="9" t="inlineStr"/>
    </row>
    <row r="457">
      <c r="A457" s="9" t="inlineStr">
        <is>
          <t>A-FA-0033</t>
        </is>
      </c>
      <c r="B457" s="9" t="inlineStr">
        <is>
          <t>A</t>
        </is>
      </c>
      <c r="C457" s="9" t="inlineStr">
        <is>
          <t>Power block</t>
        </is>
      </c>
      <c r="D457" s="9" t="inlineStr">
        <is>
          <t>Fire alarm / F&amp;G loop (to the local FACP / F&amp;G node)</t>
        </is>
      </c>
      <c r="E457" s="9" t="inlineStr">
        <is>
          <t>R2A</t>
        </is>
      </c>
      <c r="F457" s="9" t="inlineStr">
        <is>
          <t>R2A: unit / HRSG electrical e-house (32 x 40 ft)</t>
        </is>
      </c>
      <c r="G457" s="9" t="inlineStr">
        <is>
          <t>SOS-1</t>
        </is>
      </c>
      <c r="H457" s="9" t="inlineStr">
        <is>
          <t>SOS-1: GTG-1 seal-oil and H2 / CO2 gas-control skid</t>
        </is>
      </c>
      <c r="I457" s="9" t="inlineStr">
        <is>
          <t>Fire alarm</t>
        </is>
      </c>
      <c r="J457" s="9" t="inlineStr">
        <is>
          <t>Fire alarm FPLR 2/C #14 shielded, red jacket (NEC 760)</t>
        </is>
      </c>
      <c r="K457" s="9" t="inlineStr">
        <is>
          <t>FA|2/C|14</t>
        </is>
      </c>
      <c r="L457" s="9" t="inlineStr">
        <is>
          <t>2/C</t>
        </is>
      </c>
      <c r="M457" s="9" t="inlineStr">
        <is>
          <t>14</t>
        </is>
      </c>
      <c r="N457" s="9" t="n">
        <v>1</v>
      </c>
      <c r="O457" s="9" t="n">
        <v>1</v>
      </c>
      <c r="P457" s="9" t="n"/>
      <c r="Q457" s="9" t="n"/>
      <c r="R457" s="9" t="n"/>
      <c r="S457" s="9" t="inlineStr">
        <is>
          <t>Tray</t>
        </is>
      </c>
      <c r="T457" s="10" t="n">
        <v>258</v>
      </c>
      <c r="U457" s="10" t="n">
        <v>100</v>
      </c>
      <c r="V457" s="10">
        <f>ROUNDUP((T457+U457+2*'Read Me'!$B$13)*(1+'Read Me'!$B$12),-1)</f>
        <v/>
      </c>
      <c r="W457" s="10">
        <f>V457*N457*O457</f>
        <v/>
      </c>
      <c r="X457" s="9">
        <f>IF(LEFT(I457,2)="MV",2*N457*IF(L457="1/C",O457,1),0)</f>
        <v/>
      </c>
      <c r="Y457" s="9">
        <f>IF(OR(LEFT(K457,4)="LVAX",LEFT(K457,6)="MV15AX",LEFT(K457,4)="CTAX",LEFT(K457,2)="W|"),2*N457*O457,0)</f>
        <v/>
      </c>
      <c r="Z457" s="9" t="inlineStr"/>
    </row>
    <row r="458">
      <c r="A458" s="9" t="inlineStr">
        <is>
          <t>A-FA-0034</t>
        </is>
      </c>
      <c r="B458" s="9" t="inlineStr">
        <is>
          <t>A</t>
        </is>
      </c>
      <c r="C458" s="9" t="inlineStr">
        <is>
          <t>Power block</t>
        </is>
      </c>
      <c r="D458" s="9" t="inlineStr">
        <is>
          <t>Fire alarm / F&amp;G loop (to the local FACP / F&amp;G node)</t>
        </is>
      </c>
      <c r="E458" s="9" t="inlineStr">
        <is>
          <t>R2B</t>
        </is>
      </c>
      <c r="F458" s="9" t="inlineStr">
        <is>
          <t>R2B: unit / HRSG electrical e-house (32 x 40 ft)</t>
        </is>
      </c>
      <c r="G458" s="9" t="inlineStr">
        <is>
          <t>SOS-2</t>
        </is>
      </c>
      <c r="H458" s="9" t="inlineStr">
        <is>
          <t>SOS-2: GTG-2 seal-oil and H2 / CO2 gas-control skid</t>
        </is>
      </c>
      <c r="I458" s="9" t="inlineStr">
        <is>
          <t>Fire alarm</t>
        </is>
      </c>
      <c r="J458" s="9" t="inlineStr">
        <is>
          <t>Fire alarm FPLR 2/C #14 shielded, red jacket (NEC 760)</t>
        </is>
      </c>
      <c r="K458" s="9" t="inlineStr">
        <is>
          <t>FA|2/C|14</t>
        </is>
      </c>
      <c r="L458" s="9" t="inlineStr">
        <is>
          <t>2/C</t>
        </is>
      </c>
      <c r="M458" s="9" t="inlineStr">
        <is>
          <t>14</t>
        </is>
      </c>
      <c r="N458" s="9" t="n">
        <v>1</v>
      </c>
      <c r="O458" s="9" t="n">
        <v>1</v>
      </c>
      <c r="P458" s="9" t="n"/>
      <c r="Q458" s="9" t="n"/>
      <c r="R458" s="9" t="n"/>
      <c r="S458" s="9" t="inlineStr">
        <is>
          <t>Tray</t>
        </is>
      </c>
      <c r="T458" s="10" t="n">
        <v>997</v>
      </c>
      <c r="U458" s="10" t="n">
        <v>102</v>
      </c>
      <c r="V458" s="10">
        <f>ROUNDUP((T458+U458+2*'Read Me'!$B$13)*(1+'Read Me'!$B$12),-1)</f>
        <v/>
      </c>
      <c r="W458" s="10">
        <f>V458*N458*O458</f>
        <v/>
      </c>
      <c r="X458" s="9">
        <f>IF(LEFT(I458,2)="MV",2*N458*IF(L458="1/C",O458,1),0)</f>
        <v/>
      </c>
      <c r="Y458" s="9">
        <f>IF(OR(LEFT(K458,4)="LVAX",LEFT(K458,6)="MV15AX",LEFT(K458,4)="CTAX",LEFT(K458,2)="W|"),2*N458*O458,0)</f>
        <v/>
      </c>
      <c r="Z458" s="9" t="inlineStr"/>
    </row>
    <row r="459">
      <c r="A459" s="9" t="inlineStr">
        <is>
          <t>A-FA-0035</t>
        </is>
      </c>
      <c r="B459" s="9" t="inlineStr">
        <is>
          <t>A</t>
        </is>
      </c>
      <c r="C459" s="9" t="inlineStr">
        <is>
          <t>Power block</t>
        </is>
      </c>
      <c r="D459" s="9" t="inlineStr">
        <is>
          <t>Fire alarm / F&amp;G loop (to the local FACP / F&amp;G node)</t>
        </is>
      </c>
      <c r="E459" s="9" t="inlineStr">
        <is>
          <t>R2C</t>
        </is>
      </c>
      <c r="F459" s="9" t="inlineStr">
        <is>
          <t>R2C: unit / HRSG electrical e-house (32 x 40 ft)</t>
        </is>
      </c>
      <c r="G459" s="9" t="inlineStr">
        <is>
          <t>SOS-3</t>
        </is>
      </c>
      <c r="H459" s="9" t="inlineStr">
        <is>
          <t>SOS-3: GTG-3 seal-oil and H2 / CO2 gas-control skid</t>
        </is>
      </c>
      <c r="I459" s="9" t="inlineStr">
        <is>
          <t>Fire alarm</t>
        </is>
      </c>
      <c r="J459" s="9" t="inlineStr">
        <is>
          <t>Fire alarm FPLR 2/C #14 shielded, red jacket (NEC 760)</t>
        </is>
      </c>
      <c r="K459" s="9" t="inlineStr">
        <is>
          <t>FA|2/C|14</t>
        </is>
      </c>
      <c r="L459" s="9" t="inlineStr">
        <is>
          <t>2/C</t>
        </is>
      </c>
      <c r="M459" s="9" t="inlineStr">
        <is>
          <t>14</t>
        </is>
      </c>
      <c r="N459" s="9" t="n">
        <v>1</v>
      </c>
      <c r="O459" s="9" t="n">
        <v>1</v>
      </c>
      <c r="P459" s="9" t="n"/>
      <c r="Q459" s="9" t="n"/>
      <c r="R459" s="9" t="n"/>
      <c r="S459" s="9" t="inlineStr">
        <is>
          <t>Tray</t>
        </is>
      </c>
      <c r="T459" s="10" t="n">
        <v>1158</v>
      </c>
      <c r="U459" s="10" t="n">
        <v>118</v>
      </c>
      <c r="V459" s="10">
        <f>ROUNDUP((T459+U459+2*'Read Me'!$B$13)*(1+'Read Me'!$B$12),-1)</f>
        <v/>
      </c>
      <c r="W459" s="10">
        <f>V459*N459*O459</f>
        <v/>
      </c>
      <c r="X459" s="9">
        <f>IF(LEFT(I459,2)="MV",2*N459*IF(L459="1/C",O459,1),0)</f>
        <v/>
      </c>
      <c r="Y459" s="9">
        <f>IF(OR(LEFT(K459,4)="LVAX",LEFT(K459,6)="MV15AX",LEFT(K459,4)="CTAX",LEFT(K459,2)="W|"),2*N459*O459,0)</f>
        <v/>
      </c>
      <c r="Z459" s="9" t="inlineStr"/>
    </row>
    <row r="460">
      <c r="A460" s="9" t="inlineStr">
        <is>
          <t>A-FA-0036</t>
        </is>
      </c>
      <c r="B460" s="9" t="inlineStr">
        <is>
          <t>A</t>
        </is>
      </c>
      <c r="C460" s="9" t="inlineStr">
        <is>
          <t>Power block</t>
        </is>
      </c>
      <c r="D460" s="9" t="inlineStr">
        <is>
          <t>Fire alarm / F&amp;G loop (to the local FACP / F&amp;G node)</t>
        </is>
      </c>
      <c r="E460" s="9" t="inlineStr">
        <is>
          <t>R2A</t>
        </is>
      </c>
      <c r="F460" s="9" t="inlineStr">
        <is>
          <t>R2A: unit / HRSG electrical e-house (32 x 40 ft)</t>
        </is>
      </c>
      <c r="G460" s="9" t="inlineStr">
        <is>
          <t>SPC-1</t>
        </is>
      </c>
      <c r="H460" s="9" t="inlineStr">
        <is>
          <t>SPC-1: surge-protection and VT cubicle on the IPB (GTG-1)</t>
        </is>
      </c>
      <c r="I460" s="9" t="inlineStr">
        <is>
          <t>Fire alarm</t>
        </is>
      </c>
      <c r="J460" s="9" t="inlineStr">
        <is>
          <t>Fire alarm FPLR 2/C #14 shielded, red jacket (NEC 760)</t>
        </is>
      </c>
      <c r="K460" s="9" t="inlineStr">
        <is>
          <t>FA|2/C|14</t>
        </is>
      </c>
      <c r="L460" s="9" t="inlineStr">
        <is>
          <t>2/C</t>
        </is>
      </c>
      <c r="M460" s="9" t="inlineStr">
        <is>
          <t>14</t>
        </is>
      </c>
      <c r="N460" s="9" t="n">
        <v>1</v>
      </c>
      <c r="O460" s="9" t="n">
        <v>1</v>
      </c>
      <c r="P460" s="9" t="n"/>
      <c r="Q460" s="9" t="n"/>
      <c r="R460" s="9" t="n"/>
      <c r="S460" s="9" t="inlineStr">
        <is>
          <t>Tray</t>
        </is>
      </c>
      <c r="T460" s="10" t="n">
        <v>407</v>
      </c>
      <c r="U460" s="10" t="n">
        <v>82</v>
      </c>
      <c r="V460" s="10">
        <f>ROUNDUP((T460+U460+2*'Read Me'!$B$13)*(1+'Read Me'!$B$12),-1)</f>
        <v/>
      </c>
      <c r="W460" s="10">
        <f>V460*N460*O460</f>
        <v/>
      </c>
      <c r="X460" s="9">
        <f>IF(LEFT(I460,2)="MV",2*N460*IF(L460="1/C",O460,1),0)</f>
        <v/>
      </c>
      <c r="Y460" s="9">
        <f>IF(OR(LEFT(K460,4)="LVAX",LEFT(K460,6)="MV15AX",LEFT(K460,4)="CTAX",LEFT(K460,2)="W|"),2*N460*O460,0)</f>
        <v/>
      </c>
      <c r="Z460" s="9" t="inlineStr"/>
    </row>
    <row r="461">
      <c r="A461" s="9" t="inlineStr">
        <is>
          <t>A-FA-0037</t>
        </is>
      </c>
      <c r="B461" s="9" t="inlineStr">
        <is>
          <t>A</t>
        </is>
      </c>
      <c r="C461" s="9" t="inlineStr">
        <is>
          <t>Power block</t>
        </is>
      </c>
      <c r="D461" s="9" t="inlineStr">
        <is>
          <t>Fire alarm / F&amp;G loop (to the local FACP / F&amp;G node)</t>
        </is>
      </c>
      <c r="E461" s="9" t="inlineStr">
        <is>
          <t>R2B</t>
        </is>
      </c>
      <c r="F461" s="9" t="inlineStr">
        <is>
          <t>R2B: unit / HRSG electrical e-house (32 x 40 ft)</t>
        </is>
      </c>
      <c r="G461" s="9" t="inlineStr">
        <is>
          <t>SPC-2</t>
        </is>
      </c>
      <c r="H461" s="9" t="inlineStr">
        <is>
          <t>SPC-2: surge-protection and VT cubicle on the IPB (GTG-2)</t>
        </is>
      </c>
      <c r="I461" s="9" t="inlineStr">
        <is>
          <t>Fire alarm</t>
        </is>
      </c>
      <c r="J461" s="9" t="inlineStr">
        <is>
          <t>Fire alarm FPLR 2/C #14 shielded, red jacket (NEC 760)</t>
        </is>
      </c>
      <c r="K461" s="9" t="inlineStr">
        <is>
          <t>FA|2/C|14</t>
        </is>
      </c>
      <c r="L461" s="9" t="inlineStr">
        <is>
          <t>2/C</t>
        </is>
      </c>
      <c r="M461" s="9" t="inlineStr">
        <is>
          <t>14</t>
        </is>
      </c>
      <c r="N461" s="9" t="n">
        <v>1</v>
      </c>
      <c r="O461" s="9" t="n">
        <v>1</v>
      </c>
      <c r="P461" s="9" t="n"/>
      <c r="Q461" s="9" t="n"/>
      <c r="R461" s="9" t="n"/>
      <c r="S461" s="9" t="inlineStr">
        <is>
          <t>Tray</t>
        </is>
      </c>
      <c r="T461" s="10" t="n">
        <v>1146</v>
      </c>
      <c r="U461" s="10" t="n">
        <v>84</v>
      </c>
      <c r="V461" s="10">
        <f>ROUNDUP((T461+U461+2*'Read Me'!$B$13)*(1+'Read Me'!$B$12),-1)</f>
        <v/>
      </c>
      <c r="W461" s="10">
        <f>V461*N461*O461</f>
        <v/>
      </c>
      <c r="X461" s="9">
        <f>IF(LEFT(I461,2)="MV",2*N461*IF(L461="1/C",O461,1),0)</f>
        <v/>
      </c>
      <c r="Y461" s="9">
        <f>IF(OR(LEFT(K461,4)="LVAX",LEFT(K461,6)="MV15AX",LEFT(K461,4)="CTAX",LEFT(K461,2)="W|"),2*N461*O461,0)</f>
        <v/>
      </c>
      <c r="Z461" s="9" t="inlineStr"/>
    </row>
    <row r="462">
      <c r="A462" s="9" t="inlineStr">
        <is>
          <t>A-FA-0038</t>
        </is>
      </c>
      <c r="B462" s="9" t="inlineStr">
        <is>
          <t>A</t>
        </is>
      </c>
      <c r="C462" s="9" t="inlineStr">
        <is>
          <t>Power block</t>
        </is>
      </c>
      <c r="D462" s="9" t="inlineStr">
        <is>
          <t>Fire alarm / F&amp;G loop (to the local FACP / F&amp;G node)</t>
        </is>
      </c>
      <c r="E462" s="9" t="inlineStr">
        <is>
          <t>R3</t>
        </is>
      </c>
      <c r="F462" s="9" t="inlineStr">
        <is>
          <t>R3: ST auxiliary electrical e-house (40 x 65 ft)</t>
        </is>
      </c>
      <c r="G462" s="9" t="inlineStr">
        <is>
          <t>SPC-3</t>
        </is>
      </c>
      <c r="H462" s="9" t="inlineStr">
        <is>
          <t>SPC-3: surge-protection and VT cubicle on the IPB (GTG-3)</t>
        </is>
      </c>
      <c r="I462" s="9" t="inlineStr">
        <is>
          <t>Fire alarm</t>
        </is>
      </c>
      <c r="J462" s="9" t="inlineStr">
        <is>
          <t>Fire alarm FPLR 2/C #14 shielded, red jacket (NEC 760)</t>
        </is>
      </c>
      <c r="K462" s="9" t="inlineStr">
        <is>
          <t>FA|2/C|14</t>
        </is>
      </c>
      <c r="L462" s="9" t="inlineStr">
        <is>
          <t>2/C</t>
        </is>
      </c>
      <c r="M462" s="9" t="inlineStr">
        <is>
          <t>14</t>
        </is>
      </c>
      <c r="N462" s="9" t="n">
        <v>1</v>
      </c>
      <c r="O462" s="9" t="n">
        <v>1</v>
      </c>
      <c r="P462" s="9" t="n"/>
      <c r="Q462" s="9" t="n"/>
      <c r="R462" s="9" t="n"/>
      <c r="S462" s="9" t="inlineStr">
        <is>
          <t>Tray</t>
        </is>
      </c>
      <c r="T462" s="10" t="n">
        <v>580</v>
      </c>
      <c r="U462" s="10" t="n">
        <v>86</v>
      </c>
      <c r="V462" s="10">
        <f>ROUNDUP((T462+U462+2*'Read Me'!$B$13)*(1+'Read Me'!$B$12),-1)</f>
        <v/>
      </c>
      <c r="W462" s="10">
        <f>V462*N462*O462</f>
        <v/>
      </c>
      <c r="X462" s="9">
        <f>IF(LEFT(I462,2)="MV",2*N462*IF(L462="1/C",O462,1),0)</f>
        <v/>
      </c>
      <c r="Y462" s="9">
        <f>IF(OR(LEFT(K462,4)="LVAX",LEFT(K462,6)="MV15AX",LEFT(K462,4)="CTAX",LEFT(K462,2)="W|"),2*N462*O462,0)</f>
        <v/>
      </c>
      <c r="Z462" s="9" t="inlineStr"/>
    </row>
    <row r="463">
      <c r="A463" s="9" t="inlineStr">
        <is>
          <t>A-FA-0039</t>
        </is>
      </c>
      <c r="B463" s="9" t="inlineStr">
        <is>
          <t>A</t>
        </is>
      </c>
      <c r="C463" s="9" t="inlineStr">
        <is>
          <t>Power block</t>
        </is>
      </c>
      <c r="D463" s="9" t="inlineStr">
        <is>
          <t>Fire alarm / F&amp;G loop (to the local FACP / F&amp;G node)</t>
        </is>
      </c>
      <c r="E463" s="9" t="inlineStr">
        <is>
          <t>R2B</t>
        </is>
      </c>
      <c r="F463" s="9" t="inlineStr">
        <is>
          <t>R2B: unit / HRSG electrical e-house (32 x 40 ft)</t>
        </is>
      </c>
      <c r="G463" s="9" t="inlineStr"/>
      <c r="H463" s="9" t="inlineStr">
        <is>
          <t>Turbine hall exterior electrical: MC-cable risers, roof exhausters, wa</t>
        </is>
      </c>
      <c r="I463" s="9" t="inlineStr">
        <is>
          <t>Fire alarm</t>
        </is>
      </c>
      <c r="J463" s="9" t="inlineStr">
        <is>
          <t>Fire alarm FPLR 2/C #14 shielded, red jacket (NEC 760)</t>
        </is>
      </c>
      <c r="K463" s="9" t="inlineStr">
        <is>
          <t>FA|2/C|14</t>
        </is>
      </c>
      <c r="L463" s="9" t="inlineStr">
        <is>
          <t>2/C</t>
        </is>
      </c>
      <c r="M463" s="9" t="inlineStr">
        <is>
          <t>14</t>
        </is>
      </c>
      <c r="N463" s="9" t="n">
        <v>1</v>
      </c>
      <c r="O463" s="9" t="n">
        <v>1</v>
      </c>
      <c r="P463" s="9" t="n"/>
      <c r="Q463" s="9" t="n"/>
      <c r="R463" s="9" t="n"/>
      <c r="S463" s="9" t="inlineStr">
        <is>
          <t>Tray</t>
        </is>
      </c>
      <c r="T463" s="10" t="n">
        <v>918</v>
      </c>
      <c r="U463" s="10" t="n">
        <v>96</v>
      </c>
      <c r="V463" s="10">
        <f>ROUNDUP((T463+U463+2*'Read Me'!$B$13)*(1+'Read Me'!$B$12),-1)</f>
        <v/>
      </c>
      <c r="W463" s="10">
        <f>V463*N463*O463</f>
        <v/>
      </c>
      <c r="X463" s="9">
        <f>IF(LEFT(I463,2)="MV",2*N463*IF(L463="1/C",O463,1),0)</f>
        <v/>
      </c>
      <c r="Y463" s="9">
        <f>IF(OR(LEFT(K463,4)="LVAX",LEFT(K463,6)="MV15AX",LEFT(K463,4)="CTAX",LEFT(K463,2)="W|"),2*N463*O463,0)</f>
        <v/>
      </c>
      <c r="Z463" s="9" t="inlineStr"/>
    </row>
    <row r="464">
      <c r="A464" s="9" t="inlineStr">
        <is>
          <t>A-I-0001</t>
        </is>
      </c>
      <c r="B464" s="9" t="inlineStr">
        <is>
          <t>A</t>
        </is>
      </c>
      <c r="C464" s="9" t="inlineStr">
        <is>
          <t>Power block</t>
        </is>
      </c>
      <c r="D464" s="9" t="inlineStr">
        <is>
          <t>Instrumentation</t>
        </is>
      </c>
      <c r="E464" s="9" t="inlineStr">
        <is>
          <t>R3</t>
        </is>
      </c>
      <c r="F464" s="9" t="inlineStr">
        <is>
          <t>R3: ST auxiliary electrical e-house (40 x 65 ft)</t>
        </is>
      </c>
      <c r="G464" s="9" t="inlineStr">
        <is>
          <t>AC-A/B/C</t>
        </is>
      </c>
      <c r="H464" s="9" t="inlineStr">
        <is>
          <t>Air compressors AC-A/B/C</t>
        </is>
      </c>
      <c r="I464" s="9" t="inlineStr">
        <is>
          <t>Instrumentation</t>
        </is>
      </c>
      <c r="J464" s="9" t="inlineStr">
        <is>
          <t>Instrumentation ITC / PLTC, IS, #18 shielded pairs, blue jacket</t>
        </is>
      </c>
      <c r="K464" s="9" t="inlineStr">
        <is>
          <t>ITC|4 pr|18</t>
        </is>
      </c>
      <c r="L464" s="9" t="inlineStr">
        <is>
          <t>4 pr</t>
        </is>
      </c>
      <c r="M464" s="9" t="inlineStr">
        <is>
          <t>18</t>
        </is>
      </c>
      <c r="N464" s="9" t="n">
        <v>1</v>
      </c>
      <c r="O464" s="9" t="n">
        <v>1</v>
      </c>
      <c r="P464" s="9" t="n"/>
      <c r="Q464" s="9" t="n"/>
      <c r="R464" s="9" t="n"/>
      <c r="S464" s="9" t="inlineStr">
        <is>
          <t>Tray</t>
        </is>
      </c>
      <c r="T464" s="10" t="n">
        <v>90</v>
      </c>
      <c r="U464" s="10" t="n">
        <v>70</v>
      </c>
      <c r="V464" s="10">
        <f>ROUNDUP((T464+U464+2*'Read Me'!$B$13)*(1+'Read Me'!$B$12),-1)</f>
        <v/>
      </c>
      <c r="W464" s="10">
        <f>V464*N464*O464</f>
        <v/>
      </c>
      <c r="X464" s="9">
        <f>IF(LEFT(I464,2)="MV",2*N464*IF(L464="1/C",O464,1),0)</f>
        <v/>
      </c>
      <c r="Y464" s="9">
        <f>IF(OR(LEFT(K464,4)="LVAX",LEFT(K464,6)="MV15AX",LEFT(K464,4)="CTAX",LEFT(K464,2)="W|"),2*N464*O464,0)</f>
        <v/>
      </c>
      <c r="Z464" s="9" t="inlineStr"/>
    </row>
    <row r="465">
      <c r="A465" s="9" t="inlineStr">
        <is>
          <t>A-I-0002</t>
        </is>
      </c>
      <c r="B465" s="9" t="inlineStr">
        <is>
          <t>A</t>
        </is>
      </c>
      <c r="C465" s="9" t="inlineStr">
        <is>
          <t>Power block</t>
        </is>
      </c>
      <c r="D465" s="9" t="inlineStr">
        <is>
          <t>Instrumentation</t>
        </is>
      </c>
      <c r="E465" s="9" t="inlineStr">
        <is>
          <t>R3</t>
        </is>
      </c>
      <c r="F465" s="9" t="inlineStr">
        <is>
          <t>R3: ST auxiliary electrical e-house (40 x 65 ft)</t>
        </is>
      </c>
      <c r="G465" s="9" t="inlineStr">
        <is>
          <t>AC-A/B/C</t>
        </is>
      </c>
      <c r="H465" s="9" t="inlineStr">
        <is>
          <t>Air compressors AC-A/B/C</t>
        </is>
      </c>
      <c r="I465" s="9" t="inlineStr">
        <is>
          <t>Instrumentation</t>
        </is>
      </c>
      <c r="J465" s="9" t="inlineStr">
        <is>
          <t>Instrumentation ITC / PLTC, IS, #18 shielded pairs, blue jacket</t>
        </is>
      </c>
      <c r="K465" s="9" t="inlineStr">
        <is>
          <t>ITC|12 pr|18</t>
        </is>
      </c>
      <c r="L465" s="9" t="inlineStr">
        <is>
          <t>12 pr</t>
        </is>
      </c>
      <c r="M465" s="9" t="inlineStr">
        <is>
          <t>18</t>
        </is>
      </c>
      <c r="N465" s="9" t="n">
        <v>1</v>
      </c>
      <c r="O465" s="9" t="n">
        <v>1</v>
      </c>
      <c r="P465" s="9" t="n"/>
      <c r="Q465" s="9" t="n"/>
      <c r="R465" s="9" t="n"/>
      <c r="S465" s="9" t="inlineStr">
        <is>
          <t>Tray</t>
        </is>
      </c>
      <c r="T465" s="10" t="n">
        <v>90</v>
      </c>
      <c r="U465" s="10" t="n">
        <v>70</v>
      </c>
      <c r="V465" s="10">
        <f>ROUNDUP((T465+U465+2*'Read Me'!$B$13)*(1+'Read Me'!$B$12),-1)</f>
        <v/>
      </c>
      <c r="W465" s="10">
        <f>V465*N465*O465</f>
        <v/>
      </c>
      <c r="X465" s="9">
        <f>IF(LEFT(I465,2)="MV",2*N465*IF(L465="1/C",O465,1),0)</f>
        <v/>
      </c>
      <c r="Y465" s="9">
        <f>IF(OR(LEFT(K465,4)="LVAX",LEFT(K465,6)="MV15AX",LEFT(K465,4)="CTAX",LEFT(K465,2)="W|"),2*N465*O465,0)</f>
        <v/>
      </c>
      <c r="Z465" s="9" t="inlineStr"/>
    </row>
    <row r="466">
      <c r="A466" s="9" t="inlineStr">
        <is>
          <t>A-I-0003</t>
        </is>
      </c>
      <c r="B466" s="9" t="inlineStr">
        <is>
          <t>A</t>
        </is>
      </c>
      <c r="C466" s="9" t="inlineStr">
        <is>
          <t>Power block</t>
        </is>
      </c>
      <c r="D466" s="9" t="inlineStr">
        <is>
          <t>Instrumentation</t>
        </is>
      </c>
      <c r="E466" s="9" t="inlineStr">
        <is>
          <t>R2B</t>
        </is>
      </c>
      <c r="F466" s="9" t="inlineStr">
        <is>
          <t>R2B: unit / HRSG electrical e-house (32 x 40 ft)</t>
        </is>
      </c>
      <c r="G466" s="9" t="inlineStr">
        <is>
          <t>BFP-1</t>
        </is>
      </c>
      <c r="H466" s="9" t="inlineStr">
        <is>
          <t>BFP-1A/B: boiler feed pumps (13.8 kV DOL)</t>
        </is>
      </c>
      <c r="I466" s="9" t="inlineStr">
        <is>
          <t>Instrumentation</t>
        </is>
      </c>
      <c r="J466" s="9" t="inlineStr">
        <is>
          <t>Instrumentation PLTC / TC-ER 300 V, #18 twisted shielded pairs, overall shield</t>
        </is>
      </c>
      <c r="K466" s="9" t="inlineStr">
        <is>
          <t>PLTC|4 pr|18</t>
        </is>
      </c>
      <c r="L466" s="9" t="inlineStr">
        <is>
          <t>4 pr</t>
        </is>
      </c>
      <c r="M466" s="9" t="inlineStr">
        <is>
          <t>18</t>
        </is>
      </c>
      <c r="N466" s="9" t="n">
        <v>1</v>
      </c>
      <c r="O466" s="9" t="n">
        <v>1</v>
      </c>
      <c r="P466" s="9" t="n"/>
      <c r="Q466" s="9" t="n"/>
      <c r="R466" s="9" t="n"/>
      <c r="S466" s="9" t="inlineStr">
        <is>
          <t>Tray</t>
        </is>
      </c>
      <c r="T466" s="10" t="n">
        <v>41</v>
      </c>
      <c r="U466" s="10" t="n">
        <v>78</v>
      </c>
      <c r="V466" s="10">
        <f>ROUNDUP((T466+U466+2*'Read Me'!$B$13)*(1+'Read Me'!$B$12),-1)</f>
        <v/>
      </c>
      <c r="W466" s="10">
        <f>V466*N466*O466</f>
        <v/>
      </c>
      <c r="X466" s="9">
        <f>IF(LEFT(I466,2)="MV",2*N466*IF(L466="1/C",O466,1),0)</f>
        <v/>
      </c>
      <c r="Y466" s="9">
        <f>IF(OR(LEFT(K466,4)="LVAX",LEFT(K466,6)="MV15AX",LEFT(K466,4)="CTAX",LEFT(K466,2)="W|"),2*N466*O466,0)</f>
        <v/>
      </c>
      <c r="Z466" s="9" t="inlineStr"/>
    </row>
    <row r="467">
      <c r="A467" s="9" t="inlineStr">
        <is>
          <t>A-I-0004</t>
        </is>
      </c>
      <c r="B467" s="9" t="inlineStr">
        <is>
          <t>A</t>
        </is>
      </c>
      <c r="C467" s="9" t="inlineStr">
        <is>
          <t>Power block</t>
        </is>
      </c>
      <c r="D467" s="9" t="inlineStr">
        <is>
          <t>Instrumentation</t>
        </is>
      </c>
      <c r="E467" s="9" t="inlineStr">
        <is>
          <t>R2B</t>
        </is>
      </c>
      <c r="F467" s="9" t="inlineStr">
        <is>
          <t>R2B: unit / HRSG electrical e-house (32 x 40 ft)</t>
        </is>
      </c>
      <c r="G467" s="9" t="inlineStr">
        <is>
          <t>BFP-1</t>
        </is>
      </c>
      <c r="H467" s="9" t="inlineStr">
        <is>
          <t>BFP-1A/B: boiler feed pumps (13.8 kV DOL)</t>
        </is>
      </c>
      <c r="I467" s="9" t="inlineStr">
        <is>
          <t>Instrumentation</t>
        </is>
      </c>
      <c r="J467" s="9" t="inlineStr">
        <is>
          <t>Instrumentation PLTC / TC-ER 300 V, #18 twisted shielded pairs, overall shield</t>
        </is>
      </c>
      <c r="K467" s="9" t="inlineStr">
        <is>
          <t>PLTC|12 pr|18</t>
        </is>
      </c>
      <c r="L467" s="9" t="inlineStr">
        <is>
          <t>12 pr</t>
        </is>
      </c>
      <c r="M467" s="9" t="inlineStr">
        <is>
          <t>18</t>
        </is>
      </c>
      <c r="N467" s="9" t="n">
        <v>1</v>
      </c>
      <c r="O467" s="9" t="n">
        <v>1</v>
      </c>
      <c r="P467" s="9" t="n"/>
      <c r="Q467" s="9" t="n"/>
      <c r="R467" s="9" t="n"/>
      <c r="S467" s="9" t="inlineStr">
        <is>
          <t>Tray</t>
        </is>
      </c>
      <c r="T467" s="10" t="n">
        <v>41</v>
      </c>
      <c r="U467" s="10" t="n">
        <v>78</v>
      </c>
      <c r="V467" s="10">
        <f>ROUNDUP((T467+U467+2*'Read Me'!$B$13)*(1+'Read Me'!$B$12),-1)</f>
        <v/>
      </c>
      <c r="W467" s="10">
        <f>V467*N467*O467</f>
        <v/>
      </c>
      <c r="X467" s="9">
        <f>IF(LEFT(I467,2)="MV",2*N467*IF(L467="1/C",O467,1),0)</f>
        <v/>
      </c>
      <c r="Y467" s="9">
        <f>IF(OR(LEFT(K467,4)="LVAX",LEFT(K467,6)="MV15AX",LEFT(K467,4)="CTAX",LEFT(K467,2)="W|"),2*N467*O467,0)</f>
        <v/>
      </c>
      <c r="Z467" s="9" t="inlineStr"/>
    </row>
    <row r="468">
      <c r="A468" s="9" t="inlineStr">
        <is>
          <t>A-I-0005</t>
        </is>
      </c>
      <c r="B468" s="9" t="inlineStr">
        <is>
          <t>A</t>
        </is>
      </c>
      <c r="C468" s="9" t="inlineStr">
        <is>
          <t>Power block</t>
        </is>
      </c>
      <c r="D468" s="9" t="inlineStr">
        <is>
          <t>Instrumentation</t>
        </is>
      </c>
      <c r="E468" s="9" t="inlineStr">
        <is>
          <t>R2C</t>
        </is>
      </c>
      <c r="F468" s="9" t="inlineStr">
        <is>
          <t>R2C: unit / HRSG electrical e-house (32 x 40 ft)</t>
        </is>
      </c>
      <c r="G468" s="9" t="inlineStr">
        <is>
          <t>BFP-2</t>
        </is>
      </c>
      <c r="H468" s="9" t="inlineStr">
        <is>
          <t>BFP-2A/B: boiler feed pumps (13.8 kV DOL)</t>
        </is>
      </c>
      <c r="I468" s="9" t="inlineStr">
        <is>
          <t>Instrumentation</t>
        </is>
      </c>
      <c r="J468" s="9" t="inlineStr">
        <is>
          <t>Instrumentation PLTC / TC-ER 300 V, #18 twisted shielded pairs, overall shield</t>
        </is>
      </c>
      <c r="K468" s="9" t="inlineStr">
        <is>
          <t>PLTC|4 pr|18</t>
        </is>
      </c>
      <c r="L468" s="9" t="inlineStr">
        <is>
          <t>4 pr</t>
        </is>
      </c>
      <c r="M468" s="9" t="inlineStr">
        <is>
          <t>18</t>
        </is>
      </c>
      <c r="N468" s="9" t="n">
        <v>1</v>
      </c>
      <c r="O468" s="9" t="n">
        <v>1</v>
      </c>
      <c r="P468" s="9" t="n"/>
      <c r="Q468" s="9" t="n"/>
      <c r="R468" s="9" t="n"/>
      <c r="S468" s="9" t="inlineStr">
        <is>
          <t>Tray</t>
        </is>
      </c>
      <c r="T468" s="10" t="n">
        <v>43</v>
      </c>
      <c r="U468" s="10" t="n">
        <v>78</v>
      </c>
      <c r="V468" s="10">
        <f>ROUNDUP((T468+U468+2*'Read Me'!$B$13)*(1+'Read Me'!$B$12),-1)</f>
        <v/>
      </c>
      <c r="W468" s="10">
        <f>V468*N468*O468</f>
        <v/>
      </c>
      <c r="X468" s="9">
        <f>IF(LEFT(I468,2)="MV",2*N468*IF(L468="1/C",O468,1),0)</f>
        <v/>
      </c>
      <c r="Y468" s="9">
        <f>IF(OR(LEFT(K468,4)="LVAX",LEFT(K468,6)="MV15AX",LEFT(K468,4)="CTAX",LEFT(K468,2)="W|"),2*N468*O468,0)</f>
        <v/>
      </c>
      <c r="Z468" s="9" t="inlineStr"/>
    </row>
    <row r="469">
      <c r="A469" s="9" t="inlineStr">
        <is>
          <t>A-I-0006</t>
        </is>
      </c>
      <c r="B469" s="9" t="inlineStr">
        <is>
          <t>A</t>
        </is>
      </c>
      <c r="C469" s="9" t="inlineStr">
        <is>
          <t>Power block</t>
        </is>
      </c>
      <c r="D469" s="9" t="inlineStr">
        <is>
          <t>Instrumentation</t>
        </is>
      </c>
      <c r="E469" s="9" t="inlineStr">
        <is>
          <t>R2C</t>
        </is>
      </c>
      <c r="F469" s="9" t="inlineStr">
        <is>
          <t>R2C: unit / HRSG electrical e-house (32 x 40 ft)</t>
        </is>
      </c>
      <c r="G469" s="9" t="inlineStr">
        <is>
          <t>BFP-2</t>
        </is>
      </c>
      <c r="H469" s="9" t="inlineStr">
        <is>
          <t>BFP-2A/B: boiler feed pumps (13.8 kV DOL)</t>
        </is>
      </c>
      <c r="I469" s="9" t="inlineStr">
        <is>
          <t>Instrumentation</t>
        </is>
      </c>
      <c r="J469" s="9" t="inlineStr">
        <is>
          <t>Instrumentation PLTC / TC-ER 300 V, #18 twisted shielded pairs, overall shield</t>
        </is>
      </c>
      <c r="K469" s="9" t="inlineStr">
        <is>
          <t>PLTC|12 pr|18</t>
        </is>
      </c>
      <c r="L469" s="9" t="inlineStr">
        <is>
          <t>12 pr</t>
        </is>
      </c>
      <c r="M469" s="9" t="inlineStr">
        <is>
          <t>18</t>
        </is>
      </c>
      <c r="N469" s="9" t="n">
        <v>1</v>
      </c>
      <c r="O469" s="9" t="n">
        <v>1</v>
      </c>
      <c r="P469" s="9" t="n"/>
      <c r="Q469" s="9" t="n"/>
      <c r="R469" s="9" t="n"/>
      <c r="S469" s="9" t="inlineStr">
        <is>
          <t>Tray</t>
        </is>
      </c>
      <c r="T469" s="10" t="n">
        <v>43</v>
      </c>
      <c r="U469" s="10" t="n">
        <v>78</v>
      </c>
      <c r="V469" s="10">
        <f>ROUNDUP((T469+U469+2*'Read Me'!$B$13)*(1+'Read Me'!$B$12),-1)</f>
        <v/>
      </c>
      <c r="W469" s="10">
        <f>V469*N469*O469</f>
        <v/>
      </c>
      <c r="X469" s="9">
        <f>IF(LEFT(I469,2)="MV",2*N469*IF(L469="1/C",O469,1),0)</f>
        <v/>
      </c>
      <c r="Y469" s="9">
        <f>IF(OR(LEFT(K469,4)="LVAX",LEFT(K469,6)="MV15AX",LEFT(K469,4)="CTAX",LEFT(K469,2)="W|"),2*N469*O469,0)</f>
        <v/>
      </c>
      <c r="Z469" s="9" t="inlineStr"/>
    </row>
    <row r="470">
      <c r="A470" s="9" t="inlineStr">
        <is>
          <t>A-I-0007</t>
        </is>
      </c>
      <c r="B470" s="9" t="inlineStr">
        <is>
          <t>A</t>
        </is>
      </c>
      <c r="C470" s="9" t="inlineStr">
        <is>
          <t>Power block</t>
        </is>
      </c>
      <c r="D470" s="9" t="inlineStr">
        <is>
          <t>Instrumentation</t>
        </is>
      </c>
      <c r="E470" s="9" t="inlineStr">
        <is>
          <t>R3</t>
        </is>
      </c>
      <c r="F470" s="9" t="inlineStr">
        <is>
          <t>R3: ST auxiliary electrical e-house (40 x 65 ft)</t>
        </is>
      </c>
      <c r="G470" s="9" t="inlineStr">
        <is>
          <t>BFP-3</t>
        </is>
      </c>
      <c r="H470" s="9" t="inlineStr">
        <is>
          <t>BFP-3A/B: boiler feed pumps (13.8 kV DOL)</t>
        </is>
      </c>
      <c r="I470" s="9" t="inlineStr">
        <is>
          <t>Instrumentation</t>
        </is>
      </c>
      <c r="J470" s="9" t="inlineStr">
        <is>
          <t>Instrumentation PLTC / TC-ER 300 V, #18 twisted shielded pairs, overall shield</t>
        </is>
      </c>
      <c r="K470" s="9" t="inlineStr">
        <is>
          <t>PLTC|4 pr|18</t>
        </is>
      </c>
      <c r="L470" s="9" t="inlineStr">
        <is>
          <t>4 pr</t>
        </is>
      </c>
      <c r="M470" s="9" t="inlineStr">
        <is>
          <t>18</t>
        </is>
      </c>
      <c r="N470" s="9" t="n">
        <v>1</v>
      </c>
      <c r="O470" s="9" t="n">
        <v>1</v>
      </c>
      <c r="P470" s="9" t="n"/>
      <c r="Q470" s="9" t="n"/>
      <c r="R470" s="9" t="n"/>
      <c r="S470" s="9" t="inlineStr">
        <is>
          <t>Tray</t>
        </is>
      </c>
      <c r="T470" s="10" t="n">
        <v>585</v>
      </c>
      <c r="U470" s="10" t="n">
        <v>114</v>
      </c>
      <c r="V470" s="10">
        <f>ROUNDUP((T470+U470+2*'Read Me'!$B$13)*(1+'Read Me'!$B$12),-1)</f>
        <v/>
      </c>
      <c r="W470" s="10">
        <f>V470*N470*O470</f>
        <v/>
      </c>
      <c r="X470" s="9">
        <f>IF(LEFT(I470,2)="MV",2*N470*IF(L470="1/C",O470,1),0)</f>
        <v/>
      </c>
      <c r="Y470" s="9">
        <f>IF(OR(LEFT(K470,4)="LVAX",LEFT(K470,6)="MV15AX",LEFT(K470,4)="CTAX",LEFT(K470,2)="W|"),2*N470*O470,0)</f>
        <v/>
      </c>
      <c r="Z470" s="9" t="inlineStr"/>
    </row>
    <row r="471">
      <c r="A471" s="9" t="inlineStr">
        <is>
          <t>A-I-0008</t>
        </is>
      </c>
      <c r="B471" s="9" t="inlineStr">
        <is>
          <t>A</t>
        </is>
      </c>
      <c r="C471" s="9" t="inlineStr">
        <is>
          <t>Power block</t>
        </is>
      </c>
      <c r="D471" s="9" t="inlineStr">
        <is>
          <t>Instrumentation</t>
        </is>
      </c>
      <c r="E471" s="9" t="inlineStr">
        <is>
          <t>R3</t>
        </is>
      </c>
      <c r="F471" s="9" t="inlineStr">
        <is>
          <t>R3: ST auxiliary electrical e-house (40 x 65 ft)</t>
        </is>
      </c>
      <c r="G471" s="9" t="inlineStr">
        <is>
          <t>BFP-3</t>
        </is>
      </c>
      <c r="H471" s="9" t="inlineStr">
        <is>
          <t>BFP-3A/B: boiler feed pumps (13.8 kV DOL)</t>
        </is>
      </c>
      <c r="I471" s="9" t="inlineStr">
        <is>
          <t>Instrumentation</t>
        </is>
      </c>
      <c r="J471" s="9" t="inlineStr">
        <is>
          <t>Instrumentation PLTC / TC-ER 300 V, #18 twisted shielded pairs, overall shield</t>
        </is>
      </c>
      <c r="K471" s="9" t="inlineStr">
        <is>
          <t>PLTC|12 pr|18</t>
        </is>
      </c>
      <c r="L471" s="9" t="inlineStr">
        <is>
          <t>12 pr</t>
        </is>
      </c>
      <c r="M471" s="9" t="inlineStr">
        <is>
          <t>18</t>
        </is>
      </c>
      <c r="N471" s="9" t="n">
        <v>1</v>
      </c>
      <c r="O471" s="9" t="n">
        <v>1</v>
      </c>
      <c r="P471" s="9" t="n"/>
      <c r="Q471" s="9" t="n"/>
      <c r="R471" s="9" t="n"/>
      <c r="S471" s="9" t="inlineStr">
        <is>
          <t>Tray</t>
        </is>
      </c>
      <c r="T471" s="10" t="n">
        <v>585</v>
      </c>
      <c r="U471" s="10" t="n">
        <v>114</v>
      </c>
      <c r="V471" s="10">
        <f>ROUNDUP((T471+U471+2*'Read Me'!$B$13)*(1+'Read Me'!$B$12),-1)</f>
        <v/>
      </c>
      <c r="W471" s="10">
        <f>V471*N471*O471</f>
        <v/>
      </c>
      <c r="X471" s="9">
        <f>IF(LEFT(I471,2)="MV",2*N471*IF(L471="1/C",O471,1),0)</f>
        <v/>
      </c>
      <c r="Y471" s="9">
        <f>IF(OR(LEFT(K471,4)="LVAX",LEFT(K471,6)="MV15AX",LEFT(K471,4)="CTAX",LEFT(K471,2)="W|"),2*N471*O471,0)</f>
        <v/>
      </c>
      <c r="Z471" s="9" t="inlineStr"/>
    </row>
    <row r="472">
      <c r="A472" s="9" t="inlineStr">
        <is>
          <t>A-I-0009</t>
        </is>
      </c>
      <c r="B472" s="9" t="inlineStr">
        <is>
          <t>A</t>
        </is>
      </c>
      <c r="C472" s="9" t="inlineStr">
        <is>
          <t>Power block</t>
        </is>
      </c>
      <c r="D472" s="9" t="inlineStr">
        <is>
          <t>Instrumentation</t>
        </is>
      </c>
      <c r="E472" s="9" t="inlineStr">
        <is>
          <t>R3</t>
        </is>
      </c>
      <c r="F472" s="9" t="inlineStr">
        <is>
          <t>R3: ST auxiliary electrical e-house (40 x 65 ft)</t>
        </is>
      </c>
      <c r="G472" s="9" t="inlineStr">
        <is>
          <t>Chem feed</t>
        </is>
      </c>
      <c r="H472" s="9" t="inlineStr">
        <is>
          <t>Chemical feed</t>
        </is>
      </c>
      <c r="I472" s="9" t="inlineStr">
        <is>
          <t>Instrumentation</t>
        </is>
      </c>
      <c r="J472" s="9" t="inlineStr">
        <is>
          <t>Instrumentation PLTC / TC-ER 300 V, #18 twisted shielded pairs, overall shield</t>
        </is>
      </c>
      <c r="K472" s="9" t="inlineStr">
        <is>
          <t>PLTC|4 pr|18</t>
        </is>
      </c>
      <c r="L472" s="9" t="inlineStr">
        <is>
          <t>4 pr</t>
        </is>
      </c>
      <c r="M472" s="9" t="inlineStr">
        <is>
          <t>18</t>
        </is>
      </c>
      <c r="N472" s="9" t="n">
        <v>1</v>
      </c>
      <c r="O472" s="9" t="n">
        <v>1</v>
      </c>
      <c r="P472" s="9" t="n"/>
      <c r="Q472" s="9" t="n"/>
      <c r="R472" s="9" t="n"/>
      <c r="S472" s="9" t="inlineStr">
        <is>
          <t>Duct bank</t>
        </is>
      </c>
      <c r="T472" s="10" t="n">
        <v>230</v>
      </c>
      <c r="U472" s="10" t="n">
        <v>53</v>
      </c>
      <c r="V472" s="10">
        <f>ROUNDUP((T472+U472+2*'Read Me'!$B$13)*(1+'Read Me'!$B$12),-1)</f>
        <v/>
      </c>
      <c r="W472" s="10">
        <f>V472*N472*O472</f>
        <v/>
      </c>
      <c r="X472" s="9">
        <f>IF(LEFT(I472,2)="MV",2*N472*IF(L472="1/C",O472,1),0)</f>
        <v/>
      </c>
      <c r="Y472" s="9">
        <f>IF(OR(LEFT(K472,4)="LVAX",LEFT(K472,6)="MV15AX",LEFT(K472,4)="CTAX",LEFT(K472,2)="W|"),2*N472*O472,0)</f>
        <v/>
      </c>
      <c r="Z472" s="9" t="inlineStr"/>
    </row>
    <row r="473">
      <c r="A473" s="9" t="inlineStr">
        <is>
          <t>A-I-0010</t>
        </is>
      </c>
      <c r="B473" s="9" t="inlineStr">
        <is>
          <t>A</t>
        </is>
      </c>
      <c r="C473" s="9" t="inlineStr">
        <is>
          <t>Power block</t>
        </is>
      </c>
      <c r="D473" s="9" t="inlineStr">
        <is>
          <t>Instrumentation</t>
        </is>
      </c>
      <c r="E473" s="9" t="inlineStr">
        <is>
          <t>R3</t>
        </is>
      </c>
      <c r="F473" s="9" t="inlineStr">
        <is>
          <t>R3: ST auxiliary electrical e-house (40 x 65 ft)</t>
        </is>
      </c>
      <c r="G473" s="9" t="inlineStr">
        <is>
          <t>EHC-ST</t>
        </is>
      </c>
      <c r="H473" s="9" t="inlineStr">
        <is>
          <t>EHC-ST: ST electro-hydraulic control power unit</t>
        </is>
      </c>
      <c r="I473" s="9" t="inlineStr">
        <is>
          <t>Instrumentation</t>
        </is>
      </c>
      <c r="J473" s="9" t="inlineStr">
        <is>
          <t>Instrumentation PLTC / TC-ER 300 V, #18 twisted shielded pairs, overall shield</t>
        </is>
      </c>
      <c r="K473" s="9" t="inlineStr">
        <is>
          <t>PLTC|4 pr|18</t>
        </is>
      </c>
      <c r="L473" s="9" t="inlineStr">
        <is>
          <t>4 pr</t>
        </is>
      </c>
      <c r="M473" s="9" t="inlineStr">
        <is>
          <t>18</t>
        </is>
      </c>
      <c r="N473" s="9" t="n">
        <v>1</v>
      </c>
      <c r="O473" s="9" t="n">
        <v>1</v>
      </c>
      <c r="P473" s="9" t="n"/>
      <c r="Q473" s="9" t="n"/>
      <c r="R473" s="9" t="n"/>
      <c r="S473" s="9" t="inlineStr">
        <is>
          <t>Tray</t>
        </is>
      </c>
      <c r="T473" s="10" t="n">
        <v>36</v>
      </c>
      <c r="U473" s="10" t="n">
        <v>102</v>
      </c>
      <c r="V473" s="10">
        <f>ROUNDUP((T473+U473+2*'Read Me'!$B$13)*(1+'Read Me'!$B$12),-1)</f>
        <v/>
      </c>
      <c r="W473" s="10">
        <f>V473*N473*O473</f>
        <v/>
      </c>
      <c r="X473" s="9">
        <f>IF(LEFT(I473,2)="MV",2*N473*IF(L473="1/C",O473,1),0)</f>
        <v/>
      </c>
      <c r="Y473" s="9">
        <f>IF(OR(LEFT(K473,4)="LVAX",LEFT(K473,6)="MV15AX",LEFT(K473,4)="CTAX",LEFT(K473,2)="W|"),2*N473*O473,0)</f>
        <v/>
      </c>
      <c r="Z473" s="9" t="inlineStr"/>
    </row>
    <row r="474">
      <c r="A474" s="9" t="inlineStr">
        <is>
          <t>A-I-0011</t>
        </is>
      </c>
      <c r="B474" s="9" t="inlineStr">
        <is>
          <t>A</t>
        </is>
      </c>
      <c r="C474" s="9" t="inlineStr">
        <is>
          <t>Power block</t>
        </is>
      </c>
      <c r="D474" s="9" t="inlineStr">
        <is>
          <t>Instrumentation</t>
        </is>
      </c>
      <c r="E474" s="9" t="inlineStr">
        <is>
          <t>R2A</t>
        </is>
      </c>
      <c r="F474" s="9" t="inlineStr">
        <is>
          <t>R2A: unit / HRSG electrical e-house (32 x 40 ft)</t>
        </is>
      </c>
      <c r="G474" s="9" t="inlineStr">
        <is>
          <t>ET-1</t>
        </is>
      </c>
      <c r="H474" s="9" t="inlineStr">
        <is>
          <t>ET-1: excitation transformer (dry type, GTG-1 terminals)</t>
        </is>
      </c>
      <c r="I474" s="9" t="inlineStr">
        <is>
          <t>Instrumentation</t>
        </is>
      </c>
      <c r="J474" s="9" t="inlineStr">
        <is>
          <t>Instrumentation PLTC / TC-ER 300 V, #18 twisted shielded pairs, overall shield</t>
        </is>
      </c>
      <c r="K474" s="9" t="inlineStr">
        <is>
          <t>PLTC|4 pr|18</t>
        </is>
      </c>
      <c r="L474" s="9" t="inlineStr">
        <is>
          <t>4 pr</t>
        </is>
      </c>
      <c r="M474" s="9" t="inlineStr">
        <is>
          <t>18</t>
        </is>
      </c>
      <c r="N474" s="9" t="n">
        <v>1</v>
      </c>
      <c r="O474" s="9" t="n">
        <v>1</v>
      </c>
      <c r="P474" s="9" t="n"/>
      <c r="Q474" s="9" t="n"/>
      <c r="R474" s="9" t="n"/>
      <c r="S474" s="9" t="inlineStr">
        <is>
          <t>Tray</t>
        </is>
      </c>
      <c r="T474" s="10" t="n">
        <v>437</v>
      </c>
      <c r="U474" s="10" t="n">
        <v>62</v>
      </c>
      <c r="V474" s="10">
        <f>ROUNDUP((T474+U474+2*'Read Me'!$B$13)*(1+'Read Me'!$B$12),-1)</f>
        <v/>
      </c>
      <c r="W474" s="10">
        <f>V474*N474*O474</f>
        <v/>
      </c>
      <c r="X474" s="9">
        <f>IF(LEFT(I474,2)="MV",2*N474*IF(L474="1/C",O474,1),0)</f>
        <v/>
      </c>
      <c r="Y474" s="9">
        <f>IF(OR(LEFT(K474,4)="LVAX",LEFT(K474,6)="MV15AX",LEFT(K474,4)="CTAX",LEFT(K474,2)="W|"),2*N474*O474,0)</f>
        <v/>
      </c>
      <c r="Z474" s="9" t="inlineStr"/>
    </row>
    <row r="475">
      <c r="A475" s="9" t="inlineStr">
        <is>
          <t>A-I-0012</t>
        </is>
      </c>
      <c r="B475" s="9" t="inlineStr">
        <is>
          <t>A</t>
        </is>
      </c>
      <c r="C475" s="9" t="inlineStr">
        <is>
          <t>Power block</t>
        </is>
      </c>
      <c r="D475" s="9" t="inlineStr">
        <is>
          <t>Instrumentation</t>
        </is>
      </c>
      <c r="E475" s="9" t="inlineStr">
        <is>
          <t>R2A</t>
        </is>
      </c>
      <c r="F475" s="9" t="inlineStr">
        <is>
          <t>R2A: unit / HRSG electrical e-house (32 x 40 ft)</t>
        </is>
      </c>
      <c r="G475" s="9" t="inlineStr">
        <is>
          <t>ET-1</t>
        </is>
      </c>
      <c r="H475" s="9" t="inlineStr">
        <is>
          <t>ET-1: excitation transformer (dry type, GTG-1 terminals)</t>
        </is>
      </c>
      <c r="I475" s="9" t="inlineStr">
        <is>
          <t>Instrumentation</t>
        </is>
      </c>
      <c r="J475" s="9" t="inlineStr">
        <is>
          <t>Instrumentation PLTC / TC-ER 300 V, #18 twisted shielded pairs, overall shield</t>
        </is>
      </c>
      <c r="K475" s="9" t="inlineStr">
        <is>
          <t>PLTC|4 pr|18</t>
        </is>
      </c>
      <c r="L475" s="9" t="inlineStr">
        <is>
          <t>4 pr</t>
        </is>
      </c>
      <c r="M475" s="9" t="inlineStr">
        <is>
          <t>18</t>
        </is>
      </c>
      <c r="N475" s="9" t="n">
        <v>1</v>
      </c>
      <c r="O475" s="9" t="n">
        <v>1</v>
      </c>
      <c r="P475" s="9" t="n"/>
      <c r="Q475" s="9" t="n"/>
      <c r="R475" s="9" t="n"/>
      <c r="S475" s="9" t="inlineStr">
        <is>
          <t>Tray</t>
        </is>
      </c>
      <c r="T475" s="10" t="n">
        <v>437</v>
      </c>
      <c r="U475" s="10" t="n">
        <v>62</v>
      </c>
      <c r="V475" s="10">
        <f>ROUNDUP((T475+U475+2*'Read Me'!$B$13)*(1+'Read Me'!$B$12),-1)</f>
        <v/>
      </c>
      <c r="W475" s="10">
        <f>V475*N475*O475</f>
        <v/>
      </c>
      <c r="X475" s="9">
        <f>IF(LEFT(I475,2)="MV",2*N475*IF(L475="1/C",O475,1),0)</f>
        <v/>
      </c>
      <c r="Y475" s="9">
        <f>IF(OR(LEFT(K475,4)="LVAX",LEFT(K475,6)="MV15AX",LEFT(K475,4)="CTAX",LEFT(K475,2)="W|"),2*N475*O475,0)</f>
        <v/>
      </c>
      <c r="Z475" s="9" t="inlineStr"/>
    </row>
    <row r="476">
      <c r="A476" s="9" t="inlineStr">
        <is>
          <t>A-I-0013</t>
        </is>
      </c>
      <c r="B476" s="9" t="inlineStr">
        <is>
          <t>A</t>
        </is>
      </c>
      <c r="C476" s="9" t="inlineStr">
        <is>
          <t>Power block</t>
        </is>
      </c>
      <c r="D476" s="9" t="inlineStr">
        <is>
          <t>Instrumentation</t>
        </is>
      </c>
      <c r="E476" s="9" t="inlineStr">
        <is>
          <t>R2A</t>
        </is>
      </c>
      <c r="F476" s="9" t="inlineStr">
        <is>
          <t>R2A: unit / HRSG electrical e-house (32 x 40 ft)</t>
        </is>
      </c>
      <c r="G476" s="9" t="inlineStr">
        <is>
          <t>ET-1</t>
        </is>
      </c>
      <c r="H476" s="9" t="inlineStr">
        <is>
          <t>ET-1: excitation transformer (dry type, GTG-1 terminals)</t>
        </is>
      </c>
      <c r="I476" s="9" t="inlineStr">
        <is>
          <t>Instrumentation</t>
        </is>
      </c>
      <c r="J476" s="9" t="inlineStr">
        <is>
          <t>Instrumentation PLTC / TC-ER 300 V, #18 twisted shielded pairs, overall shield</t>
        </is>
      </c>
      <c r="K476" s="9" t="inlineStr">
        <is>
          <t>PLTC|12 pr|18</t>
        </is>
      </c>
      <c r="L476" s="9" t="inlineStr">
        <is>
          <t>12 pr</t>
        </is>
      </c>
      <c r="M476" s="9" t="inlineStr">
        <is>
          <t>18</t>
        </is>
      </c>
      <c r="N476" s="9" t="n">
        <v>1</v>
      </c>
      <c r="O476" s="9" t="n">
        <v>1</v>
      </c>
      <c r="P476" s="9" t="n"/>
      <c r="Q476" s="9" t="n"/>
      <c r="R476" s="9" t="n"/>
      <c r="S476" s="9" t="inlineStr">
        <is>
          <t>Tray</t>
        </is>
      </c>
      <c r="T476" s="10" t="n">
        <v>437</v>
      </c>
      <c r="U476" s="10" t="n">
        <v>62</v>
      </c>
      <c r="V476" s="10">
        <f>ROUNDUP((T476+U476+2*'Read Me'!$B$13)*(1+'Read Me'!$B$12),-1)</f>
        <v/>
      </c>
      <c r="W476" s="10">
        <f>V476*N476*O476</f>
        <v/>
      </c>
      <c r="X476" s="9">
        <f>IF(LEFT(I476,2)="MV",2*N476*IF(L476="1/C",O476,1),0)</f>
        <v/>
      </c>
      <c r="Y476" s="9">
        <f>IF(OR(LEFT(K476,4)="LVAX",LEFT(K476,6)="MV15AX",LEFT(K476,4)="CTAX",LEFT(K476,2)="W|"),2*N476*O476,0)</f>
        <v/>
      </c>
      <c r="Z476" s="9" t="inlineStr"/>
    </row>
    <row r="477">
      <c r="A477" s="9" t="inlineStr">
        <is>
          <t>A-I-0014</t>
        </is>
      </c>
      <c r="B477" s="9" t="inlineStr">
        <is>
          <t>A</t>
        </is>
      </c>
      <c r="C477" s="9" t="inlineStr">
        <is>
          <t>Power block</t>
        </is>
      </c>
      <c r="D477" s="9" t="inlineStr">
        <is>
          <t>Instrumentation</t>
        </is>
      </c>
      <c r="E477" s="9" t="inlineStr">
        <is>
          <t>R2A</t>
        </is>
      </c>
      <c r="F477" s="9" t="inlineStr">
        <is>
          <t>R2A: unit / HRSG electrical e-house (32 x 40 ft)</t>
        </is>
      </c>
      <c r="G477" s="9" t="inlineStr">
        <is>
          <t>ET-1</t>
        </is>
      </c>
      <c r="H477" s="9" t="inlineStr">
        <is>
          <t>ET-1: excitation transformer (dry type, GTG-1 terminals)</t>
        </is>
      </c>
      <c r="I477" s="9" t="inlineStr">
        <is>
          <t>Instrumentation</t>
        </is>
      </c>
      <c r="J477" s="9" t="inlineStr">
        <is>
          <t>Instrumentation PLTC / TC-ER 300 V, #18 twisted shielded pairs, overall shield</t>
        </is>
      </c>
      <c r="K477" s="9" t="inlineStr">
        <is>
          <t>PLTC|12 pr|18</t>
        </is>
      </c>
      <c r="L477" s="9" t="inlineStr">
        <is>
          <t>12 pr</t>
        </is>
      </c>
      <c r="M477" s="9" t="inlineStr">
        <is>
          <t>18</t>
        </is>
      </c>
      <c r="N477" s="9" t="n">
        <v>1</v>
      </c>
      <c r="O477" s="9" t="n">
        <v>1</v>
      </c>
      <c r="P477" s="9" t="n"/>
      <c r="Q477" s="9" t="n"/>
      <c r="R477" s="9" t="n"/>
      <c r="S477" s="9" t="inlineStr">
        <is>
          <t>Tray</t>
        </is>
      </c>
      <c r="T477" s="10" t="n">
        <v>437</v>
      </c>
      <c r="U477" s="10" t="n">
        <v>62</v>
      </c>
      <c r="V477" s="10">
        <f>ROUNDUP((T477+U477+2*'Read Me'!$B$13)*(1+'Read Me'!$B$12),-1)</f>
        <v/>
      </c>
      <c r="W477" s="10">
        <f>V477*N477*O477</f>
        <v/>
      </c>
      <c r="X477" s="9">
        <f>IF(LEFT(I477,2)="MV",2*N477*IF(L477="1/C",O477,1),0)</f>
        <v/>
      </c>
      <c r="Y477" s="9">
        <f>IF(OR(LEFT(K477,4)="LVAX",LEFT(K477,6)="MV15AX",LEFT(K477,4)="CTAX",LEFT(K477,2)="W|"),2*N477*O477,0)</f>
        <v/>
      </c>
      <c r="Z477" s="9" t="inlineStr"/>
    </row>
    <row r="478">
      <c r="A478" s="9" t="inlineStr">
        <is>
          <t>A-I-0015</t>
        </is>
      </c>
      <c r="B478" s="9" t="inlineStr">
        <is>
          <t>A</t>
        </is>
      </c>
      <c r="C478" s="9" t="inlineStr">
        <is>
          <t>Power block</t>
        </is>
      </c>
      <c r="D478" s="9" t="inlineStr">
        <is>
          <t>Instrumentation</t>
        </is>
      </c>
      <c r="E478" s="9" t="inlineStr">
        <is>
          <t>R2A</t>
        </is>
      </c>
      <c r="F478" s="9" t="inlineStr">
        <is>
          <t>R2A: unit / HRSG electrical e-house (32 x 40 ft)</t>
        </is>
      </c>
      <c r="G478" s="9" t="inlineStr">
        <is>
          <t>ET-1</t>
        </is>
      </c>
      <c r="H478" s="9" t="inlineStr">
        <is>
          <t>ET-1: excitation transformer (dry type, GTG-1 terminals)</t>
        </is>
      </c>
      <c r="I478" s="9" t="inlineStr">
        <is>
          <t>Instrumentation</t>
        </is>
      </c>
      <c r="J478" s="9" t="inlineStr">
        <is>
          <t>Instrumentation PLTC / TC-ER 300 V, #18 twisted shielded pairs, overall shield</t>
        </is>
      </c>
      <c r="K478" s="9" t="inlineStr">
        <is>
          <t>PLTC|12 pr|18</t>
        </is>
      </c>
      <c r="L478" s="9" t="inlineStr">
        <is>
          <t>12 pr</t>
        </is>
      </c>
      <c r="M478" s="9" t="inlineStr">
        <is>
          <t>18</t>
        </is>
      </c>
      <c r="N478" s="9" t="n">
        <v>1</v>
      </c>
      <c r="O478" s="9" t="n">
        <v>1</v>
      </c>
      <c r="P478" s="9" t="n"/>
      <c r="Q478" s="9" t="n"/>
      <c r="R478" s="9" t="n"/>
      <c r="S478" s="9" t="inlineStr">
        <is>
          <t>Tray</t>
        </is>
      </c>
      <c r="T478" s="10" t="n">
        <v>437</v>
      </c>
      <c r="U478" s="10" t="n">
        <v>62</v>
      </c>
      <c r="V478" s="10">
        <f>ROUNDUP((T478+U478+2*'Read Me'!$B$13)*(1+'Read Me'!$B$12),-1)</f>
        <v/>
      </c>
      <c r="W478" s="10">
        <f>V478*N478*O478</f>
        <v/>
      </c>
      <c r="X478" s="9">
        <f>IF(LEFT(I478,2)="MV",2*N478*IF(L478="1/C",O478,1),0)</f>
        <v/>
      </c>
      <c r="Y478" s="9">
        <f>IF(OR(LEFT(K478,4)="LVAX",LEFT(K478,6)="MV15AX",LEFT(K478,4)="CTAX",LEFT(K478,2)="W|"),2*N478*O478,0)</f>
        <v/>
      </c>
      <c r="Z478" s="9" t="inlineStr"/>
    </row>
    <row r="479">
      <c r="A479" s="9" t="inlineStr">
        <is>
          <t>A-I-0016</t>
        </is>
      </c>
      <c r="B479" s="9" t="inlineStr">
        <is>
          <t>A</t>
        </is>
      </c>
      <c r="C479" s="9" t="inlineStr">
        <is>
          <t>Power block</t>
        </is>
      </c>
      <c r="D479" s="9" t="inlineStr">
        <is>
          <t>Instrumentation</t>
        </is>
      </c>
      <c r="E479" s="9" t="inlineStr">
        <is>
          <t>R2A</t>
        </is>
      </c>
      <c r="F479" s="9" t="inlineStr">
        <is>
          <t>R2A: unit / HRSG electrical e-house (32 x 40 ft)</t>
        </is>
      </c>
      <c r="G479" s="9" t="inlineStr">
        <is>
          <t>ET-1</t>
        </is>
      </c>
      <c r="H479" s="9" t="inlineStr">
        <is>
          <t>ET-1: excitation transformer (dry type, GTG-1 terminals)</t>
        </is>
      </c>
      <c r="I479" s="9" t="inlineStr">
        <is>
          <t>Instrumentation</t>
        </is>
      </c>
      <c r="J479" s="9" t="inlineStr">
        <is>
          <t>Instrumentation PLTC / TC-ER 300 V, #18 twisted shielded pairs, overall shield</t>
        </is>
      </c>
      <c r="K479" s="9" t="inlineStr">
        <is>
          <t>PLTC|12 pr|18</t>
        </is>
      </c>
      <c r="L479" s="9" t="inlineStr">
        <is>
          <t>12 pr</t>
        </is>
      </c>
      <c r="M479" s="9" t="inlineStr">
        <is>
          <t>18</t>
        </is>
      </c>
      <c r="N479" s="9" t="n">
        <v>1</v>
      </c>
      <c r="O479" s="9" t="n">
        <v>1</v>
      </c>
      <c r="P479" s="9" t="n"/>
      <c r="Q479" s="9" t="n"/>
      <c r="R479" s="9" t="n"/>
      <c r="S479" s="9" t="inlineStr">
        <is>
          <t>Tray</t>
        </is>
      </c>
      <c r="T479" s="10" t="n">
        <v>437</v>
      </c>
      <c r="U479" s="10" t="n">
        <v>62</v>
      </c>
      <c r="V479" s="10">
        <f>ROUNDUP((T479+U479+2*'Read Me'!$B$13)*(1+'Read Me'!$B$12),-1)</f>
        <v/>
      </c>
      <c r="W479" s="10">
        <f>V479*N479*O479</f>
        <v/>
      </c>
      <c r="X479" s="9">
        <f>IF(LEFT(I479,2)="MV",2*N479*IF(L479="1/C",O479,1),0)</f>
        <v/>
      </c>
      <c r="Y479" s="9">
        <f>IF(OR(LEFT(K479,4)="LVAX",LEFT(K479,6)="MV15AX",LEFT(K479,4)="CTAX",LEFT(K479,2)="W|"),2*N479*O479,0)</f>
        <v/>
      </c>
      <c r="Z479" s="9" t="inlineStr"/>
    </row>
    <row r="480">
      <c r="A480" s="9" t="inlineStr">
        <is>
          <t>A-I-0017</t>
        </is>
      </c>
      <c r="B480" s="9" t="inlineStr">
        <is>
          <t>A</t>
        </is>
      </c>
      <c r="C480" s="9" t="inlineStr">
        <is>
          <t>Power block</t>
        </is>
      </c>
      <c r="D480" s="9" t="inlineStr">
        <is>
          <t>Instrumentation</t>
        </is>
      </c>
      <c r="E480" s="9" t="inlineStr">
        <is>
          <t>R2A</t>
        </is>
      </c>
      <c r="F480" s="9" t="inlineStr">
        <is>
          <t>R2A: unit / HRSG electrical e-house (32 x 40 ft)</t>
        </is>
      </c>
      <c r="G480" s="9" t="inlineStr">
        <is>
          <t>ET-1</t>
        </is>
      </c>
      <c r="H480" s="9" t="inlineStr">
        <is>
          <t>ET-1: excitation transformer (dry type, GTG-1 terminals)</t>
        </is>
      </c>
      <c r="I480" s="9" t="inlineStr">
        <is>
          <t>Instrumentation</t>
        </is>
      </c>
      <c r="J480" s="9" t="inlineStr">
        <is>
          <t>Instrumentation PLTC / TC-ER 300 V, #18 twisted shielded pairs, overall shield</t>
        </is>
      </c>
      <c r="K480" s="9" t="inlineStr">
        <is>
          <t>PLTC|12 pr|18</t>
        </is>
      </c>
      <c r="L480" s="9" t="inlineStr">
        <is>
          <t>12 pr</t>
        </is>
      </c>
      <c r="M480" s="9" t="inlineStr">
        <is>
          <t>18</t>
        </is>
      </c>
      <c r="N480" s="9" t="n">
        <v>1</v>
      </c>
      <c r="O480" s="9" t="n">
        <v>1</v>
      </c>
      <c r="P480" s="9" t="n"/>
      <c r="Q480" s="9" t="n"/>
      <c r="R480" s="9" t="n"/>
      <c r="S480" s="9" t="inlineStr">
        <is>
          <t>Tray</t>
        </is>
      </c>
      <c r="T480" s="10" t="n">
        <v>437</v>
      </c>
      <c r="U480" s="10" t="n">
        <v>62</v>
      </c>
      <c r="V480" s="10">
        <f>ROUNDUP((T480+U480+2*'Read Me'!$B$13)*(1+'Read Me'!$B$12),-1)</f>
        <v/>
      </c>
      <c r="W480" s="10">
        <f>V480*N480*O480</f>
        <v/>
      </c>
      <c r="X480" s="9">
        <f>IF(LEFT(I480,2)="MV",2*N480*IF(L480="1/C",O480,1),0)</f>
        <v/>
      </c>
      <c r="Y480" s="9">
        <f>IF(OR(LEFT(K480,4)="LVAX",LEFT(K480,6)="MV15AX",LEFT(K480,4)="CTAX",LEFT(K480,2)="W|"),2*N480*O480,0)</f>
        <v/>
      </c>
      <c r="Z480" s="9" t="inlineStr"/>
    </row>
    <row r="481">
      <c r="A481" s="9" t="inlineStr">
        <is>
          <t>A-I-0018</t>
        </is>
      </c>
      <c r="B481" s="9" t="inlineStr">
        <is>
          <t>A</t>
        </is>
      </c>
      <c r="C481" s="9" t="inlineStr">
        <is>
          <t>Power block</t>
        </is>
      </c>
      <c r="D481" s="9" t="inlineStr">
        <is>
          <t>Instrumentation</t>
        </is>
      </c>
      <c r="E481" s="9" t="inlineStr">
        <is>
          <t>R2A</t>
        </is>
      </c>
      <c r="F481" s="9" t="inlineStr">
        <is>
          <t>R2A: unit / HRSG electrical e-house (32 x 40 ft)</t>
        </is>
      </c>
      <c r="G481" s="9" t="inlineStr">
        <is>
          <t>ET-1</t>
        </is>
      </c>
      <c r="H481" s="9" t="inlineStr">
        <is>
          <t>ET-1: excitation transformer (dry type, GTG-1 terminals)</t>
        </is>
      </c>
      <c r="I481" s="9" t="inlineStr">
        <is>
          <t>Instrumentation</t>
        </is>
      </c>
      <c r="J481" s="9" t="inlineStr">
        <is>
          <t>Instrumentation PLTC / TC-ER 300 V, #18 twisted shielded pairs, overall shield</t>
        </is>
      </c>
      <c r="K481" s="9" t="inlineStr">
        <is>
          <t>PLTC|12 pr|18</t>
        </is>
      </c>
      <c r="L481" s="9" t="inlineStr">
        <is>
          <t>12 pr</t>
        </is>
      </c>
      <c r="M481" s="9" t="inlineStr">
        <is>
          <t>18</t>
        </is>
      </c>
      <c r="N481" s="9" t="n">
        <v>1</v>
      </c>
      <c r="O481" s="9" t="n">
        <v>1</v>
      </c>
      <c r="P481" s="9" t="n"/>
      <c r="Q481" s="9" t="n"/>
      <c r="R481" s="9" t="n"/>
      <c r="S481" s="9" t="inlineStr">
        <is>
          <t>Tray</t>
        </is>
      </c>
      <c r="T481" s="10" t="n">
        <v>437</v>
      </c>
      <c r="U481" s="10" t="n">
        <v>62</v>
      </c>
      <c r="V481" s="10">
        <f>ROUNDUP((T481+U481+2*'Read Me'!$B$13)*(1+'Read Me'!$B$12),-1)</f>
        <v/>
      </c>
      <c r="W481" s="10">
        <f>V481*N481*O481</f>
        <v/>
      </c>
      <c r="X481" s="9">
        <f>IF(LEFT(I481,2)="MV",2*N481*IF(L481="1/C",O481,1),0)</f>
        <v/>
      </c>
      <c r="Y481" s="9">
        <f>IF(OR(LEFT(K481,4)="LVAX",LEFT(K481,6)="MV15AX",LEFT(K481,4)="CTAX",LEFT(K481,2)="W|"),2*N481*O481,0)</f>
        <v/>
      </c>
      <c r="Z481" s="9" t="inlineStr"/>
    </row>
    <row r="482">
      <c r="A482" s="9" t="inlineStr">
        <is>
          <t>A-I-0019</t>
        </is>
      </c>
      <c r="B482" s="9" t="inlineStr">
        <is>
          <t>A</t>
        </is>
      </c>
      <c r="C482" s="9" t="inlineStr">
        <is>
          <t>Power block</t>
        </is>
      </c>
      <c r="D482" s="9" t="inlineStr">
        <is>
          <t>Instrumentation</t>
        </is>
      </c>
      <c r="E482" s="9" t="inlineStr">
        <is>
          <t>R2A</t>
        </is>
      </c>
      <c r="F482" s="9" t="inlineStr">
        <is>
          <t>R2A: unit / HRSG electrical e-house (32 x 40 ft)</t>
        </is>
      </c>
      <c r="G482" s="9" t="inlineStr">
        <is>
          <t>ET-1</t>
        </is>
      </c>
      <c r="H482" s="9" t="inlineStr">
        <is>
          <t>ET-1: excitation transformer (dry type, GTG-1 terminals)</t>
        </is>
      </c>
      <c r="I482" s="9" t="inlineStr">
        <is>
          <t>Instrumentation</t>
        </is>
      </c>
      <c r="J482" s="9" t="inlineStr">
        <is>
          <t>Instrumentation PLTC / TC-ER 300 V, #18 twisted shielded pairs, overall shield</t>
        </is>
      </c>
      <c r="K482" s="9" t="inlineStr">
        <is>
          <t>PLTC|12 pr|18</t>
        </is>
      </c>
      <c r="L482" s="9" t="inlineStr">
        <is>
          <t>12 pr</t>
        </is>
      </c>
      <c r="M482" s="9" t="inlineStr">
        <is>
          <t>18</t>
        </is>
      </c>
      <c r="N482" s="9" t="n">
        <v>1</v>
      </c>
      <c r="O482" s="9" t="n">
        <v>1</v>
      </c>
      <c r="P482" s="9" t="n"/>
      <c r="Q482" s="9" t="n"/>
      <c r="R482" s="9" t="n"/>
      <c r="S482" s="9" t="inlineStr">
        <is>
          <t>Tray</t>
        </is>
      </c>
      <c r="T482" s="10" t="n">
        <v>437</v>
      </c>
      <c r="U482" s="10" t="n">
        <v>62</v>
      </c>
      <c r="V482" s="10">
        <f>ROUNDUP((T482+U482+2*'Read Me'!$B$13)*(1+'Read Me'!$B$12),-1)</f>
        <v/>
      </c>
      <c r="W482" s="10">
        <f>V482*N482*O482</f>
        <v/>
      </c>
      <c r="X482" s="9">
        <f>IF(LEFT(I482,2)="MV",2*N482*IF(L482="1/C",O482,1),0)</f>
        <v/>
      </c>
      <c r="Y482" s="9">
        <f>IF(OR(LEFT(K482,4)="LVAX",LEFT(K482,6)="MV15AX",LEFT(K482,4)="CTAX",LEFT(K482,2)="W|"),2*N482*O482,0)</f>
        <v/>
      </c>
      <c r="Z482" s="9" t="inlineStr"/>
    </row>
    <row r="483">
      <c r="A483" s="9" t="inlineStr">
        <is>
          <t>A-I-0020</t>
        </is>
      </c>
      <c r="B483" s="9" t="inlineStr">
        <is>
          <t>A</t>
        </is>
      </c>
      <c r="C483" s="9" t="inlineStr">
        <is>
          <t>Power block</t>
        </is>
      </c>
      <c r="D483" s="9" t="inlineStr">
        <is>
          <t>Instrumentation</t>
        </is>
      </c>
      <c r="E483" s="9" t="inlineStr">
        <is>
          <t>R2A</t>
        </is>
      </c>
      <c r="F483" s="9" t="inlineStr">
        <is>
          <t>R2A: unit / HRSG electrical e-house (32 x 40 ft)</t>
        </is>
      </c>
      <c r="G483" s="9" t="inlineStr">
        <is>
          <t>ET-1</t>
        </is>
      </c>
      <c r="H483" s="9" t="inlineStr">
        <is>
          <t>ET-1: excitation transformer (dry type, GTG-1 terminals)</t>
        </is>
      </c>
      <c r="I483" s="9" t="inlineStr">
        <is>
          <t>Instrumentation</t>
        </is>
      </c>
      <c r="J483" s="9" t="inlineStr">
        <is>
          <t>Instrumentation PLTC / TC-ER 300 V, #18 twisted shielded pairs, overall shield</t>
        </is>
      </c>
      <c r="K483" s="9" t="inlineStr">
        <is>
          <t>PLTC|12 pr|18</t>
        </is>
      </c>
      <c r="L483" s="9" t="inlineStr">
        <is>
          <t>12 pr</t>
        </is>
      </c>
      <c r="M483" s="9" t="inlineStr">
        <is>
          <t>18</t>
        </is>
      </c>
      <c r="N483" s="9" t="n">
        <v>1</v>
      </c>
      <c r="O483" s="9" t="n">
        <v>1</v>
      </c>
      <c r="P483" s="9" t="n"/>
      <c r="Q483" s="9" t="n"/>
      <c r="R483" s="9" t="n"/>
      <c r="S483" s="9" t="inlineStr">
        <is>
          <t>Tray</t>
        </is>
      </c>
      <c r="T483" s="10" t="n">
        <v>437</v>
      </c>
      <c r="U483" s="10" t="n">
        <v>62</v>
      </c>
      <c r="V483" s="10">
        <f>ROUNDUP((T483+U483+2*'Read Me'!$B$13)*(1+'Read Me'!$B$12),-1)</f>
        <v/>
      </c>
      <c r="W483" s="10">
        <f>V483*N483*O483</f>
        <v/>
      </c>
      <c r="X483" s="9">
        <f>IF(LEFT(I483,2)="MV",2*N483*IF(L483="1/C",O483,1),0)</f>
        <v/>
      </c>
      <c r="Y483" s="9">
        <f>IF(OR(LEFT(K483,4)="LVAX",LEFT(K483,6)="MV15AX",LEFT(K483,4)="CTAX",LEFT(K483,2)="W|"),2*N483*O483,0)</f>
        <v/>
      </c>
      <c r="Z483" s="9" t="inlineStr"/>
    </row>
    <row r="484">
      <c r="A484" s="9" t="inlineStr">
        <is>
          <t>A-I-0021</t>
        </is>
      </c>
      <c r="B484" s="9" t="inlineStr">
        <is>
          <t>A</t>
        </is>
      </c>
      <c r="C484" s="9" t="inlineStr">
        <is>
          <t>Power block</t>
        </is>
      </c>
      <c r="D484" s="9" t="inlineStr">
        <is>
          <t>Instrumentation</t>
        </is>
      </c>
      <c r="E484" s="9" t="inlineStr">
        <is>
          <t>R2B</t>
        </is>
      </c>
      <c r="F484" s="9" t="inlineStr">
        <is>
          <t>R2B: unit / HRSG electrical e-house (32 x 40 ft)</t>
        </is>
      </c>
      <c r="G484" s="9" t="inlineStr">
        <is>
          <t>ET-2</t>
        </is>
      </c>
      <c r="H484" s="9" t="inlineStr">
        <is>
          <t>ET-2: excitation transformer (dry type, GTG-2 terminals)</t>
        </is>
      </c>
      <c r="I484" s="9" t="inlineStr">
        <is>
          <t>Instrumentation</t>
        </is>
      </c>
      <c r="J484" s="9" t="inlineStr">
        <is>
          <t>Instrumentation PLTC / TC-ER 300 V, #18 twisted shielded pairs, overall shield</t>
        </is>
      </c>
      <c r="K484" s="9" t="inlineStr">
        <is>
          <t>PLTC|4 pr|18</t>
        </is>
      </c>
      <c r="L484" s="9" t="inlineStr">
        <is>
          <t>4 pr</t>
        </is>
      </c>
      <c r="M484" s="9" t="inlineStr">
        <is>
          <t>18</t>
        </is>
      </c>
      <c r="N484" s="9" t="n">
        <v>1</v>
      </c>
      <c r="O484" s="9" t="n">
        <v>1</v>
      </c>
      <c r="P484" s="9" t="n"/>
      <c r="Q484" s="9" t="n"/>
      <c r="R484" s="9" t="n"/>
      <c r="S484" s="9" t="inlineStr">
        <is>
          <t>Tray</t>
        </is>
      </c>
      <c r="T484" s="10" t="n">
        <v>1176</v>
      </c>
      <c r="U484" s="10" t="n">
        <v>64</v>
      </c>
      <c r="V484" s="10">
        <f>ROUNDUP((T484+U484+2*'Read Me'!$B$13)*(1+'Read Me'!$B$12),-1)</f>
        <v/>
      </c>
      <c r="W484" s="10">
        <f>V484*N484*O484</f>
        <v/>
      </c>
      <c r="X484" s="9">
        <f>IF(LEFT(I484,2)="MV",2*N484*IF(L484="1/C",O484,1),0)</f>
        <v/>
      </c>
      <c r="Y484" s="9">
        <f>IF(OR(LEFT(K484,4)="LVAX",LEFT(K484,6)="MV15AX",LEFT(K484,4)="CTAX",LEFT(K484,2)="W|"),2*N484*O484,0)</f>
        <v/>
      </c>
      <c r="Z484" s="9" t="inlineStr"/>
    </row>
    <row r="485">
      <c r="A485" s="9" t="inlineStr">
        <is>
          <t>A-I-0022</t>
        </is>
      </c>
      <c r="B485" s="9" t="inlineStr">
        <is>
          <t>A</t>
        </is>
      </c>
      <c r="C485" s="9" t="inlineStr">
        <is>
          <t>Power block</t>
        </is>
      </c>
      <c r="D485" s="9" t="inlineStr">
        <is>
          <t>Instrumentation</t>
        </is>
      </c>
      <c r="E485" s="9" t="inlineStr">
        <is>
          <t>R2B</t>
        </is>
      </c>
      <c r="F485" s="9" t="inlineStr">
        <is>
          <t>R2B: unit / HRSG electrical e-house (32 x 40 ft)</t>
        </is>
      </c>
      <c r="G485" s="9" t="inlineStr">
        <is>
          <t>ET-2</t>
        </is>
      </c>
      <c r="H485" s="9" t="inlineStr">
        <is>
          <t>ET-2: excitation transformer (dry type, GTG-2 terminals)</t>
        </is>
      </c>
      <c r="I485" s="9" t="inlineStr">
        <is>
          <t>Instrumentation</t>
        </is>
      </c>
      <c r="J485" s="9" t="inlineStr">
        <is>
          <t>Instrumentation PLTC / TC-ER 300 V, #18 twisted shielded pairs, overall shield</t>
        </is>
      </c>
      <c r="K485" s="9" t="inlineStr">
        <is>
          <t>PLTC|4 pr|18</t>
        </is>
      </c>
      <c r="L485" s="9" t="inlineStr">
        <is>
          <t>4 pr</t>
        </is>
      </c>
      <c r="M485" s="9" t="inlineStr">
        <is>
          <t>18</t>
        </is>
      </c>
      <c r="N485" s="9" t="n">
        <v>1</v>
      </c>
      <c r="O485" s="9" t="n">
        <v>1</v>
      </c>
      <c r="P485" s="9" t="n"/>
      <c r="Q485" s="9" t="n"/>
      <c r="R485" s="9" t="n"/>
      <c r="S485" s="9" t="inlineStr">
        <is>
          <t>Tray</t>
        </is>
      </c>
      <c r="T485" s="10" t="n">
        <v>1176</v>
      </c>
      <c r="U485" s="10" t="n">
        <v>64</v>
      </c>
      <c r="V485" s="10">
        <f>ROUNDUP((T485+U485+2*'Read Me'!$B$13)*(1+'Read Me'!$B$12),-1)</f>
        <v/>
      </c>
      <c r="W485" s="10">
        <f>V485*N485*O485</f>
        <v/>
      </c>
      <c r="X485" s="9">
        <f>IF(LEFT(I485,2)="MV",2*N485*IF(L485="1/C",O485,1),0)</f>
        <v/>
      </c>
      <c r="Y485" s="9">
        <f>IF(OR(LEFT(K485,4)="LVAX",LEFT(K485,6)="MV15AX",LEFT(K485,4)="CTAX",LEFT(K485,2)="W|"),2*N485*O485,0)</f>
        <v/>
      </c>
      <c r="Z485" s="9" t="inlineStr"/>
    </row>
    <row r="486">
      <c r="A486" s="9" t="inlineStr">
        <is>
          <t>A-I-0023</t>
        </is>
      </c>
      <c r="B486" s="9" t="inlineStr">
        <is>
          <t>A</t>
        </is>
      </c>
      <c r="C486" s="9" t="inlineStr">
        <is>
          <t>Power block</t>
        </is>
      </c>
      <c r="D486" s="9" t="inlineStr">
        <is>
          <t>Instrumentation</t>
        </is>
      </c>
      <c r="E486" s="9" t="inlineStr">
        <is>
          <t>R2B</t>
        </is>
      </c>
      <c r="F486" s="9" t="inlineStr">
        <is>
          <t>R2B: unit / HRSG electrical e-house (32 x 40 ft)</t>
        </is>
      </c>
      <c r="G486" s="9" t="inlineStr">
        <is>
          <t>ET-2</t>
        </is>
      </c>
      <c r="H486" s="9" t="inlineStr">
        <is>
          <t>ET-2: excitation transformer (dry type, GTG-2 terminals)</t>
        </is>
      </c>
      <c r="I486" s="9" t="inlineStr">
        <is>
          <t>Instrumentation</t>
        </is>
      </c>
      <c r="J486" s="9" t="inlineStr">
        <is>
          <t>Instrumentation PLTC / TC-ER 300 V, #18 twisted shielded pairs, overall shield</t>
        </is>
      </c>
      <c r="K486" s="9" t="inlineStr">
        <is>
          <t>PLTC|12 pr|18</t>
        </is>
      </c>
      <c r="L486" s="9" t="inlineStr">
        <is>
          <t>12 pr</t>
        </is>
      </c>
      <c r="M486" s="9" t="inlineStr">
        <is>
          <t>18</t>
        </is>
      </c>
      <c r="N486" s="9" t="n">
        <v>1</v>
      </c>
      <c r="O486" s="9" t="n">
        <v>1</v>
      </c>
      <c r="P486" s="9" t="n"/>
      <c r="Q486" s="9" t="n"/>
      <c r="R486" s="9" t="n"/>
      <c r="S486" s="9" t="inlineStr">
        <is>
          <t>Tray</t>
        </is>
      </c>
      <c r="T486" s="10" t="n">
        <v>1176</v>
      </c>
      <c r="U486" s="10" t="n">
        <v>64</v>
      </c>
      <c r="V486" s="10">
        <f>ROUNDUP((T486+U486+2*'Read Me'!$B$13)*(1+'Read Me'!$B$12),-1)</f>
        <v/>
      </c>
      <c r="W486" s="10">
        <f>V486*N486*O486</f>
        <v/>
      </c>
      <c r="X486" s="9">
        <f>IF(LEFT(I486,2)="MV",2*N486*IF(L486="1/C",O486,1),0)</f>
        <v/>
      </c>
      <c r="Y486" s="9">
        <f>IF(OR(LEFT(K486,4)="LVAX",LEFT(K486,6)="MV15AX",LEFT(K486,4)="CTAX",LEFT(K486,2)="W|"),2*N486*O486,0)</f>
        <v/>
      </c>
      <c r="Z486" s="9" t="inlineStr"/>
    </row>
    <row r="487">
      <c r="A487" s="9" t="inlineStr">
        <is>
          <t>A-I-0024</t>
        </is>
      </c>
      <c r="B487" s="9" t="inlineStr">
        <is>
          <t>A</t>
        </is>
      </c>
      <c r="C487" s="9" t="inlineStr">
        <is>
          <t>Power block</t>
        </is>
      </c>
      <c r="D487" s="9" t="inlineStr">
        <is>
          <t>Instrumentation</t>
        </is>
      </c>
      <c r="E487" s="9" t="inlineStr">
        <is>
          <t>R2B</t>
        </is>
      </c>
      <c r="F487" s="9" t="inlineStr">
        <is>
          <t>R2B: unit / HRSG electrical e-house (32 x 40 ft)</t>
        </is>
      </c>
      <c r="G487" s="9" t="inlineStr">
        <is>
          <t>ET-2</t>
        </is>
      </c>
      <c r="H487" s="9" t="inlineStr">
        <is>
          <t>ET-2: excitation transformer (dry type, GTG-2 terminals)</t>
        </is>
      </c>
      <c r="I487" s="9" t="inlineStr">
        <is>
          <t>Instrumentation</t>
        </is>
      </c>
      <c r="J487" s="9" t="inlineStr">
        <is>
          <t>Instrumentation PLTC / TC-ER 300 V, #18 twisted shielded pairs, overall shield</t>
        </is>
      </c>
      <c r="K487" s="9" t="inlineStr">
        <is>
          <t>PLTC|12 pr|18</t>
        </is>
      </c>
      <c r="L487" s="9" t="inlineStr">
        <is>
          <t>12 pr</t>
        </is>
      </c>
      <c r="M487" s="9" t="inlineStr">
        <is>
          <t>18</t>
        </is>
      </c>
      <c r="N487" s="9" t="n">
        <v>1</v>
      </c>
      <c r="O487" s="9" t="n">
        <v>1</v>
      </c>
      <c r="P487" s="9" t="n"/>
      <c r="Q487" s="9" t="n"/>
      <c r="R487" s="9" t="n"/>
      <c r="S487" s="9" t="inlineStr">
        <is>
          <t>Tray</t>
        </is>
      </c>
      <c r="T487" s="10" t="n">
        <v>1176</v>
      </c>
      <c r="U487" s="10" t="n">
        <v>64</v>
      </c>
      <c r="V487" s="10">
        <f>ROUNDUP((T487+U487+2*'Read Me'!$B$13)*(1+'Read Me'!$B$12),-1)</f>
        <v/>
      </c>
      <c r="W487" s="10">
        <f>V487*N487*O487</f>
        <v/>
      </c>
      <c r="X487" s="9">
        <f>IF(LEFT(I487,2)="MV",2*N487*IF(L487="1/C",O487,1),0)</f>
        <v/>
      </c>
      <c r="Y487" s="9">
        <f>IF(OR(LEFT(K487,4)="LVAX",LEFT(K487,6)="MV15AX",LEFT(K487,4)="CTAX",LEFT(K487,2)="W|"),2*N487*O487,0)</f>
        <v/>
      </c>
      <c r="Z487" s="9" t="inlineStr"/>
    </row>
    <row r="488">
      <c r="A488" s="9" t="inlineStr">
        <is>
          <t>A-I-0025</t>
        </is>
      </c>
      <c r="B488" s="9" t="inlineStr">
        <is>
          <t>A</t>
        </is>
      </c>
      <c r="C488" s="9" t="inlineStr">
        <is>
          <t>Power block</t>
        </is>
      </c>
      <c r="D488" s="9" t="inlineStr">
        <is>
          <t>Instrumentation</t>
        </is>
      </c>
      <c r="E488" s="9" t="inlineStr">
        <is>
          <t>R2B</t>
        </is>
      </c>
      <c r="F488" s="9" t="inlineStr">
        <is>
          <t>R2B: unit / HRSG electrical e-house (32 x 40 ft)</t>
        </is>
      </c>
      <c r="G488" s="9" t="inlineStr">
        <is>
          <t>ET-2</t>
        </is>
      </c>
      <c r="H488" s="9" t="inlineStr">
        <is>
          <t>ET-2: excitation transformer (dry type, GTG-2 terminals)</t>
        </is>
      </c>
      <c r="I488" s="9" t="inlineStr">
        <is>
          <t>Instrumentation</t>
        </is>
      </c>
      <c r="J488" s="9" t="inlineStr">
        <is>
          <t>Instrumentation PLTC / TC-ER 300 V, #18 twisted shielded pairs, overall shield</t>
        </is>
      </c>
      <c r="K488" s="9" t="inlineStr">
        <is>
          <t>PLTC|12 pr|18</t>
        </is>
      </c>
      <c r="L488" s="9" t="inlineStr">
        <is>
          <t>12 pr</t>
        </is>
      </c>
      <c r="M488" s="9" t="inlineStr">
        <is>
          <t>18</t>
        </is>
      </c>
      <c r="N488" s="9" t="n">
        <v>1</v>
      </c>
      <c r="O488" s="9" t="n">
        <v>1</v>
      </c>
      <c r="P488" s="9" t="n"/>
      <c r="Q488" s="9" t="n"/>
      <c r="R488" s="9" t="n"/>
      <c r="S488" s="9" t="inlineStr">
        <is>
          <t>Tray</t>
        </is>
      </c>
      <c r="T488" s="10" t="n">
        <v>1176</v>
      </c>
      <c r="U488" s="10" t="n">
        <v>64</v>
      </c>
      <c r="V488" s="10">
        <f>ROUNDUP((T488+U488+2*'Read Me'!$B$13)*(1+'Read Me'!$B$12),-1)</f>
        <v/>
      </c>
      <c r="W488" s="10">
        <f>V488*N488*O488</f>
        <v/>
      </c>
      <c r="X488" s="9">
        <f>IF(LEFT(I488,2)="MV",2*N488*IF(L488="1/C",O488,1),0)</f>
        <v/>
      </c>
      <c r="Y488" s="9">
        <f>IF(OR(LEFT(K488,4)="LVAX",LEFT(K488,6)="MV15AX",LEFT(K488,4)="CTAX",LEFT(K488,2)="W|"),2*N488*O488,0)</f>
        <v/>
      </c>
      <c r="Z488" s="9" t="inlineStr"/>
    </row>
    <row r="489">
      <c r="A489" s="9" t="inlineStr">
        <is>
          <t>A-I-0026</t>
        </is>
      </c>
      <c r="B489" s="9" t="inlineStr">
        <is>
          <t>A</t>
        </is>
      </c>
      <c r="C489" s="9" t="inlineStr">
        <is>
          <t>Power block</t>
        </is>
      </c>
      <c r="D489" s="9" t="inlineStr">
        <is>
          <t>Instrumentation</t>
        </is>
      </c>
      <c r="E489" s="9" t="inlineStr">
        <is>
          <t>R2B</t>
        </is>
      </c>
      <c r="F489" s="9" t="inlineStr">
        <is>
          <t>R2B: unit / HRSG electrical e-house (32 x 40 ft)</t>
        </is>
      </c>
      <c r="G489" s="9" t="inlineStr">
        <is>
          <t>ET-2</t>
        </is>
      </c>
      <c r="H489" s="9" t="inlineStr">
        <is>
          <t>ET-2: excitation transformer (dry type, GTG-2 terminals)</t>
        </is>
      </c>
      <c r="I489" s="9" t="inlineStr">
        <is>
          <t>Instrumentation</t>
        </is>
      </c>
      <c r="J489" s="9" t="inlineStr">
        <is>
          <t>Instrumentation PLTC / TC-ER 300 V, #18 twisted shielded pairs, overall shield</t>
        </is>
      </c>
      <c r="K489" s="9" t="inlineStr">
        <is>
          <t>PLTC|12 pr|18</t>
        </is>
      </c>
      <c r="L489" s="9" t="inlineStr">
        <is>
          <t>12 pr</t>
        </is>
      </c>
      <c r="M489" s="9" t="inlineStr">
        <is>
          <t>18</t>
        </is>
      </c>
      <c r="N489" s="9" t="n">
        <v>1</v>
      </c>
      <c r="O489" s="9" t="n">
        <v>1</v>
      </c>
      <c r="P489" s="9" t="n"/>
      <c r="Q489" s="9" t="n"/>
      <c r="R489" s="9" t="n"/>
      <c r="S489" s="9" t="inlineStr">
        <is>
          <t>Tray</t>
        </is>
      </c>
      <c r="T489" s="10" t="n">
        <v>1176</v>
      </c>
      <c r="U489" s="10" t="n">
        <v>64</v>
      </c>
      <c r="V489" s="10">
        <f>ROUNDUP((T489+U489+2*'Read Me'!$B$13)*(1+'Read Me'!$B$12),-1)</f>
        <v/>
      </c>
      <c r="W489" s="10">
        <f>V489*N489*O489</f>
        <v/>
      </c>
      <c r="X489" s="9">
        <f>IF(LEFT(I489,2)="MV",2*N489*IF(L489="1/C",O489,1),0)</f>
        <v/>
      </c>
      <c r="Y489" s="9">
        <f>IF(OR(LEFT(K489,4)="LVAX",LEFT(K489,6)="MV15AX",LEFT(K489,4)="CTAX",LEFT(K489,2)="W|"),2*N489*O489,0)</f>
        <v/>
      </c>
      <c r="Z489" s="9" t="inlineStr"/>
    </row>
    <row r="490">
      <c r="A490" s="9" t="inlineStr">
        <is>
          <t>A-I-0027</t>
        </is>
      </c>
      <c r="B490" s="9" t="inlineStr">
        <is>
          <t>A</t>
        </is>
      </c>
      <c r="C490" s="9" t="inlineStr">
        <is>
          <t>Power block</t>
        </is>
      </c>
      <c r="D490" s="9" t="inlineStr">
        <is>
          <t>Instrumentation</t>
        </is>
      </c>
      <c r="E490" s="9" t="inlineStr">
        <is>
          <t>R2B</t>
        </is>
      </c>
      <c r="F490" s="9" t="inlineStr">
        <is>
          <t>R2B: unit / HRSG electrical e-house (32 x 40 ft)</t>
        </is>
      </c>
      <c r="G490" s="9" t="inlineStr">
        <is>
          <t>ET-2</t>
        </is>
      </c>
      <c r="H490" s="9" t="inlineStr">
        <is>
          <t>ET-2: excitation transformer (dry type, GTG-2 terminals)</t>
        </is>
      </c>
      <c r="I490" s="9" t="inlineStr">
        <is>
          <t>Instrumentation</t>
        </is>
      </c>
      <c r="J490" s="9" t="inlineStr">
        <is>
          <t>Instrumentation PLTC / TC-ER 300 V, #18 twisted shielded pairs, overall shield</t>
        </is>
      </c>
      <c r="K490" s="9" t="inlineStr">
        <is>
          <t>PLTC|12 pr|18</t>
        </is>
      </c>
      <c r="L490" s="9" t="inlineStr">
        <is>
          <t>12 pr</t>
        </is>
      </c>
      <c r="M490" s="9" t="inlineStr">
        <is>
          <t>18</t>
        </is>
      </c>
      <c r="N490" s="9" t="n">
        <v>1</v>
      </c>
      <c r="O490" s="9" t="n">
        <v>1</v>
      </c>
      <c r="P490" s="9" t="n"/>
      <c r="Q490" s="9" t="n"/>
      <c r="R490" s="9" t="n"/>
      <c r="S490" s="9" t="inlineStr">
        <is>
          <t>Tray</t>
        </is>
      </c>
      <c r="T490" s="10" t="n">
        <v>1176</v>
      </c>
      <c r="U490" s="10" t="n">
        <v>64</v>
      </c>
      <c r="V490" s="10">
        <f>ROUNDUP((T490+U490+2*'Read Me'!$B$13)*(1+'Read Me'!$B$12),-1)</f>
        <v/>
      </c>
      <c r="W490" s="10">
        <f>V490*N490*O490</f>
        <v/>
      </c>
      <c r="X490" s="9">
        <f>IF(LEFT(I490,2)="MV",2*N490*IF(L490="1/C",O490,1),0)</f>
        <v/>
      </c>
      <c r="Y490" s="9">
        <f>IF(OR(LEFT(K490,4)="LVAX",LEFT(K490,6)="MV15AX",LEFT(K490,4)="CTAX",LEFT(K490,2)="W|"),2*N490*O490,0)</f>
        <v/>
      </c>
      <c r="Z490" s="9" t="inlineStr"/>
    </row>
    <row r="491">
      <c r="A491" s="9" t="inlineStr">
        <is>
          <t>A-I-0028</t>
        </is>
      </c>
      <c r="B491" s="9" t="inlineStr">
        <is>
          <t>A</t>
        </is>
      </c>
      <c r="C491" s="9" t="inlineStr">
        <is>
          <t>Power block</t>
        </is>
      </c>
      <c r="D491" s="9" t="inlineStr">
        <is>
          <t>Instrumentation</t>
        </is>
      </c>
      <c r="E491" s="9" t="inlineStr">
        <is>
          <t>R2B</t>
        </is>
      </c>
      <c r="F491" s="9" t="inlineStr">
        <is>
          <t>R2B: unit / HRSG electrical e-house (32 x 40 ft)</t>
        </is>
      </c>
      <c r="G491" s="9" t="inlineStr">
        <is>
          <t>ET-2</t>
        </is>
      </c>
      <c r="H491" s="9" t="inlineStr">
        <is>
          <t>ET-2: excitation transformer (dry type, GTG-2 terminals)</t>
        </is>
      </c>
      <c r="I491" s="9" t="inlineStr">
        <is>
          <t>Instrumentation</t>
        </is>
      </c>
      <c r="J491" s="9" t="inlineStr">
        <is>
          <t>Instrumentation PLTC / TC-ER 300 V, #18 twisted shielded pairs, overall shield</t>
        </is>
      </c>
      <c r="K491" s="9" t="inlineStr">
        <is>
          <t>PLTC|12 pr|18</t>
        </is>
      </c>
      <c r="L491" s="9" t="inlineStr">
        <is>
          <t>12 pr</t>
        </is>
      </c>
      <c r="M491" s="9" t="inlineStr">
        <is>
          <t>18</t>
        </is>
      </c>
      <c r="N491" s="9" t="n">
        <v>1</v>
      </c>
      <c r="O491" s="9" t="n">
        <v>1</v>
      </c>
      <c r="P491" s="9" t="n"/>
      <c r="Q491" s="9" t="n"/>
      <c r="R491" s="9" t="n"/>
      <c r="S491" s="9" t="inlineStr">
        <is>
          <t>Tray</t>
        </is>
      </c>
      <c r="T491" s="10" t="n">
        <v>1176</v>
      </c>
      <c r="U491" s="10" t="n">
        <v>64</v>
      </c>
      <c r="V491" s="10">
        <f>ROUNDUP((T491+U491+2*'Read Me'!$B$13)*(1+'Read Me'!$B$12),-1)</f>
        <v/>
      </c>
      <c r="W491" s="10">
        <f>V491*N491*O491</f>
        <v/>
      </c>
      <c r="X491" s="9">
        <f>IF(LEFT(I491,2)="MV",2*N491*IF(L491="1/C",O491,1),0)</f>
        <v/>
      </c>
      <c r="Y491" s="9">
        <f>IF(OR(LEFT(K491,4)="LVAX",LEFT(K491,6)="MV15AX",LEFT(K491,4)="CTAX",LEFT(K491,2)="W|"),2*N491*O491,0)</f>
        <v/>
      </c>
      <c r="Z491" s="9" t="inlineStr"/>
    </row>
    <row r="492">
      <c r="A492" s="9" t="inlineStr">
        <is>
          <t>A-I-0029</t>
        </is>
      </c>
      <c r="B492" s="9" t="inlineStr">
        <is>
          <t>A</t>
        </is>
      </c>
      <c r="C492" s="9" t="inlineStr">
        <is>
          <t>Power block</t>
        </is>
      </c>
      <c r="D492" s="9" t="inlineStr">
        <is>
          <t>Instrumentation</t>
        </is>
      </c>
      <c r="E492" s="9" t="inlineStr">
        <is>
          <t>R2B</t>
        </is>
      </c>
      <c r="F492" s="9" t="inlineStr">
        <is>
          <t>R2B: unit / HRSG electrical e-house (32 x 40 ft)</t>
        </is>
      </c>
      <c r="G492" s="9" t="inlineStr">
        <is>
          <t>ET-2</t>
        </is>
      </c>
      <c r="H492" s="9" t="inlineStr">
        <is>
          <t>ET-2: excitation transformer (dry type, GTG-2 terminals)</t>
        </is>
      </c>
      <c r="I492" s="9" t="inlineStr">
        <is>
          <t>Instrumentation</t>
        </is>
      </c>
      <c r="J492" s="9" t="inlineStr">
        <is>
          <t>Instrumentation PLTC / TC-ER 300 V, #18 twisted shielded pairs, overall shield</t>
        </is>
      </c>
      <c r="K492" s="9" t="inlineStr">
        <is>
          <t>PLTC|12 pr|18</t>
        </is>
      </c>
      <c r="L492" s="9" t="inlineStr">
        <is>
          <t>12 pr</t>
        </is>
      </c>
      <c r="M492" s="9" t="inlineStr">
        <is>
          <t>18</t>
        </is>
      </c>
      <c r="N492" s="9" t="n">
        <v>1</v>
      </c>
      <c r="O492" s="9" t="n">
        <v>1</v>
      </c>
      <c r="P492" s="9" t="n"/>
      <c r="Q492" s="9" t="n"/>
      <c r="R492" s="9" t="n"/>
      <c r="S492" s="9" t="inlineStr">
        <is>
          <t>Tray</t>
        </is>
      </c>
      <c r="T492" s="10" t="n">
        <v>1176</v>
      </c>
      <c r="U492" s="10" t="n">
        <v>64</v>
      </c>
      <c r="V492" s="10">
        <f>ROUNDUP((T492+U492+2*'Read Me'!$B$13)*(1+'Read Me'!$B$12),-1)</f>
        <v/>
      </c>
      <c r="W492" s="10">
        <f>V492*N492*O492</f>
        <v/>
      </c>
      <c r="X492" s="9">
        <f>IF(LEFT(I492,2)="MV",2*N492*IF(L492="1/C",O492,1),0)</f>
        <v/>
      </c>
      <c r="Y492" s="9">
        <f>IF(OR(LEFT(K492,4)="LVAX",LEFT(K492,6)="MV15AX",LEFT(K492,4)="CTAX",LEFT(K492,2)="W|"),2*N492*O492,0)</f>
        <v/>
      </c>
      <c r="Z492" s="9" t="inlineStr"/>
    </row>
    <row r="493">
      <c r="A493" s="9" t="inlineStr">
        <is>
          <t>A-I-0030</t>
        </is>
      </c>
      <c r="B493" s="9" t="inlineStr">
        <is>
          <t>A</t>
        </is>
      </c>
      <c r="C493" s="9" t="inlineStr">
        <is>
          <t>Power block</t>
        </is>
      </c>
      <c r="D493" s="9" t="inlineStr">
        <is>
          <t>Instrumentation</t>
        </is>
      </c>
      <c r="E493" s="9" t="inlineStr">
        <is>
          <t>R2B</t>
        </is>
      </c>
      <c r="F493" s="9" t="inlineStr">
        <is>
          <t>R2B: unit / HRSG electrical e-house (32 x 40 ft)</t>
        </is>
      </c>
      <c r="G493" s="9" t="inlineStr">
        <is>
          <t>ET-2</t>
        </is>
      </c>
      <c r="H493" s="9" t="inlineStr">
        <is>
          <t>ET-2: excitation transformer (dry type, GTG-2 terminals)</t>
        </is>
      </c>
      <c r="I493" s="9" t="inlineStr">
        <is>
          <t>Instrumentation</t>
        </is>
      </c>
      <c r="J493" s="9" t="inlineStr">
        <is>
          <t>Instrumentation PLTC / TC-ER 300 V, #18 twisted shielded pairs, overall shield</t>
        </is>
      </c>
      <c r="K493" s="9" t="inlineStr">
        <is>
          <t>PLTC|12 pr|18</t>
        </is>
      </c>
      <c r="L493" s="9" t="inlineStr">
        <is>
          <t>12 pr</t>
        </is>
      </c>
      <c r="M493" s="9" t="inlineStr">
        <is>
          <t>18</t>
        </is>
      </c>
      <c r="N493" s="9" t="n">
        <v>1</v>
      </c>
      <c r="O493" s="9" t="n">
        <v>1</v>
      </c>
      <c r="P493" s="9" t="n"/>
      <c r="Q493" s="9" t="n"/>
      <c r="R493" s="9" t="n"/>
      <c r="S493" s="9" t="inlineStr">
        <is>
          <t>Tray</t>
        </is>
      </c>
      <c r="T493" s="10" t="n">
        <v>1176</v>
      </c>
      <c r="U493" s="10" t="n">
        <v>64</v>
      </c>
      <c r="V493" s="10">
        <f>ROUNDUP((T493+U493+2*'Read Me'!$B$13)*(1+'Read Me'!$B$12),-1)</f>
        <v/>
      </c>
      <c r="W493" s="10">
        <f>V493*N493*O493</f>
        <v/>
      </c>
      <c r="X493" s="9">
        <f>IF(LEFT(I493,2)="MV",2*N493*IF(L493="1/C",O493,1),0)</f>
        <v/>
      </c>
      <c r="Y493" s="9">
        <f>IF(OR(LEFT(K493,4)="LVAX",LEFT(K493,6)="MV15AX",LEFT(K493,4)="CTAX",LEFT(K493,2)="W|"),2*N493*O493,0)</f>
        <v/>
      </c>
      <c r="Z493" s="9" t="inlineStr"/>
    </row>
    <row r="494">
      <c r="A494" s="9" t="inlineStr">
        <is>
          <t>A-I-0031</t>
        </is>
      </c>
      <c r="B494" s="9" t="inlineStr">
        <is>
          <t>A</t>
        </is>
      </c>
      <c r="C494" s="9" t="inlineStr">
        <is>
          <t>Power block</t>
        </is>
      </c>
      <c r="D494" s="9" t="inlineStr">
        <is>
          <t>Instrumentation</t>
        </is>
      </c>
      <c r="E494" s="9" t="inlineStr">
        <is>
          <t>R2C</t>
        </is>
      </c>
      <c r="F494" s="9" t="inlineStr">
        <is>
          <t>R2C: unit / HRSG electrical e-house (32 x 40 ft)</t>
        </is>
      </c>
      <c r="G494" s="9" t="inlineStr">
        <is>
          <t>ET-3</t>
        </is>
      </c>
      <c r="H494" s="9" t="inlineStr">
        <is>
          <t>ET-3: excitation transformer (dry type, GTG-3 terminals)</t>
        </is>
      </c>
      <c r="I494" s="9" t="inlineStr">
        <is>
          <t>Instrumentation</t>
        </is>
      </c>
      <c r="J494" s="9" t="inlineStr">
        <is>
          <t>Instrumentation PLTC / TC-ER 300 V, #18 twisted shielded pairs, overall shield</t>
        </is>
      </c>
      <c r="K494" s="9" t="inlineStr">
        <is>
          <t>PLTC|4 pr|18</t>
        </is>
      </c>
      <c r="L494" s="9" t="inlineStr">
        <is>
          <t>4 pr</t>
        </is>
      </c>
      <c r="M494" s="9" t="inlineStr">
        <is>
          <t>18</t>
        </is>
      </c>
      <c r="N494" s="9" t="n">
        <v>1</v>
      </c>
      <c r="O494" s="9" t="n">
        <v>1</v>
      </c>
      <c r="P494" s="9" t="n"/>
      <c r="Q494" s="9" t="n"/>
      <c r="R494" s="9" t="n"/>
      <c r="S494" s="9" t="inlineStr">
        <is>
          <t>Tray</t>
        </is>
      </c>
      <c r="T494" s="10" t="n">
        <v>1351</v>
      </c>
      <c r="U494" s="10" t="n">
        <v>80</v>
      </c>
      <c r="V494" s="10">
        <f>ROUNDUP((T494+U494+2*'Read Me'!$B$13)*(1+'Read Me'!$B$12),-1)</f>
        <v/>
      </c>
      <c r="W494" s="10">
        <f>V494*N494*O494</f>
        <v/>
      </c>
      <c r="X494" s="9">
        <f>IF(LEFT(I494,2)="MV",2*N494*IF(L494="1/C",O494,1),0)</f>
        <v/>
      </c>
      <c r="Y494" s="9">
        <f>IF(OR(LEFT(K494,4)="LVAX",LEFT(K494,6)="MV15AX",LEFT(K494,4)="CTAX",LEFT(K494,2)="W|"),2*N494*O494,0)</f>
        <v/>
      </c>
      <c r="Z494" s="9" t="inlineStr"/>
    </row>
    <row r="495">
      <c r="A495" s="9" t="inlineStr">
        <is>
          <t>A-I-0032</t>
        </is>
      </c>
      <c r="B495" s="9" t="inlineStr">
        <is>
          <t>A</t>
        </is>
      </c>
      <c r="C495" s="9" t="inlineStr">
        <is>
          <t>Power block</t>
        </is>
      </c>
      <c r="D495" s="9" t="inlineStr">
        <is>
          <t>Instrumentation</t>
        </is>
      </c>
      <c r="E495" s="9" t="inlineStr">
        <is>
          <t>R2C</t>
        </is>
      </c>
      <c r="F495" s="9" t="inlineStr">
        <is>
          <t>R2C: unit / HRSG electrical e-house (32 x 40 ft)</t>
        </is>
      </c>
      <c r="G495" s="9" t="inlineStr">
        <is>
          <t>ET-3</t>
        </is>
      </c>
      <c r="H495" s="9" t="inlineStr">
        <is>
          <t>ET-3: excitation transformer (dry type, GTG-3 terminals)</t>
        </is>
      </c>
      <c r="I495" s="9" t="inlineStr">
        <is>
          <t>Instrumentation</t>
        </is>
      </c>
      <c r="J495" s="9" t="inlineStr">
        <is>
          <t>Instrumentation PLTC / TC-ER 300 V, #18 twisted shielded pairs, overall shield</t>
        </is>
      </c>
      <c r="K495" s="9" t="inlineStr">
        <is>
          <t>PLTC|4 pr|18</t>
        </is>
      </c>
      <c r="L495" s="9" t="inlineStr">
        <is>
          <t>4 pr</t>
        </is>
      </c>
      <c r="M495" s="9" t="inlineStr">
        <is>
          <t>18</t>
        </is>
      </c>
      <c r="N495" s="9" t="n">
        <v>1</v>
      </c>
      <c r="O495" s="9" t="n">
        <v>1</v>
      </c>
      <c r="P495" s="9" t="n"/>
      <c r="Q495" s="9" t="n"/>
      <c r="R495" s="9" t="n"/>
      <c r="S495" s="9" t="inlineStr">
        <is>
          <t>Tray</t>
        </is>
      </c>
      <c r="T495" s="10" t="n">
        <v>1351</v>
      </c>
      <c r="U495" s="10" t="n">
        <v>80</v>
      </c>
      <c r="V495" s="10">
        <f>ROUNDUP((T495+U495+2*'Read Me'!$B$13)*(1+'Read Me'!$B$12),-1)</f>
        <v/>
      </c>
      <c r="W495" s="10">
        <f>V495*N495*O495</f>
        <v/>
      </c>
      <c r="X495" s="9">
        <f>IF(LEFT(I495,2)="MV",2*N495*IF(L495="1/C",O495,1),0)</f>
        <v/>
      </c>
      <c r="Y495" s="9">
        <f>IF(OR(LEFT(K495,4)="LVAX",LEFT(K495,6)="MV15AX",LEFT(K495,4)="CTAX",LEFT(K495,2)="W|"),2*N495*O495,0)</f>
        <v/>
      </c>
      <c r="Z495" s="9" t="inlineStr"/>
    </row>
    <row r="496">
      <c r="A496" s="9" t="inlineStr">
        <is>
          <t>A-I-0033</t>
        </is>
      </c>
      <c r="B496" s="9" t="inlineStr">
        <is>
          <t>A</t>
        </is>
      </c>
      <c r="C496" s="9" t="inlineStr">
        <is>
          <t>Power block</t>
        </is>
      </c>
      <c r="D496" s="9" t="inlineStr">
        <is>
          <t>Instrumentation</t>
        </is>
      </c>
      <c r="E496" s="9" t="inlineStr">
        <is>
          <t>R2C</t>
        </is>
      </c>
      <c r="F496" s="9" t="inlineStr">
        <is>
          <t>R2C: unit / HRSG electrical e-house (32 x 40 ft)</t>
        </is>
      </c>
      <c r="G496" s="9" t="inlineStr">
        <is>
          <t>ET-3</t>
        </is>
      </c>
      <c r="H496" s="9" t="inlineStr">
        <is>
          <t>ET-3: excitation transformer (dry type, GTG-3 terminals)</t>
        </is>
      </c>
      <c r="I496" s="9" t="inlineStr">
        <is>
          <t>Instrumentation</t>
        </is>
      </c>
      <c r="J496" s="9" t="inlineStr">
        <is>
          <t>Instrumentation PLTC / TC-ER 300 V, #18 twisted shielded pairs, overall shield</t>
        </is>
      </c>
      <c r="K496" s="9" t="inlineStr">
        <is>
          <t>PLTC|12 pr|18</t>
        </is>
      </c>
      <c r="L496" s="9" t="inlineStr">
        <is>
          <t>12 pr</t>
        </is>
      </c>
      <c r="M496" s="9" t="inlineStr">
        <is>
          <t>18</t>
        </is>
      </c>
      <c r="N496" s="9" t="n">
        <v>1</v>
      </c>
      <c r="O496" s="9" t="n">
        <v>1</v>
      </c>
      <c r="P496" s="9" t="n"/>
      <c r="Q496" s="9" t="n"/>
      <c r="R496" s="9" t="n"/>
      <c r="S496" s="9" t="inlineStr">
        <is>
          <t>Tray</t>
        </is>
      </c>
      <c r="T496" s="10" t="n">
        <v>1351</v>
      </c>
      <c r="U496" s="10" t="n">
        <v>80</v>
      </c>
      <c r="V496" s="10">
        <f>ROUNDUP((T496+U496+2*'Read Me'!$B$13)*(1+'Read Me'!$B$12),-1)</f>
        <v/>
      </c>
      <c r="W496" s="10">
        <f>V496*N496*O496</f>
        <v/>
      </c>
      <c r="X496" s="9">
        <f>IF(LEFT(I496,2)="MV",2*N496*IF(L496="1/C",O496,1),0)</f>
        <v/>
      </c>
      <c r="Y496" s="9">
        <f>IF(OR(LEFT(K496,4)="LVAX",LEFT(K496,6)="MV15AX",LEFT(K496,4)="CTAX",LEFT(K496,2)="W|"),2*N496*O496,0)</f>
        <v/>
      </c>
      <c r="Z496" s="9" t="inlineStr"/>
    </row>
    <row r="497">
      <c r="A497" s="9" t="inlineStr">
        <is>
          <t>A-I-0034</t>
        </is>
      </c>
      <c r="B497" s="9" t="inlineStr">
        <is>
          <t>A</t>
        </is>
      </c>
      <c r="C497" s="9" t="inlineStr">
        <is>
          <t>Power block</t>
        </is>
      </c>
      <c r="D497" s="9" t="inlineStr">
        <is>
          <t>Instrumentation</t>
        </is>
      </c>
      <c r="E497" s="9" t="inlineStr">
        <is>
          <t>R2C</t>
        </is>
      </c>
      <c r="F497" s="9" t="inlineStr">
        <is>
          <t>R2C: unit / HRSG electrical e-house (32 x 40 ft)</t>
        </is>
      </c>
      <c r="G497" s="9" t="inlineStr">
        <is>
          <t>ET-3</t>
        </is>
      </c>
      <c r="H497" s="9" t="inlineStr">
        <is>
          <t>ET-3: excitation transformer (dry type, GTG-3 terminals)</t>
        </is>
      </c>
      <c r="I497" s="9" t="inlineStr">
        <is>
          <t>Instrumentation</t>
        </is>
      </c>
      <c r="J497" s="9" t="inlineStr">
        <is>
          <t>Instrumentation PLTC / TC-ER 300 V, #18 twisted shielded pairs, overall shield</t>
        </is>
      </c>
      <c r="K497" s="9" t="inlineStr">
        <is>
          <t>PLTC|12 pr|18</t>
        </is>
      </c>
      <c r="L497" s="9" t="inlineStr">
        <is>
          <t>12 pr</t>
        </is>
      </c>
      <c r="M497" s="9" t="inlineStr">
        <is>
          <t>18</t>
        </is>
      </c>
      <c r="N497" s="9" t="n">
        <v>1</v>
      </c>
      <c r="O497" s="9" t="n">
        <v>1</v>
      </c>
      <c r="P497" s="9" t="n"/>
      <c r="Q497" s="9" t="n"/>
      <c r="R497" s="9" t="n"/>
      <c r="S497" s="9" t="inlineStr">
        <is>
          <t>Tray</t>
        </is>
      </c>
      <c r="T497" s="10" t="n">
        <v>1351</v>
      </c>
      <c r="U497" s="10" t="n">
        <v>80</v>
      </c>
      <c r="V497" s="10">
        <f>ROUNDUP((T497+U497+2*'Read Me'!$B$13)*(1+'Read Me'!$B$12),-1)</f>
        <v/>
      </c>
      <c r="W497" s="10">
        <f>V497*N497*O497</f>
        <v/>
      </c>
      <c r="X497" s="9">
        <f>IF(LEFT(I497,2)="MV",2*N497*IF(L497="1/C",O497,1),0)</f>
        <v/>
      </c>
      <c r="Y497" s="9">
        <f>IF(OR(LEFT(K497,4)="LVAX",LEFT(K497,6)="MV15AX",LEFT(K497,4)="CTAX",LEFT(K497,2)="W|"),2*N497*O497,0)</f>
        <v/>
      </c>
      <c r="Z497" s="9" t="inlineStr"/>
    </row>
    <row r="498">
      <c r="A498" s="9" t="inlineStr">
        <is>
          <t>A-I-0035</t>
        </is>
      </c>
      <c r="B498" s="9" t="inlineStr">
        <is>
          <t>A</t>
        </is>
      </c>
      <c r="C498" s="9" t="inlineStr">
        <is>
          <t>Power block</t>
        </is>
      </c>
      <c r="D498" s="9" t="inlineStr">
        <is>
          <t>Instrumentation</t>
        </is>
      </c>
      <c r="E498" s="9" t="inlineStr">
        <is>
          <t>R2C</t>
        </is>
      </c>
      <c r="F498" s="9" t="inlineStr">
        <is>
          <t>R2C: unit / HRSG electrical e-house (32 x 40 ft)</t>
        </is>
      </c>
      <c r="G498" s="9" t="inlineStr">
        <is>
          <t>ET-3</t>
        </is>
      </c>
      <c r="H498" s="9" t="inlineStr">
        <is>
          <t>ET-3: excitation transformer (dry type, GTG-3 terminals)</t>
        </is>
      </c>
      <c r="I498" s="9" t="inlineStr">
        <is>
          <t>Instrumentation</t>
        </is>
      </c>
      <c r="J498" s="9" t="inlineStr">
        <is>
          <t>Instrumentation PLTC / TC-ER 300 V, #18 twisted shielded pairs, overall shield</t>
        </is>
      </c>
      <c r="K498" s="9" t="inlineStr">
        <is>
          <t>PLTC|12 pr|18</t>
        </is>
      </c>
      <c r="L498" s="9" t="inlineStr">
        <is>
          <t>12 pr</t>
        </is>
      </c>
      <c r="M498" s="9" t="inlineStr">
        <is>
          <t>18</t>
        </is>
      </c>
      <c r="N498" s="9" t="n">
        <v>1</v>
      </c>
      <c r="O498" s="9" t="n">
        <v>1</v>
      </c>
      <c r="P498" s="9" t="n"/>
      <c r="Q498" s="9" t="n"/>
      <c r="R498" s="9" t="n"/>
      <c r="S498" s="9" t="inlineStr">
        <is>
          <t>Tray</t>
        </is>
      </c>
      <c r="T498" s="10" t="n">
        <v>1351</v>
      </c>
      <c r="U498" s="10" t="n">
        <v>80</v>
      </c>
      <c r="V498" s="10">
        <f>ROUNDUP((T498+U498+2*'Read Me'!$B$13)*(1+'Read Me'!$B$12),-1)</f>
        <v/>
      </c>
      <c r="W498" s="10">
        <f>V498*N498*O498</f>
        <v/>
      </c>
      <c r="X498" s="9">
        <f>IF(LEFT(I498,2)="MV",2*N498*IF(L498="1/C",O498,1),0)</f>
        <v/>
      </c>
      <c r="Y498" s="9">
        <f>IF(OR(LEFT(K498,4)="LVAX",LEFT(K498,6)="MV15AX",LEFT(K498,4)="CTAX",LEFT(K498,2)="W|"),2*N498*O498,0)</f>
        <v/>
      </c>
      <c r="Z498" s="9" t="inlineStr"/>
    </row>
    <row r="499">
      <c r="A499" s="9" t="inlineStr">
        <is>
          <t>A-I-0036</t>
        </is>
      </c>
      <c r="B499" s="9" t="inlineStr">
        <is>
          <t>A</t>
        </is>
      </c>
      <c r="C499" s="9" t="inlineStr">
        <is>
          <t>Power block</t>
        </is>
      </c>
      <c r="D499" s="9" t="inlineStr">
        <is>
          <t>Instrumentation</t>
        </is>
      </c>
      <c r="E499" s="9" t="inlineStr">
        <is>
          <t>R2C</t>
        </is>
      </c>
      <c r="F499" s="9" t="inlineStr">
        <is>
          <t>R2C: unit / HRSG electrical e-house (32 x 40 ft)</t>
        </is>
      </c>
      <c r="G499" s="9" t="inlineStr">
        <is>
          <t>ET-3</t>
        </is>
      </c>
      <c r="H499" s="9" t="inlineStr">
        <is>
          <t>ET-3: excitation transformer (dry type, GTG-3 terminals)</t>
        </is>
      </c>
      <c r="I499" s="9" t="inlineStr">
        <is>
          <t>Instrumentation</t>
        </is>
      </c>
      <c r="J499" s="9" t="inlineStr">
        <is>
          <t>Instrumentation PLTC / TC-ER 300 V, #18 twisted shielded pairs, overall shield</t>
        </is>
      </c>
      <c r="K499" s="9" t="inlineStr">
        <is>
          <t>PLTC|12 pr|18</t>
        </is>
      </c>
      <c r="L499" s="9" t="inlineStr">
        <is>
          <t>12 pr</t>
        </is>
      </c>
      <c r="M499" s="9" t="inlineStr">
        <is>
          <t>18</t>
        </is>
      </c>
      <c r="N499" s="9" t="n">
        <v>1</v>
      </c>
      <c r="O499" s="9" t="n">
        <v>1</v>
      </c>
      <c r="P499" s="9" t="n"/>
      <c r="Q499" s="9" t="n"/>
      <c r="R499" s="9" t="n"/>
      <c r="S499" s="9" t="inlineStr">
        <is>
          <t>Tray</t>
        </is>
      </c>
      <c r="T499" s="10" t="n">
        <v>1351</v>
      </c>
      <c r="U499" s="10" t="n">
        <v>80</v>
      </c>
      <c r="V499" s="10">
        <f>ROUNDUP((T499+U499+2*'Read Me'!$B$13)*(1+'Read Me'!$B$12),-1)</f>
        <v/>
      </c>
      <c r="W499" s="10">
        <f>V499*N499*O499</f>
        <v/>
      </c>
      <c r="X499" s="9">
        <f>IF(LEFT(I499,2)="MV",2*N499*IF(L499="1/C",O499,1),0)</f>
        <v/>
      </c>
      <c r="Y499" s="9">
        <f>IF(OR(LEFT(K499,4)="LVAX",LEFT(K499,6)="MV15AX",LEFT(K499,4)="CTAX",LEFT(K499,2)="W|"),2*N499*O499,0)</f>
        <v/>
      </c>
      <c r="Z499" s="9" t="inlineStr"/>
    </row>
    <row r="500">
      <c r="A500" s="9" t="inlineStr">
        <is>
          <t>A-I-0037</t>
        </is>
      </c>
      <c r="B500" s="9" t="inlineStr">
        <is>
          <t>A</t>
        </is>
      </c>
      <c r="C500" s="9" t="inlineStr">
        <is>
          <t>Power block</t>
        </is>
      </c>
      <c r="D500" s="9" t="inlineStr">
        <is>
          <t>Instrumentation</t>
        </is>
      </c>
      <c r="E500" s="9" t="inlineStr">
        <is>
          <t>R2C</t>
        </is>
      </c>
      <c r="F500" s="9" t="inlineStr">
        <is>
          <t>R2C: unit / HRSG electrical e-house (32 x 40 ft)</t>
        </is>
      </c>
      <c r="G500" s="9" t="inlineStr">
        <is>
          <t>ET-3</t>
        </is>
      </c>
      <c r="H500" s="9" t="inlineStr">
        <is>
          <t>ET-3: excitation transformer (dry type, GTG-3 terminals)</t>
        </is>
      </c>
      <c r="I500" s="9" t="inlineStr">
        <is>
          <t>Instrumentation</t>
        </is>
      </c>
      <c r="J500" s="9" t="inlineStr">
        <is>
          <t>Instrumentation PLTC / TC-ER 300 V, #18 twisted shielded pairs, overall shield</t>
        </is>
      </c>
      <c r="K500" s="9" t="inlineStr">
        <is>
          <t>PLTC|12 pr|18</t>
        </is>
      </c>
      <c r="L500" s="9" t="inlineStr">
        <is>
          <t>12 pr</t>
        </is>
      </c>
      <c r="M500" s="9" t="inlineStr">
        <is>
          <t>18</t>
        </is>
      </c>
      <c r="N500" s="9" t="n">
        <v>1</v>
      </c>
      <c r="O500" s="9" t="n">
        <v>1</v>
      </c>
      <c r="P500" s="9" t="n"/>
      <c r="Q500" s="9" t="n"/>
      <c r="R500" s="9" t="n"/>
      <c r="S500" s="9" t="inlineStr">
        <is>
          <t>Tray</t>
        </is>
      </c>
      <c r="T500" s="10" t="n">
        <v>1351</v>
      </c>
      <c r="U500" s="10" t="n">
        <v>80</v>
      </c>
      <c r="V500" s="10">
        <f>ROUNDUP((T500+U500+2*'Read Me'!$B$13)*(1+'Read Me'!$B$12),-1)</f>
        <v/>
      </c>
      <c r="W500" s="10">
        <f>V500*N500*O500</f>
        <v/>
      </c>
      <c r="X500" s="9">
        <f>IF(LEFT(I500,2)="MV",2*N500*IF(L500="1/C",O500,1),0)</f>
        <v/>
      </c>
      <c r="Y500" s="9">
        <f>IF(OR(LEFT(K500,4)="LVAX",LEFT(K500,6)="MV15AX",LEFT(K500,4)="CTAX",LEFT(K500,2)="W|"),2*N500*O500,0)</f>
        <v/>
      </c>
      <c r="Z500" s="9" t="inlineStr"/>
    </row>
    <row r="501">
      <c r="A501" s="9" t="inlineStr">
        <is>
          <t>A-I-0038</t>
        </is>
      </c>
      <c r="B501" s="9" t="inlineStr">
        <is>
          <t>A</t>
        </is>
      </c>
      <c r="C501" s="9" t="inlineStr">
        <is>
          <t>Power block</t>
        </is>
      </c>
      <c r="D501" s="9" t="inlineStr">
        <is>
          <t>Instrumentation</t>
        </is>
      </c>
      <c r="E501" s="9" t="inlineStr">
        <is>
          <t>R2C</t>
        </is>
      </c>
      <c r="F501" s="9" t="inlineStr">
        <is>
          <t>R2C: unit / HRSG electrical e-house (32 x 40 ft)</t>
        </is>
      </c>
      <c r="G501" s="9" t="inlineStr">
        <is>
          <t>ET-3</t>
        </is>
      </c>
      <c r="H501" s="9" t="inlineStr">
        <is>
          <t>ET-3: excitation transformer (dry type, GTG-3 terminals)</t>
        </is>
      </c>
      <c r="I501" s="9" t="inlineStr">
        <is>
          <t>Instrumentation</t>
        </is>
      </c>
      <c r="J501" s="9" t="inlineStr">
        <is>
          <t>Instrumentation PLTC / TC-ER 300 V, #18 twisted shielded pairs, overall shield</t>
        </is>
      </c>
      <c r="K501" s="9" t="inlineStr">
        <is>
          <t>PLTC|12 pr|18</t>
        </is>
      </c>
      <c r="L501" s="9" t="inlineStr">
        <is>
          <t>12 pr</t>
        </is>
      </c>
      <c r="M501" s="9" t="inlineStr">
        <is>
          <t>18</t>
        </is>
      </c>
      <c r="N501" s="9" t="n">
        <v>1</v>
      </c>
      <c r="O501" s="9" t="n">
        <v>1</v>
      </c>
      <c r="P501" s="9" t="n"/>
      <c r="Q501" s="9" t="n"/>
      <c r="R501" s="9" t="n"/>
      <c r="S501" s="9" t="inlineStr">
        <is>
          <t>Tray</t>
        </is>
      </c>
      <c r="T501" s="10" t="n">
        <v>1351</v>
      </c>
      <c r="U501" s="10" t="n">
        <v>80</v>
      </c>
      <c r="V501" s="10">
        <f>ROUNDUP((T501+U501+2*'Read Me'!$B$13)*(1+'Read Me'!$B$12),-1)</f>
        <v/>
      </c>
      <c r="W501" s="10">
        <f>V501*N501*O501</f>
        <v/>
      </c>
      <c r="X501" s="9">
        <f>IF(LEFT(I501,2)="MV",2*N501*IF(L501="1/C",O501,1),0)</f>
        <v/>
      </c>
      <c r="Y501" s="9">
        <f>IF(OR(LEFT(K501,4)="LVAX",LEFT(K501,6)="MV15AX",LEFT(K501,4)="CTAX",LEFT(K501,2)="W|"),2*N501*O501,0)</f>
        <v/>
      </c>
      <c r="Z501" s="9" t="inlineStr"/>
    </row>
    <row r="502">
      <c r="A502" s="9" t="inlineStr">
        <is>
          <t>A-I-0039</t>
        </is>
      </c>
      <c r="B502" s="9" t="inlineStr">
        <is>
          <t>A</t>
        </is>
      </c>
      <c r="C502" s="9" t="inlineStr">
        <is>
          <t>Power block</t>
        </is>
      </c>
      <c r="D502" s="9" t="inlineStr">
        <is>
          <t>Instrumentation</t>
        </is>
      </c>
      <c r="E502" s="9" t="inlineStr">
        <is>
          <t>R2C</t>
        </is>
      </c>
      <c r="F502" s="9" t="inlineStr">
        <is>
          <t>R2C: unit / HRSG electrical e-house (32 x 40 ft)</t>
        </is>
      </c>
      <c r="G502" s="9" t="inlineStr">
        <is>
          <t>ET-3</t>
        </is>
      </c>
      <c r="H502" s="9" t="inlineStr">
        <is>
          <t>ET-3: excitation transformer (dry type, GTG-3 terminals)</t>
        </is>
      </c>
      <c r="I502" s="9" t="inlineStr">
        <is>
          <t>Instrumentation</t>
        </is>
      </c>
      <c r="J502" s="9" t="inlineStr">
        <is>
          <t>Instrumentation PLTC / TC-ER 300 V, #18 twisted shielded pairs, overall shield</t>
        </is>
      </c>
      <c r="K502" s="9" t="inlineStr">
        <is>
          <t>PLTC|12 pr|18</t>
        </is>
      </c>
      <c r="L502" s="9" t="inlineStr">
        <is>
          <t>12 pr</t>
        </is>
      </c>
      <c r="M502" s="9" t="inlineStr">
        <is>
          <t>18</t>
        </is>
      </c>
      <c r="N502" s="9" t="n">
        <v>1</v>
      </c>
      <c r="O502" s="9" t="n">
        <v>1</v>
      </c>
      <c r="P502" s="9" t="n"/>
      <c r="Q502" s="9" t="n"/>
      <c r="R502" s="9" t="n"/>
      <c r="S502" s="9" t="inlineStr">
        <is>
          <t>Tray</t>
        </is>
      </c>
      <c r="T502" s="10" t="n">
        <v>1351</v>
      </c>
      <c r="U502" s="10" t="n">
        <v>80</v>
      </c>
      <c r="V502" s="10">
        <f>ROUNDUP((T502+U502+2*'Read Me'!$B$13)*(1+'Read Me'!$B$12),-1)</f>
        <v/>
      </c>
      <c r="W502" s="10">
        <f>V502*N502*O502</f>
        <v/>
      </c>
      <c r="X502" s="9">
        <f>IF(LEFT(I502,2)="MV",2*N502*IF(L502="1/C",O502,1),0)</f>
        <v/>
      </c>
      <c r="Y502" s="9">
        <f>IF(OR(LEFT(K502,4)="LVAX",LEFT(K502,6)="MV15AX",LEFT(K502,4)="CTAX",LEFT(K502,2)="W|"),2*N502*O502,0)</f>
        <v/>
      </c>
      <c r="Z502" s="9" t="inlineStr"/>
    </row>
    <row r="503">
      <c r="A503" s="9" t="inlineStr">
        <is>
          <t>A-I-0040</t>
        </is>
      </c>
      <c r="B503" s="9" t="inlineStr">
        <is>
          <t>A</t>
        </is>
      </c>
      <c r="C503" s="9" t="inlineStr">
        <is>
          <t>Power block</t>
        </is>
      </c>
      <c r="D503" s="9" t="inlineStr">
        <is>
          <t>Instrumentation</t>
        </is>
      </c>
      <c r="E503" s="9" t="inlineStr">
        <is>
          <t>R2C</t>
        </is>
      </c>
      <c r="F503" s="9" t="inlineStr">
        <is>
          <t>R2C: unit / HRSG electrical e-house (32 x 40 ft)</t>
        </is>
      </c>
      <c r="G503" s="9" t="inlineStr">
        <is>
          <t>ET-3</t>
        </is>
      </c>
      <c r="H503" s="9" t="inlineStr">
        <is>
          <t>ET-3: excitation transformer (dry type, GTG-3 terminals)</t>
        </is>
      </c>
      <c r="I503" s="9" t="inlineStr">
        <is>
          <t>Instrumentation</t>
        </is>
      </c>
      <c r="J503" s="9" t="inlineStr">
        <is>
          <t>Instrumentation PLTC / TC-ER 300 V, #18 twisted shielded pairs, overall shield</t>
        </is>
      </c>
      <c r="K503" s="9" t="inlineStr">
        <is>
          <t>PLTC|12 pr|18</t>
        </is>
      </c>
      <c r="L503" s="9" t="inlineStr">
        <is>
          <t>12 pr</t>
        </is>
      </c>
      <c r="M503" s="9" t="inlineStr">
        <is>
          <t>18</t>
        </is>
      </c>
      <c r="N503" s="9" t="n">
        <v>1</v>
      </c>
      <c r="O503" s="9" t="n">
        <v>1</v>
      </c>
      <c r="P503" s="9" t="n"/>
      <c r="Q503" s="9" t="n"/>
      <c r="R503" s="9" t="n"/>
      <c r="S503" s="9" t="inlineStr">
        <is>
          <t>Tray</t>
        </is>
      </c>
      <c r="T503" s="10" t="n">
        <v>1351</v>
      </c>
      <c r="U503" s="10" t="n">
        <v>80</v>
      </c>
      <c r="V503" s="10">
        <f>ROUNDUP((T503+U503+2*'Read Me'!$B$13)*(1+'Read Me'!$B$12),-1)</f>
        <v/>
      </c>
      <c r="W503" s="10">
        <f>V503*N503*O503</f>
        <v/>
      </c>
      <c r="X503" s="9">
        <f>IF(LEFT(I503,2)="MV",2*N503*IF(L503="1/C",O503,1),0)</f>
        <v/>
      </c>
      <c r="Y503" s="9">
        <f>IF(OR(LEFT(K503,4)="LVAX",LEFT(K503,6)="MV15AX",LEFT(K503,4)="CTAX",LEFT(K503,2)="W|"),2*N503*O503,0)</f>
        <v/>
      </c>
      <c r="Z503" s="9" t="inlineStr"/>
    </row>
    <row r="504">
      <c r="A504" s="9" t="inlineStr">
        <is>
          <t>A-I-0041</t>
        </is>
      </c>
      <c r="B504" s="9" t="inlineStr">
        <is>
          <t>A</t>
        </is>
      </c>
      <c r="C504" s="9" t="inlineStr">
        <is>
          <t>Power block</t>
        </is>
      </c>
      <c r="D504" s="9" t="inlineStr">
        <is>
          <t>Instrumentation</t>
        </is>
      </c>
      <c r="E504" s="9" t="inlineStr">
        <is>
          <t>R2A</t>
        </is>
      </c>
      <c r="F504" s="9" t="inlineStr">
        <is>
          <t>R2A: unit / HRSG electrical e-house (32 x 40 ft)</t>
        </is>
      </c>
      <c r="G504" s="9" t="inlineStr">
        <is>
          <t>FH-1</t>
        </is>
      </c>
      <c r="H504" s="9" t="inlineStr">
        <is>
          <t>FH-1: GT inlet filter house on its own frame</t>
        </is>
      </c>
      <c r="I504" s="9" t="inlineStr">
        <is>
          <t>Instrumentation</t>
        </is>
      </c>
      <c r="J504" s="9" t="inlineStr">
        <is>
          <t>Instrumentation PLTC / TC-ER 300 V, #18 twisted shielded pairs, overall shield</t>
        </is>
      </c>
      <c r="K504" s="9" t="inlineStr">
        <is>
          <t>PLTC|4 pr|18</t>
        </is>
      </c>
      <c r="L504" s="9" t="inlineStr">
        <is>
          <t>4 pr</t>
        </is>
      </c>
      <c r="M504" s="9" t="inlineStr">
        <is>
          <t>18</t>
        </is>
      </c>
      <c r="N504" s="9" t="n">
        <v>1</v>
      </c>
      <c r="O504" s="9" t="n">
        <v>1</v>
      </c>
      <c r="P504" s="9" t="n"/>
      <c r="Q504" s="9" t="n"/>
      <c r="R504" s="9" t="n"/>
      <c r="S504" s="9" t="inlineStr">
        <is>
          <t>Tray</t>
        </is>
      </c>
      <c r="T504" s="10" t="n">
        <v>407</v>
      </c>
      <c r="U504" s="10" t="n">
        <v>62</v>
      </c>
      <c r="V504" s="10">
        <f>ROUNDUP((T504+U504+2*'Read Me'!$B$13)*(1+'Read Me'!$B$12),-1)</f>
        <v/>
      </c>
      <c r="W504" s="10">
        <f>V504*N504*O504</f>
        <v/>
      </c>
      <c r="X504" s="9">
        <f>IF(LEFT(I504,2)="MV",2*N504*IF(L504="1/C",O504,1),0)</f>
        <v/>
      </c>
      <c r="Y504" s="9">
        <f>IF(OR(LEFT(K504,4)="LVAX",LEFT(K504,6)="MV15AX",LEFT(K504,4)="CTAX",LEFT(K504,2)="W|"),2*N504*O504,0)</f>
        <v/>
      </c>
      <c r="Z504" s="9" t="inlineStr"/>
    </row>
    <row r="505">
      <c r="A505" s="9" t="inlineStr">
        <is>
          <t>A-I-0042</t>
        </is>
      </c>
      <c r="B505" s="9" t="inlineStr">
        <is>
          <t>A</t>
        </is>
      </c>
      <c r="C505" s="9" t="inlineStr">
        <is>
          <t>Power block</t>
        </is>
      </c>
      <c r="D505" s="9" t="inlineStr">
        <is>
          <t>Instrumentation</t>
        </is>
      </c>
      <c r="E505" s="9" t="inlineStr">
        <is>
          <t>R2B</t>
        </is>
      </c>
      <c r="F505" s="9" t="inlineStr">
        <is>
          <t>R2B: unit / HRSG electrical e-house (32 x 40 ft)</t>
        </is>
      </c>
      <c r="G505" s="9" t="inlineStr">
        <is>
          <t>FH-2</t>
        </is>
      </c>
      <c r="H505" s="9" t="inlineStr">
        <is>
          <t>FH-2: GT inlet filter house on its own frame</t>
        </is>
      </c>
      <c r="I505" s="9" t="inlineStr">
        <is>
          <t>Instrumentation</t>
        </is>
      </c>
      <c r="J505" s="9" t="inlineStr">
        <is>
          <t>Instrumentation PLTC / TC-ER 300 V, #18 twisted shielded pairs, overall shield</t>
        </is>
      </c>
      <c r="K505" s="9" t="inlineStr">
        <is>
          <t>PLTC|4 pr|18</t>
        </is>
      </c>
      <c r="L505" s="9" t="inlineStr">
        <is>
          <t>4 pr</t>
        </is>
      </c>
      <c r="M505" s="9" t="inlineStr">
        <is>
          <t>18</t>
        </is>
      </c>
      <c r="N505" s="9" t="n">
        <v>1</v>
      </c>
      <c r="O505" s="9" t="n">
        <v>1</v>
      </c>
      <c r="P505" s="9" t="n"/>
      <c r="Q505" s="9" t="n"/>
      <c r="R505" s="9" t="n"/>
      <c r="S505" s="9" t="inlineStr">
        <is>
          <t>Tray</t>
        </is>
      </c>
      <c r="T505" s="10" t="n">
        <v>1146</v>
      </c>
      <c r="U505" s="10" t="n">
        <v>64</v>
      </c>
      <c r="V505" s="10">
        <f>ROUNDUP((T505+U505+2*'Read Me'!$B$13)*(1+'Read Me'!$B$12),-1)</f>
        <v/>
      </c>
      <c r="W505" s="10">
        <f>V505*N505*O505</f>
        <v/>
      </c>
      <c r="X505" s="9">
        <f>IF(LEFT(I505,2)="MV",2*N505*IF(L505="1/C",O505,1),0)</f>
        <v/>
      </c>
      <c r="Y505" s="9">
        <f>IF(OR(LEFT(K505,4)="LVAX",LEFT(K505,6)="MV15AX",LEFT(K505,4)="CTAX",LEFT(K505,2)="W|"),2*N505*O505,0)</f>
        <v/>
      </c>
      <c r="Z505" s="9" t="inlineStr"/>
    </row>
    <row r="506">
      <c r="A506" s="9" t="inlineStr">
        <is>
          <t>A-I-0043</t>
        </is>
      </c>
      <c r="B506" s="9" t="inlineStr">
        <is>
          <t>A</t>
        </is>
      </c>
      <c r="C506" s="9" t="inlineStr">
        <is>
          <t>Power block</t>
        </is>
      </c>
      <c r="D506" s="9" t="inlineStr">
        <is>
          <t>Instrumentation</t>
        </is>
      </c>
      <c r="E506" s="9" t="inlineStr">
        <is>
          <t>R3</t>
        </is>
      </c>
      <c r="F506" s="9" t="inlineStr">
        <is>
          <t>R3: ST auxiliary electrical e-house (40 x 65 ft)</t>
        </is>
      </c>
      <c r="G506" s="9" t="inlineStr">
        <is>
          <t>FH-3</t>
        </is>
      </c>
      <c r="H506" s="9" t="inlineStr">
        <is>
          <t>FH-3: GT inlet filter house on its own frame</t>
        </is>
      </c>
      <c r="I506" s="9" t="inlineStr">
        <is>
          <t>Instrumentation</t>
        </is>
      </c>
      <c r="J506" s="9" t="inlineStr">
        <is>
          <t>Instrumentation PLTC / TC-ER 300 V, #18 twisted shielded pairs, overall shield</t>
        </is>
      </c>
      <c r="K506" s="9" t="inlineStr">
        <is>
          <t>PLTC|4 pr|18</t>
        </is>
      </c>
      <c r="L506" s="9" t="inlineStr">
        <is>
          <t>4 pr</t>
        </is>
      </c>
      <c r="M506" s="9" t="inlineStr">
        <is>
          <t>18</t>
        </is>
      </c>
      <c r="N506" s="9" t="n">
        <v>1</v>
      </c>
      <c r="O506" s="9" t="n">
        <v>1</v>
      </c>
      <c r="P506" s="9" t="n"/>
      <c r="Q506" s="9" t="n"/>
      <c r="R506" s="9" t="n"/>
      <c r="S506" s="9" t="inlineStr">
        <is>
          <t>Tray</t>
        </is>
      </c>
      <c r="T506" s="10" t="n">
        <v>580</v>
      </c>
      <c r="U506" s="10" t="n">
        <v>66</v>
      </c>
      <c r="V506" s="10">
        <f>ROUNDUP((T506+U506+2*'Read Me'!$B$13)*(1+'Read Me'!$B$12),-1)</f>
        <v/>
      </c>
      <c r="W506" s="10">
        <f>V506*N506*O506</f>
        <v/>
      </c>
      <c r="X506" s="9">
        <f>IF(LEFT(I506,2)="MV",2*N506*IF(L506="1/C",O506,1),0)</f>
        <v/>
      </c>
      <c r="Y506" s="9">
        <f>IF(OR(LEFT(K506,4)="LVAX",LEFT(K506,6)="MV15AX",LEFT(K506,4)="CTAX",LEFT(K506,2)="W|"),2*N506*O506,0)</f>
        <v/>
      </c>
      <c r="Z506" s="9" t="inlineStr"/>
    </row>
    <row r="507">
      <c r="A507" s="9" t="inlineStr">
        <is>
          <t>A-I-0044</t>
        </is>
      </c>
      <c r="B507" s="9" t="inlineStr">
        <is>
          <t>A</t>
        </is>
      </c>
      <c r="C507" s="9" t="inlineStr">
        <is>
          <t>Power block</t>
        </is>
      </c>
      <c r="D507" s="9" t="inlineStr">
        <is>
          <t>Instrumentation</t>
        </is>
      </c>
      <c r="E507" s="9" t="inlineStr">
        <is>
          <t>R2B</t>
        </is>
      </c>
      <c r="F507" s="9" t="inlineStr">
        <is>
          <t>R2B: unit / HRSG electrical e-house (32 x 40 ft)</t>
        </is>
      </c>
      <c r="G507" s="9" t="inlineStr">
        <is>
          <t>FS-GT1</t>
        </is>
      </c>
      <c r="H507" s="9" t="inlineStr">
        <is>
          <t>FS-GT1: CO2 fire-suppression skid</t>
        </is>
      </c>
      <c r="I507" s="9" t="inlineStr">
        <is>
          <t>Instrumentation</t>
        </is>
      </c>
      <c r="J507" s="9" t="inlineStr">
        <is>
          <t>Instrumentation PLTC / TC-ER 300 V, #18 twisted shielded pairs, overall shield</t>
        </is>
      </c>
      <c r="K507" s="9" t="inlineStr">
        <is>
          <t>PLTC|4 pr|18</t>
        </is>
      </c>
      <c r="L507" s="9" t="inlineStr">
        <is>
          <t>4 pr</t>
        </is>
      </c>
      <c r="M507" s="9" t="inlineStr">
        <is>
          <t>18</t>
        </is>
      </c>
      <c r="N507" s="9" t="n">
        <v>1</v>
      </c>
      <c r="O507" s="9" t="n">
        <v>1</v>
      </c>
      <c r="P507" s="9" t="n"/>
      <c r="Q507" s="9" t="n"/>
      <c r="R507" s="9" t="n"/>
      <c r="S507" s="9" t="inlineStr">
        <is>
          <t>Tray</t>
        </is>
      </c>
      <c r="T507" s="10" t="n">
        <v>789</v>
      </c>
      <c r="U507" s="10" t="n">
        <v>106</v>
      </c>
      <c r="V507" s="10">
        <f>ROUNDUP((T507+U507+2*'Read Me'!$B$13)*(1+'Read Me'!$B$12),-1)</f>
        <v/>
      </c>
      <c r="W507" s="10">
        <f>V507*N507*O507</f>
        <v/>
      </c>
      <c r="X507" s="9">
        <f>IF(LEFT(I507,2)="MV",2*N507*IF(L507="1/C",O507,1),0)</f>
        <v/>
      </c>
      <c r="Y507" s="9">
        <f>IF(OR(LEFT(K507,4)="LVAX",LEFT(K507,6)="MV15AX",LEFT(K507,4)="CTAX",LEFT(K507,2)="W|"),2*N507*O507,0)</f>
        <v/>
      </c>
      <c r="Z507" s="9" t="inlineStr"/>
    </row>
    <row r="508">
      <c r="A508" s="9" t="inlineStr">
        <is>
          <t>A-I-0045</t>
        </is>
      </c>
      <c r="B508" s="9" t="inlineStr">
        <is>
          <t>A</t>
        </is>
      </c>
      <c r="C508" s="9" t="inlineStr">
        <is>
          <t>Power block</t>
        </is>
      </c>
      <c r="D508" s="9" t="inlineStr">
        <is>
          <t>Instrumentation</t>
        </is>
      </c>
      <c r="E508" s="9" t="inlineStr">
        <is>
          <t>R2B</t>
        </is>
      </c>
      <c r="F508" s="9" t="inlineStr">
        <is>
          <t>R2B: unit / HRSG electrical e-house (32 x 40 ft)</t>
        </is>
      </c>
      <c r="G508" s="9" t="inlineStr">
        <is>
          <t>FS-GT1</t>
        </is>
      </c>
      <c r="H508" s="9" t="inlineStr">
        <is>
          <t>FS-GT1: CO2 fire-suppression skid</t>
        </is>
      </c>
      <c r="I508" s="9" t="inlineStr">
        <is>
          <t>Instrumentation</t>
        </is>
      </c>
      <c r="J508" s="9" t="inlineStr">
        <is>
          <t>Instrumentation PLTC / TC-ER 300 V, #18 twisted shielded pairs, overall shield</t>
        </is>
      </c>
      <c r="K508" s="9" t="inlineStr">
        <is>
          <t>PLTC|4 pr|18</t>
        </is>
      </c>
      <c r="L508" s="9" t="inlineStr">
        <is>
          <t>4 pr</t>
        </is>
      </c>
      <c r="M508" s="9" t="inlineStr">
        <is>
          <t>18</t>
        </is>
      </c>
      <c r="N508" s="9" t="n">
        <v>1</v>
      </c>
      <c r="O508" s="9" t="n">
        <v>1</v>
      </c>
      <c r="P508" s="9" t="n"/>
      <c r="Q508" s="9" t="n"/>
      <c r="R508" s="9" t="n"/>
      <c r="S508" s="9" t="inlineStr">
        <is>
          <t>Tray</t>
        </is>
      </c>
      <c r="T508" s="10" t="n">
        <v>789</v>
      </c>
      <c r="U508" s="10" t="n">
        <v>106</v>
      </c>
      <c r="V508" s="10">
        <f>ROUNDUP((T508+U508+2*'Read Me'!$B$13)*(1+'Read Me'!$B$12),-1)</f>
        <v/>
      </c>
      <c r="W508" s="10">
        <f>V508*N508*O508</f>
        <v/>
      </c>
      <c r="X508" s="9">
        <f>IF(LEFT(I508,2)="MV",2*N508*IF(L508="1/C",O508,1),0)</f>
        <v/>
      </c>
      <c r="Y508" s="9">
        <f>IF(OR(LEFT(K508,4)="LVAX",LEFT(K508,6)="MV15AX",LEFT(K508,4)="CTAX",LEFT(K508,2)="W|"),2*N508*O508,0)</f>
        <v/>
      </c>
      <c r="Z508" s="9" t="inlineStr"/>
    </row>
    <row r="509">
      <c r="A509" s="9" t="inlineStr">
        <is>
          <t>A-I-0046</t>
        </is>
      </c>
      <c r="B509" s="9" t="inlineStr">
        <is>
          <t>A</t>
        </is>
      </c>
      <c r="C509" s="9" t="inlineStr">
        <is>
          <t>Power block</t>
        </is>
      </c>
      <c r="D509" s="9" t="inlineStr">
        <is>
          <t>Instrumentation</t>
        </is>
      </c>
      <c r="E509" s="9" t="inlineStr">
        <is>
          <t>R2B</t>
        </is>
      </c>
      <c r="F509" s="9" t="inlineStr">
        <is>
          <t>R2B: unit / HRSG electrical e-house (32 x 40 ft)</t>
        </is>
      </c>
      <c r="G509" s="9" t="inlineStr">
        <is>
          <t>FS-GT1</t>
        </is>
      </c>
      <c r="H509" s="9" t="inlineStr">
        <is>
          <t>FS-GT1: CO2 fire-suppression skid</t>
        </is>
      </c>
      <c r="I509" s="9" t="inlineStr">
        <is>
          <t>Instrumentation</t>
        </is>
      </c>
      <c r="J509" s="9" t="inlineStr">
        <is>
          <t>Instrumentation PLTC / TC-ER 300 V, #18 twisted shielded pairs, overall shield</t>
        </is>
      </c>
      <c r="K509" s="9" t="inlineStr">
        <is>
          <t>PLTC|12 pr|18</t>
        </is>
      </c>
      <c r="L509" s="9" t="inlineStr">
        <is>
          <t>12 pr</t>
        </is>
      </c>
      <c r="M509" s="9" t="inlineStr">
        <is>
          <t>18</t>
        </is>
      </c>
      <c r="N509" s="9" t="n">
        <v>1</v>
      </c>
      <c r="O509" s="9" t="n">
        <v>1</v>
      </c>
      <c r="P509" s="9" t="n"/>
      <c r="Q509" s="9" t="n"/>
      <c r="R509" s="9" t="n"/>
      <c r="S509" s="9" t="inlineStr">
        <is>
          <t>Tray</t>
        </is>
      </c>
      <c r="T509" s="10" t="n">
        <v>789</v>
      </c>
      <c r="U509" s="10" t="n">
        <v>106</v>
      </c>
      <c r="V509" s="10">
        <f>ROUNDUP((T509+U509+2*'Read Me'!$B$13)*(1+'Read Me'!$B$12),-1)</f>
        <v/>
      </c>
      <c r="W509" s="10">
        <f>V509*N509*O509</f>
        <v/>
      </c>
      <c r="X509" s="9">
        <f>IF(LEFT(I509,2)="MV",2*N509*IF(L509="1/C",O509,1),0)</f>
        <v/>
      </c>
      <c r="Y509" s="9">
        <f>IF(OR(LEFT(K509,4)="LVAX",LEFT(K509,6)="MV15AX",LEFT(K509,4)="CTAX",LEFT(K509,2)="W|"),2*N509*O509,0)</f>
        <v/>
      </c>
      <c r="Z509" s="9" t="inlineStr"/>
    </row>
    <row r="510">
      <c r="A510" s="9" t="inlineStr">
        <is>
          <t>A-I-0047</t>
        </is>
      </c>
      <c r="B510" s="9" t="inlineStr">
        <is>
          <t>A</t>
        </is>
      </c>
      <c r="C510" s="9" t="inlineStr">
        <is>
          <t>Power block</t>
        </is>
      </c>
      <c r="D510" s="9" t="inlineStr">
        <is>
          <t>Instrumentation</t>
        </is>
      </c>
      <c r="E510" s="9" t="inlineStr">
        <is>
          <t>R2B</t>
        </is>
      </c>
      <c r="F510" s="9" t="inlineStr">
        <is>
          <t>R2B: unit / HRSG electrical e-house (32 x 40 ft)</t>
        </is>
      </c>
      <c r="G510" s="9" t="inlineStr">
        <is>
          <t>FS-GT1</t>
        </is>
      </c>
      <c r="H510" s="9" t="inlineStr">
        <is>
          <t>FS-GT1: CO2 fire-suppression skid</t>
        </is>
      </c>
      <c r="I510" s="9" t="inlineStr">
        <is>
          <t>Instrumentation</t>
        </is>
      </c>
      <c r="J510" s="9" t="inlineStr">
        <is>
          <t>Instrumentation PLTC / TC-ER 300 V, #18 twisted shielded pairs, overall shield</t>
        </is>
      </c>
      <c r="K510" s="9" t="inlineStr">
        <is>
          <t>PLTC|12 pr|18</t>
        </is>
      </c>
      <c r="L510" s="9" t="inlineStr">
        <is>
          <t>12 pr</t>
        </is>
      </c>
      <c r="M510" s="9" t="inlineStr">
        <is>
          <t>18</t>
        </is>
      </c>
      <c r="N510" s="9" t="n">
        <v>1</v>
      </c>
      <c r="O510" s="9" t="n">
        <v>1</v>
      </c>
      <c r="P510" s="9" t="n"/>
      <c r="Q510" s="9" t="n"/>
      <c r="R510" s="9" t="n"/>
      <c r="S510" s="9" t="inlineStr">
        <is>
          <t>Tray</t>
        </is>
      </c>
      <c r="T510" s="10" t="n">
        <v>789</v>
      </c>
      <c r="U510" s="10" t="n">
        <v>106</v>
      </c>
      <c r="V510" s="10">
        <f>ROUNDUP((T510+U510+2*'Read Me'!$B$13)*(1+'Read Me'!$B$12),-1)</f>
        <v/>
      </c>
      <c r="W510" s="10">
        <f>V510*N510*O510</f>
        <v/>
      </c>
      <c r="X510" s="9">
        <f>IF(LEFT(I510,2)="MV",2*N510*IF(L510="1/C",O510,1),0)</f>
        <v/>
      </c>
      <c r="Y510" s="9">
        <f>IF(OR(LEFT(K510,4)="LVAX",LEFT(K510,6)="MV15AX",LEFT(K510,4)="CTAX",LEFT(K510,2)="W|"),2*N510*O510,0)</f>
        <v/>
      </c>
      <c r="Z510" s="9" t="inlineStr"/>
    </row>
    <row r="511">
      <c r="A511" s="9" t="inlineStr">
        <is>
          <t>A-I-0048</t>
        </is>
      </c>
      <c r="B511" s="9" t="inlineStr">
        <is>
          <t>A</t>
        </is>
      </c>
      <c r="C511" s="9" t="inlineStr">
        <is>
          <t>Power block</t>
        </is>
      </c>
      <c r="D511" s="9" t="inlineStr">
        <is>
          <t>Instrumentation</t>
        </is>
      </c>
      <c r="E511" s="9" t="inlineStr">
        <is>
          <t>R2B</t>
        </is>
      </c>
      <c r="F511" s="9" t="inlineStr">
        <is>
          <t>R2B: unit / HRSG electrical e-house (32 x 40 ft)</t>
        </is>
      </c>
      <c r="G511" s="9" t="inlineStr">
        <is>
          <t>FS-GT1</t>
        </is>
      </c>
      <c r="H511" s="9" t="inlineStr">
        <is>
          <t>FS-GT1: CO2 fire-suppression skid</t>
        </is>
      </c>
      <c r="I511" s="9" t="inlineStr">
        <is>
          <t>Instrumentation</t>
        </is>
      </c>
      <c r="J511" s="9" t="inlineStr">
        <is>
          <t>Instrumentation PLTC / TC-ER 300 V, #18 twisted shielded pairs, overall shield</t>
        </is>
      </c>
      <c r="K511" s="9" t="inlineStr">
        <is>
          <t>PLTC|12 pr|18</t>
        </is>
      </c>
      <c r="L511" s="9" t="inlineStr">
        <is>
          <t>12 pr</t>
        </is>
      </c>
      <c r="M511" s="9" t="inlineStr">
        <is>
          <t>18</t>
        </is>
      </c>
      <c r="N511" s="9" t="n">
        <v>1</v>
      </c>
      <c r="O511" s="9" t="n">
        <v>1</v>
      </c>
      <c r="P511" s="9" t="n"/>
      <c r="Q511" s="9" t="n"/>
      <c r="R511" s="9" t="n"/>
      <c r="S511" s="9" t="inlineStr">
        <is>
          <t>Tray</t>
        </is>
      </c>
      <c r="T511" s="10" t="n">
        <v>789</v>
      </c>
      <c r="U511" s="10" t="n">
        <v>106</v>
      </c>
      <c r="V511" s="10">
        <f>ROUNDUP((T511+U511+2*'Read Me'!$B$13)*(1+'Read Me'!$B$12),-1)</f>
        <v/>
      </c>
      <c r="W511" s="10">
        <f>V511*N511*O511</f>
        <v/>
      </c>
      <c r="X511" s="9">
        <f>IF(LEFT(I511,2)="MV",2*N511*IF(L511="1/C",O511,1),0)</f>
        <v/>
      </c>
      <c r="Y511" s="9">
        <f>IF(OR(LEFT(K511,4)="LVAX",LEFT(K511,6)="MV15AX",LEFT(K511,4)="CTAX",LEFT(K511,2)="W|"),2*N511*O511,0)</f>
        <v/>
      </c>
      <c r="Z511" s="9" t="inlineStr"/>
    </row>
    <row r="512">
      <c r="A512" s="9" t="inlineStr">
        <is>
          <t>A-I-0049</t>
        </is>
      </c>
      <c r="B512" s="9" t="inlineStr">
        <is>
          <t>A</t>
        </is>
      </c>
      <c r="C512" s="9" t="inlineStr">
        <is>
          <t>Power block</t>
        </is>
      </c>
      <c r="D512" s="9" t="inlineStr">
        <is>
          <t>Instrumentation</t>
        </is>
      </c>
      <c r="E512" s="9" t="inlineStr">
        <is>
          <t>R2B</t>
        </is>
      </c>
      <c r="F512" s="9" t="inlineStr">
        <is>
          <t>R2B: unit / HRSG electrical e-house (32 x 40 ft)</t>
        </is>
      </c>
      <c r="G512" s="9" t="inlineStr">
        <is>
          <t>FS-GT1</t>
        </is>
      </c>
      <c r="H512" s="9" t="inlineStr">
        <is>
          <t>FS-GT1: CO2 fire-suppression skid</t>
        </is>
      </c>
      <c r="I512" s="9" t="inlineStr">
        <is>
          <t>Instrumentation</t>
        </is>
      </c>
      <c r="J512" s="9" t="inlineStr">
        <is>
          <t>Instrumentation PLTC / TC-ER 300 V, #18 twisted shielded pairs, overall shield</t>
        </is>
      </c>
      <c r="K512" s="9" t="inlineStr">
        <is>
          <t>PLTC|12 pr|18</t>
        </is>
      </c>
      <c r="L512" s="9" t="inlineStr">
        <is>
          <t>12 pr</t>
        </is>
      </c>
      <c r="M512" s="9" t="inlineStr">
        <is>
          <t>18</t>
        </is>
      </c>
      <c r="N512" s="9" t="n">
        <v>1</v>
      </c>
      <c r="O512" s="9" t="n">
        <v>1</v>
      </c>
      <c r="P512" s="9" t="n"/>
      <c r="Q512" s="9" t="n"/>
      <c r="R512" s="9" t="n"/>
      <c r="S512" s="9" t="inlineStr">
        <is>
          <t>Tray</t>
        </is>
      </c>
      <c r="T512" s="10" t="n">
        <v>789</v>
      </c>
      <c r="U512" s="10" t="n">
        <v>106</v>
      </c>
      <c r="V512" s="10">
        <f>ROUNDUP((T512+U512+2*'Read Me'!$B$13)*(1+'Read Me'!$B$12),-1)</f>
        <v/>
      </c>
      <c r="W512" s="10">
        <f>V512*N512*O512</f>
        <v/>
      </c>
      <c r="X512" s="9">
        <f>IF(LEFT(I512,2)="MV",2*N512*IF(L512="1/C",O512,1),0)</f>
        <v/>
      </c>
      <c r="Y512" s="9">
        <f>IF(OR(LEFT(K512,4)="LVAX",LEFT(K512,6)="MV15AX",LEFT(K512,4)="CTAX",LEFT(K512,2)="W|"),2*N512*O512,0)</f>
        <v/>
      </c>
      <c r="Z512" s="9" t="inlineStr"/>
    </row>
    <row r="513">
      <c r="A513" s="9" t="inlineStr">
        <is>
          <t>A-I-0050</t>
        </is>
      </c>
      <c r="B513" s="9" t="inlineStr">
        <is>
          <t>A</t>
        </is>
      </c>
      <c r="C513" s="9" t="inlineStr">
        <is>
          <t>Power block</t>
        </is>
      </c>
      <c r="D513" s="9" t="inlineStr">
        <is>
          <t>Instrumentation</t>
        </is>
      </c>
      <c r="E513" s="9" t="inlineStr">
        <is>
          <t>R2B</t>
        </is>
      </c>
      <c r="F513" s="9" t="inlineStr">
        <is>
          <t>R2B: unit / HRSG electrical e-house (32 x 40 ft)</t>
        </is>
      </c>
      <c r="G513" s="9" t="inlineStr">
        <is>
          <t>FS-GT1</t>
        </is>
      </c>
      <c r="H513" s="9" t="inlineStr">
        <is>
          <t>FS-GT1: CO2 fire-suppression skid</t>
        </is>
      </c>
      <c r="I513" s="9" t="inlineStr">
        <is>
          <t>Instrumentation</t>
        </is>
      </c>
      <c r="J513" s="9" t="inlineStr">
        <is>
          <t>Instrumentation PLTC / TC-ER 300 V, #18 twisted shielded pairs, overall shield</t>
        </is>
      </c>
      <c r="K513" s="9" t="inlineStr">
        <is>
          <t>PLTC|12 pr|18</t>
        </is>
      </c>
      <c r="L513" s="9" t="inlineStr">
        <is>
          <t>12 pr</t>
        </is>
      </c>
      <c r="M513" s="9" t="inlineStr">
        <is>
          <t>18</t>
        </is>
      </c>
      <c r="N513" s="9" t="n">
        <v>1</v>
      </c>
      <c r="O513" s="9" t="n">
        <v>1</v>
      </c>
      <c r="P513" s="9" t="n"/>
      <c r="Q513" s="9" t="n"/>
      <c r="R513" s="9" t="n"/>
      <c r="S513" s="9" t="inlineStr">
        <is>
          <t>Tray</t>
        </is>
      </c>
      <c r="T513" s="10" t="n">
        <v>789</v>
      </c>
      <c r="U513" s="10" t="n">
        <v>106</v>
      </c>
      <c r="V513" s="10">
        <f>ROUNDUP((T513+U513+2*'Read Me'!$B$13)*(1+'Read Me'!$B$12),-1)</f>
        <v/>
      </c>
      <c r="W513" s="10">
        <f>V513*N513*O513</f>
        <v/>
      </c>
      <c r="X513" s="9">
        <f>IF(LEFT(I513,2)="MV",2*N513*IF(L513="1/C",O513,1),0)</f>
        <v/>
      </c>
      <c r="Y513" s="9">
        <f>IF(OR(LEFT(K513,4)="LVAX",LEFT(K513,6)="MV15AX",LEFT(K513,4)="CTAX",LEFT(K513,2)="W|"),2*N513*O513,0)</f>
        <v/>
      </c>
      <c r="Z513" s="9" t="inlineStr"/>
    </row>
    <row r="514">
      <c r="A514" s="9" t="inlineStr">
        <is>
          <t>A-I-0051</t>
        </is>
      </c>
      <c r="B514" s="9" t="inlineStr">
        <is>
          <t>A</t>
        </is>
      </c>
      <c r="C514" s="9" t="inlineStr">
        <is>
          <t>Power block</t>
        </is>
      </c>
      <c r="D514" s="9" t="inlineStr">
        <is>
          <t>Instrumentation</t>
        </is>
      </c>
      <c r="E514" s="9" t="inlineStr">
        <is>
          <t>R2B</t>
        </is>
      </c>
      <c r="F514" s="9" t="inlineStr">
        <is>
          <t>R2B: unit / HRSG electrical e-house (32 x 40 ft)</t>
        </is>
      </c>
      <c r="G514" s="9" t="inlineStr">
        <is>
          <t>FS-GT1</t>
        </is>
      </c>
      <c r="H514" s="9" t="inlineStr">
        <is>
          <t>FS-GT1: CO2 fire-suppression skid</t>
        </is>
      </c>
      <c r="I514" s="9" t="inlineStr">
        <is>
          <t>Instrumentation</t>
        </is>
      </c>
      <c r="J514" s="9" t="inlineStr">
        <is>
          <t>Instrumentation PLTC / TC-ER 300 V, #18 twisted shielded pairs, overall shield</t>
        </is>
      </c>
      <c r="K514" s="9" t="inlineStr">
        <is>
          <t>PLTC|12 pr|18</t>
        </is>
      </c>
      <c r="L514" s="9" t="inlineStr">
        <is>
          <t>12 pr</t>
        </is>
      </c>
      <c r="M514" s="9" t="inlineStr">
        <is>
          <t>18</t>
        </is>
      </c>
      <c r="N514" s="9" t="n">
        <v>1</v>
      </c>
      <c r="O514" s="9" t="n">
        <v>1</v>
      </c>
      <c r="P514" s="9" t="n"/>
      <c r="Q514" s="9" t="n"/>
      <c r="R514" s="9" t="n"/>
      <c r="S514" s="9" t="inlineStr">
        <is>
          <t>Tray</t>
        </is>
      </c>
      <c r="T514" s="10" t="n">
        <v>789</v>
      </c>
      <c r="U514" s="10" t="n">
        <v>106</v>
      </c>
      <c r="V514" s="10">
        <f>ROUNDUP((T514+U514+2*'Read Me'!$B$13)*(1+'Read Me'!$B$12),-1)</f>
        <v/>
      </c>
      <c r="W514" s="10">
        <f>V514*N514*O514</f>
        <v/>
      </c>
      <c r="X514" s="9">
        <f>IF(LEFT(I514,2)="MV",2*N514*IF(L514="1/C",O514,1),0)</f>
        <v/>
      </c>
      <c r="Y514" s="9">
        <f>IF(OR(LEFT(K514,4)="LVAX",LEFT(K514,6)="MV15AX",LEFT(K514,4)="CTAX",LEFT(K514,2)="W|"),2*N514*O514,0)</f>
        <v/>
      </c>
      <c r="Z514" s="9" t="inlineStr"/>
    </row>
    <row r="515">
      <c r="A515" s="9" t="inlineStr">
        <is>
          <t>A-I-0052</t>
        </is>
      </c>
      <c r="B515" s="9" t="inlineStr">
        <is>
          <t>A</t>
        </is>
      </c>
      <c r="C515" s="9" t="inlineStr">
        <is>
          <t>Power block</t>
        </is>
      </c>
      <c r="D515" s="9" t="inlineStr">
        <is>
          <t>Instrumentation</t>
        </is>
      </c>
      <c r="E515" s="9" t="inlineStr">
        <is>
          <t>R2B</t>
        </is>
      </c>
      <c r="F515" s="9" t="inlineStr">
        <is>
          <t>R2B: unit / HRSG electrical e-house (32 x 40 ft)</t>
        </is>
      </c>
      <c r="G515" s="9" t="inlineStr">
        <is>
          <t>FS-GT1</t>
        </is>
      </c>
      <c r="H515" s="9" t="inlineStr">
        <is>
          <t>FS-GT1: CO2 fire-suppression skid</t>
        </is>
      </c>
      <c r="I515" s="9" t="inlineStr">
        <is>
          <t>Instrumentation</t>
        </is>
      </c>
      <c r="J515" s="9" t="inlineStr">
        <is>
          <t>Instrumentation PLTC / TC-ER 300 V, #18 twisted shielded pairs, overall shield</t>
        </is>
      </c>
      <c r="K515" s="9" t="inlineStr">
        <is>
          <t>PLTC|12 pr|18</t>
        </is>
      </c>
      <c r="L515" s="9" t="inlineStr">
        <is>
          <t>12 pr</t>
        </is>
      </c>
      <c r="M515" s="9" t="inlineStr">
        <is>
          <t>18</t>
        </is>
      </c>
      <c r="N515" s="9" t="n">
        <v>1</v>
      </c>
      <c r="O515" s="9" t="n">
        <v>1</v>
      </c>
      <c r="P515" s="9" t="n"/>
      <c r="Q515" s="9" t="n"/>
      <c r="R515" s="9" t="n"/>
      <c r="S515" s="9" t="inlineStr">
        <is>
          <t>Tray</t>
        </is>
      </c>
      <c r="T515" s="10" t="n">
        <v>789</v>
      </c>
      <c r="U515" s="10" t="n">
        <v>106</v>
      </c>
      <c r="V515" s="10">
        <f>ROUNDUP((T515+U515+2*'Read Me'!$B$13)*(1+'Read Me'!$B$12),-1)</f>
        <v/>
      </c>
      <c r="W515" s="10">
        <f>V515*N515*O515</f>
        <v/>
      </c>
      <c r="X515" s="9">
        <f>IF(LEFT(I515,2)="MV",2*N515*IF(L515="1/C",O515,1),0)</f>
        <v/>
      </c>
      <c r="Y515" s="9">
        <f>IF(OR(LEFT(K515,4)="LVAX",LEFT(K515,6)="MV15AX",LEFT(K515,4)="CTAX",LEFT(K515,2)="W|"),2*N515*O515,0)</f>
        <v/>
      </c>
      <c r="Z515" s="9" t="inlineStr"/>
    </row>
    <row r="516">
      <c r="A516" s="9" t="inlineStr">
        <is>
          <t>A-I-0053</t>
        </is>
      </c>
      <c r="B516" s="9" t="inlineStr">
        <is>
          <t>A</t>
        </is>
      </c>
      <c r="C516" s="9" t="inlineStr">
        <is>
          <t>Power block</t>
        </is>
      </c>
      <c r="D516" s="9" t="inlineStr">
        <is>
          <t>Instrumentation</t>
        </is>
      </c>
      <c r="E516" s="9" t="inlineStr">
        <is>
          <t>R2B</t>
        </is>
      </c>
      <c r="F516" s="9" t="inlineStr">
        <is>
          <t>R2B: unit / HRSG electrical e-house (32 x 40 ft)</t>
        </is>
      </c>
      <c r="G516" s="9" t="inlineStr">
        <is>
          <t>FS-GT1</t>
        </is>
      </c>
      <c r="H516" s="9" t="inlineStr">
        <is>
          <t>FS-GT1: CO2 fire-suppression skid</t>
        </is>
      </c>
      <c r="I516" s="9" t="inlineStr">
        <is>
          <t>Instrumentation</t>
        </is>
      </c>
      <c r="J516" s="9" t="inlineStr">
        <is>
          <t>Instrumentation PLTC / TC-ER 300 V, #18 twisted shielded pairs, overall shield</t>
        </is>
      </c>
      <c r="K516" s="9" t="inlineStr">
        <is>
          <t>PLTC|12 pr|18</t>
        </is>
      </c>
      <c r="L516" s="9" t="inlineStr">
        <is>
          <t>12 pr</t>
        </is>
      </c>
      <c r="M516" s="9" t="inlineStr">
        <is>
          <t>18</t>
        </is>
      </c>
      <c r="N516" s="9" t="n">
        <v>1</v>
      </c>
      <c r="O516" s="9" t="n">
        <v>1</v>
      </c>
      <c r="P516" s="9" t="n"/>
      <c r="Q516" s="9" t="n"/>
      <c r="R516" s="9" t="n"/>
      <c r="S516" s="9" t="inlineStr">
        <is>
          <t>Tray</t>
        </is>
      </c>
      <c r="T516" s="10" t="n">
        <v>789</v>
      </c>
      <c r="U516" s="10" t="n">
        <v>106</v>
      </c>
      <c r="V516" s="10">
        <f>ROUNDUP((T516+U516+2*'Read Me'!$B$13)*(1+'Read Me'!$B$12),-1)</f>
        <v/>
      </c>
      <c r="W516" s="10">
        <f>V516*N516*O516</f>
        <v/>
      </c>
      <c r="X516" s="9">
        <f>IF(LEFT(I516,2)="MV",2*N516*IF(L516="1/C",O516,1),0)</f>
        <v/>
      </c>
      <c r="Y516" s="9">
        <f>IF(OR(LEFT(K516,4)="LVAX",LEFT(K516,6)="MV15AX",LEFT(K516,4)="CTAX",LEFT(K516,2)="W|"),2*N516*O516,0)</f>
        <v/>
      </c>
      <c r="Z516" s="9" t="inlineStr"/>
    </row>
    <row r="517">
      <c r="A517" s="9" t="inlineStr">
        <is>
          <t>A-I-0054</t>
        </is>
      </c>
      <c r="B517" s="9" t="inlineStr">
        <is>
          <t>A</t>
        </is>
      </c>
      <c r="C517" s="9" t="inlineStr">
        <is>
          <t>Power block</t>
        </is>
      </c>
      <c r="D517" s="9" t="inlineStr">
        <is>
          <t>Instrumentation</t>
        </is>
      </c>
      <c r="E517" s="9" t="inlineStr">
        <is>
          <t>R2C</t>
        </is>
      </c>
      <c r="F517" s="9" t="inlineStr">
        <is>
          <t>R2C: unit / HRSG electrical e-house (32 x 40 ft)</t>
        </is>
      </c>
      <c r="G517" s="9" t="inlineStr">
        <is>
          <t>FS-GT2</t>
        </is>
      </c>
      <c r="H517" s="9" t="inlineStr">
        <is>
          <t>FS-GT2: CO2 fire-suppression skid</t>
        </is>
      </c>
      <c r="I517" s="9" t="inlineStr">
        <is>
          <t>Instrumentation</t>
        </is>
      </c>
      <c r="J517" s="9" t="inlineStr">
        <is>
          <t>Instrumentation PLTC / TC-ER 300 V, #18 twisted shielded pairs, overall shield</t>
        </is>
      </c>
      <c r="K517" s="9" t="inlineStr">
        <is>
          <t>PLTC|4 pr|18</t>
        </is>
      </c>
      <c r="L517" s="9" t="inlineStr">
        <is>
          <t>4 pr</t>
        </is>
      </c>
      <c r="M517" s="9" t="inlineStr">
        <is>
          <t>18</t>
        </is>
      </c>
      <c r="N517" s="9" t="n">
        <v>1</v>
      </c>
      <c r="O517" s="9" t="n">
        <v>1</v>
      </c>
      <c r="P517" s="9" t="n"/>
      <c r="Q517" s="9" t="n"/>
      <c r="R517" s="9" t="n"/>
      <c r="S517" s="9" t="inlineStr">
        <is>
          <t>Tray</t>
        </is>
      </c>
      <c r="T517" s="10" t="n">
        <v>1109</v>
      </c>
      <c r="U517" s="10" t="n">
        <v>106</v>
      </c>
      <c r="V517" s="10">
        <f>ROUNDUP((T517+U517+2*'Read Me'!$B$13)*(1+'Read Me'!$B$12),-1)</f>
        <v/>
      </c>
      <c r="W517" s="10">
        <f>V517*N517*O517</f>
        <v/>
      </c>
      <c r="X517" s="9">
        <f>IF(LEFT(I517,2)="MV",2*N517*IF(L517="1/C",O517,1),0)</f>
        <v/>
      </c>
      <c r="Y517" s="9">
        <f>IF(OR(LEFT(K517,4)="LVAX",LEFT(K517,6)="MV15AX",LEFT(K517,4)="CTAX",LEFT(K517,2)="W|"),2*N517*O517,0)</f>
        <v/>
      </c>
      <c r="Z517" s="9" t="inlineStr"/>
    </row>
    <row r="518">
      <c r="A518" s="9" t="inlineStr">
        <is>
          <t>A-I-0055</t>
        </is>
      </c>
      <c r="B518" s="9" t="inlineStr">
        <is>
          <t>A</t>
        </is>
      </c>
      <c r="C518" s="9" t="inlineStr">
        <is>
          <t>Power block</t>
        </is>
      </c>
      <c r="D518" s="9" t="inlineStr">
        <is>
          <t>Instrumentation</t>
        </is>
      </c>
      <c r="E518" s="9" t="inlineStr">
        <is>
          <t>R2C</t>
        </is>
      </c>
      <c r="F518" s="9" t="inlineStr">
        <is>
          <t>R2C: unit / HRSG electrical e-house (32 x 40 ft)</t>
        </is>
      </c>
      <c r="G518" s="9" t="inlineStr">
        <is>
          <t>FS-GT2</t>
        </is>
      </c>
      <c r="H518" s="9" t="inlineStr">
        <is>
          <t>FS-GT2: CO2 fire-suppression skid</t>
        </is>
      </c>
      <c r="I518" s="9" t="inlineStr">
        <is>
          <t>Instrumentation</t>
        </is>
      </c>
      <c r="J518" s="9" t="inlineStr">
        <is>
          <t>Instrumentation PLTC / TC-ER 300 V, #18 twisted shielded pairs, overall shield</t>
        </is>
      </c>
      <c r="K518" s="9" t="inlineStr">
        <is>
          <t>PLTC|4 pr|18</t>
        </is>
      </c>
      <c r="L518" s="9" t="inlineStr">
        <is>
          <t>4 pr</t>
        </is>
      </c>
      <c r="M518" s="9" t="inlineStr">
        <is>
          <t>18</t>
        </is>
      </c>
      <c r="N518" s="9" t="n">
        <v>1</v>
      </c>
      <c r="O518" s="9" t="n">
        <v>1</v>
      </c>
      <c r="P518" s="9" t="n"/>
      <c r="Q518" s="9" t="n"/>
      <c r="R518" s="9" t="n"/>
      <c r="S518" s="9" t="inlineStr">
        <is>
          <t>Tray</t>
        </is>
      </c>
      <c r="T518" s="10" t="n">
        <v>1109</v>
      </c>
      <c r="U518" s="10" t="n">
        <v>106</v>
      </c>
      <c r="V518" s="10">
        <f>ROUNDUP((T518+U518+2*'Read Me'!$B$13)*(1+'Read Me'!$B$12),-1)</f>
        <v/>
      </c>
      <c r="W518" s="10">
        <f>V518*N518*O518</f>
        <v/>
      </c>
      <c r="X518" s="9">
        <f>IF(LEFT(I518,2)="MV",2*N518*IF(L518="1/C",O518,1),0)</f>
        <v/>
      </c>
      <c r="Y518" s="9">
        <f>IF(OR(LEFT(K518,4)="LVAX",LEFT(K518,6)="MV15AX",LEFT(K518,4)="CTAX",LEFT(K518,2)="W|"),2*N518*O518,0)</f>
        <v/>
      </c>
      <c r="Z518" s="9" t="inlineStr"/>
    </row>
    <row r="519">
      <c r="A519" s="9" t="inlineStr">
        <is>
          <t>A-I-0056</t>
        </is>
      </c>
      <c r="B519" s="9" t="inlineStr">
        <is>
          <t>A</t>
        </is>
      </c>
      <c r="C519" s="9" t="inlineStr">
        <is>
          <t>Power block</t>
        </is>
      </c>
      <c r="D519" s="9" t="inlineStr">
        <is>
          <t>Instrumentation</t>
        </is>
      </c>
      <c r="E519" s="9" t="inlineStr">
        <is>
          <t>R2C</t>
        </is>
      </c>
      <c r="F519" s="9" t="inlineStr">
        <is>
          <t>R2C: unit / HRSG electrical e-house (32 x 40 ft)</t>
        </is>
      </c>
      <c r="G519" s="9" t="inlineStr">
        <is>
          <t>FS-GT2</t>
        </is>
      </c>
      <c r="H519" s="9" t="inlineStr">
        <is>
          <t>FS-GT2: CO2 fire-suppression skid</t>
        </is>
      </c>
      <c r="I519" s="9" t="inlineStr">
        <is>
          <t>Instrumentation</t>
        </is>
      </c>
      <c r="J519" s="9" t="inlineStr">
        <is>
          <t>Instrumentation PLTC / TC-ER 300 V, #18 twisted shielded pairs, overall shield</t>
        </is>
      </c>
      <c r="K519" s="9" t="inlineStr">
        <is>
          <t>PLTC|12 pr|18</t>
        </is>
      </c>
      <c r="L519" s="9" t="inlineStr">
        <is>
          <t>12 pr</t>
        </is>
      </c>
      <c r="M519" s="9" t="inlineStr">
        <is>
          <t>18</t>
        </is>
      </c>
      <c r="N519" s="9" t="n">
        <v>1</v>
      </c>
      <c r="O519" s="9" t="n">
        <v>1</v>
      </c>
      <c r="P519" s="9" t="n"/>
      <c r="Q519" s="9" t="n"/>
      <c r="R519" s="9" t="n"/>
      <c r="S519" s="9" t="inlineStr">
        <is>
          <t>Tray</t>
        </is>
      </c>
      <c r="T519" s="10" t="n">
        <v>1109</v>
      </c>
      <c r="U519" s="10" t="n">
        <v>106</v>
      </c>
      <c r="V519" s="10">
        <f>ROUNDUP((T519+U519+2*'Read Me'!$B$13)*(1+'Read Me'!$B$12),-1)</f>
        <v/>
      </c>
      <c r="W519" s="10">
        <f>V519*N519*O519</f>
        <v/>
      </c>
      <c r="X519" s="9">
        <f>IF(LEFT(I519,2)="MV",2*N519*IF(L519="1/C",O519,1),0)</f>
        <v/>
      </c>
      <c r="Y519" s="9">
        <f>IF(OR(LEFT(K519,4)="LVAX",LEFT(K519,6)="MV15AX",LEFT(K519,4)="CTAX",LEFT(K519,2)="W|"),2*N519*O519,0)</f>
        <v/>
      </c>
      <c r="Z519" s="9" t="inlineStr"/>
    </row>
    <row r="520">
      <c r="A520" s="9" t="inlineStr">
        <is>
          <t>A-I-0057</t>
        </is>
      </c>
      <c r="B520" s="9" t="inlineStr">
        <is>
          <t>A</t>
        </is>
      </c>
      <c r="C520" s="9" t="inlineStr">
        <is>
          <t>Power block</t>
        </is>
      </c>
      <c r="D520" s="9" t="inlineStr">
        <is>
          <t>Instrumentation</t>
        </is>
      </c>
      <c r="E520" s="9" t="inlineStr">
        <is>
          <t>R2C</t>
        </is>
      </c>
      <c r="F520" s="9" t="inlineStr">
        <is>
          <t>R2C: unit / HRSG electrical e-house (32 x 40 ft)</t>
        </is>
      </c>
      <c r="G520" s="9" t="inlineStr">
        <is>
          <t>FS-GT2</t>
        </is>
      </c>
      <c r="H520" s="9" t="inlineStr">
        <is>
          <t>FS-GT2: CO2 fire-suppression skid</t>
        </is>
      </c>
      <c r="I520" s="9" t="inlineStr">
        <is>
          <t>Instrumentation</t>
        </is>
      </c>
      <c r="J520" s="9" t="inlineStr">
        <is>
          <t>Instrumentation PLTC / TC-ER 300 V, #18 twisted shielded pairs, overall shield</t>
        </is>
      </c>
      <c r="K520" s="9" t="inlineStr">
        <is>
          <t>PLTC|12 pr|18</t>
        </is>
      </c>
      <c r="L520" s="9" t="inlineStr">
        <is>
          <t>12 pr</t>
        </is>
      </c>
      <c r="M520" s="9" t="inlineStr">
        <is>
          <t>18</t>
        </is>
      </c>
      <c r="N520" s="9" t="n">
        <v>1</v>
      </c>
      <c r="O520" s="9" t="n">
        <v>1</v>
      </c>
      <c r="P520" s="9" t="n"/>
      <c r="Q520" s="9" t="n"/>
      <c r="R520" s="9" t="n"/>
      <c r="S520" s="9" t="inlineStr">
        <is>
          <t>Tray</t>
        </is>
      </c>
      <c r="T520" s="10" t="n">
        <v>1109</v>
      </c>
      <c r="U520" s="10" t="n">
        <v>106</v>
      </c>
      <c r="V520" s="10">
        <f>ROUNDUP((T520+U520+2*'Read Me'!$B$13)*(1+'Read Me'!$B$12),-1)</f>
        <v/>
      </c>
      <c r="W520" s="10">
        <f>V520*N520*O520</f>
        <v/>
      </c>
      <c r="X520" s="9">
        <f>IF(LEFT(I520,2)="MV",2*N520*IF(L520="1/C",O520,1),0)</f>
        <v/>
      </c>
      <c r="Y520" s="9">
        <f>IF(OR(LEFT(K520,4)="LVAX",LEFT(K520,6)="MV15AX",LEFT(K520,4)="CTAX",LEFT(K520,2)="W|"),2*N520*O520,0)</f>
        <v/>
      </c>
      <c r="Z520" s="9" t="inlineStr"/>
    </row>
    <row r="521">
      <c r="A521" s="9" t="inlineStr">
        <is>
          <t>A-I-0058</t>
        </is>
      </c>
      <c r="B521" s="9" t="inlineStr">
        <is>
          <t>A</t>
        </is>
      </c>
      <c r="C521" s="9" t="inlineStr">
        <is>
          <t>Power block</t>
        </is>
      </c>
      <c r="D521" s="9" t="inlineStr">
        <is>
          <t>Instrumentation</t>
        </is>
      </c>
      <c r="E521" s="9" t="inlineStr">
        <is>
          <t>R2C</t>
        </is>
      </c>
      <c r="F521" s="9" t="inlineStr">
        <is>
          <t>R2C: unit / HRSG electrical e-house (32 x 40 ft)</t>
        </is>
      </c>
      <c r="G521" s="9" t="inlineStr">
        <is>
          <t>FS-GT2</t>
        </is>
      </c>
      <c r="H521" s="9" t="inlineStr">
        <is>
          <t>FS-GT2: CO2 fire-suppression skid</t>
        </is>
      </c>
      <c r="I521" s="9" t="inlineStr">
        <is>
          <t>Instrumentation</t>
        </is>
      </c>
      <c r="J521" s="9" t="inlineStr">
        <is>
          <t>Instrumentation PLTC / TC-ER 300 V, #18 twisted shielded pairs, overall shield</t>
        </is>
      </c>
      <c r="K521" s="9" t="inlineStr">
        <is>
          <t>PLTC|12 pr|18</t>
        </is>
      </c>
      <c r="L521" s="9" t="inlineStr">
        <is>
          <t>12 pr</t>
        </is>
      </c>
      <c r="M521" s="9" t="inlineStr">
        <is>
          <t>18</t>
        </is>
      </c>
      <c r="N521" s="9" t="n">
        <v>1</v>
      </c>
      <c r="O521" s="9" t="n">
        <v>1</v>
      </c>
      <c r="P521" s="9" t="n"/>
      <c r="Q521" s="9" t="n"/>
      <c r="R521" s="9" t="n"/>
      <c r="S521" s="9" t="inlineStr">
        <is>
          <t>Tray</t>
        </is>
      </c>
      <c r="T521" s="10" t="n">
        <v>1109</v>
      </c>
      <c r="U521" s="10" t="n">
        <v>106</v>
      </c>
      <c r="V521" s="10">
        <f>ROUNDUP((T521+U521+2*'Read Me'!$B$13)*(1+'Read Me'!$B$12),-1)</f>
        <v/>
      </c>
      <c r="W521" s="10">
        <f>V521*N521*O521</f>
        <v/>
      </c>
      <c r="X521" s="9">
        <f>IF(LEFT(I521,2)="MV",2*N521*IF(L521="1/C",O521,1),0)</f>
        <v/>
      </c>
      <c r="Y521" s="9">
        <f>IF(OR(LEFT(K521,4)="LVAX",LEFT(K521,6)="MV15AX",LEFT(K521,4)="CTAX",LEFT(K521,2)="W|"),2*N521*O521,0)</f>
        <v/>
      </c>
      <c r="Z521" s="9" t="inlineStr"/>
    </row>
    <row r="522">
      <c r="A522" s="9" t="inlineStr">
        <is>
          <t>A-I-0059</t>
        </is>
      </c>
      <c r="B522" s="9" t="inlineStr">
        <is>
          <t>A</t>
        </is>
      </c>
      <c r="C522" s="9" t="inlineStr">
        <is>
          <t>Power block</t>
        </is>
      </c>
      <c r="D522" s="9" t="inlineStr">
        <is>
          <t>Instrumentation</t>
        </is>
      </c>
      <c r="E522" s="9" t="inlineStr">
        <is>
          <t>R2C</t>
        </is>
      </c>
      <c r="F522" s="9" t="inlineStr">
        <is>
          <t>R2C: unit / HRSG electrical e-house (32 x 40 ft)</t>
        </is>
      </c>
      <c r="G522" s="9" t="inlineStr">
        <is>
          <t>FS-GT2</t>
        </is>
      </c>
      <c r="H522" s="9" t="inlineStr">
        <is>
          <t>FS-GT2: CO2 fire-suppression skid</t>
        </is>
      </c>
      <c r="I522" s="9" t="inlineStr">
        <is>
          <t>Instrumentation</t>
        </is>
      </c>
      <c r="J522" s="9" t="inlineStr">
        <is>
          <t>Instrumentation PLTC / TC-ER 300 V, #18 twisted shielded pairs, overall shield</t>
        </is>
      </c>
      <c r="K522" s="9" t="inlineStr">
        <is>
          <t>PLTC|12 pr|18</t>
        </is>
      </c>
      <c r="L522" s="9" t="inlineStr">
        <is>
          <t>12 pr</t>
        </is>
      </c>
      <c r="M522" s="9" t="inlineStr">
        <is>
          <t>18</t>
        </is>
      </c>
      <c r="N522" s="9" t="n">
        <v>1</v>
      </c>
      <c r="O522" s="9" t="n">
        <v>1</v>
      </c>
      <c r="P522" s="9" t="n"/>
      <c r="Q522" s="9" t="n"/>
      <c r="R522" s="9" t="n"/>
      <c r="S522" s="9" t="inlineStr">
        <is>
          <t>Tray</t>
        </is>
      </c>
      <c r="T522" s="10" t="n">
        <v>1109</v>
      </c>
      <c r="U522" s="10" t="n">
        <v>106</v>
      </c>
      <c r="V522" s="10">
        <f>ROUNDUP((T522+U522+2*'Read Me'!$B$13)*(1+'Read Me'!$B$12),-1)</f>
        <v/>
      </c>
      <c r="W522" s="10">
        <f>V522*N522*O522</f>
        <v/>
      </c>
      <c r="X522" s="9">
        <f>IF(LEFT(I522,2)="MV",2*N522*IF(L522="1/C",O522,1),0)</f>
        <v/>
      </c>
      <c r="Y522" s="9">
        <f>IF(OR(LEFT(K522,4)="LVAX",LEFT(K522,6)="MV15AX",LEFT(K522,4)="CTAX",LEFT(K522,2)="W|"),2*N522*O522,0)</f>
        <v/>
      </c>
      <c r="Z522" s="9" t="inlineStr"/>
    </row>
    <row r="523">
      <c r="A523" s="9" t="inlineStr">
        <is>
          <t>A-I-0060</t>
        </is>
      </c>
      <c r="B523" s="9" t="inlineStr">
        <is>
          <t>A</t>
        </is>
      </c>
      <c r="C523" s="9" t="inlineStr">
        <is>
          <t>Power block</t>
        </is>
      </c>
      <c r="D523" s="9" t="inlineStr">
        <is>
          <t>Instrumentation</t>
        </is>
      </c>
      <c r="E523" s="9" t="inlineStr">
        <is>
          <t>R2C</t>
        </is>
      </c>
      <c r="F523" s="9" t="inlineStr">
        <is>
          <t>R2C: unit / HRSG electrical e-house (32 x 40 ft)</t>
        </is>
      </c>
      <c r="G523" s="9" t="inlineStr">
        <is>
          <t>FS-GT2</t>
        </is>
      </c>
      <c r="H523" s="9" t="inlineStr">
        <is>
          <t>FS-GT2: CO2 fire-suppression skid</t>
        </is>
      </c>
      <c r="I523" s="9" t="inlineStr">
        <is>
          <t>Instrumentation</t>
        </is>
      </c>
      <c r="J523" s="9" t="inlineStr">
        <is>
          <t>Instrumentation PLTC / TC-ER 300 V, #18 twisted shielded pairs, overall shield</t>
        </is>
      </c>
      <c r="K523" s="9" t="inlineStr">
        <is>
          <t>PLTC|12 pr|18</t>
        </is>
      </c>
      <c r="L523" s="9" t="inlineStr">
        <is>
          <t>12 pr</t>
        </is>
      </c>
      <c r="M523" s="9" t="inlineStr">
        <is>
          <t>18</t>
        </is>
      </c>
      <c r="N523" s="9" t="n">
        <v>1</v>
      </c>
      <c r="O523" s="9" t="n">
        <v>1</v>
      </c>
      <c r="P523" s="9" t="n"/>
      <c r="Q523" s="9" t="n"/>
      <c r="R523" s="9" t="n"/>
      <c r="S523" s="9" t="inlineStr">
        <is>
          <t>Tray</t>
        </is>
      </c>
      <c r="T523" s="10" t="n">
        <v>1109</v>
      </c>
      <c r="U523" s="10" t="n">
        <v>106</v>
      </c>
      <c r="V523" s="10">
        <f>ROUNDUP((T523+U523+2*'Read Me'!$B$13)*(1+'Read Me'!$B$12),-1)</f>
        <v/>
      </c>
      <c r="W523" s="10">
        <f>V523*N523*O523</f>
        <v/>
      </c>
      <c r="X523" s="9">
        <f>IF(LEFT(I523,2)="MV",2*N523*IF(L523="1/C",O523,1),0)</f>
        <v/>
      </c>
      <c r="Y523" s="9">
        <f>IF(OR(LEFT(K523,4)="LVAX",LEFT(K523,6)="MV15AX",LEFT(K523,4)="CTAX",LEFT(K523,2)="W|"),2*N523*O523,0)</f>
        <v/>
      </c>
      <c r="Z523" s="9" t="inlineStr"/>
    </row>
    <row r="524">
      <c r="A524" s="9" t="inlineStr">
        <is>
          <t>A-I-0061</t>
        </is>
      </c>
      <c r="B524" s="9" t="inlineStr">
        <is>
          <t>A</t>
        </is>
      </c>
      <c r="C524" s="9" t="inlineStr">
        <is>
          <t>Power block</t>
        </is>
      </c>
      <c r="D524" s="9" t="inlineStr">
        <is>
          <t>Instrumentation</t>
        </is>
      </c>
      <c r="E524" s="9" t="inlineStr">
        <is>
          <t>R2C</t>
        </is>
      </c>
      <c r="F524" s="9" t="inlineStr">
        <is>
          <t>R2C: unit / HRSG electrical e-house (32 x 40 ft)</t>
        </is>
      </c>
      <c r="G524" s="9" t="inlineStr">
        <is>
          <t>FS-GT2</t>
        </is>
      </c>
      <c r="H524" s="9" t="inlineStr">
        <is>
          <t>FS-GT2: CO2 fire-suppression skid</t>
        </is>
      </c>
      <c r="I524" s="9" t="inlineStr">
        <is>
          <t>Instrumentation</t>
        </is>
      </c>
      <c r="J524" s="9" t="inlineStr">
        <is>
          <t>Instrumentation PLTC / TC-ER 300 V, #18 twisted shielded pairs, overall shield</t>
        </is>
      </c>
      <c r="K524" s="9" t="inlineStr">
        <is>
          <t>PLTC|12 pr|18</t>
        </is>
      </c>
      <c r="L524" s="9" t="inlineStr">
        <is>
          <t>12 pr</t>
        </is>
      </c>
      <c r="M524" s="9" t="inlineStr">
        <is>
          <t>18</t>
        </is>
      </c>
      <c r="N524" s="9" t="n">
        <v>1</v>
      </c>
      <c r="O524" s="9" t="n">
        <v>1</v>
      </c>
      <c r="P524" s="9" t="n"/>
      <c r="Q524" s="9" t="n"/>
      <c r="R524" s="9" t="n"/>
      <c r="S524" s="9" t="inlineStr">
        <is>
          <t>Tray</t>
        </is>
      </c>
      <c r="T524" s="10" t="n">
        <v>1109</v>
      </c>
      <c r="U524" s="10" t="n">
        <v>106</v>
      </c>
      <c r="V524" s="10">
        <f>ROUNDUP((T524+U524+2*'Read Me'!$B$13)*(1+'Read Me'!$B$12),-1)</f>
        <v/>
      </c>
      <c r="W524" s="10">
        <f>V524*N524*O524</f>
        <v/>
      </c>
      <c r="X524" s="9">
        <f>IF(LEFT(I524,2)="MV",2*N524*IF(L524="1/C",O524,1),0)</f>
        <v/>
      </c>
      <c r="Y524" s="9">
        <f>IF(OR(LEFT(K524,4)="LVAX",LEFT(K524,6)="MV15AX",LEFT(K524,4)="CTAX",LEFT(K524,2)="W|"),2*N524*O524,0)</f>
        <v/>
      </c>
      <c r="Z524" s="9" t="inlineStr"/>
    </row>
    <row r="525">
      <c r="A525" s="9" t="inlineStr">
        <is>
          <t>A-I-0062</t>
        </is>
      </c>
      <c r="B525" s="9" t="inlineStr">
        <is>
          <t>A</t>
        </is>
      </c>
      <c r="C525" s="9" t="inlineStr">
        <is>
          <t>Power block</t>
        </is>
      </c>
      <c r="D525" s="9" t="inlineStr">
        <is>
          <t>Instrumentation</t>
        </is>
      </c>
      <c r="E525" s="9" t="inlineStr">
        <is>
          <t>R2C</t>
        </is>
      </c>
      <c r="F525" s="9" t="inlineStr">
        <is>
          <t>R2C: unit / HRSG electrical e-house (32 x 40 ft)</t>
        </is>
      </c>
      <c r="G525" s="9" t="inlineStr">
        <is>
          <t>FS-GT2</t>
        </is>
      </c>
      <c r="H525" s="9" t="inlineStr">
        <is>
          <t>FS-GT2: CO2 fire-suppression skid</t>
        </is>
      </c>
      <c r="I525" s="9" t="inlineStr">
        <is>
          <t>Instrumentation</t>
        </is>
      </c>
      <c r="J525" s="9" t="inlineStr">
        <is>
          <t>Instrumentation PLTC / TC-ER 300 V, #18 twisted shielded pairs, overall shield</t>
        </is>
      </c>
      <c r="K525" s="9" t="inlineStr">
        <is>
          <t>PLTC|12 pr|18</t>
        </is>
      </c>
      <c r="L525" s="9" t="inlineStr">
        <is>
          <t>12 pr</t>
        </is>
      </c>
      <c r="M525" s="9" t="inlineStr">
        <is>
          <t>18</t>
        </is>
      </c>
      <c r="N525" s="9" t="n">
        <v>1</v>
      </c>
      <c r="O525" s="9" t="n">
        <v>1</v>
      </c>
      <c r="P525" s="9" t="n"/>
      <c r="Q525" s="9" t="n"/>
      <c r="R525" s="9" t="n"/>
      <c r="S525" s="9" t="inlineStr">
        <is>
          <t>Tray</t>
        </is>
      </c>
      <c r="T525" s="10" t="n">
        <v>1109</v>
      </c>
      <c r="U525" s="10" t="n">
        <v>106</v>
      </c>
      <c r="V525" s="10">
        <f>ROUNDUP((T525+U525+2*'Read Me'!$B$13)*(1+'Read Me'!$B$12),-1)</f>
        <v/>
      </c>
      <c r="W525" s="10">
        <f>V525*N525*O525</f>
        <v/>
      </c>
      <c r="X525" s="9">
        <f>IF(LEFT(I525,2)="MV",2*N525*IF(L525="1/C",O525,1),0)</f>
        <v/>
      </c>
      <c r="Y525" s="9">
        <f>IF(OR(LEFT(K525,4)="LVAX",LEFT(K525,6)="MV15AX",LEFT(K525,4)="CTAX",LEFT(K525,2)="W|"),2*N525*O525,0)</f>
        <v/>
      </c>
      <c r="Z525" s="9" t="inlineStr"/>
    </row>
    <row r="526">
      <c r="A526" s="9" t="inlineStr">
        <is>
          <t>A-I-0063</t>
        </is>
      </c>
      <c r="B526" s="9" t="inlineStr">
        <is>
          <t>A</t>
        </is>
      </c>
      <c r="C526" s="9" t="inlineStr">
        <is>
          <t>Power block</t>
        </is>
      </c>
      <c r="D526" s="9" t="inlineStr">
        <is>
          <t>Instrumentation</t>
        </is>
      </c>
      <c r="E526" s="9" t="inlineStr">
        <is>
          <t>R2C</t>
        </is>
      </c>
      <c r="F526" s="9" t="inlineStr">
        <is>
          <t>R2C: unit / HRSG electrical e-house (32 x 40 ft)</t>
        </is>
      </c>
      <c r="G526" s="9" t="inlineStr">
        <is>
          <t>FS-GT2</t>
        </is>
      </c>
      <c r="H526" s="9" t="inlineStr">
        <is>
          <t>FS-GT2: CO2 fire-suppression skid</t>
        </is>
      </c>
      <c r="I526" s="9" t="inlineStr">
        <is>
          <t>Instrumentation</t>
        </is>
      </c>
      <c r="J526" s="9" t="inlineStr">
        <is>
          <t>Instrumentation PLTC / TC-ER 300 V, #18 twisted shielded pairs, overall shield</t>
        </is>
      </c>
      <c r="K526" s="9" t="inlineStr">
        <is>
          <t>PLTC|12 pr|18</t>
        </is>
      </c>
      <c r="L526" s="9" t="inlineStr">
        <is>
          <t>12 pr</t>
        </is>
      </c>
      <c r="M526" s="9" t="inlineStr">
        <is>
          <t>18</t>
        </is>
      </c>
      <c r="N526" s="9" t="n">
        <v>1</v>
      </c>
      <c r="O526" s="9" t="n">
        <v>1</v>
      </c>
      <c r="P526" s="9" t="n"/>
      <c r="Q526" s="9" t="n"/>
      <c r="R526" s="9" t="n"/>
      <c r="S526" s="9" t="inlineStr">
        <is>
          <t>Tray</t>
        </is>
      </c>
      <c r="T526" s="10" t="n">
        <v>1109</v>
      </c>
      <c r="U526" s="10" t="n">
        <v>106</v>
      </c>
      <c r="V526" s="10">
        <f>ROUNDUP((T526+U526+2*'Read Me'!$B$13)*(1+'Read Me'!$B$12),-1)</f>
        <v/>
      </c>
      <c r="W526" s="10">
        <f>V526*N526*O526</f>
        <v/>
      </c>
      <c r="X526" s="9">
        <f>IF(LEFT(I526,2)="MV",2*N526*IF(L526="1/C",O526,1),0)</f>
        <v/>
      </c>
      <c r="Y526" s="9">
        <f>IF(OR(LEFT(K526,4)="LVAX",LEFT(K526,6)="MV15AX",LEFT(K526,4)="CTAX",LEFT(K526,2)="W|"),2*N526*O526,0)</f>
        <v/>
      </c>
      <c r="Z526" s="9" t="inlineStr"/>
    </row>
    <row r="527">
      <c r="A527" s="9" t="inlineStr">
        <is>
          <t>A-I-0064</t>
        </is>
      </c>
      <c r="B527" s="9" t="inlineStr">
        <is>
          <t>A</t>
        </is>
      </c>
      <c r="C527" s="9" t="inlineStr">
        <is>
          <t>Power block</t>
        </is>
      </c>
      <c r="D527" s="9" t="inlineStr">
        <is>
          <t>Instrumentation</t>
        </is>
      </c>
      <c r="E527" s="9" t="inlineStr">
        <is>
          <t>R3</t>
        </is>
      </c>
      <c r="F527" s="9" t="inlineStr">
        <is>
          <t>R3: ST auxiliary electrical e-house (40 x 65 ft)</t>
        </is>
      </c>
      <c r="G527" s="9" t="inlineStr">
        <is>
          <t>FS-GT3</t>
        </is>
      </c>
      <c r="H527" s="9" t="inlineStr">
        <is>
          <t>FS-GT3: CO2 fire-suppression skid</t>
        </is>
      </c>
      <c r="I527" s="9" t="inlineStr">
        <is>
          <t>Instrumentation</t>
        </is>
      </c>
      <c r="J527" s="9" t="inlineStr">
        <is>
          <t>Instrumentation PLTC / TC-ER 300 V, #18 twisted shielded pairs, overall shield</t>
        </is>
      </c>
      <c r="K527" s="9" t="inlineStr">
        <is>
          <t>PLTC|4 pr|18</t>
        </is>
      </c>
      <c r="L527" s="9" t="inlineStr">
        <is>
          <t>4 pr</t>
        </is>
      </c>
      <c r="M527" s="9" t="inlineStr">
        <is>
          <t>18</t>
        </is>
      </c>
      <c r="N527" s="9" t="n">
        <v>1</v>
      </c>
      <c r="O527" s="9" t="n">
        <v>1</v>
      </c>
      <c r="P527" s="9" t="n"/>
      <c r="Q527" s="9" t="n"/>
      <c r="R527" s="9" t="n"/>
      <c r="S527" s="9" t="inlineStr">
        <is>
          <t>Tray</t>
        </is>
      </c>
      <c r="T527" s="10" t="n">
        <v>235</v>
      </c>
      <c r="U527" s="10" t="n">
        <v>96</v>
      </c>
      <c r="V527" s="10">
        <f>ROUNDUP((T527+U527+2*'Read Me'!$B$13)*(1+'Read Me'!$B$12),-1)</f>
        <v/>
      </c>
      <c r="W527" s="10">
        <f>V527*N527*O527</f>
        <v/>
      </c>
      <c r="X527" s="9">
        <f>IF(LEFT(I527,2)="MV",2*N527*IF(L527="1/C",O527,1),0)</f>
        <v/>
      </c>
      <c r="Y527" s="9">
        <f>IF(OR(LEFT(K527,4)="LVAX",LEFT(K527,6)="MV15AX",LEFT(K527,4)="CTAX",LEFT(K527,2)="W|"),2*N527*O527,0)</f>
        <v/>
      </c>
      <c r="Z527" s="9" t="inlineStr"/>
    </row>
    <row r="528">
      <c r="A528" s="9" t="inlineStr">
        <is>
          <t>A-I-0065</t>
        </is>
      </c>
      <c r="B528" s="9" t="inlineStr">
        <is>
          <t>A</t>
        </is>
      </c>
      <c r="C528" s="9" t="inlineStr">
        <is>
          <t>Power block</t>
        </is>
      </c>
      <c r="D528" s="9" t="inlineStr">
        <is>
          <t>Instrumentation</t>
        </is>
      </c>
      <c r="E528" s="9" t="inlineStr">
        <is>
          <t>R3</t>
        </is>
      </c>
      <c r="F528" s="9" t="inlineStr">
        <is>
          <t>R3: ST auxiliary electrical e-house (40 x 65 ft)</t>
        </is>
      </c>
      <c r="G528" s="9" t="inlineStr">
        <is>
          <t>FS-GT3</t>
        </is>
      </c>
      <c r="H528" s="9" t="inlineStr">
        <is>
          <t>FS-GT3: CO2 fire-suppression skid</t>
        </is>
      </c>
      <c r="I528" s="9" t="inlineStr">
        <is>
          <t>Instrumentation</t>
        </is>
      </c>
      <c r="J528" s="9" t="inlineStr">
        <is>
          <t>Instrumentation PLTC / TC-ER 300 V, #18 twisted shielded pairs, overall shield</t>
        </is>
      </c>
      <c r="K528" s="9" t="inlineStr">
        <is>
          <t>PLTC|4 pr|18</t>
        </is>
      </c>
      <c r="L528" s="9" t="inlineStr">
        <is>
          <t>4 pr</t>
        </is>
      </c>
      <c r="M528" s="9" t="inlineStr">
        <is>
          <t>18</t>
        </is>
      </c>
      <c r="N528" s="9" t="n">
        <v>1</v>
      </c>
      <c r="O528" s="9" t="n">
        <v>1</v>
      </c>
      <c r="P528" s="9" t="n"/>
      <c r="Q528" s="9" t="n"/>
      <c r="R528" s="9" t="n"/>
      <c r="S528" s="9" t="inlineStr">
        <is>
          <t>Tray</t>
        </is>
      </c>
      <c r="T528" s="10" t="n">
        <v>235</v>
      </c>
      <c r="U528" s="10" t="n">
        <v>96</v>
      </c>
      <c r="V528" s="10">
        <f>ROUNDUP((T528+U528+2*'Read Me'!$B$13)*(1+'Read Me'!$B$12),-1)</f>
        <v/>
      </c>
      <c r="W528" s="10">
        <f>V528*N528*O528</f>
        <v/>
      </c>
      <c r="X528" s="9">
        <f>IF(LEFT(I528,2)="MV",2*N528*IF(L528="1/C",O528,1),0)</f>
        <v/>
      </c>
      <c r="Y528" s="9">
        <f>IF(OR(LEFT(K528,4)="LVAX",LEFT(K528,6)="MV15AX",LEFT(K528,4)="CTAX",LEFT(K528,2)="W|"),2*N528*O528,0)</f>
        <v/>
      </c>
      <c r="Z528" s="9" t="inlineStr"/>
    </row>
    <row r="529">
      <c r="A529" s="9" t="inlineStr">
        <is>
          <t>A-I-0066</t>
        </is>
      </c>
      <c r="B529" s="9" t="inlineStr">
        <is>
          <t>A</t>
        </is>
      </c>
      <c r="C529" s="9" t="inlineStr">
        <is>
          <t>Power block</t>
        </is>
      </c>
      <c r="D529" s="9" t="inlineStr">
        <is>
          <t>Instrumentation</t>
        </is>
      </c>
      <c r="E529" s="9" t="inlineStr">
        <is>
          <t>R3</t>
        </is>
      </c>
      <c r="F529" s="9" t="inlineStr">
        <is>
          <t>R3: ST auxiliary electrical e-house (40 x 65 ft)</t>
        </is>
      </c>
      <c r="G529" s="9" t="inlineStr">
        <is>
          <t>FS-GT3</t>
        </is>
      </c>
      <c r="H529" s="9" t="inlineStr">
        <is>
          <t>FS-GT3: CO2 fire-suppression skid</t>
        </is>
      </c>
      <c r="I529" s="9" t="inlineStr">
        <is>
          <t>Instrumentation</t>
        </is>
      </c>
      <c r="J529" s="9" t="inlineStr">
        <is>
          <t>Instrumentation PLTC / TC-ER 300 V, #18 twisted shielded pairs, overall shield</t>
        </is>
      </c>
      <c r="K529" s="9" t="inlineStr">
        <is>
          <t>PLTC|12 pr|18</t>
        </is>
      </c>
      <c r="L529" s="9" t="inlineStr">
        <is>
          <t>12 pr</t>
        </is>
      </c>
      <c r="M529" s="9" t="inlineStr">
        <is>
          <t>18</t>
        </is>
      </c>
      <c r="N529" s="9" t="n">
        <v>1</v>
      </c>
      <c r="O529" s="9" t="n">
        <v>1</v>
      </c>
      <c r="P529" s="9" t="n"/>
      <c r="Q529" s="9" t="n"/>
      <c r="R529" s="9" t="n"/>
      <c r="S529" s="9" t="inlineStr">
        <is>
          <t>Tray</t>
        </is>
      </c>
      <c r="T529" s="10" t="n">
        <v>235</v>
      </c>
      <c r="U529" s="10" t="n">
        <v>96</v>
      </c>
      <c r="V529" s="10">
        <f>ROUNDUP((T529+U529+2*'Read Me'!$B$13)*(1+'Read Me'!$B$12),-1)</f>
        <v/>
      </c>
      <c r="W529" s="10">
        <f>V529*N529*O529</f>
        <v/>
      </c>
      <c r="X529" s="9">
        <f>IF(LEFT(I529,2)="MV",2*N529*IF(L529="1/C",O529,1),0)</f>
        <v/>
      </c>
      <c r="Y529" s="9">
        <f>IF(OR(LEFT(K529,4)="LVAX",LEFT(K529,6)="MV15AX",LEFT(K529,4)="CTAX",LEFT(K529,2)="W|"),2*N529*O529,0)</f>
        <v/>
      </c>
      <c r="Z529" s="9" t="inlineStr"/>
    </row>
    <row r="530">
      <c r="A530" s="9" t="inlineStr">
        <is>
          <t>A-I-0067</t>
        </is>
      </c>
      <c r="B530" s="9" t="inlineStr">
        <is>
          <t>A</t>
        </is>
      </c>
      <c r="C530" s="9" t="inlineStr">
        <is>
          <t>Power block</t>
        </is>
      </c>
      <c r="D530" s="9" t="inlineStr">
        <is>
          <t>Instrumentation</t>
        </is>
      </c>
      <c r="E530" s="9" t="inlineStr">
        <is>
          <t>R3</t>
        </is>
      </c>
      <c r="F530" s="9" t="inlineStr">
        <is>
          <t>R3: ST auxiliary electrical e-house (40 x 65 ft)</t>
        </is>
      </c>
      <c r="G530" s="9" t="inlineStr">
        <is>
          <t>FS-GT3</t>
        </is>
      </c>
      <c r="H530" s="9" t="inlineStr">
        <is>
          <t>FS-GT3: CO2 fire-suppression skid</t>
        </is>
      </c>
      <c r="I530" s="9" t="inlineStr">
        <is>
          <t>Instrumentation</t>
        </is>
      </c>
      <c r="J530" s="9" t="inlineStr">
        <is>
          <t>Instrumentation PLTC / TC-ER 300 V, #18 twisted shielded pairs, overall shield</t>
        </is>
      </c>
      <c r="K530" s="9" t="inlineStr">
        <is>
          <t>PLTC|12 pr|18</t>
        </is>
      </c>
      <c r="L530" s="9" t="inlineStr">
        <is>
          <t>12 pr</t>
        </is>
      </c>
      <c r="M530" s="9" t="inlineStr">
        <is>
          <t>18</t>
        </is>
      </c>
      <c r="N530" s="9" t="n">
        <v>1</v>
      </c>
      <c r="O530" s="9" t="n">
        <v>1</v>
      </c>
      <c r="P530" s="9" t="n"/>
      <c r="Q530" s="9" t="n"/>
      <c r="R530" s="9" t="n"/>
      <c r="S530" s="9" t="inlineStr">
        <is>
          <t>Tray</t>
        </is>
      </c>
      <c r="T530" s="10" t="n">
        <v>235</v>
      </c>
      <c r="U530" s="10" t="n">
        <v>96</v>
      </c>
      <c r="V530" s="10">
        <f>ROUNDUP((T530+U530+2*'Read Me'!$B$13)*(1+'Read Me'!$B$12),-1)</f>
        <v/>
      </c>
      <c r="W530" s="10">
        <f>V530*N530*O530</f>
        <v/>
      </c>
      <c r="X530" s="9">
        <f>IF(LEFT(I530,2)="MV",2*N530*IF(L530="1/C",O530,1),0)</f>
        <v/>
      </c>
      <c r="Y530" s="9">
        <f>IF(OR(LEFT(K530,4)="LVAX",LEFT(K530,6)="MV15AX",LEFT(K530,4)="CTAX",LEFT(K530,2)="W|"),2*N530*O530,0)</f>
        <v/>
      </c>
      <c r="Z530" s="9" t="inlineStr"/>
    </row>
    <row r="531">
      <c r="A531" s="9" t="inlineStr">
        <is>
          <t>A-I-0068</t>
        </is>
      </c>
      <c r="B531" s="9" t="inlineStr">
        <is>
          <t>A</t>
        </is>
      </c>
      <c r="C531" s="9" t="inlineStr">
        <is>
          <t>Power block</t>
        </is>
      </c>
      <c r="D531" s="9" t="inlineStr">
        <is>
          <t>Instrumentation</t>
        </is>
      </c>
      <c r="E531" s="9" t="inlineStr">
        <is>
          <t>R3</t>
        </is>
      </c>
      <c r="F531" s="9" t="inlineStr">
        <is>
          <t>R3: ST auxiliary electrical e-house (40 x 65 ft)</t>
        </is>
      </c>
      <c r="G531" s="9" t="inlineStr">
        <is>
          <t>FS-GT3</t>
        </is>
      </c>
      <c r="H531" s="9" t="inlineStr">
        <is>
          <t>FS-GT3: CO2 fire-suppression skid</t>
        </is>
      </c>
      <c r="I531" s="9" t="inlineStr">
        <is>
          <t>Instrumentation</t>
        </is>
      </c>
      <c r="J531" s="9" t="inlineStr">
        <is>
          <t>Instrumentation PLTC / TC-ER 300 V, #18 twisted shielded pairs, overall shield</t>
        </is>
      </c>
      <c r="K531" s="9" t="inlineStr">
        <is>
          <t>PLTC|12 pr|18</t>
        </is>
      </c>
      <c r="L531" s="9" t="inlineStr">
        <is>
          <t>12 pr</t>
        </is>
      </c>
      <c r="M531" s="9" t="inlineStr">
        <is>
          <t>18</t>
        </is>
      </c>
      <c r="N531" s="9" t="n">
        <v>1</v>
      </c>
      <c r="O531" s="9" t="n">
        <v>1</v>
      </c>
      <c r="P531" s="9" t="n"/>
      <c r="Q531" s="9" t="n"/>
      <c r="R531" s="9" t="n"/>
      <c r="S531" s="9" t="inlineStr">
        <is>
          <t>Tray</t>
        </is>
      </c>
      <c r="T531" s="10" t="n">
        <v>235</v>
      </c>
      <c r="U531" s="10" t="n">
        <v>96</v>
      </c>
      <c r="V531" s="10">
        <f>ROUNDUP((T531+U531+2*'Read Me'!$B$13)*(1+'Read Me'!$B$12),-1)</f>
        <v/>
      </c>
      <c r="W531" s="10">
        <f>V531*N531*O531</f>
        <v/>
      </c>
      <c r="X531" s="9">
        <f>IF(LEFT(I531,2)="MV",2*N531*IF(L531="1/C",O531,1),0)</f>
        <v/>
      </c>
      <c r="Y531" s="9">
        <f>IF(OR(LEFT(K531,4)="LVAX",LEFT(K531,6)="MV15AX",LEFT(K531,4)="CTAX",LEFT(K531,2)="W|"),2*N531*O531,0)</f>
        <v/>
      </c>
      <c r="Z531" s="9" t="inlineStr"/>
    </row>
    <row r="532">
      <c r="A532" s="9" t="inlineStr">
        <is>
          <t>A-I-0069</t>
        </is>
      </c>
      <c r="B532" s="9" t="inlineStr">
        <is>
          <t>A</t>
        </is>
      </c>
      <c r="C532" s="9" t="inlineStr">
        <is>
          <t>Power block</t>
        </is>
      </c>
      <c r="D532" s="9" t="inlineStr">
        <is>
          <t>Instrumentation</t>
        </is>
      </c>
      <c r="E532" s="9" t="inlineStr">
        <is>
          <t>R3</t>
        </is>
      </c>
      <c r="F532" s="9" t="inlineStr">
        <is>
          <t>R3: ST auxiliary electrical e-house (40 x 65 ft)</t>
        </is>
      </c>
      <c r="G532" s="9" t="inlineStr">
        <is>
          <t>FS-GT3</t>
        </is>
      </c>
      <c r="H532" s="9" t="inlineStr">
        <is>
          <t>FS-GT3: CO2 fire-suppression skid</t>
        </is>
      </c>
      <c r="I532" s="9" t="inlineStr">
        <is>
          <t>Instrumentation</t>
        </is>
      </c>
      <c r="J532" s="9" t="inlineStr">
        <is>
          <t>Instrumentation PLTC / TC-ER 300 V, #18 twisted shielded pairs, overall shield</t>
        </is>
      </c>
      <c r="K532" s="9" t="inlineStr">
        <is>
          <t>PLTC|12 pr|18</t>
        </is>
      </c>
      <c r="L532" s="9" t="inlineStr">
        <is>
          <t>12 pr</t>
        </is>
      </c>
      <c r="M532" s="9" t="inlineStr">
        <is>
          <t>18</t>
        </is>
      </c>
      <c r="N532" s="9" t="n">
        <v>1</v>
      </c>
      <c r="O532" s="9" t="n">
        <v>1</v>
      </c>
      <c r="P532" s="9" t="n"/>
      <c r="Q532" s="9" t="n"/>
      <c r="R532" s="9" t="n"/>
      <c r="S532" s="9" t="inlineStr">
        <is>
          <t>Tray</t>
        </is>
      </c>
      <c r="T532" s="10" t="n">
        <v>235</v>
      </c>
      <c r="U532" s="10" t="n">
        <v>96</v>
      </c>
      <c r="V532" s="10">
        <f>ROUNDUP((T532+U532+2*'Read Me'!$B$13)*(1+'Read Me'!$B$12),-1)</f>
        <v/>
      </c>
      <c r="W532" s="10">
        <f>V532*N532*O532</f>
        <v/>
      </c>
      <c r="X532" s="9">
        <f>IF(LEFT(I532,2)="MV",2*N532*IF(L532="1/C",O532,1),0)</f>
        <v/>
      </c>
      <c r="Y532" s="9">
        <f>IF(OR(LEFT(K532,4)="LVAX",LEFT(K532,6)="MV15AX",LEFT(K532,4)="CTAX",LEFT(K532,2)="W|"),2*N532*O532,0)</f>
        <v/>
      </c>
      <c r="Z532" s="9" t="inlineStr"/>
    </row>
    <row r="533">
      <c r="A533" s="9" t="inlineStr">
        <is>
          <t>A-I-0070</t>
        </is>
      </c>
      <c r="B533" s="9" t="inlineStr">
        <is>
          <t>A</t>
        </is>
      </c>
      <c r="C533" s="9" t="inlineStr">
        <is>
          <t>Power block</t>
        </is>
      </c>
      <c r="D533" s="9" t="inlineStr">
        <is>
          <t>Instrumentation</t>
        </is>
      </c>
      <c r="E533" s="9" t="inlineStr">
        <is>
          <t>R3</t>
        </is>
      </c>
      <c r="F533" s="9" t="inlineStr">
        <is>
          <t>R3: ST auxiliary electrical e-house (40 x 65 ft)</t>
        </is>
      </c>
      <c r="G533" s="9" t="inlineStr">
        <is>
          <t>FS-GT3</t>
        </is>
      </c>
      <c r="H533" s="9" t="inlineStr">
        <is>
          <t>FS-GT3: CO2 fire-suppression skid</t>
        </is>
      </c>
      <c r="I533" s="9" t="inlineStr">
        <is>
          <t>Instrumentation</t>
        </is>
      </c>
      <c r="J533" s="9" t="inlineStr">
        <is>
          <t>Instrumentation PLTC / TC-ER 300 V, #18 twisted shielded pairs, overall shield</t>
        </is>
      </c>
      <c r="K533" s="9" t="inlineStr">
        <is>
          <t>PLTC|12 pr|18</t>
        </is>
      </c>
      <c r="L533" s="9" t="inlineStr">
        <is>
          <t>12 pr</t>
        </is>
      </c>
      <c r="M533" s="9" t="inlineStr">
        <is>
          <t>18</t>
        </is>
      </c>
      <c r="N533" s="9" t="n">
        <v>1</v>
      </c>
      <c r="O533" s="9" t="n">
        <v>1</v>
      </c>
      <c r="P533" s="9" t="n"/>
      <c r="Q533" s="9" t="n"/>
      <c r="R533" s="9" t="n"/>
      <c r="S533" s="9" t="inlineStr">
        <is>
          <t>Tray</t>
        </is>
      </c>
      <c r="T533" s="10" t="n">
        <v>235</v>
      </c>
      <c r="U533" s="10" t="n">
        <v>96</v>
      </c>
      <c r="V533" s="10">
        <f>ROUNDUP((T533+U533+2*'Read Me'!$B$13)*(1+'Read Me'!$B$12),-1)</f>
        <v/>
      </c>
      <c r="W533" s="10">
        <f>V533*N533*O533</f>
        <v/>
      </c>
      <c r="X533" s="9">
        <f>IF(LEFT(I533,2)="MV",2*N533*IF(L533="1/C",O533,1),0)</f>
        <v/>
      </c>
      <c r="Y533" s="9">
        <f>IF(OR(LEFT(K533,4)="LVAX",LEFT(K533,6)="MV15AX",LEFT(K533,4)="CTAX",LEFT(K533,2)="W|"),2*N533*O533,0)</f>
        <v/>
      </c>
      <c r="Z533" s="9" t="inlineStr"/>
    </row>
    <row r="534">
      <c r="A534" s="9" t="inlineStr">
        <is>
          <t>A-I-0071</t>
        </is>
      </c>
      <c r="B534" s="9" t="inlineStr">
        <is>
          <t>A</t>
        </is>
      </c>
      <c r="C534" s="9" t="inlineStr">
        <is>
          <t>Power block</t>
        </is>
      </c>
      <c r="D534" s="9" t="inlineStr">
        <is>
          <t>Instrumentation</t>
        </is>
      </c>
      <c r="E534" s="9" t="inlineStr">
        <is>
          <t>R3</t>
        </is>
      </c>
      <c r="F534" s="9" t="inlineStr">
        <is>
          <t>R3: ST auxiliary electrical e-house (40 x 65 ft)</t>
        </is>
      </c>
      <c r="G534" s="9" t="inlineStr">
        <is>
          <t>FS-GT3</t>
        </is>
      </c>
      <c r="H534" s="9" t="inlineStr">
        <is>
          <t>FS-GT3: CO2 fire-suppression skid</t>
        </is>
      </c>
      <c r="I534" s="9" t="inlineStr">
        <is>
          <t>Instrumentation</t>
        </is>
      </c>
      <c r="J534" s="9" t="inlineStr">
        <is>
          <t>Instrumentation PLTC / TC-ER 300 V, #18 twisted shielded pairs, overall shield</t>
        </is>
      </c>
      <c r="K534" s="9" t="inlineStr">
        <is>
          <t>PLTC|12 pr|18</t>
        </is>
      </c>
      <c r="L534" s="9" t="inlineStr">
        <is>
          <t>12 pr</t>
        </is>
      </c>
      <c r="M534" s="9" t="inlineStr">
        <is>
          <t>18</t>
        </is>
      </c>
      <c r="N534" s="9" t="n">
        <v>1</v>
      </c>
      <c r="O534" s="9" t="n">
        <v>1</v>
      </c>
      <c r="P534" s="9" t="n"/>
      <c r="Q534" s="9" t="n"/>
      <c r="R534" s="9" t="n"/>
      <c r="S534" s="9" t="inlineStr">
        <is>
          <t>Tray</t>
        </is>
      </c>
      <c r="T534" s="10" t="n">
        <v>235</v>
      </c>
      <c r="U534" s="10" t="n">
        <v>96</v>
      </c>
      <c r="V534" s="10">
        <f>ROUNDUP((T534+U534+2*'Read Me'!$B$13)*(1+'Read Me'!$B$12),-1)</f>
        <v/>
      </c>
      <c r="W534" s="10">
        <f>V534*N534*O534</f>
        <v/>
      </c>
      <c r="X534" s="9">
        <f>IF(LEFT(I534,2)="MV",2*N534*IF(L534="1/C",O534,1),0)</f>
        <v/>
      </c>
      <c r="Y534" s="9">
        <f>IF(OR(LEFT(K534,4)="LVAX",LEFT(K534,6)="MV15AX",LEFT(K534,4)="CTAX",LEFT(K534,2)="W|"),2*N534*O534,0)</f>
        <v/>
      </c>
      <c r="Z534" s="9" t="inlineStr"/>
    </row>
    <row r="535">
      <c r="A535" s="9" t="inlineStr">
        <is>
          <t>A-I-0072</t>
        </is>
      </c>
      <c r="B535" s="9" t="inlineStr">
        <is>
          <t>A</t>
        </is>
      </c>
      <c r="C535" s="9" t="inlineStr">
        <is>
          <t>Power block</t>
        </is>
      </c>
      <c r="D535" s="9" t="inlineStr">
        <is>
          <t>Instrumentation</t>
        </is>
      </c>
      <c r="E535" s="9" t="inlineStr">
        <is>
          <t>R3</t>
        </is>
      </c>
      <c r="F535" s="9" t="inlineStr">
        <is>
          <t>R3: ST auxiliary electrical e-house (40 x 65 ft)</t>
        </is>
      </c>
      <c r="G535" s="9" t="inlineStr">
        <is>
          <t>FS-GT3</t>
        </is>
      </c>
      <c r="H535" s="9" t="inlineStr">
        <is>
          <t>FS-GT3: CO2 fire-suppression skid</t>
        </is>
      </c>
      <c r="I535" s="9" t="inlineStr">
        <is>
          <t>Instrumentation</t>
        </is>
      </c>
      <c r="J535" s="9" t="inlineStr">
        <is>
          <t>Instrumentation PLTC / TC-ER 300 V, #18 twisted shielded pairs, overall shield</t>
        </is>
      </c>
      <c r="K535" s="9" t="inlineStr">
        <is>
          <t>PLTC|12 pr|18</t>
        </is>
      </c>
      <c r="L535" s="9" t="inlineStr">
        <is>
          <t>12 pr</t>
        </is>
      </c>
      <c r="M535" s="9" t="inlineStr">
        <is>
          <t>18</t>
        </is>
      </c>
      <c r="N535" s="9" t="n">
        <v>1</v>
      </c>
      <c r="O535" s="9" t="n">
        <v>1</v>
      </c>
      <c r="P535" s="9" t="n"/>
      <c r="Q535" s="9" t="n"/>
      <c r="R535" s="9" t="n"/>
      <c r="S535" s="9" t="inlineStr">
        <is>
          <t>Tray</t>
        </is>
      </c>
      <c r="T535" s="10" t="n">
        <v>235</v>
      </c>
      <c r="U535" s="10" t="n">
        <v>96</v>
      </c>
      <c r="V535" s="10">
        <f>ROUNDUP((T535+U535+2*'Read Me'!$B$13)*(1+'Read Me'!$B$12),-1)</f>
        <v/>
      </c>
      <c r="W535" s="10">
        <f>V535*N535*O535</f>
        <v/>
      </c>
      <c r="X535" s="9">
        <f>IF(LEFT(I535,2)="MV",2*N535*IF(L535="1/C",O535,1),0)</f>
        <v/>
      </c>
      <c r="Y535" s="9">
        <f>IF(OR(LEFT(K535,4)="LVAX",LEFT(K535,6)="MV15AX",LEFT(K535,4)="CTAX",LEFT(K535,2)="W|"),2*N535*O535,0)</f>
        <v/>
      </c>
      <c r="Z535" s="9" t="inlineStr"/>
    </row>
    <row r="536">
      <c r="A536" s="9" t="inlineStr">
        <is>
          <t>A-I-0073</t>
        </is>
      </c>
      <c r="B536" s="9" t="inlineStr">
        <is>
          <t>A</t>
        </is>
      </c>
      <c r="C536" s="9" t="inlineStr">
        <is>
          <t>Power block</t>
        </is>
      </c>
      <c r="D536" s="9" t="inlineStr">
        <is>
          <t>Instrumentation</t>
        </is>
      </c>
      <c r="E536" s="9" t="inlineStr">
        <is>
          <t>R3</t>
        </is>
      </c>
      <c r="F536" s="9" t="inlineStr">
        <is>
          <t>R3: ST auxiliary electrical e-house (40 x 65 ft)</t>
        </is>
      </c>
      <c r="G536" s="9" t="inlineStr">
        <is>
          <t>FS-GT3</t>
        </is>
      </c>
      <c r="H536" s="9" t="inlineStr">
        <is>
          <t>FS-GT3: CO2 fire-suppression skid</t>
        </is>
      </c>
      <c r="I536" s="9" t="inlineStr">
        <is>
          <t>Instrumentation</t>
        </is>
      </c>
      <c r="J536" s="9" t="inlineStr">
        <is>
          <t>Instrumentation PLTC / TC-ER 300 V, #18 twisted shielded pairs, overall shield</t>
        </is>
      </c>
      <c r="K536" s="9" t="inlineStr">
        <is>
          <t>PLTC|12 pr|18</t>
        </is>
      </c>
      <c r="L536" s="9" t="inlineStr">
        <is>
          <t>12 pr</t>
        </is>
      </c>
      <c r="M536" s="9" t="inlineStr">
        <is>
          <t>18</t>
        </is>
      </c>
      <c r="N536" s="9" t="n">
        <v>1</v>
      </c>
      <c r="O536" s="9" t="n">
        <v>1</v>
      </c>
      <c r="P536" s="9" t="n"/>
      <c r="Q536" s="9" t="n"/>
      <c r="R536" s="9" t="n"/>
      <c r="S536" s="9" t="inlineStr">
        <is>
          <t>Tray</t>
        </is>
      </c>
      <c r="T536" s="10" t="n">
        <v>235</v>
      </c>
      <c r="U536" s="10" t="n">
        <v>96</v>
      </c>
      <c r="V536" s="10">
        <f>ROUNDUP((T536+U536+2*'Read Me'!$B$13)*(1+'Read Me'!$B$12),-1)</f>
        <v/>
      </c>
      <c r="W536" s="10">
        <f>V536*N536*O536</f>
        <v/>
      </c>
      <c r="X536" s="9">
        <f>IF(LEFT(I536,2)="MV",2*N536*IF(L536="1/C",O536,1),0)</f>
        <v/>
      </c>
      <c r="Y536" s="9">
        <f>IF(OR(LEFT(K536,4)="LVAX",LEFT(K536,6)="MV15AX",LEFT(K536,4)="CTAX",LEFT(K536,2)="W|"),2*N536*O536,0)</f>
        <v/>
      </c>
      <c r="Z536" s="9" t="inlineStr"/>
    </row>
    <row r="537">
      <c r="A537" s="9" t="inlineStr">
        <is>
          <t>A-I-0074</t>
        </is>
      </c>
      <c r="B537" s="9" t="inlineStr">
        <is>
          <t>A</t>
        </is>
      </c>
      <c r="C537" s="9" t="inlineStr">
        <is>
          <t>Power block</t>
        </is>
      </c>
      <c r="D537" s="9" t="inlineStr">
        <is>
          <t>Instrumentation</t>
        </is>
      </c>
      <c r="E537" s="9" t="inlineStr">
        <is>
          <t>R2B</t>
        </is>
      </c>
      <c r="F537" s="9" t="inlineStr">
        <is>
          <t>R2B: unit / HRSG electrical e-house (32 x 40 ft)</t>
        </is>
      </c>
      <c r="G537" s="9" t="inlineStr">
        <is>
          <t>GFM-1</t>
        </is>
      </c>
      <c r="H537" s="9" t="inlineStr">
        <is>
          <t>GFM-1: GT1 gas fuel module (stop / control valves, final strainer)</t>
        </is>
      </c>
      <c r="I537" s="9" t="inlineStr">
        <is>
          <t>Instrumentation</t>
        </is>
      </c>
      <c r="J537" s="9" t="inlineStr">
        <is>
          <t>Instrumentation ITC / PLTC, IS, #18 shielded pairs, blue jacket</t>
        </is>
      </c>
      <c r="K537" s="9" t="inlineStr">
        <is>
          <t>ITC|4 pr|18</t>
        </is>
      </c>
      <c r="L537" s="9" t="inlineStr">
        <is>
          <t>4 pr</t>
        </is>
      </c>
      <c r="M537" s="9" t="inlineStr">
        <is>
          <t>18</t>
        </is>
      </c>
      <c r="N537" s="9" t="n">
        <v>1</v>
      </c>
      <c r="O537" s="9" t="n">
        <v>1</v>
      </c>
      <c r="P537" s="9" t="n"/>
      <c r="Q537" s="9" t="n"/>
      <c r="R537" s="9" t="n"/>
      <c r="S537" s="9" t="inlineStr">
        <is>
          <t>Tray</t>
        </is>
      </c>
      <c r="T537" s="10" t="n">
        <v>799</v>
      </c>
      <c r="U537" s="10" t="n">
        <v>96</v>
      </c>
      <c r="V537" s="10">
        <f>ROUNDUP((T537+U537+2*'Read Me'!$B$13)*(1+'Read Me'!$B$12),-1)</f>
        <v/>
      </c>
      <c r="W537" s="10">
        <f>V537*N537*O537</f>
        <v/>
      </c>
      <c r="X537" s="9">
        <f>IF(LEFT(I537,2)="MV",2*N537*IF(L537="1/C",O537,1),0)</f>
        <v/>
      </c>
      <c r="Y537" s="9">
        <f>IF(OR(LEFT(K537,4)="LVAX",LEFT(K537,6)="MV15AX",LEFT(K537,4)="CTAX",LEFT(K537,2)="W|"),2*N537*O537,0)</f>
        <v/>
      </c>
      <c r="Z537" s="9" t="inlineStr"/>
    </row>
    <row r="538">
      <c r="A538" s="9" t="inlineStr">
        <is>
          <t>A-I-0075</t>
        </is>
      </c>
      <c r="B538" s="9" t="inlineStr">
        <is>
          <t>A</t>
        </is>
      </c>
      <c r="C538" s="9" t="inlineStr">
        <is>
          <t>Power block</t>
        </is>
      </c>
      <c r="D538" s="9" t="inlineStr">
        <is>
          <t>Instrumentation</t>
        </is>
      </c>
      <c r="E538" s="9" t="inlineStr">
        <is>
          <t>R2B</t>
        </is>
      </c>
      <c r="F538" s="9" t="inlineStr">
        <is>
          <t>R2B: unit / HRSG electrical e-house (32 x 40 ft)</t>
        </is>
      </c>
      <c r="G538" s="9" t="inlineStr">
        <is>
          <t>GFM-1</t>
        </is>
      </c>
      <c r="H538" s="9" t="inlineStr">
        <is>
          <t>GFM-1: GT1 gas fuel module (stop / control valves, final strainer)</t>
        </is>
      </c>
      <c r="I538" s="9" t="inlineStr">
        <is>
          <t>Instrumentation</t>
        </is>
      </c>
      <c r="J538" s="9" t="inlineStr">
        <is>
          <t>Instrumentation ITC / PLTC, IS, #18 shielded pairs, blue jacket</t>
        </is>
      </c>
      <c r="K538" s="9" t="inlineStr">
        <is>
          <t>ITC|12 pr|18</t>
        </is>
      </c>
      <c r="L538" s="9" t="inlineStr">
        <is>
          <t>12 pr</t>
        </is>
      </c>
      <c r="M538" s="9" t="inlineStr">
        <is>
          <t>18</t>
        </is>
      </c>
      <c r="N538" s="9" t="n">
        <v>1</v>
      </c>
      <c r="O538" s="9" t="n">
        <v>1</v>
      </c>
      <c r="P538" s="9" t="n"/>
      <c r="Q538" s="9" t="n"/>
      <c r="R538" s="9" t="n"/>
      <c r="S538" s="9" t="inlineStr">
        <is>
          <t>Tray</t>
        </is>
      </c>
      <c r="T538" s="10" t="n">
        <v>799</v>
      </c>
      <c r="U538" s="10" t="n">
        <v>96</v>
      </c>
      <c r="V538" s="10">
        <f>ROUNDUP((T538+U538+2*'Read Me'!$B$13)*(1+'Read Me'!$B$12),-1)</f>
        <v/>
      </c>
      <c r="W538" s="10">
        <f>V538*N538*O538</f>
        <v/>
      </c>
      <c r="X538" s="9">
        <f>IF(LEFT(I538,2)="MV",2*N538*IF(L538="1/C",O538,1),0)</f>
        <v/>
      </c>
      <c r="Y538" s="9">
        <f>IF(OR(LEFT(K538,4)="LVAX",LEFT(K538,6)="MV15AX",LEFT(K538,4)="CTAX",LEFT(K538,2)="W|"),2*N538*O538,0)</f>
        <v/>
      </c>
      <c r="Z538" s="9" t="inlineStr"/>
    </row>
    <row r="539">
      <c r="A539" s="9" t="inlineStr">
        <is>
          <t>A-I-0076</t>
        </is>
      </c>
      <c r="B539" s="9" t="inlineStr">
        <is>
          <t>A</t>
        </is>
      </c>
      <c r="C539" s="9" t="inlineStr">
        <is>
          <t>Power block</t>
        </is>
      </c>
      <c r="D539" s="9" t="inlineStr">
        <is>
          <t>Instrumentation</t>
        </is>
      </c>
      <c r="E539" s="9" t="inlineStr">
        <is>
          <t>R2C</t>
        </is>
      </c>
      <c r="F539" s="9" t="inlineStr">
        <is>
          <t>R2C: unit / HRSG electrical e-house (32 x 40 ft)</t>
        </is>
      </c>
      <c r="G539" s="9" t="inlineStr">
        <is>
          <t>GFM-2</t>
        </is>
      </c>
      <c r="H539" s="9" t="inlineStr">
        <is>
          <t>GFM-2: GT2 gas fuel module (stop / control valves, final strainer)</t>
        </is>
      </c>
      <c r="I539" s="9" t="inlineStr">
        <is>
          <t>Instrumentation</t>
        </is>
      </c>
      <c r="J539" s="9" t="inlineStr">
        <is>
          <t>Instrumentation ITC / PLTC, IS, #18 shielded pairs, blue jacket</t>
        </is>
      </c>
      <c r="K539" s="9" t="inlineStr">
        <is>
          <t>ITC|4 pr|18</t>
        </is>
      </c>
      <c r="L539" s="9" t="inlineStr">
        <is>
          <t>4 pr</t>
        </is>
      </c>
      <c r="M539" s="9" t="inlineStr">
        <is>
          <t>18</t>
        </is>
      </c>
      <c r="N539" s="9" t="n">
        <v>1</v>
      </c>
      <c r="O539" s="9" t="n">
        <v>1</v>
      </c>
      <c r="P539" s="9" t="n"/>
      <c r="Q539" s="9" t="n"/>
      <c r="R539" s="9" t="n"/>
      <c r="S539" s="9" t="inlineStr">
        <is>
          <t>Tray</t>
        </is>
      </c>
      <c r="T539" s="10" t="n">
        <v>1119</v>
      </c>
      <c r="U539" s="10" t="n">
        <v>96</v>
      </c>
      <c r="V539" s="10">
        <f>ROUNDUP((T539+U539+2*'Read Me'!$B$13)*(1+'Read Me'!$B$12),-1)</f>
        <v/>
      </c>
      <c r="W539" s="10">
        <f>V539*N539*O539</f>
        <v/>
      </c>
      <c r="X539" s="9">
        <f>IF(LEFT(I539,2)="MV",2*N539*IF(L539="1/C",O539,1),0)</f>
        <v/>
      </c>
      <c r="Y539" s="9">
        <f>IF(OR(LEFT(K539,4)="LVAX",LEFT(K539,6)="MV15AX",LEFT(K539,4)="CTAX",LEFT(K539,2)="W|"),2*N539*O539,0)</f>
        <v/>
      </c>
      <c r="Z539" s="9" t="inlineStr"/>
    </row>
    <row r="540">
      <c r="A540" s="9" t="inlineStr">
        <is>
          <t>A-I-0077</t>
        </is>
      </c>
      <c r="B540" s="9" t="inlineStr">
        <is>
          <t>A</t>
        </is>
      </c>
      <c r="C540" s="9" t="inlineStr">
        <is>
          <t>Power block</t>
        </is>
      </c>
      <c r="D540" s="9" t="inlineStr">
        <is>
          <t>Instrumentation</t>
        </is>
      </c>
      <c r="E540" s="9" t="inlineStr">
        <is>
          <t>R2C</t>
        </is>
      </c>
      <c r="F540" s="9" t="inlineStr">
        <is>
          <t>R2C: unit / HRSG electrical e-house (32 x 40 ft)</t>
        </is>
      </c>
      <c r="G540" s="9" t="inlineStr">
        <is>
          <t>GFM-2</t>
        </is>
      </c>
      <c r="H540" s="9" t="inlineStr">
        <is>
          <t>GFM-2: GT2 gas fuel module (stop / control valves, final strainer)</t>
        </is>
      </c>
      <c r="I540" s="9" t="inlineStr">
        <is>
          <t>Instrumentation</t>
        </is>
      </c>
      <c r="J540" s="9" t="inlineStr">
        <is>
          <t>Instrumentation ITC / PLTC, IS, #18 shielded pairs, blue jacket</t>
        </is>
      </c>
      <c r="K540" s="9" t="inlineStr">
        <is>
          <t>ITC|12 pr|18</t>
        </is>
      </c>
      <c r="L540" s="9" t="inlineStr">
        <is>
          <t>12 pr</t>
        </is>
      </c>
      <c r="M540" s="9" t="inlineStr">
        <is>
          <t>18</t>
        </is>
      </c>
      <c r="N540" s="9" t="n">
        <v>1</v>
      </c>
      <c r="O540" s="9" t="n">
        <v>1</v>
      </c>
      <c r="P540" s="9" t="n"/>
      <c r="Q540" s="9" t="n"/>
      <c r="R540" s="9" t="n"/>
      <c r="S540" s="9" t="inlineStr">
        <is>
          <t>Tray</t>
        </is>
      </c>
      <c r="T540" s="10" t="n">
        <v>1119</v>
      </c>
      <c r="U540" s="10" t="n">
        <v>96</v>
      </c>
      <c r="V540" s="10">
        <f>ROUNDUP((T540+U540+2*'Read Me'!$B$13)*(1+'Read Me'!$B$12),-1)</f>
        <v/>
      </c>
      <c r="W540" s="10">
        <f>V540*N540*O540</f>
        <v/>
      </c>
      <c r="X540" s="9">
        <f>IF(LEFT(I540,2)="MV",2*N540*IF(L540="1/C",O540,1),0)</f>
        <v/>
      </c>
      <c r="Y540" s="9">
        <f>IF(OR(LEFT(K540,4)="LVAX",LEFT(K540,6)="MV15AX",LEFT(K540,4)="CTAX",LEFT(K540,2)="W|"),2*N540*O540,0)</f>
        <v/>
      </c>
      <c r="Z540" s="9" t="inlineStr"/>
    </row>
    <row r="541">
      <c r="A541" s="9" t="inlineStr">
        <is>
          <t>A-I-0078</t>
        </is>
      </c>
      <c r="B541" s="9" t="inlineStr">
        <is>
          <t>A</t>
        </is>
      </c>
      <c r="C541" s="9" t="inlineStr">
        <is>
          <t>Power block</t>
        </is>
      </c>
      <c r="D541" s="9" t="inlineStr">
        <is>
          <t>Instrumentation</t>
        </is>
      </c>
      <c r="E541" s="9" t="inlineStr">
        <is>
          <t>R3</t>
        </is>
      </c>
      <c r="F541" s="9" t="inlineStr">
        <is>
          <t>R3: ST auxiliary electrical e-house (40 x 65 ft)</t>
        </is>
      </c>
      <c r="G541" s="9" t="inlineStr">
        <is>
          <t>GFM-3</t>
        </is>
      </c>
      <c r="H541" s="9" t="inlineStr">
        <is>
          <t>GFM-3: GT3 gas fuel module (stop / control valves, final strainer)</t>
        </is>
      </c>
      <c r="I541" s="9" t="inlineStr">
        <is>
          <t>Instrumentation</t>
        </is>
      </c>
      <c r="J541" s="9" t="inlineStr">
        <is>
          <t>Instrumentation ITC / PLTC, IS, #18 shielded pairs, blue jacket</t>
        </is>
      </c>
      <c r="K541" s="9" t="inlineStr">
        <is>
          <t>ITC|4 pr|18</t>
        </is>
      </c>
      <c r="L541" s="9" t="inlineStr">
        <is>
          <t>4 pr</t>
        </is>
      </c>
      <c r="M541" s="9" t="inlineStr">
        <is>
          <t>18</t>
        </is>
      </c>
      <c r="N541" s="9" t="n">
        <v>1</v>
      </c>
      <c r="O541" s="9" t="n">
        <v>1</v>
      </c>
      <c r="P541" s="9" t="n"/>
      <c r="Q541" s="9" t="n"/>
      <c r="R541" s="9" t="n"/>
      <c r="S541" s="9" t="inlineStr">
        <is>
          <t>Tray</t>
        </is>
      </c>
      <c r="T541" s="10" t="n">
        <v>223</v>
      </c>
      <c r="U541" s="10" t="n">
        <v>70</v>
      </c>
      <c r="V541" s="10">
        <f>ROUNDUP((T541+U541+2*'Read Me'!$B$13)*(1+'Read Me'!$B$12),-1)</f>
        <v/>
      </c>
      <c r="W541" s="10">
        <f>V541*N541*O541</f>
        <v/>
      </c>
      <c r="X541" s="9">
        <f>IF(LEFT(I541,2)="MV",2*N541*IF(L541="1/C",O541,1),0)</f>
        <v/>
      </c>
      <c r="Y541" s="9">
        <f>IF(OR(LEFT(K541,4)="LVAX",LEFT(K541,6)="MV15AX",LEFT(K541,4)="CTAX",LEFT(K541,2)="W|"),2*N541*O541,0)</f>
        <v/>
      </c>
      <c r="Z541" s="9" t="inlineStr"/>
    </row>
    <row r="542">
      <c r="A542" s="9" t="inlineStr">
        <is>
          <t>A-I-0079</t>
        </is>
      </c>
      <c r="B542" s="9" t="inlineStr">
        <is>
          <t>A</t>
        </is>
      </c>
      <c r="C542" s="9" t="inlineStr">
        <is>
          <t>Power block</t>
        </is>
      </c>
      <c r="D542" s="9" t="inlineStr">
        <is>
          <t>Instrumentation</t>
        </is>
      </c>
      <c r="E542" s="9" t="inlineStr">
        <is>
          <t>R3</t>
        </is>
      </c>
      <c r="F542" s="9" t="inlineStr">
        <is>
          <t>R3: ST auxiliary electrical e-house (40 x 65 ft)</t>
        </is>
      </c>
      <c r="G542" s="9" t="inlineStr">
        <is>
          <t>GFM-3</t>
        </is>
      </c>
      <c r="H542" s="9" t="inlineStr">
        <is>
          <t>GFM-3: GT3 gas fuel module (stop / control valves, final strainer)</t>
        </is>
      </c>
      <c r="I542" s="9" t="inlineStr">
        <is>
          <t>Instrumentation</t>
        </is>
      </c>
      <c r="J542" s="9" t="inlineStr">
        <is>
          <t>Instrumentation ITC / PLTC, IS, #18 shielded pairs, blue jacket</t>
        </is>
      </c>
      <c r="K542" s="9" t="inlineStr">
        <is>
          <t>ITC|12 pr|18</t>
        </is>
      </c>
      <c r="L542" s="9" t="inlineStr">
        <is>
          <t>12 pr</t>
        </is>
      </c>
      <c r="M542" s="9" t="inlineStr">
        <is>
          <t>18</t>
        </is>
      </c>
      <c r="N542" s="9" t="n">
        <v>1</v>
      </c>
      <c r="O542" s="9" t="n">
        <v>1</v>
      </c>
      <c r="P542" s="9" t="n"/>
      <c r="Q542" s="9" t="n"/>
      <c r="R542" s="9" t="n"/>
      <c r="S542" s="9" t="inlineStr">
        <is>
          <t>Tray</t>
        </is>
      </c>
      <c r="T542" s="10" t="n">
        <v>223</v>
      </c>
      <c r="U542" s="10" t="n">
        <v>70</v>
      </c>
      <c r="V542" s="10">
        <f>ROUNDUP((T542+U542+2*'Read Me'!$B$13)*(1+'Read Me'!$B$12),-1)</f>
        <v/>
      </c>
      <c r="W542" s="10">
        <f>V542*N542*O542</f>
        <v/>
      </c>
      <c r="X542" s="9">
        <f>IF(LEFT(I542,2)="MV",2*N542*IF(L542="1/C",O542,1),0)</f>
        <v/>
      </c>
      <c r="Y542" s="9">
        <f>IF(OR(LEFT(K542,4)="LVAX",LEFT(K542,6)="MV15AX",LEFT(K542,4)="CTAX",LEFT(K542,2)="W|"),2*N542*O542,0)</f>
        <v/>
      </c>
      <c r="Z542" s="9" t="inlineStr"/>
    </row>
    <row r="543">
      <c r="A543" s="9" t="inlineStr">
        <is>
          <t>A-I-0080</t>
        </is>
      </c>
      <c r="B543" s="9" t="inlineStr">
        <is>
          <t>A</t>
        </is>
      </c>
      <c r="C543" s="9" t="inlineStr">
        <is>
          <t>Power block</t>
        </is>
      </c>
      <c r="D543" s="9" t="inlineStr">
        <is>
          <t>Instrumentation</t>
        </is>
      </c>
      <c r="E543" s="9" t="inlineStr">
        <is>
          <t>R3</t>
        </is>
      </c>
      <c r="F543" s="9" t="inlineStr">
        <is>
          <t>R3: ST auxiliary electrical e-house (40 x 65 ft)</t>
        </is>
      </c>
      <c r="G543" s="9" t="inlineStr">
        <is>
          <t>GSC-ST</t>
        </is>
      </c>
      <c r="H543" s="9" t="inlineStr">
        <is>
          <t>GSC-ST: gland-steam condenser and exhausters</t>
        </is>
      </c>
      <c r="I543" s="9" t="inlineStr">
        <is>
          <t>Instrumentation</t>
        </is>
      </c>
      <c r="J543" s="9" t="inlineStr">
        <is>
          <t>Instrumentation PLTC / TC-ER 300 V, #18 twisted shielded pairs, overall shield</t>
        </is>
      </c>
      <c r="K543" s="9" t="inlineStr">
        <is>
          <t>PLTC|4 pr|18</t>
        </is>
      </c>
      <c r="L543" s="9" t="inlineStr">
        <is>
          <t>4 pr</t>
        </is>
      </c>
      <c r="M543" s="9" t="inlineStr">
        <is>
          <t>18</t>
        </is>
      </c>
      <c r="N543" s="9" t="n">
        <v>1</v>
      </c>
      <c r="O543" s="9" t="n">
        <v>1</v>
      </c>
      <c r="P543" s="9" t="n"/>
      <c r="Q543" s="9" t="n"/>
      <c r="R543" s="9" t="n"/>
      <c r="S543" s="9" t="inlineStr">
        <is>
          <t>Tray</t>
        </is>
      </c>
      <c r="T543" s="10" t="n">
        <v>91</v>
      </c>
      <c r="U543" s="10" t="n">
        <v>113</v>
      </c>
      <c r="V543" s="10">
        <f>ROUNDUP((T543+U543+2*'Read Me'!$B$13)*(1+'Read Me'!$B$12),-1)</f>
        <v/>
      </c>
      <c r="W543" s="10">
        <f>V543*N543*O543</f>
        <v/>
      </c>
      <c r="X543" s="9">
        <f>IF(LEFT(I543,2)="MV",2*N543*IF(L543="1/C",O543,1),0)</f>
        <v/>
      </c>
      <c r="Y543" s="9">
        <f>IF(OR(LEFT(K543,4)="LVAX",LEFT(K543,6)="MV15AX",LEFT(K543,4)="CTAX",LEFT(K543,2)="W|"),2*N543*O543,0)</f>
        <v/>
      </c>
      <c r="Z543" s="9" t="inlineStr"/>
    </row>
    <row r="544">
      <c r="A544" s="9" t="inlineStr">
        <is>
          <t>A-I-0081</t>
        </is>
      </c>
      <c r="B544" s="9" t="inlineStr">
        <is>
          <t>A</t>
        </is>
      </c>
      <c r="C544" s="9" t="inlineStr">
        <is>
          <t>Power block</t>
        </is>
      </c>
      <c r="D544" s="9" t="inlineStr">
        <is>
          <t>Instrumentation</t>
        </is>
      </c>
      <c r="E544" s="9" t="inlineStr">
        <is>
          <t>R2A</t>
        </is>
      </c>
      <c r="F544" s="9" t="inlineStr">
        <is>
          <t>R2A: unit / HRSG electrical e-house (32 x 40 ft)</t>
        </is>
      </c>
      <c r="G544" s="9" t="inlineStr">
        <is>
          <t>GSU-1</t>
        </is>
      </c>
      <c r="H544" s="9" t="inlineStr">
        <is>
          <t>GSU-1: 21/230 kV generator step-up transformer</t>
        </is>
      </c>
      <c r="I544" s="9" t="inlineStr">
        <is>
          <t>Instrumentation</t>
        </is>
      </c>
      <c r="J544" s="9" t="inlineStr">
        <is>
          <t>Instrumentation PLTC / TC-ER 300 V, #18 twisted shielded pairs, overall shield</t>
        </is>
      </c>
      <c r="K544" s="9" t="inlineStr">
        <is>
          <t>PLTC|4 pr|18</t>
        </is>
      </c>
      <c r="L544" s="9" t="inlineStr">
        <is>
          <t>4 pr</t>
        </is>
      </c>
      <c r="M544" s="9" t="inlineStr">
        <is>
          <t>18</t>
        </is>
      </c>
      <c r="N544" s="9" t="n">
        <v>1</v>
      </c>
      <c r="O544" s="9" t="n">
        <v>1</v>
      </c>
      <c r="P544" s="9" t="n"/>
      <c r="Q544" s="9" t="n"/>
      <c r="R544" s="9" t="n"/>
      <c r="S544" s="9" t="inlineStr">
        <is>
          <t>Tray</t>
        </is>
      </c>
      <c r="T544" s="10" t="n">
        <v>395</v>
      </c>
      <c r="U544" s="10" t="n">
        <v>130</v>
      </c>
      <c r="V544" s="10">
        <f>ROUNDUP((T544+U544+2*'Read Me'!$B$13)*(1+'Read Me'!$B$12),-1)</f>
        <v/>
      </c>
      <c r="W544" s="10">
        <f>V544*N544*O544</f>
        <v/>
      </c>
      <c r="X544" s="9">
        <f>IF(LEFT(I544,2)="MV",2*N544*IF(L544="1/C",O544,1),0)</f>
        <v/>
      </c>
      <c r="Y544" s="9">
        <f>IF(OR(LEFT(K544,4)="LVAX",LEFT(K544,6)="MV15AX",LEFT(K544,4)="CTAX",LEFT(K544,2)="W|"),2*N544*O544,0)</f>
        <v/>
      </c>
      <c r="Z544" s="9" t="inlineStr"/>
    </row>
    <row r="545">
      <c r="A545" s="9" t="inlineStr">
        <is>
          <t>A-I-0082</t>
        </is>
      </c>
      <c r="B545" s="9" t="inlineStr">
        <is>
          <t>A</t>
        </is>
      </c>
      <c r="C545" s="9" t="inlineStr">
        <is>
          <t>Power block</t>
        </is>
      </c>
      <c r="D545" s="9" t="inlineStr">
        <is>
          <t>Instrumentation</t>
        </is>
      </c>
      <c r="E545" s="9" t="inlineStr">
        <is>
          <t>R2B</t>
        </is>
      </c>
      <c r="F545" s="9" t="inlineStr">
        <is>
          <t>R2B: unit / HRSG electrical e-house (32 x 40 ft)</t>
        </is>
      </c>
      <c r="G545" s="9" t="inlineStr">
        <is>
          <t>GSU-2</t>
        </is>
      </c>
      <c r="H545" s="9" t="inlineStr">
        <is>
          <t>GSU-2: 21/230 kV generator step-up transformer</t>
        </is>
      </c>
      <c r="I545" s="9" t="inlineStr">
        <is>
          <t>Instrumentation</t>
        </is>
      </c>
      <c r="J545" s="9" t="inlineStr">
        <is>
          <t>Instrumentation PLTC / TC-ER 300 V, #18 twisted shielded pairs, overall shield</t>
        </is>
      </c>
      <c r="K545" s="9" t="inlineStr">
        <is>
          <t>PLTC|4 pr|18</t>
        </is>
      </c>
      <c r="L545" s="9" t="inlineStr">
        <is>
          <t>4 pr</t>
        </is>
      </c>
      <c r="M545" s="9" t="inlineStr">
        <is>
          <t>18</t>
        </is>
      </c>
      <c r="N545" s="9" t="n">
        <v>1</v>
      </c>
      <c r="O545" s="9" t="n">
        <v>1</v>
      </c>
      <c r="P545" s="9" t="n"/>
      <c r="Q545" s="9" t="n"/>
      <c r="R545" s="9" t="n"/>
      <c r="S545" s="9" t="inlineStr">
        <is>
          <t>Tray</t>
        </is>
      </c>
      <c r="T545" s="10" t="n">
        <v>1134</v>
      </c>
      <c r="U545" s="10" t="n">
        <v>132</v>
      </c>
      <c r="V545" s="10">
        <f>ROUNDUP((T545+U545+2*'Read Me'!$B$13)*(1+'Read Me'!$B$12),-1)</f>
        <v/>
      </c>
      <c r="W545" s="10">
        <f>V545*N545*O545</f>
        <v/>
      </c>
      <c r="X545" s="9">
        <f>IF(LEFT(I545,2)="MV",2*N545*IF(L545="1/C",O545,1),0)</f>
        <v/>
      </c>
      <c r="Y545" s="9">
        <f>IF(OR(LEFT(K545,4)="LVAX",LEFT(K545,6)="MV15AX",LEFT(K545,4)="CTAX",LEFT(K545,2)="W|"),2*N545*O545,0)</f>
        <v/>
      </c>
      <c r="Z545" s="9" t="inlineStr"/>
    </row>
    <row r="546">
      <c r="A546" s="9" t="inlineStr">
        <is>
          <t>A-I-0083</t>
        </is>
      </c>
      <c r="B546" s="9" t="inlineStr">
        <is>
          <t>A</t>
        </is>
      </c>
      <c r="C546" s="9" t="inlineStr">
        <is>
          <t>Power block</t>
        </is>
      </c>
      <c r="D546" s="9" t="inlineStr">
        <is>
          <t>Instrumentation</t>
        </is>
      </c>
      <c r="E546" s="9" t="inlineStr">
        <is>
          <t>R3</t>
        </is>
      </c>
      <c r="F546" s="9" t="inlineStr">
        <is>
          <t>R3: ST auxiliary electrical e-house (40 x 65 ft)</t>
        </is>
      </c>
      <c r="G546" s="9" t="inlineStr">
        <is>
          <t>GSU-3</t>
        </is>
      </c>
      <c r="H546" s="9" t="inlineStr">
        <is>
          <t>GSU-3: 21/230 kV generator step-up transformer</t>
        </is>
      </c>
      <c r="I546" s="9" t="inlineStr">
        <is>
          <t>Instrumentation</t>
        </is>
      </c>
      <c r="J546" s="9" t="inlineStr">
        <is>
          <t>Instrumentation PLTC / TC-ER 300 V, #18 twisted shielded pairs, overall shield</t>
        </is>
      </c>
      <c r="K546" s="9" t="inlineStr">
        <is>
          <t>PLTC|4 pr|18</t>
        </is>
      </c>
      <c r="L546" s="9" t="inlineStr">
        <is>
          <t>4 pr</t>
        </is>
      </c>
      <c r="M546" s="9" t="inlineStr">
        <is>
          <t>18</t>
        </is>
      </c>
      <c r="N546" s="9" t="n">
        <v>1</v>
      </c>
      <c r="O546" s="9" t="n">
        <v>1</v>
      </c>
      <c r="P546" s="9" t="n"/>
      <c r="Q546" s="9" t="n"/>
      <c r="R546" s="9" t="n"/>
      <c r="S546" s="9" t="inlineStr">
        <is>
          <t>Tray</t>
        </is>
      </c>
      <c r="T546" s="10" t="n">
        <v>568</v>
      </c>
      <c r="U546" s="10" t="n">
        <v>134</v>
      </c>
      <c r="V546" s="10">
        <f>ROUNDUP((T546+U546+2*'Read Me'!$B$13)*(1+'Read Me'!$B$12),-1)</f>
        <v/>
      </c>
      <c r="W546" s="10">
        <f>V546*N546*O546</f>
        <v/>
      </c>
      <c r="X546" s="9">
        <f>IF(LEFT(I546,2)="MV",2*N546*IF(L546="1/C",O546,1),0)</f>
        <v/>
      </c>
      <c r="Y546" s="9">
        <f>IF(OR(LEFT(K546,4)="LVAX",LEFT(K546,6)="MV15AX",LEFT(K546,4)="CTAX",LEFT(K546,2)="W|"),2*N546*O546,0)</f>
        <v/>
      </c>
      <c r="Z546" s="9" t="inlineStr"/>
    </row>
    <row r="547">
      <c r="A547" s="9" t="inlineStr">
        <is>
          <t>A-I-0084</t>
        </is>
      </c>
      <c r="B547" s="9" t="inlineStr">
        <is>
          <t>A</t>
        </is>
      </c>
      <c r="C547" s="9" t="inlineStr">
        <is>
          <t>Power block</t>
        </is>
      </c>
      <c r="D547" s="9" t="inlineStr">
        <is>
          <t>Instrumentation</t>
        </is>
      </c>
      <c r="E547" s="9" t="inlineStr">
        <is>
          <t>R3</t>
        </is>
      </c>
      <c r="F547" s="9" t="inlineStr">
        <is>
          <t>R3: ST auxiliary electrical e-house (40 x 65 ft)</t>
        </is>
      </c>
      <c r="G547" s="9" t="inlineStr">
        <is>
          <t>GSU-ST</t>
        </is>
      </c>
      <c r="H547" s="9" t="inlineStr">
        <is>
          <t>GSU-ST: 21/230 kV (one ST GSU, baseline)</t>
        </is>
      </c>
      <c r="I547" s="9" t="inlineStr">
        <is>
          <t>Instrumentation</t>
        </is>
      </c>
      <c r="J547" s="9" t="inlineStr">
        <is>
          <t>Instrumentation PLTC / TC-ER 300 V, #18 twisted shielded pairs, overall shield</t>
        </is>
      </c>
      <c r="K547" s="9" t="inlineStr">
        <is>
          <t>PLTC|4 pr|18</t>
        </is>
      </c>
      <c r="L547" s="9" t="inlineStr">
        <is>
          <t>4 pr</t>
        </is>
      </c>
      <c r="M547" s="9" t="inlineStr">
        <is>
          <t>18</t>
        </is>
      </c>
      <c r="N547" s="9" t="n">
        <v>1</v>
      </c>
      <c r="O547" s="9" t="n">
        <v>1</v>
      </c>
      <c r="P547" s="9" t="n"/>
      <c r="Q547" s="9" t="n"/>
      <c r="R547" s="9" t="n"/>
      <c r="S547" s="9" t="inlineStr">
        <is>
          <t>Tray</t>
        </is>
      </c>
      <c r="T547" s="10" t="n">
        <v>687</v>
      </c>
      <c r="U547" s="10" t="n">
        <v>110</v>
      </c>
      <c r="V547" s="10">
        <f>ROUNDUP((T547+U547+2*'Read Me'!$B$13)*(1+'Read Me'!$B$12),-1)</f>
        <v/>
      </c>
      <c r="W547" s="10">
        <f>V547*N547*O547</f>
        <v/>
      </c>
      <c r="X547" s="9">
        <f>IF(LEFT(I547,2)="MV",2*N547*IF(L547="1/C",O547,1),0)</f>
        <v/>
      </c>
      <c r="Y547" s="9">
        <f>IF(OR(LEFT(K547,4)="LVAX",LEFT(K547,6)="MV15AX",LEFT(K547,4)="CTAX",LEFT(K547,2)="W|"),2*N547*O547,0)</f>
        <v/>
      </c>
      <c r="Z547" s="9" t="inlineStr"/>
    </row>
    <row r="548">
      <c r="A548" s="9" t="inlineStr">
        <is>
          <t>A-I-0085</t>
        </is>
      </c>
      <c r="B548" s="9" t="inlineStr">
        <is>
          <t>A</t>
        </is>
      </c>
      <c r="C548" s="9" t="inlineStr">
        <is>
          <t>Power block</t>
        </is>
      </c>
      <c r="D548" s="9" t="inlineStr">
        <is>
          <t>Instrumentation</t>
        </is>
      </c>
      <c r="E548" s="9" t="inlineStr">
        <is>
          <t>R2B</t>
        </is>
      </c>
      <c r="F548" s="9" t="inlineStr">
        <is>
          <t>R2B: unit / HRSG electrical e-house (32 x 40 ft)</t>
        </is>
      </c>
      <c r="G548" s="9" t="inlineStr">
        <is>
          <t>GT1 aux</t>
        </is>
      </c>
      <c r="H548" s="9" t="inlineStr">
        <is>
          <t>GT1 aux: lube oil, hydraulics, enclosure fans</t>
        </is>
      </c>
      <c r="I548" s="9" t="inlineStr">
        <is>
          <t>Instrumentation</t>
        </is>
      </c>
      <c r="J548" s="9" t="inlineStr">
        <is>
          <t>Instrumentation ITC / PLTC, IS, #18 shielded pairs, blue jacket</t>
        </is>
      </c>
      <c r="K548" s="9" t="inlineStr">
        <is>
          <t>ITC|4 pr|18</t>
        </is>
      </c>
      <c r="L548" s="9" t="inlineStr">
        <is>
          <t>4 pr</t>
        </is>
      </c>
      <c r="M548" s="9" t="inlineStr">
        <is>
          <t>18</t>
        </is>
      </c>
      <c r="N548" s="9" t="n">
        <v>1</v>
      </c>
      <c r="O548" s="9" t="n">
        <v>1</v>
      </c>
      <c r="P548" s="9" t="n"/>
      <c r="Q548" s="9" t="n"/>
      <c r="R548" s="9" t="n"/>
      <c r="S548" s="9" t="inlineStr">
        <is>
          <t>Tray</t>
        </is>
      </c>
      <c r="T548" s="10" t="n">
        <v>803</v>
      </c>
      <c r="U548" s="10" t="n">
        <v>121</v>
      </c>
      <c r="V548" s="10">
        <f>ROUNDUP((T548+U548+2*'Read Me'!$B$13)*(1+'Read Me'!$B$12),-1)</f>
        <v/>
      </c>
      <c r="W548" s="10">
        <f>V548*N548*O548</f>
        <v/>
      </c>
      <c r="X548" s="9">
        <f>IF(LEFT(I548,2)="MV",2*N548*IF(L548="1/C",O548,1),0)</f>
        <v/>
      </c>
      <c r="Y548" s="9">
        <f>IF(OR(LEFT(K548,4)="LVAX",LEFT(K548,6)="MV15AX",LEFT(K548,4)="CTAX",LEFT(K548,2)="W|"),2*N548*O548,0)</f>
        <v/>
      </c>
      <c r="Z548" s="9" t="inlineStr"/>
    </row>
    <row r="549">
      <c r="A549" s="9" t="inlineStr">
        <is>
          <t>A-I-0086</t>
        </is>
      </c>
      <c r="B549" s="9" t="inlineStr">
        <is>
          <t>A</t>
        </is>
      </c>
      <c r="C549" s="9" t="inlineStr">
        <is>
          <t>Power block</t>
        </is>
      </c>
      <c r="D549" s="9" t="inlineStr">
        <is>
          <t>Instrumentation</t>
        </is>
      </c>
      <c r="E549" s="9" t="inlineStr">
        <is>
          <t>R2B</t>
        </is>
      </c>
      <c r="F549" s="9" t="inlineStr">
        <is>
          <t>R2B: unit / HRSG electrical e-house (32 x 40 ft)</t>
        </is>
      </c>
      <c r="G549" s="9" t="inlineStr">
        <is>
          <t>INL-1</t>
        </is>
      </c>
      <c r="H549" s="9" t="inlineStr">
        <is>
          <t>GT1 inlet duct (drop + horizontal EL 23-37)</t>
        </is>
      </c>
      <c r="I549" s="9" t="inlineStr">
        <is>
          <t>Instrumentation</t>
        </is>
      </c>
      <c r="J549" s="9" t="inlineStr">
        <is>
          <t>Instrumentation ITC / PLTC, IS, #18 shielded pairs, blue jacket</t>
        </is>
      </c>
      <c r="K549" s="9" t="inlineStr">
        <is>
          <t>ITC|4 pr|18</t>
        </is>
      </c>
      <c r="L549" s="9" t="inlineStr">
        <is>
          <t>4 pr</t>
        </is>
      </c>
      <c r="M549" s="9" t="inlineStr">
        <is>
          <t>18</t>
        </is>
      </c>
      <c r="N549" s="9" t="n">
        <v>1</v>
      </c>
      <c r="O549" s="9" t="n">
        <v>1</v>
      </c>
      <c r="P549" s="9" t="n"/>
      <c r="Q549" s="9" t="n"/>
      <c r="R549" s="9" t="n"/>
      <c r="S549" s="9" t="inlineStr">
        <is>
          <t>Tray</t>
        </is>
      </c>
      <c r="T549" s="10" t="n">
        <v>986</v>
      </c>
      <c r="U549" s="10" t="n">
        <v>80</v>
      </c>
      <c r="V549" s="10">
        <f>ROUNDUP((T549+U549+2*'Read Me'!$B$13)*(1+'Read Me'!$B$12),-1)</f>
        <v/>
      </c>
      <c r="W549" s="10">
        <f>V549*N549*O549</f>
        <v/>
      </c>
      <c r="X549" s="9">
        <f>IF(LEFT(I549,2)="MV",2*N549*IF(L549="1/C",O549,1),0)</f>
        <v/>
      </c>
      <c r="Y549" s="9">
        <f>IF(OR(LEFT(K549,4)="LVAX",LEFT(K549,6)="MV15AX",LEFT(K549,4)="CTAX",LEFT(K549,2)="W|"),2*N549*O549,0)</f>
        <v/>
      </c>
      <c r="Z549" s="9" t="inlineStr"/>
    </row>
    <row r="550">
      <c r="A550" s="9" t="inlineStr">
        <is>
          <t>A-I-0087</t>
        </is>
      </c>
      <c r="B550" s="9" t="inlineStr">
        <is>
          <t>A</t>
        </is>
      </c>
      <c r="C550" s="9" t="inlineStr">
        <is>
          <t>Power block</t>
        </is>
      </c>
      <c r="D550" s="9" t="inlineStr">
        <is>
          <t>Thermocouples</t>
        </is>
      </c>
      <c r="E550" s="9" t="inlineStr">
        <is>
          <t>R2B</t>
        </is>
      </c>
      <c r="F550" s="9" t="inlineStr">
        <is>
          <t>R2B: unit / HRSG electrical e-house (32 x 40 ft)</t>
        </is>
      </c>
      <c r="G550" s="9" t="inlineStr">
        <is>
          <t>INL-1</t>
        </is>
      </c>
      <c r="H550" s="9" t="inlineStr">
        <is>
          <t>GT1 inlet duct (drop + horizontal EL 23-37)</t>
        </is>
      </c>
      <c r="I550" s="9" t="inlineStr">
        <is>
          <t>Instrumentation</t>
        </is>
      </c>
      <c r="J550" s="9" t="inlineStr">
        <is>
          <t>Thermocouple extension KX, #16 shielded pairs, PLTC</t>
        </is>
      </c>
      <c r="K550" s="9" t="inlineStr">
        <is>
          <t>TCX|12 pr|16</t>
        </is>
      </c>
      <c r="L550" s="9" t="inlineStr">
        <is>
          <t>12 pr</t>
        </is>
      </c>
      <c r="M550" s="9" t="inlineStr">
        <is>
          <t>16</t>
        </is>
      </c>
      <c r="N550" s="9" t="n">
        <v>1</v>
      </c>
      <c r="O550" s="9" t="n">
        <v>1</v>
      </c>
      <c r="P550" s="9" t="n"/>
      <c r="Q550" s="9" t="n"/>
      <c r="R550" s="9" t="n"/>
      <c r="S550" s="9" t="inlineStr">
        <is>
          <t>Tray</t>
        </is>
      </c>
      <c r="T550" s="10" t="n">
        <v>986</v>
      </c>
      <c r="U550" s="10" t="n">
        <v>80</v>
      </c>
      <c r="V550" s="10">
        <f>ROUNDUP((T550+U550+2*'Read Me'!$B$13)*(1+'Read Me'!$B$12),-1)</f>
        <v/>
      </c>
      <c r="W550" s="10">
        <f>V550*N550*O550</f>
        <v/>
      </c>
      <c r="X550" s="9">
        <f>IF(LEFT(I550,2)="MV",2*N550*IF(L550="1/C",O550,1),0)</f>
        <v/>
      </c>
      <c r="Y550" s="9">
        <f>IF(OR(LEFT(K550,4)="LVAX",LEFT(K550,6)="MV15AX",LEFT(K550,4)="CTAX",LEFT(K550,2)="W|"),2*N550*O550,0)</f>
        <v/>
      </c>
      <c r="Z550" s="9" t="inlineStr"/>
    </row>
    <row r="551">
      <c r="A551" s="9" t="inlineStr">
        <is>
          <t>A-I-0088</t>
        </is>
      </c>
      <c r="B551" s="9" t="inlineStr">
        <is>
          <t>A</t>
        </is>
      </c>
      <c r="C551" s="9" t="inlineStr">
        <is>
          <t>Power block</t>
        </is>
      </c>
      <c r="D551" s="9" t="inlineStr">
        <is>
          <t>Thermocouples</t>
        </is>
      </c>
      <c r="E551" s="9" t="inlineStr">
        <is>
          <t>R2B</t>
        </is>
      </c>
      <c r="F551" s="9" t="inlineStr">
        <is>
          <t>R2B: unit / HRSG electrical e-house (32 x 40 ft)</t>
        </is>
      </c>
      <c r="G551" s="9" t="inlineStr">
        <is>
          <t>INL-1</t>
        </is>
      </c>
      <c r="H551" s="9" t="inlineStr">
        <is>
          <t>GT1 inlet duct (drop + horizontal EL 23-37)</t>
        </is>
      </c>
      <c r="I551" s="9" t="inlineStr">
        <is>
          <t>Instrumentation</t>
        </is>
      </c>
      <c r="J551" s="9" t="inlineStr">
        <is>
          <t>Thermocouple extension KX, #16 shielded pairs, PLTC</t>
        </is>
      </c>
      <c r="K551" s="9" t="inlineStr">
        <is>
          <t>TCX|12 pr|16</t>
        </is>
      </c>
      <c r="L551" s="9" t="inlineStr">
        <is>
          <t>12 pr</t>
        </is>
      </c>
      <c r="M551" s="9" t="inlineStr">
        <is>
          <t>16</t>
        </is>
      </c>
      <c r="N551" s="9" t="n">
        <v>1</v>
      </c>
      <c r="O551" s="9" t="n">
        <v>1</v>
      </c>
      <c r="P551" s="9" t="n"/>
      <c r="Q551" s="9" t="n"/>
      <c r="R551" s="9" t="n"/>
      <c r="S551" s="9" t="inlineStr">
        <is>
          <t>Tray</t>
        </is>
      </c>
      <c r="T551" s="10" t="n">
        <v>986</v>
      </c>
      <c r="U551" s="10" t="n">
        <v>80</v>
      </c>
      <c r="V551" s="10">
        <f>ROUNDUP((T551+U551+2*'Read Me'!$B$13)*(1+'Read Me'!$B$12),-1)</f>
        <v/>
      </c>
      <c r="W551" s="10">
        <f>V551*N551*O551</f>
        <v/>
      </c>
      <c r="X551" s="9">
        <f>IF(LEFT(I551,2)="MV",2*N551*IF(L551="1/C",O551,1),0)</f>
        <v/>
      </c>
      <c r="Y551" s="9">
        <f>IF(OR(LEFT(K551,4)="LVAX",LEFT(K551,6)="MV15AX",LEFT(K551,4)="CTAX",LEFT(K551,2)="W|"),2*N551*O551,0)</f>
        <v/>
      </c>
      <c r="Z551" s="9" t="inlineStr"/>
    </row>
    <row r="552">
      <c r="A552" s="9" t="inlineStr">
        <is>
          <t>A-I-0089</t>
        </is>
      </c>
      <c r="B552" s="9" t="inlineStr">
        <is>
          <t>A</t>
        </is>
      </c>
      <c r="C552" s="9" t="inlineStr">
        <is>
          <t>Power block</t>
        </is>
      </c>
      <c r="D552" s="9" t="inlineStr">
        <is>
          <t>Instrumentation</t>
        </is>
      </c>
      <c r="E552" s="9" t="inlineStr">
        <is>
          <t>R2A</t>
        </is>
      </c>
      <c r="F552" s="9" t="inlineStr">
        <is>
          <t>R2A: unit / HRSG electrical e-house (32 x 40 ft)</t>
        </is>
      </c>
      <c r="G552" s="9" t="inlineStr">
        <is>
          <t>GT1</t>
        </is>
      </c>
      <c r="H552" s="9" t="inlineStr">
        <is>
          <t>GT1: H-class gas turbine (60 Hz)</t>
        </is>
      </c>
      <c r="I552" s="9" t="inlineStr">
        <is>
          <t>Instrumentation</t>
        </is>
      </c>
      <c r="J552" s="9" t="inlineStr">
        <is>
          <t>Instrumentation ITC / PLTC, IS, #18 shielded pairs, blue jacket</t>
        </is>
      </c>
      <c r="K552" s="9" t="inlineStr">
        <is>
          <t>ITC|4 pr|18</t>
        </is>
      </c>
      <c r="L552" s="9" t="inlineStr">
        <is>
          <t>4 pr</t>
        </is>
      </c>
      <c r="M552" s="9" t="inlineStr">
        <is>
          <t>18</t>
        </is>
      </c>
      <c r="N552" s="9" t="n">
        <v>1</v>
      </c>
      <c r="O552" s="9" t="n">
        <v>1</v>
      </c>
      <c r="P552" s="9" t="n"/>
      <c r="Q552" s="9" t="n"/>
      <c r="R552" s="9" t="n"/>
      <c r="S552" s="9" t="inlineStr">
        <is>
          <t>Tray</t>
        </is>
      </c>
      <c r="T552" s="10" t="n">
        <v>154</v>
      </c>
      <c r="U552" s="10" t="n">
        <v>103</v>
      </c>
      <c r="V552" s="10">
        <f>ROUNDUP((T552+U552+2*'Read Me'!$B$13)*(1+'Read Me'!$B$12),-1)</f>
        <v/>
      </c>
      <c r="W552" s="10">
        <f>V552*N552*O552</f>
        <v/>
      </c>
      <c r="X552" s="9">
        <f>IF(LEFT(I552,2)="MV",2*N552*IF(L552="1/C",O552,1),0)</f>
        <v/>
      </c>
      <c r="Y552" s="9">
        <f>IF(OR(LEFT(K552,4)="LVAX",LEFT(K552,6)="MV15AX",LEFT(K552,4)="CTAX",LEFT(K552,2)="W|"),2*N552*O552,0)</f>
        <v/>
      </c>
      <c r="Z552" s="9" t="inlineStr"/>
    </row>
    <row r="553">
      <c r="A553" s="9" t="inlineStr">
        <is>
          <t>A-I-0090</t>
        </is>
      </c>
      <c r="B553" s="9" t="inlineStr">
        <is>
          <t>A</t>
        </is>
      </c>
      <c r="C553" s="9" t="inlineStr">
        <is>
          <t>Power block</t>
        </is>
      </c>
      <c r="D553" s="9" t="inlineStr">
        <is>
          <t>Instrumentation</t>
        </is>
      </c>
      <c r="E553" s="9" t="inlineStr">
        <is>
          <t>R2A</t>
        </is>
      </c>
      <c r="F553" s="9" t="inlineStr">
        <is>
          <t>R2A: unit / HRSG electrical e-house (32 x 40 ft)</t>
        </is>
      </c>
      <c r="G553" s="9" t="inlineStr">
        <is>
          <t>GT1</t>
        </is>
      </c>
      <c r="H553" s="9" t="inlineStr">
        <is>
          <t>GT1: H-class gas turbine (60 Hz)</t>
        </is>
      </c>
      <c r="I553" s="9" t="inlineStr">
        <is>
          <t>Instrumentation</t>
        </is>
      </c>
      <c r="J553" s="9" t="inlineStr">
        <is>
          <t>Instrumentation ITC / PLTC, IS, #18 shielded pairs, blue jacket</t>
        </is>
      </c>
      <c r="K553" s="9" t="inlineStr">
        <is>
          <t>ITC|4 pr|18</t>
        </is>
      </c>
      <c r="L553" s="9" t="inlineStr">
        <is>
          <t>4 pr</t>
        </is>
      </c>
      <c r="M553" s="9" t="inlineStr">
        <is>
          <t>18</t>
        </is>
      </c>
      <c r="N553" s="9" t="n">
        <v>1</v>
      </c>
      <c r="O553" s="9" t="n">
        <v>1</v>
      </c>
      <c r="P553" s="9" t="n"/>
      <c r="Q553" s="9" t="n"/>
      <c r="R553" s="9" t="n"/>
      <c r="S553" s="9" t="inlineStr">
        <is>
          <t>Tray</t>
        </is>
      </c>
      <c r="T553" s="10" t="n">
        <v>154</v>
      </c>
      <c r="U553" s="10" t="n">
        <v>103</v>
      </c>
      <c r="V553" s="10">
        <f>ROUNDUP((T553+U553+2*'Read Me'!$B$13)*(1+'Read Me'!$B$12),-1)</f>
        <v/>
      </c>
      <c r="W553" s="10">
        <f>V553*N553*O553</f>
        <v/>
      </c>
      <c r="X553" s="9">
        <f>IF(LEFT(I553,2)="MV",2*N553*IF(L553="1/C",O553,1),0)</f>
        <v/>
      </c>
      <c r="Y553" s="9">
        <f>IF(OR(LEFT(K553,4)="LVAX",LEFT(K553,6)="MV15AX",LEFT(K553,4)="CTAX",LEFT(K553,2)="W|"),2*N553*O553,0)</f>
        <v/>
      </c>
      <c r="Z553" s="9" t="inlineStr"/>
    </row>
    <row r="554">
      <c r="A554" s="9" t="inlineStr">
        <is>
          <t>A-I-0091</t>
        </is>
      </c>
      <c r="B554" s="9" t="inlineStr">
        <is>
          <t>A</t>
        </is>
      </c>
      <c r="C554" s="9" t="inlineStr">
        <is>
          <t>Power block</t>
        </is>
      </c>
      <c r="D554" s="9" t="inlineStr">
        <is>
          <t>Instrumentation</t>
        </is>
      </c>
      <c r="E554" s="9" t="inlineStr">
        <is>
          <t>R2A</t>
        </is>
      </c>
      <c r="F554" s="9" t="inlineStr">
        <is>
          <t>R2A: unit / HRSG electrical e-house (32 x 40 ft)</t>
        </is>
      </c>
      <c r="G554" s="9" t="inlineStr">
        <is>
          <t>GT1</t>
        </is>
      </c>
      <c r="H554" s="9" t="inlineStr">
        <is>
          <t>GT1: H-class gas turbine (60 Hz)</t>
        </is>
      </c>
      <c r="I554" s="9" t="inlineStr">
        <is>
          <t>Instrumentation</t>
        </is>
      </c>
      <c r="J554" s="9" t="inlineStr">
        <is>
          <t>Instrumentation ITC / PLTC, IS, #18 shielded pairs, blue jacket</t>
        </is>
      </c>
      <c r="K554" s="9" t="inlineStr">
        <is>
          <t>ITC|12 pr|18</t>
        </is>
      </c>
      <c r="L554" s="9" t="inlineStr">
        <is>
          <t>12 pr</t>
        </is>
      </c>
      <c r="M554" s="9" t="inlineStr">
        <is>
          <t>18</t>
        </is>
      </c>
      <c r="N554" s="9" t="n">
        <v>1</v>
      </c>
      <c r="O554" s="9" t="n">
        <v>1</v>
      </c>
      <c r="P554" s="9" t="n"/>
      <c r="Q554" s="9" t="n"/>
      <c r="R554" s="9" t="n"/>
      <c r="S554" s="9" t="inlineStr">
        <is>
          <t>Tray</t>
        </is>
      </c>
      <c r="T554" s="10" t="n">
        <v>154</v>
      </c>
      <c r="U554" s="10" t="n">
        <v>103</v>
      </c>
      <c r="V554" s="10">
        <f>ROUNDUP((T554+U554+2*'Read Me'!$B$13)*(1+'Read Me'!$B$12),-1)</f>
        <v/>
      </c>
      <c r="W554" s="10">
        <f>V554*N554*O554</f>
        <v/>
      </c>
      <c r="X554" s="9">
        <f>IF(LEFT(I554,2)="MV",2*N554*IF(L554="1/C",O554,1),0)</f>
        <v/>
      </c>
      <c r="Y554" s="9">
        <f>IF(OR(LEFT(K554,4)="LVAX",LEFT(K554,6)="MV15AX",LEFT(K554,4)="CTAX",LEFT(K554,2)="W|"),2*N554*O554,0)</f>
        <v/>
      </c>
      <c r="Z554" s="9" t="inlineStr"/>
    </row>
    <row r="555">
      <c r="A555" s="9" t="inlineStr">
        <is>
          <t>A-I-0092</t>
        </is>
      </c>
      <c r="B555" s="9" t="inlineStr">
        <is>
          <t>A</t>
        </is>
      </c>
      <c r="C555" s="9" t="inlineStr">
        <is>
          <t>Power block</t>
        </is>
      </c>
      <c r="D555" s="9" t="inlineStr">
        <is>
          <t>Instrumentation</t>
        </is>
      </c>
      <c r="E555" s="9" t="inlineStr">
        <is>
          <t>R2A</t>
        </is>
      </c>
      <c r="F555" s="9" t="inlineStr">
        <is>
          <t>R2A: unit / HRSG electrical e-house (32 x 40 ft)</t>
        </is>
      </c>
      <c r="G555" s="9" t="inlineStr">
        <is>
          <t>GT1</t>
        </is>
      </c>
      <c r="H555" s="9" t="inlineStr">
        <is>
          <t>GT1: H-class gas turbine (60 Hz)</t>
        </is>
      </c>
      <c r="I555" s="9" t="inlineStr">
        <is>
          <t>Instrumentation</t>
        </is>
      </c>
      <c r="J555" s="9" t="inlineStr">
        <is>
          <t>Instrumentation ITC / PLTC, IS, #18 shielded pairs, blue jacket</t>
        </is>
      </c>
      <c r="K555" s="9" t="inlineStr">
        <is>
          <t>ITC|12 pr|18</t>
        </is>
      </c>
      <c r="L555" s="9" t="inlineStr">
        <is>
          <t>12 pr</t>
        </is>
      </c>
      <c r="M555" s="9" t="inlineStr">
        <is>
          <t>18</t>
        </is>
      </c>
      <c r="N555" s="9" t="n">
        <v>1</v>
      </c>
      <c r="O555" s="9" t="n">
        <v>1</v>
      </c>
      <c r="P555" s="9" t="n"/>
      <c r="Q555" s="9" t="n"/>
      <c r="R555" s="9" t="n"/>
      <c r="S555" s="9" t="inlineStr">
        <is>
          <t>Tray</t>
        </is>
      </c>
      <c r="T555" s="10" t="n">
        <v>154</v>
      </c>
      <c r="U555" s="10" t="n">
        <v>103</v>
      </c>
      <c r="V555" s="10">
        <f>ROUNDUP((T555+U555+2*'Read Me'!$B$13)*(1+'Read Me'!$B$12),-1)</f>
        <v/>
      </c>
      <c r="W555" s="10">
        <f>V555*N555*O555</f>
        <v/>
      </c>
      <c r="X555" s="9">
        <f>IF(LEFT(I555,2)="MV",2*N555*IF(L555="1/C",O555,1),0)</f>
        <v/>
      </c>
      <c r="Y555" s="9">
        <f>IF(OR(LEFT(K555,4)="LVAX",LEFT(K555,6)="MV15AX",LEFT(K555,4)="CTAX",LEFT(K555,2)="W|"),2*N555*O555,0)</f>
        <v/>
      </c>
      <c r="Z555" s="9" t="inlineStr"/>
    </row>
    <row r="556">
      <c r="A556" s="9" t="inlineStr">
        <is>
          <t>A-I-0093</t>
        </is>
      </c>
      <c r="B556" s="9" t="inlineStr">
        <is>
          <t>A</t>
        </is>
      </c>
      <c r="C556" s="9" t="inlineStr">
        <is>
          <t>Power block</t>
        </is>
      </c>
      <c r="D556" s="9" t="inlineStr">
        <is>
          <t>Instrumentation</t>
        </is>
      </c>
      <c r="E556" s="9" t="inlineStr">
        <is>
          <t>R2A</t>
        </is>
      </c>
      <c r="F556" s="9" t="inlineStr">
        <is>
          <t>R2A: unit / HRSG electrical e-house (32 x 40 ft)</t>
        </is>
      </c>
      <c r="G556" s="9" t="inlineStr">
        <is>
          <t>GT1</t>
        </is>
      </c>
      <c r="H556" s="9" t="inlineStr">
        <is>
          <t>GT1: H-class gas turbine (60 Hz)</t>
        </is>
      </c>
      <c r="I556" s="9" t="inlineStr">
        <is>
          <t>Instrumentation</t>
        </is>
      </c>
      <c r="J556" s="9" t="inlineStr">
        <is>
          <t>Instrumentation ITC / PLTC, IS, #18 shielded pairs, blue jacket</t>
        </is>
      </c>
      <c r="K556" s="9" t="inlineStr">
        <is>
          <t>ITC|12 pr|18</t>
        </is>
      </c>
      <c r="L556" s="9" t="inlineStr">
        <is>
          <t>12 pr</t>
        </is>
      </c>
      <c r="M556" s="9" t="inlineStr">
        <is>
          <t>18</t>
        </is>
      </c>
      <c r="N556" s="9" t="n">
        <v>1</v>
      </c>
      <c r="O556" s="9" t="n">
        <v>1</v>
      </c>
      <c r="P556" s="9" t="n"/>
      <c r="Q556" s="9" t="n"/>
      <c r="R556" s="9" t="n"/>
      <c r="S556" s="9" t="inlineStr">
        <is>
          <t>Tray</t>
        </is>
      </c>
      <c r="T556" s="10" t="n">
        <v>154</v>
      </c>
      <c r="U556" s="10" t="n">
        <v>103</v>
      </c>
      <c r="V556" s="10">
        <f>ROUNDUP((T556+U556+2*'Read Me'!$B$13)*(1+'Read Me'!$B$12),-1)</f>
        <v/>
      </c>
      <c r="W556" s="10">
        <f>V556*N556*O556</f>
        <v/>
      </c>
      <c r="X556" s="9">
        <f>IF(LEFT(I556,2)="MV",2*N556*IF(L556="1/C",O556,1),0)</f>
        <v/>
      </c>
      <c r="Y556" s="9">
        <f>IF(OR(LEFT(K556,4)="LVAX",LEFT(K556,6)="MV15AX",LEFT(K556,4)="CTAX",LEFT(K556,2)="W|"),2*N556*O556,0)</f>
        <v/>
      </c>
      <c r="Z556" s="9" t="inlineStr"/>
    </row>
    <row r="557">
      <c r="A557" s="9" t="inlineStr">
        <is>
          <t>A-I-0094</t>
        </is>
      </c>
      <c r="B557" s="9" t="inlineStr">
        <is>
          <t>A</t>
        </is>
      </c>
      <c r="C557" s="9" t="inlineStr">
        <is>
          <t>Power block</t>
        </is>
      </c>
      <c r="D557" s="9" t="inlineStr">
        <is>
          <t>Instrumentation</t>
        </is>
      </c>
      <c r="E557" s="9" t="inlineStr">
        <is>
          <t>R2A</t>
        </is>
      </c>
      <c r="F557" s="9" t="inlineStr">
        <is>
          <t>R2A: unit / HRSG electrical e-house (32 x 40 ft)</t>
        </is>
      </c>
      <c r="G557" s="9" t="inlineStr">
        <is>
          <t>GT1</t>
        </is>
      </c>
      <c r="H557" s="9" t="inlineStr">
        <is>
          <t>GT1: H-class gas turbine (60 Hz)</t>
        </is>
      </c>
      <c r="I557" s="9" t="inlineStr">
        <is>
          <t>Instrumentation</t>
        </is>
      </c>
      <c r="J557" s="9" t="inlineStr">
        <is>
          <t>Instrumentation ITC / PLTC, IS, #18 shielded pairs, blue jacket</t>
        </is>
      </c>
      <c r="K557" s="9" t="inlineStr">
        <is>
          <t>ITC|12 pr|18</t>
        </is>
      </c>
      <c r="L557" s="9" t="inlineStr">
        <is>
          <t>12 pr</t>
        </is>
      </c>
      <c r="M557" s="9" t="inlineStr">
        <is>
          <t>18</t>
        </is>
      </c>
      <c r="N557" s="9" t="n">
        <v>1</v>
      </c>
      <c r="O557" s="9" t="n">
        <v>1</v>
      </c>
      <c r="P557" s="9" t="n"/>
      <c r="Q557" s="9" t="n"/>
      <c r="R557" s="9" t="n"/>
      <c r="S557" s="9" t="inlineStr">
        <is>
          <t>Tray</t>
        </is>
      </c>
      <c r="T557" s="10" t="n">
        <v>154</v>
      </c>
      <c r="U557" s="10" t="n">
        <v>103</v>
      </c>
      <c r="V557" s="10">
        <f>ROUNDUP((T557+U557+2*'Read Me'!$B$13)*(1+'Read Me'!$B$12),-1)</f>
        <v/>
      </c>
      <c r="W557" s="10">
        <f>V557*N557*O557</f>
        <v/>
      </c>
      <c r="X557" s="9">
        <f>IF(LEFT(I557,2)="MV",2*N557*IF(L557="1/C",O557,1),0)</f>
        <v/>
      </c>
      <c r="Y557" s="9">
        <f>IF(OR(LEFT(K557,4)="LVAX",LEFT(K557,6)="MV15AX",LEFT(K557,4)="CTAX",LEFT(K557,2)="W|"),2*N557*O557,0)</f>
        <v/>
      </c>
      <c r="Z557" s="9" t="inlineStr"/>
    </row>
    <row r="558">
      <c r="A558" s="9" t="inlineStr">
        <is>
          <t>A-I-0095</t>
        </is>
      </c>
      <c r="B558" s="9" t="inlineStr">
        <is>
          <t>A</t>
        </is>
      </c>
      <c r="C558" s="9" t="inlineStr">
        <is>
          <t>Power block</t>
        </is>
      </c>
      <c r="D558" s="9" t="inlineStr">
        <is>
          <t>Instrumentation</t>
        </is>
      </c>
      <c r="E558" s="9" t="inlineStr">
        <is>
          <t>R2A</t>
        </is>
      </c>
      <c r="F558" s="9" t="inlineStr">
        <is>
          <t>R2A: unit / HRSG electrical e-house (32 x 40 ft)</t>
        </is>
      </c>
      <c r="G558" s="9" t="inlineStr">
        <is>
          <t>GT1</t>
        </is>
      </c>
      <c r="H558" s="9" t="inlineStr">
        <is>
          <t>GT1: H-class gas turbine (60 Hz)</t>
        </is>
      </c>
      <c r="I558" s="9" t="inlineStr">
        <is>
          <t>Instrumentation</t>
        </is>
      </c>
      <c r="J558" s="9" t="inlineStr">
        <is>
          <t>Instrumentation ITC / PLTC, IS, #18 shielded pairs, blue jacket</t>
        </is>
      </c>
      <c r="K558" s="9" t="inlineStr">
        <is>
          <t>ITC|12 pr|18</t>
        </is>
      </c>
      <c r="L558" s="9" t="inlineStr">
        <is>
          <t>12 pr</t>
        </is>
      </c>
      <c r="M558" s="9" t="inlineStr">
        <is>
          <t>18</t>
        </is>
      </c>
      <c r="N558" s="9" t="n">
        <v>1</v>
      </c>
      <c r="O558" s="9" t="n">
        <v>1</v>
      </c>
      <c r="P558" s="9" t="n"/>
      <c r="Q558" s="9" t="n"/>
      <c r="R558" s="9" t="n"/>
      <c r="S558" s="9" t="inlineStr">
        <is>
          <t>Tray</t>
        </is>
      </c>
      <c r="T558" s="10" t="n">
        <v>154</v>
      </c>
      <c r="U558" s="10" t="n">
        <v>103</v>
      </c>
      <c r="V558" s="10">
        <f>ROUNDUP((T558+U558+2*'Read Me'!$B$13)*(1+'Read Me'!$B$12),-1)</f>
        <v/>
      </c>
      <c r="W558" s="10">
        <f>V558*N558*O558</f>
        <v/>
      </c>
      <c r="X558" s="9">
        <f>IF(LEFT(I558,2)="MV",2*N558*IF(L558="1/C",O558,1),0)</f>
        <v/>
      </c>
      <c r="Y558" s="9">
        <f>IF(OR(LEFT(K558,4)="LVAX",LEFT(K558,6)="MV15AX",LEFT(K558,4)="CTAX",LEFT(K558,2)="W|"),2*N558*O558,0)</f>
        <v/>
      </c>
      <c r="Z558" s="9" t="inlineStr"/>
    </row>
    <row r="559">
      <c r="A559" s="9" t="inlineStr">
        <is>
          <t>A-I-0096</t>
        </is>
      </c>
      <c r="B559" s="9" t="inlineStr">
        <is>
          <t>A</t>
        </is>
      </c>
      <c r="C559" s="9" t="inlineStr">
        <is>
          <t>Power block</t>
        </is>
      </c>
      <c r="D559" s="9" t="inlineStr">
        <is>
          <t>Instrumentation</t>
        </is>
      </c>
      <c r="E559" s="9" t="inlineStr">
        <is>
          <t>R2A</t>
        </is>
      </c>
      <c r="F559" s="9" t="inlineStr">
        <is>
          <t>R2A: unit / HRSG electrical e-house (32 x 40 ft)</t>
        </is>
      </c>
      <c r="G559" s="9" t="inlineStr">
        <is>
          <t>GT1</t>
        </is>
      </c>
      <c r="H559" s="9" t="inlineStr">
        <is>
          <t>GT1: H-class gas turbine (60 Hz)</t>
        </is>
      </c>
      <c r="I559" s="9" t="inlineStr">
        <is>
          <t>Instrumentation</t>
        </is>
      </c>
      <c r="J559" s="9" t="inlineStr">
        <is>
          <t>Instrumentation ITC / PLTC, IS, #18 shielded pairs, blue jacket</t>
        </is>
      </c>
      <c r="K559" s="9" t="inlineStr">
        <is>
          <t>ITC|12 pr|18</t>
        </is>
      </c>
      <c r="L559" s="9" t="inlineStr">
        <is>
          <t>12 pr</t>
        </is>
      </c>
      <c r="M559" s="9" t="inlineStr">
        <is>
          <t>18</t>
        </is>
      </c>
      <c r="N559" s="9" t="n">
        <v>1</v>
      </c>
      <c r="O559" s="9" t="n">
        <v>1</v>
      </c>
      <c r="P559" s="9" t="n"/>
      <c r="Q559" s="9" t="n"/>
      <c r="R559" s="9" t="n"/>
      <c r="S559" s="9" t="inlineStr">
        <is>
          <t>Tray</t>
        </is>
      </c>
      <c r="T559" s="10" t="n">
        <v>154</v>
      </c>
      <c r="U559" s="10" t="n">
        <v>103</v>
      </c>
      <c r="V559" s="10">
        <f>ROUNDUP((T559+U559+2*'Read Me'!$B$13)*(1+'Read Me'!$B$12),-1)</f>
        <v/>
      </c>
      <c r="W559" s="10">
        <f>V559*N559*O559</f>
        <v/>
      </c>
      <c r="X559" s="9">
        <f>IF(LEFT(I559,2)="MV",2*N559*IF(L559="1/C",O559,1),0)</f>
        <v/>
      </c>
      <c r="Y559" s="9">
        <f>IF(OR(LEFT(K559,4)="LVAX",LEFT(K559,6)="MV15AX",LEFT(K559,4)="CTAX",LEFT(K559,2)="W|"),2*N559*O559,0)</f>
        <v/>
      </c>
      <c r="Z559" s="9" t="inlineStr"/>
    </row>
    <row r="560">
      <c r="A560" s="9" t="inlineStr">
        <is>
          <t>A-I-0097</t>
        </is>
      </c>
      <c r="B560" s="9" t="inlineStr">
        <is>
          <t>A</t>
        </is>
      </c>
      <c r="C560" s="9" t="inlineStr">
        <is>
          <t>Power block</t>
        </is>
      </c>
      <c r="D560" s="9" t="inlineStr">
        <is>
          <t>Instrumentation</t>
        </is>
      </c>
      <c r="E560" s="9" t="inlineStr">
        <is>
          <t>R2A</t>
        </is>
      </c>
      <c r="F560" s="9" t="inlineStr">
        <is>
          <t>R2A: unit / HRSG electrical e-house (32 x 40 ft)</t>
        </is>
      </c>
      <c r="G560" s="9" t="inlineStr">
        <is>
          <t>GT1</t>
        </is>
      </c>
      <c r="H560" s="9" t="inlineStr">
        <is>
          <t>GT1: H-class gas turbine (60 Hz)</t>
        </is>
      </c>
      <c r="I560" s="9" t="inlineStr">
        <is>
          <t>Instrumentation</t>
        </is>
      </c>
      <c r="J560" s="9" t="inlineStr">
        <is>
          <t>Instrumentation ITC / PLTC, IS, #18 shielded pairs, blue jacket</t>
        </is>
      </c>
      <c r="K560" s="9" t="inlineStr">
        <is>
          <t>ITC|12 pr|18</t>
        </is>
      </c>
      <c r="L560" s="9" t="inlineStr">
        <is>
          <t>12 pr</t>
        </is>
      </c>
      <c r="M560" s="9" t="inlineStr">
        <is>
          <t>18</t>
        </is>
      </c>
      <c r="N560" s="9" t="n">
        <v>1</v>
      </c>
      <c r="O560" s="9" t="n">
        <v>1</v>
      </c>
      <c r="P560" s="9" t="n"/>
      <c r="Q560" s="9" t="n"/>
      <c r="R560" s="9" t="n"/>
      <c r="S560" s="9" t="inlineStr">
        <is>
          <t>Tray</t>
        </is>
      </c>
      <c r="T560" s="10" t="n">
        <v>154</v>
      </c>
      <c r="U560" s="10" t="n">
        <v>103</v>
      </c>
      <c r="V560" s="10">
        <f>ROUNDUP((T560+U560+2*'Read Me'!$B$13)*(1+'Read Me'!$B$12),-1)</f>
        <v/>
      </c>
      <c r="W560" s="10">
        <f>V560*N560*O560</f>
        <v/>
      </c>
      <c r="X560" s="9">
        <f>IF(LEFT(I560,2)="MV",2*N560*IF(L560="1/C",O560,1),0)</f>
        <v/>
      </c>
      <c r="Y560" s="9">
        <f>IF(OR(LEFT(K560,4)="LVAX",LEFT(K560,6)="MV15AX",LEFT(K560,4)="CTAX",LEFT(K560,2)="W|"),2*N560*O560,0)</f>
        <v/>
      </c>
      <c r="Z560" s="9" t="inlineStr"/>
    </row>
    <row r="561">
      <c r="A561" s="9" t="inlineStr">
        <is>
          <t>A-I-0098</t>
        </is>
      </c>
      <c r="B561" s="9" t="inlineStr">
        <is>
          <t>A</t>
        </is>
      </c>
      <c r="C561" s="9" t="inlineStr">
        <is>
          <t>Power block</t>
        </is>
      </c>
      <c r="D561" s="9" t="inlineStr">
        <is>
          <t>Instrumentation</t>
        </is>
      </c>
      <c r="E561" s="9" t="inlineStr">
        <is>
          <t>R2A</t>
        </is>
      </c>
      <c r="F561" s="9" t="inlineStr">
        <is>
          <t>R2A: unit / HRSG electrical e-house (32 x 40 ft)</t>
        </is>
      </c>
      <c r="G561" s="9" t="inlineStr">
        <is>
          <t>GT1</t>
        </is>
      </c>
      <c r="H561" s="9" t="inlineStr">
        <is>
          <t>GT1: H-class gas turbine (60 Hz)</t>
        </is>
      </c>
      <c r="I561" s="9" t="inlineStr">
        <is>
          <t>Instrumentation</t>
        </is>
      </c>
      <c r="J561" s="9" t="inlineStr">
        <is>
          <t>Instrumentation ITC / PLTC, IS, #18 shielded pairs, blue jacket</t>
        </is>
      </c>
      <c r="K561" s="9" t="inlineStr">
        <is>
          <t>ITC|12 pr|18</t>
        </is>
      </c>
      <c r="L561" s="9" t="inlineStr">
        <is>
          <t>12 pr</t>
        </is>
      </c>
      <c r="M561" s="9" t="inlineStr">
        <is>
          <t>18</t>
        </is>
      </c>
      <c r="N561" s="9" t="n">
        <v>1</v>
      </c>
      <c r="O561" s="9" t="n">
        <v>1</v>
      </c>
      <c r="P561" s="9" t="n"/>
      <c r="Q561" s="9" t="n"/>
      <c r="R561" s="9" t="n"/>
      <c r="S561" s="9" t="inlineStr">
        <is>
          <t>Tray</t>
        </is>
      </c>
      <c r="T561" s="10" t="n">
        <v>154</v>
      </c>
      <c r="U561" s="10" t="n">
        <v>103</v>
      </c>
      <c r="V561" s="10">
        <f>ROUNDUP((T561+U561+2*'Read Me'!$B$13)*(1+'Read Me'!$B$12),-1)</f>
        <v/>
      </c>
      <c r="W561" s="10">
        <f>V561*N561*O561</f>
        <v/>
      </c>
      <c r="X561" s="9">
        <f>IF(LEFT(I561,2)="MV",2*N561*IF(L561="1/C",O561,1),0)</f>
        <v/>
      </c>
      <c r="Y561" s="9">
        <f>IF(OR(LEFT(K561,4)="LVAX",LEFT(K561,6)="MV15AX",LEFT(K561,4)="CTAX",LEFT(K561,2)="W|"),2*N561*O561,0)</f>
        <v/>
      </c>
      <c r="Z561" s="9" t="inlineStr"/>
    </row>
    <row r="562">
      <c r="A562" s="9" t="inlineStr">
        <is>
          <t>A-I-0099</t>
        </is>
      </c>
      <c r="B562" s="9" t="inlineStr">
        <is>
          <t>A</t>
        </is>
      </c>
      <c r="C562" s="9" t="inlineStr">
        <is>
          <t>Power block</t>
        </is>
      </c>
      <c r="D562" s="9" t="inlineStr">
        <is>
          <t>Thermocouples</t>
        </is>
      </c>
      <c r="E562" s="9" t="inlineStr">
        <is>
          <t>R2A</t>
        </is>
      </c>
      <c r="F562" s="9" t="inlineStr">
        <is>
          <t>R2A: unit / HRSG electrical e-house (32 x 40 ft)</t>
        </is>
      </c>
      <c r="G562" s="9" t="inlineStr">
        <is>
          <t>GT1</t>
        </is>
      </c>
      <c r="H562" s="9" t="inlineStr">
        <is>
          <t>GT1: H-class gas turbine (60 Hz)</t>
        </is>
      </c>
      <c r="I562" s="9" t="inlineStr">
        <is>
          <t>Instrumentation</t>
        </is>
      </c>
      <c r="J562" s="9" t="inlineStr">
        <is>
          <t>Thermocouple extension KX, #16 shielded pairs, PLTC</t>
        </is>
      </c>
      <c r="K562" s="9" t="inlineStr">
        <is>
          <t>TCX|12 pr|16</t>
        </is>
      </c>
      <c r="L562" s="9" t="inlineStr">
        <is>
          <t>12 pr</t>
        </is>
      </c>
      <c r="M562" s="9" t="inlineStr">
        <is>
          <t>16</t>
        </is>
      </c>
      <c r="N562" s="9" t="n">
        <v>1</v>
      </c>
      <c r="O562" s="9" t="n">
        <v>1</v>
      </c>
      <c r="P562" s="9" t="n"/>
      <c r="Q562" s="9" t="n"/>
      <c r="R562" s="9" t="n"/>
      <c r="S562" s="9" t="inlineStr">
        <is>
          <t>Tray</t>
        </is>
      </c>
      <c r="T562" s="10" t="n">
        <v>154</v>
      </c>
      <c r="U562" s="10" t="n">
        <v>103</v>
      </c>
      <c r="V562" s="10">
        <f>ROUNDUP((T562+U562+2*'Read Me'!$B$13)*(1+'Read Me'!$B$12),-1)</f>
        <v/>
      </c>
      <c r="W562" s="10">
        <f>V562*N562*O562</f>
        <v/>
      </c>
      <c r="X562" s="9">
        <f>IF(LEFT(I562,2)="MV",2*N562*IF(L562="1/C",O562,1),0)</f>
        <v/>
      </c>
      <c r="Y562" s="9">
        <f>IF(OR(LEFT(K562,4)="LVAX",LEFT(K562,6)="MV15AX",LEFT(K562,4)="CTAX",LEFT(K562,2)="W|"),2*N562*O562,0)</f>
        <v/>
      </c>
      <c r="Z562" s="9" t="inlineStr"/>
    </row>
    <row r="563">
      <c r="A563" s="9" t="inlineStr">
        <is>
          <t>A-I-0100</t>
        </is>
      </c>
      <c r="B563" s="9" t="inlineStr">
        <is>
          <t>A</t>
        </is>
      </c>
      <c r="C563" s="9" t="inlineStr">
        <is>
          <t>Power block</t>
        </is>
      </c>
      <c r="D563" s="9" t="inlineStr">
        <is>
          <t>Thermocouples</t>
        </is>
      </c>
      <c r="E563" s="9" t="inlineStr">
        <is>
          <t>R2A</t>
        </is>
      </c>
      <c r="F563" s="9" t="inlineStr">
        <is>
          <t>R2A: unit / HRSG electrical e-house (32 x 40 ft)</t>
        </is>
      </c>
      <c r="G563" s="9" t="inlineStr">
        <is>
          <t>GT1</t>
        </is>
      </c>
      <c r="H563" s="9" t="inlineStr">
        <is>
          <t>GT1: H-class gas turbine (60 Hz)</t>
        </is>
      </c>
      <c r="I563" s="9" t="inlineStr">
        <is>
          <t>Instrumentation</t>
        </is>
      </c>
      <c r="J563" s="9" t="inlineStr">
        <is>
          <t>Thermocouple extension KX, #16 shielded pairs, PLTC</t>
        </is>
      </c>
      <c r="K563" s="9" t="inlineStr">
        <is>
          <t>TCX|12 pr|16</t>
        </is>
      </c>
      <c r="L563" s="9" t="inlineStr">
        <is>
          <t>12 pr</t>
        </is>
      </c>
      <c r="M563" s="9" t="inlineStr">
        <is>
          <t>16</t>
        </is>
      </c>
      <c r="N563" s="9" t="n">
        <v>1</v>
      </c>
      <c r="O563" s="9" t="n">
        <v>1</v>
      </c>
      <c r="P563" s="9" t="n"/>
      <c r="Q563" s="9" t="n"/>
      <c r="R563" s="9" t="n"/>
      <c r="S563" s="9" t="inlineStr">
        <is>
          <t>Tray</t>
        </is>
      </c>
      <c r="T563" s="10" t="n">
        <v>154</v>
      </c>
      <c r="U563" s="10" t="n">
        <v>103</v>
      </c>
      <c r="V563" s="10">
        <f>ROUNDUP((T563+U563+2*'Read Me'!$B$13)*(1+'Read Me'!$B$12),-1)</f>
        <v/>
      </c>
      <c r="W563" s="10">
        <f>V563*N563*O563</f>
        <v/>
      </c>
      <c r="X563" s="9">
        <f>IF(LEFT(I563,2)="MV",2*N563*IF(L563="1/C",O563,1),0)</f>
        <v/>
      </c>
      <c r="Y563" s="9">
        <f>IF(OR(LEFT(K563,4)="LVAX",LEFT(K563,6)="MV15AX",LEFT(K563,4)="CTAX",LEFT(K563,2)="W|"),2*N563*O563,0)</f>
        <v/>
      </c>
      <c r="Z563" s="9" t="inlineStr"/>
    </row>
    <row r="564">
      <c r="A564" s="9" t="inlineStr">
        <is>
          <t>A-I-0101</t>
        </is>
      </c>
      <c r="B564" s="9" t="inlineStr">
        <is>
          <t>A</t>
        </is>
      </c>
      <c r="C564" s="9" t="inlineStr">
        <is>
          <t>Power block</t>
        </is>
      </c>
      <c r="D564" s="9" t="inlineStr">
        <is>
          <t>Thermocouples</t>
        </is>
      </c>
      <c r="E564" s="9" t="inlineStr">
        <is>
          <t>R2A</t>
        </is>
      </c>
      <c r="F564" s="9" t="inlineStr">
        <is>
          <t>R2A: unit / HRSG electrical e-house (32 x 40 ft)</t>
        </is>
      </c>
      <c r="G564" s="9" t="inlineStr">
        <is>
          <t>GT1</t>
        </is>
      </c>
      <c r="H564" s="9" t="inlineStr">
        <is>
          <t>GT1: H-class gas turbine (60 Hz)</t>
        </is>
      </c>
      <c r="I564" s="9" t="inlineStr">
        <is>
          <t>Instrumentation</t>
        </is>
      </c>
      <c r="J564" s="9" t="inlineStr">
        <is>
          <t>Thermocouple extension KX, #16 shielded pairs, PLTC</t>
        </is>
      </c>
      <c r="K564" s="9" t="inlineStr">
        <is>
          <t>TCX|12 pr|16</t>
        </is>
      </c>
      <c r="L564" s="9" t="inlineStr">
        <is>
          <t>12 pr</t>
        </is>
      </c>
      <c r="M564" s="9" t="inlineStr">
        <is>
          <t>16</t>
        </is>
      </c>
      <c r="N564" s="9" t="n">
        <v>1</v>
      </c>
      <c r="O564" s="9" t="n">
        <v>1</v>
      </c>
      <c r="P564" s="9" t="n"/>
      <c r="Q564" s="9" t="n"/>
      <c r="R564" s="9" t="n"/>
      <c r="S564" s="9" t="inlineStr">
        <is>
          <t>Tray</t>
        </is>
      </c>
      <c r="T564" s="10" t="n">
        <v>154</v>
      </c>
      <c r="U564" s="10" t="n">
        <v>103</v>
      </c>
      <c r="V564" s="10">
        <f>ROUNDUP((T564+U564+2*'Read Me'!$B$13)*(1+'Read Me'!$B$12),-1)</f>
        <v/>
      </c>
      <c r="W564" s="10">
        <f>V564*N564*O564</f>
        <v/>
      </c>
      <c r="X564" s="9">
        <f>IF(LEFT(I564,2)="MV",2*N564*IF(L564="1/C",O564,1),0)</f>
        <v/>
      </c>
      <c r="Y564" s="9">
        <f>IF(OR(LEFT(K564,4)="LVAX",LEFT(K564,6)="MV15AX",LEFT(K564,4)="CTAX",LEFT(K564,2)="W|"),2*N564*O564,0)</f>
        <v/>
      </c>
      <c r="Z564" s="9" t="inlineStr"/>
    </row>
    <row r="565">
      <c r="A565" s="9" t="inlineStr">
        <is>
          <t>A-I-0102</t>
        </is>
      </c>
      <c r="B565" s="9" t="inlineStr">
        <is>
          <t>A</t>
        </is>
      </c>
      <c r="C565" s="9" t="inlineStr">
        <is>
          <t>Power block</t>
        </is>
      </c>
      <c r="D565" s="9" t="inlineStr">
        <is>
          <t>Thermocouples</t>
        </is>
      </c>
      <c r="E565" s="9" t="inlineStr">
        <is>
          <t>R2A</t>
        </is>
      </c>
      <c r="F565" s="9" t="inlineStr">
        <is>
          <t>R2A: unit / HRSG electrical e-house (32 x 40 ft)</t>
        </is>
      </c>
      <c r="G565" s="9" t="inlineStr">
        <is>
          <t>GT1</t>
        </is>
      </c>
      <c r="H565" s="9" t="inlineStr">
        <is>
          <t>GT1: H-class gas turbine (60 Hz)</t>
        </is>
      </c>
      <c r="I565" s="9" t="inlineStr">
        <is>
          <t>Instrumentation</t>
        </is>
      </c>
      <c r="J565" s="9" t="inlineStr">
        <is>
          <t>Thermocouple extension KX, #16 shielded pairs, PLTC</t>
        </is>
      </c>
      <c r="K565" s="9" t="inlineStr">
        <is>
          <t>TCX|12 pr|16</t>
        </is>
      </c>
      <c r="L565" s="9" t="inlineStr">
        <is>
          <t>12 pr</t>
        </is>
      </c>
      <c r="M565" s="9" t="inlineStr">
        <is>
          <t>16</t>
        </is>
      </c>
      <c r="N565" s="9" t="n">
        <v>1</v>
      </c>
      <c r="O565" s="9" t="n">
        <v>1</v>
      </c>
      <c r="P565" s="9" t="n"/>
      <c r="Q565" s="9" t="n"/>
      <c r="R565" s="9" t="n"/>
      <c r="S565" s="9" t="inlineStr">
        <is>
          <t>Tray</t>
        </is>
      </c>
      <c r="T565" s="10" t="n">
        <v>154</v>
      </c>
      <c r="U565" s="10" t="n">
        <v>103</v>
      </c>
      <c r="V565" s="10">
        <f>ROUNDUP((T565+U565+2*'Read Me'!$B$13)*(1+'Read Me'!$B$12),-1)</f>
        <v/>
      </c>
      <c r="W565" s="10">
        <f>V565*N565*O565</f>
        <v/>
      </c>
      <c r="X565" s="9">
        <f>IF(LEFT(I565,2)="MV",2*N565*IF(L565="1/C",O565,1),0)</f>
        <v/>
      </c>
      <c r="Y565" s="9">
        <f>IF(OR(LEFT(K565,4)="LVAX",LEFT(K565,6)="MV15AX",LEFT(K565,4)="CTAX",LEFT(K565,2)="W|"),2*N565*O565,0)</f>
        <v/>
      </c>
      <c r="Z565" s="9" t="inlineStr"/>
    </row>
    <row r="566">
      <c r="A566" s="9" t="inlineStr">
        <is>
          <t>A-I-0103</t>
        </is>
      </c>
      <c r="B566" s="9" t="inlineStr">
        <is>
          <t>A</t>
        </is>
      </c>
      <c r="C566" s="9" t="inlineStr">
        <is>
          <t>Power block</t>
        </is>
      </c>
      <c r="D566" s="9" t="inlineStr">
        <is>
          <t>Thermocouples</t>
        </is>
      </c>
      <c r="E566" s="9" t="inlineStr">
        <is>
          <t>R2A</t>
        </is>
      </c>
      <c r="F566" s="9" t="inlineStr">
        <is>
          <t>R2A: unit / HRSG electrical e-house (32 x 40 ft)</t>
        </is>
      </c>
      <c r="G566" s="9" t="inlineStr">
        <is>
          <t>GT1</t>
        </is>
      </c>
      <c r="H566" s="9" t="inlineStr">
        <is>
          <t>GT1: H-class gas turbine (60 Hz)</t>
        </is>
      </c>
      <c r="I566" s="9" t="inlineStr">
        <is>
          <t>Instrumentation</t>
        </is>
      </c>
      <c r="J566" s="9" t="inlineStr">
        <is>
          <t>Thermocouple extension KX, #16 shielded pairs, PLTC</t>
        </is>
      </c>
      <c r="K566" s="9" t="inlineStr">
        <is>
          <t>TCX|12 pr|16</t>
        </is>
      </c>
      <c r="L566" s="9" t="inlineStr">
        <is>
          <t>12 pr</t>
        </is>
      </c>
      <c r="M566" s="9" t="inlineStr">
        <is>
          <t>16</t>
        </is>
      </c>
      <c r="N566" s="9" t="n">
        <v>1</v>
      </c>
      <c r="O566" s="9" t="n">
        <v>1</v>
      </c>
      <c r="P566" s="9" t="n"/>
      <c r="Q566" s="9" t="n"/>
      <c r="R566" s="9" t="n"/>
      <c r="S566" s="9" t="inlineStr">
        <is>
          <t>Tray</t>
        </is>
      </c>
      <c r="T566" s="10" t="n">
        <v>154</v>
      </c>
      <c r="U566" s="10" t="n">
        <v>103</v>
      </c>
      <c r="V566" s="10">
        <f>ROUNDUP((T566+U566+2*'Read Me'!$B$13)*(1+'Read Me'!$B$12),-1)</f>
        <v/>
      </c>
      <c r="W566" s="10">
        <f>V566*N566*O566</f>
        <v/>
      </c>
      <c r="X566" s="9">
        <f>IF(LEFT(I566,2)="MV",2*N566*IF(L566="1/C",O566,1),0)</f>
        <v/>
      </c>
      <c r="Y566" s="9">
        <f>IF(OR(LEFT(K566,4)="LVAX",LEFT(K566,6)="MV15AX",LEFT(K566,4)="CTAX",LEFT(K566,2)="W|"),2*N566*O566,0)</f>
        <v/>
      </c>
      <c r="Z566" s="9" t="inlineStr"/>
    </row>
    <row r="567">
      <c r="A567" s="9" t="inlineStr">
        <is>
          <t>A-I-0104</t>
        </is>
      </c>
      <c r="B567" s="9" t="inlineStr">
        <is>
          <t>A</t>
        </is>
      </c>
      <c r="C567" s="9" t="inlineStr">
        <is>
          <t>Power block</t>
        </is>
      </c>
      <c r="D567" s="9" t="inlineStr">
        <is>
          <t>Thermocouples</t>
        </is>
      </c>
      <c r="E567" s="9" t="inlineStr">
        <is>
          <t>R2A</t>
        </is>
      </c>
      <c r="F567" s="9" t="inlineStr">
        <is>
          <t>R2A: unit / HRSG electrical e-house (32 x 40 ft)</t>
        </is>
      </c>
      <c r="G567" s="9" t="inlineStr">
        <is>
          <t>GT1</t>
        </is>
      </c>
      <c r="H567" s="9" t="inlineStr">
        <is>
          <t>GT1: H-class gas turbine (60 Hz)</t>
        </is>
      </c>
      <c r="I567" s="9" t="inlineStr">
        <is>
          <t>Instrumentation</t>
        </is>
      </c>
      <c r="J567" s="9" t="inlineStr">
        <is>
          <t>Thermocouple extension KX, #16 shielded pairs, PLTC</t>
        </is>
      </c>
      <c r="K567" s="9" t="inlineStr">
        <is>
          <t>TCX|12 pr|16</t>
        </is>
      </c>
      <c r="L567" s="9" t="inlineStr">
        <is>
          <t>12 pr</t>
        </is>
      </c>
      <c r="M567" s="9" t="inlineStr">
        <is>
          <t>16</t>
        </is>
      </c>
      <c r="N567" s="9" t="n">
        <v>1</v>
      </c>
      <c r="O567" s="9" t="n">
        <v>1</v>
      </c>
      <c r="P567" s="9" t="n"/>
      <c r="Q567" s="9" t="n"/>
      <c r="R567" s="9" t="n"/>
      <c r="S567" s="9" t="inlineStr">
        <is>
          <t>Tray</t>
        </is>
      </c>
      <c r="T567" s="10" t="n">
        <v>154</v>
      </c>
      <c r="U567" s="10" t="n">
        <v>103</v>
      </c>
      <c r="V567" s="10">
        <f>ROUNDUP((T567+U567+2*'Read Me'!$B$13)*(1+'Read Me'!$B$12),-1)</f>
        <v/>
      </c>
      <c r="W567" s="10">
        <f>V567*N567*O567</f>
        <v/>
      </c>
      <c r="X567" s="9">
        <f>IF(LEFT(I567,2)="MV",2*N567*IF(L567="1/C",O567,1),0)</f>
        <v/>
      </c>
      <c r="Y567" s="9">
        <f>IF(OR(LEFT(K567,4)="LVAX",LEFT(K567,6)="MV15AX",LEFT(K567,4)="CTAX",LEFT(K567,2)="W|"),2*N567*O567,0)</f>
        <v/>
      </c>
      <c r="Z567" s="9" t="inlineStr"/>
    </row>
    <row r="568">
      <c r="A568" s="9" t="inlineStr">
        <is>
          <t>A-I-0105</t>
        </is>
      </c>
      <c r="B568" s="9" t="inlineStr">
        <is>
          <t>A</t>
        </is>
      </c>
      <c r="C568" s="9" t="inlineStr">
        <is>
          <t>Power block</t>
        </is>
      </c>
      <c r="D568" s="9" t="inlineStr">
        <is>
          <t>Vibration monitoring</t>
        </is>
      </c>
      <c r="E568" s="9" t="inlineStr">
        <is>
          <t>R2A</t>
        </is>
      </c>
      <c r="F568" s="9" t="inlineStr">
        <is>
          <t>R2A: unit / HRSG electrical e-house (32 x 40 ft)</t>
        </is>
      </c>
      <c r="G568" s="9" t="inlineStr">
        <is>
          <t>GT1</t>
        </is>
      </c>
      <c r="H568" s="9" t="inlineStr">
        <is>
          <t>GT1: H-class gas turbine (60 Hz)</t>
        </is>
      </c>
      <c r="I568" s="9" t="inlineStr">
        <is>
          <t>Instrumentation</t>
        </is>
      </c>
      <c r="J568" s="9" t="inlineStr">
        <is>
          <t>Instrumentation PLTC / TC-ER 300 V, #18 twisted shielded pairs, overall shield</t>
        </is>
      </c>
      <c r="K568" s="9" t="inlineStr">
        <is>
          <t>PLTC|4 pr|18</t>
        </is>
      </c>
      <c r="L568" s="9" t="inlineStr">
        <is>
          <t>4 pr</t>
        </is>
      </c>
      <c r="M568" s="9" t="inlineStr">
        <is>
          <t>18</t>
        </is>
      </c>
      <c r="N568" s="9" t="n">
        <v>1</v>
      </c>
      <c r="O568" s="9" t="n">
        <v>1</v>
      </c>
      <c r="P568" s="9" t="n"/>
      <c r="Q568" s="9" t="n"/>
      <c r="R568" s="9" t="n"/>
      <c r="S568" s="9" t="inlineStr">
        <is>
          <t>Tray</t>
        </is>
      </c>
      <c r="T568" s="10" t="n">
        <v>154</v>
      </c>
      <c r="U568" s="10" t="n">
        <v>103</v>
      </c>
      <c r="V568" s="10">
        <f>ROUNDUP((T568+U568+2*'Read Me'!$B$13)*(1+'Read Me'!$B$12),-1)</f>
        <v/>
      </c>
      <c r="W568" s="10">
        <f>V568*N568*O568</f>
        <v/>
      </c>
      <c r="X568" s="9">
        <f>IF(LEFT(I568,2)="MV",2*N568*IF(L568="1/C",O568,1),0)</f>
        <v/>
      </c>
      <c r="Y568" s="9">
        <f>IF(OR(LEFT(K568,4)="LVAX",LEFT(K568,6)="MV15AX",LEFT(K568,4)="CTAX",LEFT(K568,2)="W|"),2*N568*O568,0)</f>
        <v/>
      </c>
      <c r="Z568" s="9" t="inlineStr"/>
    </row>
    <row r="569">
      <c r="A569" s="9" t="inlineStr">
        <is>
          <t>A-I-0106</t>
        </is>
      </c>
      <c r="B569" s="9" t="inlineStr">
        <is>
          <t>A</t>
        </is>
      </c>
      <c r="C569" s="9" t="inlineStr">
        <is>
          <t>Power block</t>
        </is>
      </c>
      <c r="D569" s="9" t="inlineStr">
        <is>
          <t>Instrumentation</t>
        </is>
      </c>
      <c r="E569" s="9" t="inlineStr">
        <is>
          <t>R2C</t>
        </is>
      </c>
      <c r="F569" s="9" t="inlineStr">
        <is>
          <t>R2C: unit / HRSG electrical e-house (32 x 40 ft)</t>
        </is>
      </c>
      <c r="G569" s="9" t="inlineStr">
        <is>
          <t>GT2 aux</t>
        </is>
      </c>
      <c r="H569" s="9" t="inlineStr">
        <is>
          <t>GT2 aux: lube oil, hydraulics, enclosure fans</t>
        </is>
      </c>
      <c r="I569" s="9" t="inlineStr">
        <is>
          <t>Instrumentation</t>
        </is>
      </c>
      <c r="J569" s="9" t="inlineStr">
        <is>
          <t>Instrumentation ITC / PLTC, IS, #18 shielded pairs, blue jacket</t>
        </is>
      </c>
      <c r="K569" s="9" t="inlineStr">
        <is>
          <t>ITC|4 pr|18</t>
        </is>
      </c>
      <c r="L569" s="9" t="inlineStr">
        <is>
          <t>4 pr</t>
        </is>
      </c>
      <c r="M569" s="9" t="inlineStr">
        <is>
          <t>18</t>
        </is>
      </c>
      <c r="N569" s="9" t="n">
        <v>1</v>
      </c>
      <c r="O569" s="9" t="n">
        <v>1</v>
      </c>
      <c r="P569" s="9" t="n"/>
      <c r="Q569" s="9" t="n"/>
      <c r="R569" s="9" t="n"/>
      <c r="S569" s="9" t="inlineStr">
        <is>
          <t>Tray</t>
        </is>
      </c>
      <c r="T569" s="10" t="n">
        <v>1123</v>
      </c>
      <c r="U569" s="10" t="n">
        <v>121</v>
      </c>
      <c r="V569" s="10">
        <f>ROUNDUP((T569+U569+2*'Read Me'!$B$13)*(1+'Read Me'!$B$12),-1)</f>
        <v/>
      </c>
      <c r="W569" s="10">
        <f>V569*N569*O569</f>
        <v/>
      </c>
      <c r="X569" s="9">
        <f>IF(LEFT(I569,2)="MV",2*N569*IF(L569="1/C",O569,1),0)</f>
        <v/>
      </c>
      <c r="Y569" s="9">
        <f>IF(OR(LEFT(K569,4)="LVAX",LEFT(K569,6)="MV15AX",LEFT(K569,4)="CTAX",LEFT(K569,2)="W|"),2*N569*O569,0)</f>
        <v/>
      </c>
      <c r="Z569" s="9" t="inlineStr"/>
    </row>
    <row r="570">
      <c r="A570" s="9" t="inlineStr">
        <is>
          <t>A-I-0107</t>
        </is>
      </c>
      <c r="B570" s="9" t="inlineStr">
        <is>
          <t>A</t>
        </is>
      </c>
      <c r="C570" s="9" t="inlineStr">
        <is>
          <t>Power block</t>
        </is>
      </c>
      <c r="D570" s="9" t="inlineStr">
        <is>
          <t>Instrumentation</t>
        </is>
      </c>
      <c r="E570" s="9" t="inlineStr">
        <is>
          <t>R2C</t>
        </is>
      </c>
      <c r="F570" s="9" t="inlineStr">
        <is>
          <t>R2C: unit / HRSG electrical e-house (32 x 40 ft)</t>
        </is>
      </c>
      <c r="G570" s="9" t="inlineStr">
        <is>
          <t>INL-2</t>
        </is>
      </c>
      <c r="H570" s="9" t="inlineStr">
        <is>
          <t>GT2 inlet duct (drop + horizontal EL 23-37)</t>
        </is>
      </c>
      <c r="I570" s="9" t="inlineStr">
        <is>
          <t>Instrumentation</t>
        </is>
      </c>
      <c r="J570" s="9" t="inlineStr">
        <is>
          <t>Instrumentation ITC / PLTC, IS, #18 shielded pairs, blue jacket</t>
        </is>
      </c>
      <c r="K570" s="9" t="inlineStr">
        <is>
          <t>ITC|4 pr|18</t>
        </is>
      </c>
      <c r="L570" s="9" t="inlineStr">
        <is>
          <t>4 pr</t>
        </is>
      </c>
      <c r="M570" s="9" t="inlineStr">
        <is>
          <t>18</t>
        </is>
      </c>
      <c r="N570" s="9" t="n">
        <v>1</v>
      </c>
      <c r="O570" s="9" t="n">
        <v>1</v>
      </c>
      <c r="P570" s="9" t="n"/>
      <c r="Q570" s="9" t="n"/>
      <c r="R570" s="9" t="n"/>
      <c r="S570" s="9" t="inlineStr">
        <is>
          <t>Tray</t>
        </is>
      </c>
      <c r="T570" s="10" t="n">
        <v>1306</v>
      </c>
      <c r="U570" s="10" t="n">
        <v>80</v>
      </c>
      <c r="V570" s="10">
        <f>ROUNDUP((T570+U570+2*'Read Me'!$B$13)*(1+'Read Me'!$B$12),-1)</f>
        <v/>
      </c>
      <c r="W570" s="10">
        <f>V570*N570*O570</f>
        <v/>
      </c>
      <c r="X570" s="9">
        <f>IF(LEFT(I570,2)="MV",2*N570*IF(L570="1/C",O570,1),0)</f>
        <v/>
      </c>
      <c r="Y570" s="9">
        <f>IF(OR(LEFT(K570,4)="LVAX",LEFT(K570,6)="MV15AX",LEFT(K570,4)="CTAX",LEFT(K570,2)="W|"),2*N570*O570,0)</f>
        <v/>
      </c>
      <c r="Z570" s="9" t="inlineStr"/>
    </row>
    <row r="571">
      <c r="A571" s="9" t="inlineStr">
        <is>
          <t>A-I-0108</t>
        </is>
      </c>
      <c r="B571" s="9" t="inlineStr">
        <is>
          <t>A</t>
        </is>
      </c>
      <c r="C571" s="9" t="inlineStr">
        <is>
          <t>Power block</t>
        </is>
      </c>
      <c r="D571" s="9" t="inlineStr">
        <is>
          <t>Thermocouples</t>
        </is>
      </c>
      <c r="E571" s="9" t="inlineStr">
        <is>
          <t>R2C</t>
        </is>
      </c>
      <c r="F571" s="9" t="inlineStr">
        <is>
          <t>R2C: unit / HRSG electrical e-house (32 x 40 ft)</t>
        </is>
      </c>
      <c r="G571" s="9" t="inlineStr">
        <is>
          <t>INL-2</t>
        </is>
      </c>
      <c r="H571" s="9" t="inlineStr">
        <is>
          <t>GT2 inlet duct (drop + horizontal EL 23-37)</t>
        </is>
      </c>
      <c r="I571" s="9" t="inlineStr">
        <is>
          <t>Instrumentation</t>
        </is>
      </c>
      <c r="J571" s="9" t="inlineStr">
        <is>
          <t>Thermocouple extension KX, #16 shielded pairs, PLTC</t>
        </is>
      </c>
      <c r="K571" s="9" t="inlineStr">
        <is>
          <t>TCX|12 pr|16</t>
        </is>
      </c>
      <c r="L571" s="9" t="inlineStr">
        <is>
          <t>12 pr</t>
        </is>
      </c>
      <c r="M571" s="9" t="inlineStr">
        <is>
          <t>16</t>
        </is>
      </c>
      <c r="N571" s="9" t="n">
        <v>1</v>
      </c>
      <c r="O571" s="9" t="n">
        <v>1</v>
      </c>
      <c r="P571" s="9" t="n"/>
      <c r="Q571" s="9" t="n"/>
      <c r="R571" s="9" t="n"/>
      <c r="S571" s="9" t="inlineStr">
        <is>
          <t>Tray</t>
        </is>
      </c>
      <c r="T571" s="10" t="n">
        <v>1306</v>
      </c>
      <c r="U571" s="10" t="n">
        <v>80</v>
      </c>
      <c r="V571" s="10">
        <f>ROUNDUP((T571+U571+2*'Read Me'!$B$13)*(1+'Read Me'!$B$12),-1)</f>
        <v/>
      </c>
      <c r="W571" s="10">
        <f>V571*N571*O571</f>
        <v/>
      </c>
      <c r="X571" s="9">
        <f>IF(LEFT(I571,2)="MV",2*N571*IF(L571="1/C",O571,1),0)</f>
        <v/>
      </c>
      <c r="Y571" s="9">
        <f>IF(OR(LEFT(K571,4)="LVAX",LEFT(K571,6)="MV15AX",LEFT(K571,4)="CTAX",LEFT(K571,2)="W|"),2*N571*O571,0)</f>
        <v/>
      </c>
      <c r="Z571" s="9" t="inlineStr"/>
    </row>
    <row r="572">
      <c r="A572" s="9" t="inlineStr">
        <is>
          <t>A-I-0109</t>
        </is>
      </c>
      <c r="B572" s="9" t="inlineStr">
        <is>
          <t>A</t>
        </is>
      </c>
      <c r="C572" s="9" t="inlineStr">
        <is>
          <t>Power block</t>
        </is>
      </c>
      <c r="D572" s="9" t="inlineStr">
        <is>
          <t>Thermocouples</t>
        </is>
      </c>
      <c r="E572" s="9" t="inlineStr">
        <is>
          <t>R2C</t>
        </is>
      </c>
      <c r="F572" s="9" t="inlineStr">
        <is>
          <t>R2C: unit / HRSG electrical e-house (32 x 40 ft)</t>
        </is>
      </c>
      <c r="G572" s="9" t="inlineStr">
        <is>
          <t>INL-2</t>
        </is>
      </c>
      <c r="H572" s="9" t="inlineStr">
        <is>
          <t>GT2 inlet duct (drop + horizontal EL 23-37)</t>
        </is>
      </c>
      <c r="I572" s="9" t="inlineStr">
        <is>
          <t>Instrumentation</t>
        </is>
      </c>
      <c r="J572" s="9" t="inlineStr">
        <is>
          <t>Thermocouple extension KX, #16 shielded pairs, PLTC</t>
        </is>
      </c>
      <c r="K572" s="9" t="inlineStr">
        <is>
          <t>TCX|12 pr|16</t>
        </is>
      </c>
      <c r="L572" s="9" t="inlineStr">
        <is>
          <t>12 pr</t>
        </is>
      </c>
      <c r="M572" s="9" t="inlineStr">
        <is>
          <t>16</t>
        </is>
      </c>
      <c r="N572" s="9" t="n">
        <v>1</v>
      </c>
      <c r="O572" s="9" t="n">
        <v>1</v>
      </c>
      <c r="P572" s="9" t="n"/>
      <c r="Q572" s="9" t="n"/>
      <c r="R572" s="9" t="n"/>
      <c r="S572" s="9" t="inlineStr">
        <is>
          <t>Tray</t>
        </is>
      </c>
      <c r="T572" s="10" t="n">
        <v>1306</v>
      </c>
      <c r="U572" s="10" t="n">
        <v>80</v>
      </c>
      <c r="V572" s="10">
        <f>ROUNDUP((T572+U572+2*'Read Me'!$B$13)*(1+'Read Me'!$B$12),-1)</f>
        <v/>
      </c>
      <c r="W572" s="10">
        <f>V572*N572*O572</f>
        <v/>
      </c>
      <c r="X572" s="9">
        <f>IF(LEFT(I572,2)="MV",2*N572*IF(L572="1/C",O572,1),0)</f>
        <v/>
      </c>
      <c r="Y572" s="9">
        <f>IF(OR(LEFT(K572,4)="LVAX",LEFT(K572,6)="MV15AX",LEFT(K572,4)="CTAX",LEFT(K572,2)="W|"),2*N572*O572,0)</f>
        <v/>
      </c>
      <c r="Z572" s="9" t="inlineStr"/>
    </row>
    <row r="573">
      <c r="A573" s="9" t="inlineStr">
        <is>
          <t>A-I-0110</t>
        </is>
      </c>
      <c r="B573" s="9" t="inlineStr">
        <is>
          <t>A</t>
        </is>
      </c>
      <c r="C573" s="9" t="inlineStr">
        <is>
          <t>Power block</t>
        </is>
      </c>
      <c r="D573" s="9" t="inlineStr">
        <is>
          <t>Instrumentation</t>
        </is>
      </c>
      <c r="E573" s="9" t="inlineStr">
        <is>
          <t>R2B</t>
        </is>
      </c>
      <c r="F573" s="9" t="inlineStr">
        <is>
          <t>R2B: unit / HRSG electrical e-house (32 x 40 ft)</t>
        </is>
      </c>
      <c r="G573" s="9" t="inlineStr">
        <is>
          <t>GT2</t>
        </is>
      </c>
      <c r="H573" s="9" t="inlineStr">
        <is>
          <t>GT2: H-class gas turbine (60 Hz)</t>
        </is>
      </c>
      <c r="I573" s="9" t="inlineStr">
        <is>
          <t>Instrumentation</t>
        </is>
      </c>
      <c r="J573" s="9" t="inlineStr">
        <is>
          <t>Instrumentation ITC / PLTC, IS, #18 shielded pairs, blue jacket</t>
        </is>
      </c>
      <c r="K573" s="9" t="inlineStr">
        <is>
          <t>ITC|4 pr|18</t>
        </is>
      </c>
      <c r="L573" s="9" t="inlineStr">
        <is>
          <t>4 pr</t>
        </is>
      </c>
      <c r="M573" s="9" t="inlineStr">
        <is>
          <t>18</t>
        </is>
      </c>
      <c r="N573" s="9" t="n">
        <v>1</v>
      </c>
      <c r="O573" s="9" t="n">
        <v>1</v>
      </c>
      <c r="P573" s="9" t="n"/>
      <c r="Q573" s="9" t="n"/>
      <c r="R573" s="9" t="n"/>
      <c r="S573" s="9" t="inlineStr">
        <is>
          <t>Tray</t>
        </is>
      </c>
      <c r="T573" s="10" t="n">
        <v>893</v>
      </c>
      <c r="U573" s="10" t="n">
        <v>105</v>
      </c>
      <c r="V573" s="10">
        <f>ROUNDUP((T573+U573+2*'Read Me'!$B$13)*(1+'Read Me'!$B$12),-1)</f>
        <v/>
      </c>
      <c r="W573" s="10">
        <f>V573*N573*O573</f>
        <v/>
      </c>
      <c r="X573" s="9">
        <f>IF(LEFT(I573,2)="MV",2*N573*IF(L573="1/C",O573,1),0)</f>
        <v/>
      </c>
      <c r="Y573" s="9">
        <f>IF(OR(LEFT(K573,4)="LVAX",LEFT(K573,6)="MV15AX",LEFT(K573,4)="CTAX",LEFT(K573,2)="W|"),2*N573*O573,0)</f>
        <v/>
      </c>
      <c r="Z573" s="9" t="inlineStr"/>
    </row>
    <row r="574">
      <c r="A574" s="9" t="inlineStr">
        <is>
          <t>A-I-0111</t>
        </is>
      </c>
      <c r="B574" s="9" t="inlineStr">
        <is>
          <t>A</t>
        </is>
      </c>
      <c r="C574" s="9" t="inlineStr">
        <is>
          <t>Power block</t>
        </is>
      </c>
      <c r="D574" s="9" t="inlineStr">
        <is>
          <t>Instrumentation</t>
        </is>
      </c>
      <c r="E574" s="9" t="inlineStr">
        <is>
          <t>R2B</t>
        </is>
      </c>
      <c r="F574" s="9" t="inlineStr">
        <is>
          <t>R2B: unit / HRSG electrical e-house (32 x 40 ft)</t>
        </is>
      </c>
      <c r="G574" s="9" t="inlineStr">
        <is>
          <t>GT2</t>
        </is>
      </c>
      <c r="H574" s="9" t="inlineStr">
        <is>
          <t>GT2: H-class gas turbine (60 Hz)</t>
        </is>
      </c>
      <c r="I574" s="9" t="inlineStr">
        <is>
          <t>Instrumentation</t>
        </is>
      </c>
      <c r="J574" s="9" t="inlineStr">
        <is>
          <t>Instrumentation ITC / PLTC, IS, #18 shielded pairs, blue jacket</t>
        </is>
      </c>
      <c r="K574" s="9" t="inlineStr">
        <is>
          <t>ITC|4 pr|18</t>
        </is>
      </c>
      <c r="L574" s="9" t="inlineStr">
        <is>
          <t>4 pr</t>
        </is>
      </c>
      <c r="M574" s="9" t="inlineStr">
        <is>
          <t>18</t>
        </is>
      </c>
      <c r="N574" s="9" t="n">
        <v>1</v>
      </c>
      <c r="O574" s="9" t="n">
        <v>1</v>
      </c>
      <c r="P574" s="9" t="n"/>
      <c r="Q574" s="9" t="n"/>
      <c r="R574" s="9" t="n"/>
      <c r="S574" s="9" t="inlineStr">
        <is>
          <t>Tray</t>
        </is>
      </c>
      <c r="T574" s="10" t="n">
        <v>893</v>
      </c>
      <c r="U574" s="10" t="n">
        <v>105</v>
      </c>
      <c r="V574" s="10">
        <f>ROUNDUP((T574+U574+2*'Read Me'!$B$13)*(1+'Read Me'!$B$12),-1)</f>
        <v/>
      </c>
      <c r="W574" s="10">
        <f>V574*N574*O574</f>
        <v/>
      </c>
      <c r="X574" s="9">
        <f>IF(LEFT(I574,2)="MV",2*N574*IF(L574="1/C",O574,1),0)</f>
        <v/>
      </c>
      <c r="Y574" s="9">
        <f>IF(OR(LEFT(K574,4)="LVAX",LEFT(K574,6)="MV15AX",LEFT(K574,4)="CTAX",LEFT(K574,2)="W|"),2*N574*O574,0)</f>
        <v/>
      </c>
      <c r="Z574" s="9" t="inlineStr"/>
    </row>
    <row r="575">
      <c r="A575" s="9" t="inlineStr">
        <is>
          <t>A-I-0112</t>
        </is>
      </c>
      <c r="B575" s="9" t="inlineStr">
        <is>
          <t>A</t>
        </is>
      </c>
      <c r="C575" s="9" t="inlineStr">
        <is>
          <t>Power block</t>
        </is>
      </c>
      <c r="D575" s="9" t="inlineStr">
        <is>
          <t>Instrumentation</t>
        </is>
      </c>
      <c r="E575" s="9" t="inlineStr">
        <is>
          <t>R2B</t>
        </is>
      </c>
      <c r="F575" s="9" t="inlineStr">
        <is>
          <t>R2B: unit / HRSG electrical e-house (32 x 40 ft)</t>
        </is>
      </c>
      <c r="G575" s="9" t="inlineStr">
        <is>
          <t>GT2</t>
        </is>
      </c>
      <c r="H575" s="9" t="inlineStr">
        <is>
          <t>GT2: H-class gas turbine (60 Hz)</t>
        </is>
      </c>
      <c r="I575" s="9" t="inlineStr">
        <is>
          <t>Instrumentation</t>
        </is>
      </c>
      <c r="J575" s="9" t="inlineStr">
        <is>
          <t>Instrumentation ITC / PLTC, IS, #18 shielded pairs, blue jacket</t>
        </is>
      </c>
      <c r="K575" s="9" t="inlineStr">
        <is>
          <t>ITC|12 pr|18</t>
        </is>
      </c>
      <c r="L575" s="9" t="inlineStr">
        <is>
          <t>12 pr</t>
        </is>
      </c>
      <c r="M575" s="9" t="inlineStr">
        <is>
          <t>18</t>
        </is>
      </c>
      <c r="N575" s="9" t="n">
        <v>1</v>
      </c>
      <c r="O575" s="9" t="n">
        <v>1</v>
      </c>
      <c r="P575" s="9" t="n"/>
      <c r="Q575" s="9" t="n"/>
      <c r="R575" s="9" t="n"/>
      <c r="S575" s="9" t="inlineStr">
        <is>
          <t>Tray</t>
        </is>
      </c>
      <c r="T575" s="10" t="n">
        <v>893</v>
      </c>
      <c r="U575" s="10" t="n">
        <v>105</v>
      </c>
      <c r="V575" s="10">
        <f>ROUNDUP((T575+U575+2*'Read Me'!$B$13)*(1+'Read Me'!$B$12),-1)</f>
        <v/>
      </c>
      <c r="W575" s="10">
        <f>V575*N575*O575</f>
        <v/>
      </c>
      <c r="X575" s="9">
        <f>IF(LEFT(I575,2)="MV",2*N575*IF(L575="1/C",O575,1),0)</f>
        <v/>
      </c>
      <c r="Y575" s="9">
        <f>IF(OR(LEFT(K575,4)="LVAX",LEFT(K575,6)="MV15AX",LEFT(K575,4)="CTAX",LEFT(K575,2)="W|"),2*N575*O575,0)</f>
        <v/>
      </c>
      <c r="Z575" s="9" t="inlineStr"/>
    </row>
    <row r="576">
      <c r="A576" s="9" t="inlineStr">
        <is>
          <t>A-I-0113</t>
        </is>
      </c>
      <c r="B576" s="9" t="inlineStr">
        <is>
          <t>A</t>
        </is>
      </c>
      <c r="C576" s="9" t="inlineStr">
        <is>
          <t>Power block</t>
        </is>
      </c>
      <c r="D576" s="9" t="inlineStr">
        <is>
          <t>Instrumentation</t>
        </is>
      </c>
      <c r="E576" s="9" t="inlineStr">
        <is>
          <t>R2B</t>
        </is>
      </c>
      <c r="F576" s="9" t="inlineStr">
        <is>
          <t>R2B: unit / HRSG electrical e-house (32 x 40 ft)</t>
        </is>
      </c>
      <c r="G576" s="9" t="inlineStr">
        <is>
          <t>GT2</t>
        </is>
      </c>
      <c r="H576" s="9" t="inlineStr">
        <is>
          <t>GT2: H-class gas turbine (60 Hz)</t>
        </is>
      </c>
      <c r="I576" s="9" t="inlineStr">
        <is>
          <t>Instrumentation</t>
        </is>
      </c>
      <c r="J576" s="9" t="inlineStr">
        <is>
          <t>Instrumentation ITC / PLTC, IS, #18 shielded pairs, blue jacket</t>
        </is>
      </c>
      <c r="K576" s="9" t="inlineStr">
        <is>
          <t>ITC|12 pr|18</t>
        </is>
      </c>
      <c r="L576" s="9" t="inlineStr">
        <is>
          <t>12 pr</t>
        </is>
      </c>
      <c r="M576" s="9" t="inlineStr">
        <is>
          <t>18</t>
        </is>
      </c>
      <c r="N576" s="9" t="n">
        <v>1</v>
      </c>
      <c r="O576" s="9" t="n">
        <v>1</v>
      </c>
      <c r="P576" s="9" t="n"/>
      <c r="Q576" s="9" t="n"/>
      <c r="R576" s="9" t="n"/>
      <c r="S576" s="9" t="inlineStr">
        <is>
          <t>Tray</t>
        </is>
      </c>
      <c r="T576" s="10" t="n">
        <v>893</v>
      </c>
      <c r="U576" s="10" t="n">
        <v>105</v>
      </c>
      <c r="V576" s="10">
        <f>ROUNDUP((T576+U576+2*'Read Me'!$B$13)*(1+'Read Me'!$B$12),-1)</f>
        <v/>
      </c>
      <c r="W576" s="10">
        <f>V576*N576*O576</f>
        <v/>
      </c>
      <c r="X576" s="9">
        <f>IF(LEFT(I576,2)="MV",2*N576*IF(L576="1/C",O576,1),0)</f>
        <v/>
      </c>
      <c r="Y576" s="9">
        <f>IF(OR(LEFT(K576,4)="LVAX",LEFT(K576,6)="MV15AX",LEFT(K576,4)="CTAX",LEFT(K576,2)="W|"),2*N576*O576,0)</f>
        <v/>
      </c>
      <c r="Z576" s="9" t="inlineStr"/>
    </row>
    <row r="577">
      <c r="A577" s="9" t="inlineStr">
        <is>
          <t>A-I-0114</t>
        </is>
      </c>
      <c r="B577" s="9" t="inlineStr">
        <is>
          <t>A</t>
        </is>
      </c>
      <c r="C577" s="9" t="inlineStr">
        <is>
          <t>Power block</t>
        </is>
      </c>
      <c r="D577" s="9" t="inlineStr">
        <is>
          <t>Instrumentation</t>
        </is>
      </c>
      <c r="E577" s="9" t="inlineStr">
        <is>
          <t>R2B</t>
        </is>
      </c>
      <c r="F577" s="9" t="inlineStr">
        <is>
          <t>R2B: unit / HRSG electrical e-house (32 x 40 ft)</t>
        </is>
      </c>
      <c r="G577" s="9" t="inlineStr">
        <is>
          <t>GT2</t>
        </is>
      </c>
      <c r="H577" s="9" t="inlineStr">
        <is>
          <t>GT2: H-class gas turbine (60 Hz)</t>
        </is>
      </c>
      <c r="I577" s="9" t="inlineStr">
        <is>
          <t>Instrumentation</t>
        </is>
      </c>
      <c r="J577" s="9" t="inlineStr">
        <is>
          <t>Instrumentation ITC / PLTC, IS, #18 shielded pairs, blue jacket</t>
        </is>
      </c>
      <c r="K577" s="9" t="inlineStr">
        <is>
          <t>ITC|12 pr|18</t>
        </is>
      </c>
      <c r="L577" s="9" t="inlineStr">
        <is>
          <t>12 pr</t>
        </is>
      </c>
      <c r="M577" s="9" t="inlineStr">
        <is>
          <t>18</t>
        </is>
      </c>
      <c r="N577" s="9" t="n">
        <v>1</v>
      </c>
      <c r="O577" s="9" t="n">
        <v>1</v>
      </c>
      <c r="P577" s="9" t="n"/>
      <c r="Q577" s="9" t="n"/>
      <c r="R577" s="9" t="n"/>
      <c r="S577" s="9" t="inlineStr">
        <is>
          <t>Tray</t>
        </is>
      </c>
      <c r="T577" s="10" t="n">
        <v>893</v>
      </c>
      <c r="U577" s="10" t="n">
        <v>105</v>
      </c>
      <c r="V577" s="10">
        <f>ROUNDUP((T577+U577+2*'Read Me'!$B$13)*(1+'Read Me'!$B$12),-1)</f>
        <v/>
      </c>
      <c r="W577" s="10">
        <f>V577*N577*O577</f>
        <v/>
      </c>
      <c r="X577" s="9">
        <f>IF(LEFT(I577,2)="MV",2*N577*IF(L577="1/C",O577,1),0)</f>
        <v/>
      </c>
      <c r="Y577" s="9">
        <f>IF(OR(LEFT(K577,4)="LVAX",LEFT(K577,6)="MV15AX",LEFT(K577,4)="CTAX",LEFT(K577,2)="W|"),2*N577*O577,0)</f>
        <v/>
      </c>
      <c r="Z577" s="9" t="inlineStr"/>
    </row>
    <row r="578">
      <c r="A578" s="9" t="inlineStr">
        <is>
          <t>A-I-0115</t>
        </is>
      </c>
      <c r="B578" s="9" t="inlineStr">
        <is>
          <t>A</t>
        </is>
      </c>
      <c r="C578" s="9" t="inlineStr">
        <is>
          <t>Power block</t>
        </is>
      </c>
      <c r="D578" s="9" t="inlineStr">
        <is>
          <t>Instrumentation</t>
        </is>
      </c>
      <c r="E578" s="9" t="inlineStr">
        <is>
          <t>R2B</t>
        </is>
      </c>
      <c r="F578" s="9" t="inlineStr">
        <is>
          <t>R2B: unit / HRSG electrical e-house (32 x 40 ft)</t>
        </is>
      </c>
      <c r="G578" s="9" t="inlineStr">
        <is>
          <t>GT2</t>
        </is>
      </c>
      <c r="H578" s="9" t="inlineStr">
        <is>
          <t>GT2: H-class gas turbine (60 Hz)</t>
        </is>
      </c>
      <c r="I578" s="9" t="inlineStr">
        <is>
          <t>Instrumentation</t>
        </is>
      </c>
      <c r="J578" s="9" t="inlineStr">
        <is>
          <t>Instrumentation ITC / PLTC, IS, #18 shielded pairs, blue jacket</t>
        </is>
      </c>
      <c r="K578" s="9" t="inlineStr">
        <is>
          <t>ITC|12 pr|18</t>
        </is>
      </c>
      <c r="L578" s="9" t="inlineStr">
        <is>
          <t>12 pr</t>
        </is>
      </c>
      <c r="M578" s="9" t="inlineStr">
        <is>
          <t>18</t>
        </is>
      </c>
      <c r="N578" s="9" t="n">
        <v>1</v>
      </c>
      <c r="O578" s="9" t="n">
        <v>1</v>
      </c>
      <c r="P578" s="9" t="n"/>
      <c r="Q578" s="9" t="n"/>
      <c r="R578" s="9" t="n"/>
      <c r="S578" s="9" t="inlineStr">
        <is>
          <t>Tray</t>
        </is>
      </c>
      <c r="T578" s="10" t="n">
        <v>893</v>
      </c>
      <c r="U578" s="10" t="n">
        <v>105</v>
      </c>
      <c r="V578" s="10">
        <f>ROUNDUP((T578+U578+2*'Read Me'!$B$13)*(1+'Read Me'!$B$12),-1)</f>
        <v/>
      </c>
      <c r="W578" s="10">
        <f>V578*N578*O578</f>
        <v/>
      </c>
      <c r="X578" s="9">
        <f>IF(LEFT(I578,2)="MV",2*N578*IF(L578="1/C",O578,1),0)</f>
        <v/>
      </c>
      <c r="Y578" s="9">
        <f>IF(OR(LEFT(K578,4)="LVAX",LEFT(K578,6)="MV15AX",LEFT(K578,4)="CTAX",LEFT(K578,2)="W|"),2*N578*O578,0)</f>
        <v/>
      </c>
      <c r="Z578" s="9" t="inlineStr"/>
    </row>
    <row r="579">
      <c r="A579" s="9" t="inlineStr">
        <is>
          <t>A-I-0116</t>
        </is>
      </c>
      <c r="B579" s="9" t="inlineStr">
        <is>
          <t>A</t>
        </is>
      </c>
      <c r="C579" s="9" t="inlineStr">
        <is>
          <t>Power block</t>
        </is>
      </c>
      <c r="D579" s="9" t="inlineStr">
        <is>
          <t>Instrumentation</t>
        </is>
      </c>
      <c r="E579" s="9" t="inlineStr">
        <is>
          <t>R2B</t>
        </is>
      </c>
      <c r="F579" s="9" t="inlineStr">
        <is>
          <t>R2B: unit / HRSG electrical e-house (32 x 40 ft)</t>
        </is>
      </c>
      <c r="G579" s="9" t="inlineStr">
        <is>
          <t>GT2</t>
        </is>
      </c>
      <c r="H579" s="9" t="inlineStr">
        <is>
          <t>GT2: H-class gas turbine (60 Hz)</t>
        </is>
      </c>
      <c r="I579" s="9" t="inlineStr">
        <is>
          <t>Instrumentation</t>
        </is>
      </c>
      <c r="J579" s="9" t="inlineStr">
        <is>
          <t>Instrumentation ITC / PLTC, IS, #18 shielded pairs, blue jacket</t>
        </is>
      </c>
      <c r="K579" s="9" t="inlineStr">
        <is>
          <t>ITC|12 pr|18</t>
        </is>
      </c>
      <c r="L579" s="9" t="inlineStr">
        <is>
          <t>12 pr</t>
        </is>
      </c>
      <c r="M579" s="9" t="inlineStr">
        <is>
          <t>18</t>
        </is>
      </c>
      <c r="N579" s="9" t="n">
        <v>1</v>
      </c>
      <c r="O579" s="9" t="n">
        <v>1</v>
      </c>
      <c r="P579" s="9" t="n"/>
      <c r="Q579" s="9" t="n"/>
      <c r="R579" s="9" t="n"/>
      <c r="S579" s="9" t="inlineStr">
        <is>
          <t>Tray</t>
        </is>
      </c>
      <c r="T579" s="10" t="n">
        <v>893</v>
      </c>
      <c r="U579" s="10" t="n">
        <v>105</v>
      </c>
      <c r="V579" s="10">
        <f>ROUNDUP((T579+U579+2*'Read Me'!$B$13)*(1+'Read Me'!$B$12),-1)</f>
        <v/>
      </c>
      <c r="W579" s="10">
        <f>V579*N579*O579</f>
        <v/>
      </c>
      <c r="X579" s="9">
        <f>IF(LEFT(I579,2)="MV",2*N579*IF(L579="1/C",O579,1),0)</f>
        <v/>
      </c>
      <c r="Y579" s="9">
        <f>IF(OR(LEFT(K579,4)="LVAX",LEFT(K579,6)="MV15AX",LEFT(K579,4)="CTAX",LEFT(K579,2)="W|"),2*N579*O579,0)</f>
        <v/>
      </c>
      <c r="Z579" s="9" t="inlineStr"/>
    </row>
    <row r="580">
      <c r="A580" s="9" t="inlineStr">
        <is>
          <t>A-I-0117</t>
        </is>
      </c>
      <c r="B580" s="9" t="inlineStr">
        <is>
          <t>A</t>
        </is>
      </c>
      <c r="C580" s="9" t="inlineStr">
        <is>
          <t>Power block</t>
        </is>
      </c>
      <c r="D580" s="9" t="inlineStr">
        <is>
          <t>Instrumentation</t>
        </is>
      </c>
      <c r="E580" s="9" t="inlineStr">
        <is>
          <t>R2B</t>
        </is>
      </c>
      <c r="F580" s="9" t="inlineStr">
        <is>
          <t>R2B: unit / HRSG electrical e-house (32 x 40 ft)</t>
        </is>
      </c>
      <c r="G580" s="9" t="inlineStr">
        <is>
          <t>GT2</t>
        </is>
      </c>
      <c r="H580" s="9" t="inlineStr">
        <is>
          <t>GT2: H-class gas turbine (60 Hz)</t>
        </is>
      </c>
      <c r="I580" s="9" t="inlineStr">
        <is>
          <t>Instrumentation</t>
        </is>
      </c>
      <c r="J580" s="9" t="inlineStr">
        <is>
          <t>Instrumentation ITC / PLTC, IS, #18 shielded pairs, blue jacket</t>
        </is>
      </c>
      <c r="K580" s="9" t="inlineStr">
        <is>
          <t>ITC|12 pr|18</t>
        </is>
      </c>
      <c r="L580" s="9" t="inlineStr">
        <is>
          <t>12 pr</t>
        </is>
      </c>
      <c r="M580" s="9" t="inlineStr">
        <is>
          <t>18</t>
        </is>
      </c>
      <c r="N580" s="9" t="n">
        <v>1</v>
      </c>
      <c r="O580" s="9" t="n">
        <v>1</v>
      </c>
      <c r="P580" s="9" t="n"/>
      <c r="Q580" s="9" t="n"/>
      <c r="R580" s="9" t="n"/>
      <c r="S580" s="9" t="inlineStr">
        <is>
          <t>Tray</t>
        </is>
      </c>
      <c r="T580" s="10" t="n">
        <v>893</v>
      </c>
      <c r="U580" s="10" t="n">
        <v>105</v>
      </c>
      <c r="V580" s="10">
        <f>ROUNDUP((T580+U580+2*'Read Me'!$B$13)*(1+'Read Me'!$B$12),-1)</f>
        <v/>
      </c>
      <c r="W580" s="10">
        <f>V580*N580*O580</f>
        <v/>
      </c>
      <c r="X580" s="9">
        <f>IF(LEFT(I580,2)="MV",2*N580*IF(L580="1/C",O580,1),0)</f>
        <v/>
      </c>
      <c r="Y580" s="9">
        <f>IF(OR(LEFT(K580,4)="LVAX",LEFT(K580,6)="MV15AX",LEFT(K580,4)="CTAX",LEFT(K580,2)="W|"),2*N580*O580,0)</f>
        <v/>
      </c>
      <c r="Z580" s="9" t="inlineStr"/>
    </row>
    <row r="581">
      <c r="A581" s="9" t="inlineStr">
        <is>
          <t>A-I-0118</t>
        </is>
      </c>
      <c r="B581" s="9" t="inlineStr">
        <is>
          <t>A</t>
        </is>
      </c>
      <c r="C581" s="9" t="inlineStr">
        <is>
          <t>Power block</t>
        </is>
      </c>
      <c r="D581" s="9" t="inlineStr">
        <is>
          <t>Instrumentation</t>
        </is>
      </c>
      <c r="E581" s="9" t="inlineStr">
        <is>
          <t>R2B</t>
        </is>
      </c>
      <c r="F581" s="9" t="inlineStr">
        <is>
          <t>R2B: unit / HRSG electrical e-house (32 x 40 ft)</t>
        </is>
      </c>
      <c r="G581" s="9" t="inlineStr">
        <is>
          <t>GT2</t>
        </is>
      </c>
      <c r="H581" s="9" t="inlineStr">
        <is>
          <t>GT2: H-class gas turbine (60 Hz)</t>
        </is>
      </c>
      <c r="I581" s="9" t="inlineStr">
        <is>
          <t>Instrumentation</t>
        </is>
      </c>
      <c r="J581" s="9" t="inlineStr">
        <is>
          <t>Instrumentation ITC / PLTC, IS, #18 shielded pairs, blue jacket</t>
        </is>
      </c>
      <c r="K581" s="9" t="inlineStr">
        <is>
          <t>ITC|12 pr|18</t>
        </is>
      </c>
      <c r="L581" s="9" t="inlineStr">
        <is>
          <t>12 pr</t>
        </is>
      </c>
      <c r="M581" s="9" t="inlineStr">
        <is>
          <t>18</t>
        </is>
      </c>
      <c r="N581" s="9" t="n">
        <v>1</v>
      </c>
      <c r="O581" s="9" t="n">
        <v>1</v>
      </c>
      <c r="P581" s="9" t="n"/>
      <c r="Q581" s="9" t="n"/>
      <c r="R581" s="9" t="n"/>
      <c r="S581" s="9" t="inlineStr">
        <is>
          <t>Tray</t>
        </is>
      </c>
      <c r="T581" s="10" t="n">
        <v>893</v>
      </c>
      <c r="U581" s="10" t="n">
        <v>105</v>
      </c>
      <c r="V581" s="10">
        <f>ROUNDUP((T581+U581+2*'Read Me'!$B$13)*(1+'Read Me'!$B$12),-1)</f>
        <v/>
      </c>
      <c r="W581" s="10">
        <f>V581*N581*O581</f>
        <v/>
      </c>
      <c r="X581" s="9">
        <f>IF(LEFT(I581,2)="MV",2*N581*IF(L581="1/C",O581,1),0)</f>
        <v/>
      </c>
      <c r="Y581" s="9">
        <f>IF(OR(LEFT(K581,4)="LVAX",LEFT(K581,6)="MV15AX",LEFT(K581,4)="CTAX",LEFT(K581,2)="W|"),2*N581*O581,0)</f>
        <v/>
      </c>
      <c r="Z581" s="9" t="inlineStr"/>
    </row>
    <row r="582">
      <c r="A582" s="9" t="inlineStr">
        <is>
          <t>A-I-0119</t>
        </is>
      </c>
      <c r="B582" s="9" t="inlineStr">
        <is>
          <t>A</t>
        </is>
      </c>
      <c r="C582" s="9" t="inlineStr">
        <is>
          <t>Power block</t>
        </is>
      </c>
      <c r="D582" s="9" t="inlineStr">
        <is>
          <t>Instrumentation</t>
        </is>
      </c>
      <c r="E582" s="9" t="inlineStr">
        <is>
          <t>R2B</t>
        </is>
      </c>
      <c r="F582" s="9" t="inlineStr">
        <is>
          <t>R2B: unit / HRSG electrical e-house (32 x 40 ft)</t>
        </is>
      </c>
      <c r="G582" s="9" t="inlineStr">
        <is>
          <t>GT2</t>
        </is>
      </c>
      <c r="H582" s="9" t="inlineStr">
        <is>
          <t>GT2: H-class gas turbine (60 Hz)</t>
        </is>
      </c>
      <c r="I582" s="9" t="inlineStr">
        <is>
          <t>Instrumentation</t>
        </is>
      </c>
      <c r="J582" s="9" t="inlineStr">
        <is>
          <t>Instrumentation ITC / PLTC, IS, #18 shielded pairs, blue jacket</t>
        </is>
      </c>
      <c r="K582" s="9" t="inlineStr">
        <is>
          <t>ITC|12 pr|18</t>
        </is>
      </c>
      <c r="L582" s="9" t="inlineStr">
        <is>
          <t>12 pr</t>
        </is>
      </c>
      <c r="M582" s="9" t="inlineStr">
        <is>
          <t>18</t>
        </is>
      </c>
      <c r="N582" s="9" t="n">
        <v>1</v>
      </c>
      <c r="O582" s="9" t="n">
        <v>1</v>
      </c>
      <c r="P582" s="9" t="n"/>
      <c r="Q582" s="9" t="n"/>
      <c r="R582" s="9" t="n"/>
      <c r="S582" s="9" t="inlineStr">
        <is>
          <t>Tray</t>
        </is>
      </c>
      <c r="T582" s="10" t="n">
        <v>893</v>
      </c>
      <c r="U582" s="10" t="n">
        <v>105</v>
      </c>
      <c r="V582" s="10">
        <f>ROUNDUP((T582+U582+2*'Read Me'!$B$13)*(1+'Read Me'!$B$12),-1)</f>
        <v/>
      </c>
      <c r="W582" s="10">
        <f>V582*N582*O582</f>
        <v/>
      </c>
      <c r="X582" s="9">
        <f>IF(LEFT(I582,2)="MV",2*N582*IF(L582="1/C",O582,1),0)</f>
        <v/>
      </c>
      <c r="Y582" s="9">
        <f>IF(OR(LEFT(K582,4)="LVAX",LEFT(K582,6)="MV15AX",LEFT(K582,4)="CTAX",LEFT(K582,2)="W|"),2*N582*O582,0)</f>
        <v/>
      </c>
      <c r="Z582" s="9" t="inlineStr"/>
    </row>
    <row r="583">
      <c r="A583" s="9" t="inlineStr">
        <is>
          <t>A-I-0120</t>
        </is>
      </c>
      <c r="B583" s="9" t="inlineStr">
        <is>
          <t>A</t>
        </is>
      </c>
      <c r="C583" s="9" t="inlineStr">
        <is>
          <t>Power block</t>
        </is>
      </c>
      <c r="D583" s="9" t="inlineStr">
        <is>
          <t>Thermocouples</t>
        </is>
      </c>
      <c r="E583" s="9" t="inlineStr">
        <is>
          <t>R2B</t>
        </is>
      </c>
      <c r="F583" s="9" t="inlineStr">
        <is>
          <t>R2B: unit / HRSG electrical e-house (32 x 40 ft)</t>
        </is>
      </c>
      <c r="G583" s="9" t="inlineStr">
        <is>
          <t>GT2</t>
        </is>
      </c>
      <c r="H583" s="9" t="inlineStr">
        <is>
          <t>GT2: H-class gas turbine (60 Hz)</t>
        </is>
      </c>
      <c r="I583" s="9" t="inlineStr">
        <is>
          <t>Instrumentation</t>
        </is>
      </c>
      <c r="J583" s="9" t="inlineStr">
        <is>
          <t>Thermocouple extension KX, #16 shielded pairs, PLTC</t>
        </is>
      </c>
      <c r="K583" s="9" t="inlineStr">
        <is>
          <t>TCX|12 pr|16</t>
        </is>
      </c>
      <c r="L583" s="9" t="inlineStr">
        <is>
          <t>12 pr</t>
        </is>
      </c>
      <c r="M583" s="9" t="inlineStr">
        <is>
          <t>16</t>
        </is>
      </c>
      <c r="N583" s="9" t="n">
        <v>1</v>
      </c>
      <c r="O583" s="9" t="n">
        <v>1</v>
      </c>
      <c r="P583" s="9" t="n"/>
      <c r="Q583" s="9" t="n"/>
      <c r="R583" s="9" t="n"/>
      <c r="S583" s="9" t="inlineStr">
        <is>
          <t>Tray</t>
        </is>
      </c>
      <c r="T583" s="10" t="n">
        <v>893</v>
      </c>
      <c r="U583" s="10" t="n">
        <v>105</v>
      </c>
      <c r="V583" s="10">
        <f>ROUNDUP((T583+U583+2*'Read Me'!$B$13)*(1+'Read Me'!$B$12),-1)</f>
        <v/>
      </c>
      <c r="W583" s="10">
        <f>V583*N583*O583</f>
        <v/>
      </c>
      <c r="X583" s="9">
        <f>IF(LEFT(I583,2)="MV",2*N583*IF(L583="1/C",O583,1),0)</f>
        <v/>
      </c>
      <c r="Y583" s="9">
        <f>IF(OR(LEFT(K583,4)="LVAX",LEFT(K583,6)="MV15AX",LEFT(K583,4)="CTAX",LEFT(K583,2)="W|"),2*N583*O583,0)</f>
        <v/>
      </c>
      <c r="Z583" s="9" t="inlineStr"/>
    </row>
    <row r="584">
      <c r="A584" s="9" t="inlineStr">
        <is>
          <t>A-I-0121</t>
        </is>
      </c>
      <c r="B584" s="9" t="inlineStr">
        <is>
          <t>A</t>
        </is>
      </c>
      <c r="C584" s="9" t="inlineStr">
        <is>
          <t>Power block</t>
        </is>
      </c>
      <c r="D584" s="9" t="inlineStr">
        <is>
          <t>Thermocouples</t>
        </is>
      </c>
      <c r="E584" s="9" t="inlineStr">
        <is>
          <t>R2B</t>
        </is>
      </c>
      <c r="F584" s="9" t="inlineStr">
        <is>
          <t>R2B: unit / HRSG electrical e-house (32 x 40 ft)</t>
        </is>
      </c>
      <c r="G584" s="9" t="inlineStr">
        <is>
          <t>GT2</t>
        </is>
      </c>
      <c r="H584" s="9" t="inlineStr">
        <is>
          <t>GT2: H-class gas turbine (60 Hz)</t>
        </is>
      </c>
      <c r="I584" s="9" t="inlineStr">
        <is>
          <t>Instrumentation</t>
        </is>
      </c>
      <c r="J584" s="9" t="inlineStr">
        <is>
          <t>Thermocouple extension KX, #16 shielded pairs, PLTC</t>
        </is>
      </c>
      <c r="K584" s="9" t="inlineStr">
        <is>
          <t>TCX|12 pr|16</t>
        </is>
      </c>
      <c r="L584" s="9" t="inlineStr">
        <is>
          <t>12 pr</t>
        </is>
      </c>
      <c r="M584" s="9" t="inlineStr">
        <is>
          <t>16</t>
        </is>
      </c>
      <c r="N584" s="9" t="n">
        <v>1</v>
      </c>
      <c r="O584" s="9" t="n">
        <v>1</v>
      </c>
      <c r="P584" s="9" t="n"/>
      <c r="Q584" s="9" t="n"/>
      <c r="R584" s="9" t="n"/>
      <c r="S584" s="9" t="inlineStr">
        <is>
          <t>Tray</t>
        </is>
      </c>
      <c r="T584" s="10" t="n">
        <v>893</v>
      </c>
      <c r="U584" s="10" t="n">
        <v>105</v>
      </c>
      <c r="V584" s="10">
        <f>ROUNDUP((T584+U584+2*'Read Me'!$B$13)*(1+'Read Me'!$B$12),-1)</f>
        <v/>
      </c>
      <c r="W584" s="10">
        <f>V584*N584*O584</f>
        <v/>
      </c>
      <c r="X584" s="9">
        <f>IF(LEFT(I584,2)="MV",2*N584*IF(L584="1/C",O584,1),0)</f>
        <v/>
      </c>
      <c r="Y584" s="9">
        <f>IF(OR(LEFT(K584,4)="LVAX",LEFT(K584,6)="MV15AX",LEFT(K584,4)="CTAX",LEFT(K584,2)="W|"),2*N584*O584,0)</f>
        <v/>
      </c>
      <c r="Z584" s="9" t="inlineStr"/>
    </row>
    <row r="585">
      <c r="A585" s="9" t="inlineStr">
        <is>
          <t>A-I-0122</t>
        </is>
      </c>
      <c r="B585" s="9" t="inlineStr">
        <is>
          <t>A</t>
        </is>
      </c>
      <c r="C585" s="9" t="inlineStr">
        <is>
          <t>Power block</t>
        </is>
      </c>
      <c r="D585" s="9" t="inlineStr">
        <is>
          <t>Thermocouples</t>
        </is>
      </c>
      <c r="E585" s="9" t="inlineStr">
        <is>
          <t>R2B</t>
        </is>
      </c>
      <c r="F585" s="9" t="inlineStr">
        <is>
          <t>R2B: unit / HRSG electrical e-house (32 x 40 ft)</t>
        </is>
      </c>
      <c r="G585" s="9" t="inlineStr">
        <is>
          <t>GT2</t>
        </is>
      </c>
      <c r="H585" s="9" t="inlineStr">
        <is>
          <t>GT2: H-class gas turbine (60 Hz)</t>
        </is>
      </c>
      <c r="I585" s="9" t="inlineStr">
        <is>
          <t>Instrumentation</t>
        </is>
      </c>
      <c r="J585" s="9" t="inlineStr">
        <is>
          <t>Thermocouple extension KX, #16 shielded pairs, PLTC</t>
        </is>
      </c>
      <c r="K585" s="9" t="inlineStr">
        <is>
          <t>TCX|12 pr|16</t>
        </is>
      </c>
      <c r="L585" s="9" t="inlineStr">
        <is>
          <t>12 pr</t>
        </is>
      </c>
      <c r="M585" s="9" t="inlineStr">
        <is>
          <t>16</t>
        </is>
      </c>
      <c r="N585" s="9" t="n">
        <v>1</v>
      </c>
      <c r="O585" s="9" t="n">
        <v>1</v>
      </c>
      <c r="P585" s="9" t="n"/>
      <c r="Q585" s="9" t="n"/>
      <c r="R585" s="9" t="n"/>
      <c r="S585" s="9" t="inlineStr">
        <is>
          <t>Tray</t>
        </is>
      </c>
      <c r="T585" s="10" t="n">
        <v>893</v>
      </c>
      <c r="U585" s="10" t="n">
        <v>105</v>
      </c>
      <c r="V585" s="10">
        <f>ROUNDUP((T585+U585+2*'Read Me'!$B$13)*(1+'Read Me'!$B$12),-1)</f>
        <v/>
      </c>
      <c r="W585" s="10">
        <f>V585*N585*O585</f>
        <v/>
      </c>
      <c r="X585" s="9">
        <f>IF(LEFT(I585,2)="MV",2*N585*IF(L585="1/C",O585,1),0)</f>
        <v/>
      </c>
      <c r="Y585" s="9">
        <f>IF(OR(LEFT(K585,4)="LVAX",LEFT(K585,6)="MV15AX",LEFT(K585,4)="CTAX",LEFT(K585,2)="W|"),2*N585*O585,0)</f>
        <v/>
      </c>
      <c r="Z585" s="9" t="inlineStr"/>
    </row>
    <row r="586">
      <c r="A586" s="9" t="inlineStr">
        <is>
          <t>A-I-0123</t>
        </is>
      </c>
      <c r="B586" s="9" t="inlineStr">
        <is>
          <t>A</t>
        </is>
      </c>
      <c r="C586" s="9" t="inlineStr">
        <is>
          <t>Power block</t>
        </is>
      </c>
      <c r="D586" s="9" t="inlineStr">
        <is>
          <t>Thermocouples</t>
        </is>
      </c>
      <c r="E586" s="9" t="inlineStr">
        <is>
          <t>R2B</t>
        </is>
      </c>
      <c r="F586" s="9" t="inlineStr">
        <is>
          <t>R2B: unit / HRSG electrical e-house (32 x 40 ft)</t>
        </is>
      </c>
      <c r="G586" s="9" t="inlineStr">
        <is>
          <t>GT2</t>
        </is>
      </c>
      <c r="H586" s="9" t="inlineStr">
        <is>
          <t>GT2: H-class gas turbine (60 Hz)</t>
        </is>
      </c>
      <c r="I586" s="9" t="inlineStr">
        <is>
          <t>Instrumentation</t>
        </is>
      </c>
      <c r="J586" s="9" t="inlineStr">
        <is>
          <t>Thermocouple extension KX, #16 shielded pairs, PLTC</t>
        </is>
      </c>
      <c r="K586" s="9" t="inlineStr">
        <is>
          <t>TCX|12 pr|16</t>
        </is>
      </c>
      <c r="L586" s="9" t="inlineStr">
        <is>
          <t>12 pr</t>
        </is>
      </c>
      <c r="M586" s="9" t="inlineStr">
        <is>
          <t>16</t>
        </is>
      </c>
      <c r="N586" s="9" t="n">
        <v>1</v>
      </c>
      <c r="O586" s="9" t="n">
        <v>1</v>
      </c>
      <c r="P586" s="9" t="n"/>
      <c r="Q586" s="9" t="n"/>
      <c r="R586" s="9" t="n"/>
      <c r="S586" s="9" t="inlineStr">
        <is>
          <t>Tray</t>
        </is>
      </c>
      <c r="T586" s="10" t="n">
        <v>893</v>
      </c>
      <c r="U586" s="10" t="n">
        <v>105</v>
      </c>
      <c r="V586" s="10">
        <f>ROUNDUP((T586+U586+2*'Read Me'!$B$13)*(1+'Read Me'!$B$12),-1)</f>
        <v/>
      </c>
      <c r="W586" s="10">
        <f>V586*N586*O586</f>
        <v/>
      </c>
      <c r="X586" s="9">
        <f>IF(LEFT(I586,2)="MV",2*N586*IF(L586="1/C",O586,1),0)</f>
        <v/>
      </c>
      <c r="Y586" s="9">
        <f>IF(OR(LEFT(K586,4)="LVAX",LEFT(K586,6)="MV15AX",LEFT(K586,4)="CTAX",LEFT(K586,2)="W|"),2*N586*O586,0)</f>
        <v/>
      </c>
      <c r="Z586" s="9" t="inlineStr"/>
    </row>
    <row r="587">
      <c r="A587" s="9" t="inlineStr">
        <is>
          <t>A-I-0124</t>
        </is>
      </c>
      <c r="B587" s="9" t="inlineStr">
        <is>
          <t>A</t>
        </is>
      </c>
      <c r="C587" s="9" t="inlineStr">
        <is>
          <t>Power block</t>
        </is>
      </c>
      <c r="D587" s="9" t="inlineStr">
        <is>
          <t>Thermocouples</t>
        </is>
      </c>
      <c r="E587" s="9" t="inlineStr">
        <is>
          <t>R2B</t>
        </is>
      </c>
      <c r="F587" s="9" t="inlineStr">
        <is>
          <t>R2B: unit / HRSG electrical e-house (32 x 40 ft)</t>
        </is>
      </c>
      <c r="G587" s="9" t="inlineStr">
        <is>
          <t>GT2</t>
        </is>
      </c>
      <c r="H587" s="9" t="inlineStr">
        <is>
          <t>GT2: H-class gas turbine (60 Hz)</t>
        </is>
      </c>
      <c r="I587" s="9" t="inlineStr">
        <is>
          <t>Instrumentation</t>
        </is>
      </c>
      <c r="J587" s="9" t="inlineStr">
        <is>
          <t>Thermocouple extension KX, #16 shielded pairs, PLTC</t>
        </is>
      </c>
      <c r="K587" s="9" t="inlineStr">
        <is>
          <t>TCX|12 pr|16</t>
        </is>
      </c>
      <c r="L587" s="9" t="inlineStr">
        <is>
          <t>12 pr</t>
        </is>
      </c>
      <c r="M587" s="9" t="inlineStr">
        <is>
          <t>16</t>
        </is>
      </c>
      <c r="N587" s="9" t="n">
        <v>1</v>
      </c>
      <c r="O587" s="9" t="n">
        <v>1</v>
      </c>
      <c r="P587" s="9" t="n"/>
      <c r="Q587" s="9" t="n"/>
      <c r="R587" s="9" t="n"/>
      <c r="S587" s="9" t="inlineStr">
        <is>
          <t>Tray</t>
        </is>
      </c>
      <c r="T587" s="10" t="n">
        <v>893</v>
      </c>
      <c r="U587" s="10" t="n">
        <v>105</v>
      </c>
      <c r="V587" s="10">
        <f>ROUNDUP((T587+U587+2*'Read Me'!$B$13)*(1+'Read Me'!$B$12),-1)</f>
        <v/>
      </c>
      <c r="W587" s="10">
        <f>V587*N587*O587</f>
        <v/>
      </c>
      <c r="X587" s="9">
        <f>IF(LEFT(I587,2)="MV",2*N587*IF(L587="1/C",O587,1),0)</f>
        <v/>
      </c>
      <c r="Y587" s="9">
        <f>IF(OR(LEFT(K587,4)="LVAX",LEFT(K587,6)="MV15AX",LEFT(K587,4)="CTAX",LEFT(K587,2)="W|"),2*N587*O587,0)</f>
        <v/>
      </c>
      <c r="Z587" s="9" t="inlineStr"/>
    </row>
    <row r="588">
      <c r="A588" s="9" t="inlineStr">
        <is>
          <t>A-I-0125</t>
        </is>
      </c>
      <c r="B588" s="9" t="inlineStr">
        <is>
          <t>A</t>
        </is>
      </c>
      <c r="C588" s="9" t="inlineStr">
        <is>
          <t>Power block</t>
        </is>
      </c>
      <c r="D588" s="9" t="inlineStr">
        <is>
          <t>Thermocouples</t>
        </is>
      </c>
      <c r="E588" s="9" t="inlineStr">
        <is>
          <t>R2B</t>
        </is>
      </c>
      <c r="F588" s="9" t="inlineStr">
        <is>
          <t>R2B: unit / HRSG electrical e-house (32 x 40 ft)</t>
        </is>
      </c>
      <c r="G588" s="9" t="inlineStr">
        <is>
          <t>GT2</t>
        </is>
      </c>
      <c r="H588" s="9" t="inlineStr">
        <is>
          <t>GT2: H-class gas turbine (60 Hz)</t>
        </is>
      </c>
      <c r="I588" s="9" t="inlineStr">
        <is>
          <t>Instrumentation</t>
        </is>
      </c>
      <c r="J588" s="9" t="inlineStr">
        <is>
          <t>Thermocouple extension KX, #16 shielded pairs, PLTC</t>
        </is>
      </c>
      <c r="K588" s="9" t="inlineStr">
        <is>
          <t>TCX|12 pr|16</t>
        </is>
      </c>
      <c r="L588" s="9" t="inlineStr">
        <is>
          <t>12 pr</t>
        </is>
      </c>
      <c r="M588" s="9" t="inlineStr">
        <is>
          <t>16</t>
        </is>
      </c>
      <c r="N588" s="9" t="n">
        <v>1</v>
      </c>
      <c r="O588" s="9" t="n">
        <v>1</v>
      </c>
      <c r="P588" s="9" t="n"/>
      <c r="Q588" s="9" t="n"/>
      <c r="R588" s="9" t="n"/>
      <c r="S588" s="9" t="inlineStr">
        <is>
          <t>Tray</t>
        </is>
      </c>
      <c r="T588" s="10" t="n">
        <v>893</v>
      </c>
      <c r="U588" s="10" t="n">
        <v>105</v>
      </c>
      <c r="V588" s="10">
        <f>ROUNDUP((T588+U588+2*'Read Me'!$B$13)*(1+'Read Me'!$B$12),-1)</f>
        <v/>
      </c>
      <c r="W588" s="10">
        <f>V588*N588*O588</f>
        <v/>
      </c>
      <c r="X588" s="9">
        <f>IF(LEFT(I588,2)="MV",2*N588*IF(L588="1/C",O588,1),0)</f>
        <v/>
      </c>
      <c r="Y588" s="9">
        <f>IF(OR(LEFT(K588,4)="LVAX",LEFT(K588,6)="MV15AX",LEFT(K588,4)="CTAX",LEFT(K588,2)="W|"),2*N588*O588,0)</f>
        <v/>
      </c>
      <c r="Z588" s="9" t="inlineStr"/>
    </row>
    <row r="589">
      <c r="A589" s="9" t="inlineStr">
        <is>
          <t>A-I-0126</t>
        </is>
      </c>
      <c r="B589" s="9" t="inlineStr">
        <is>
          <t>A</t>
        </is>
      </c>
      <c r="C589" s="9" t="inlineStr">
        <is>
          <t>Power block</t>
        </is>
      </c>
      <c r="D589" s="9" t="inlineStr">
        <is>
          <t>Vibration monitoring</t>
        </is>
      </c>
      <c r="E589" s="9" t="inlineStr">
        <is>
          <t>R2B</t>
        </is>
      </c>
      <c r="F589" s="9" t="inlineStr">
        <is>
          <t>R2B: unit / HRSG electrical e-house (32 x 40 ft)</t>
        </is>
      </c>
      <c r="G589" s="9" t="inlineStr">
        <is>
          <t>GT2</t>
        </is>
      </c>
      <c r="H589" s="9" t="inlineStr">
        <is>
          <t>GT2: H-class gas turbine (60 Hz)</t>
        </is>
      </c>
      <c r="I589" s="9" t="inlineStr">
        <is>
          <t>Instrumentation</t>
        </is>
      </c>
      <c r="J589" s="9" t="inlineStr">
        <is>
          <t>Instrumentation PLTC / TC-ER 300 V, #18 twisted shielded pairs, overall shield</t>
        </is>
      </c>
      <c r="K589" s="9" t="inlineStr">
        <is>
          <t>PLTC|4 pr|18</t>
        </is>
      </c>
      <c r="L589" s="9" t="inlineStr">
        <is>
          <t>4 pr</t>
        </is>
      </c>
      <c r="M589" s="9" t="inlineStr">
        <is>
          <t>18</t>
        </is>
      </c>
      <c r="N589" s="9" t="n">
        <v>1</v>
      </c>
      <c r="O589" s="9" t="n">
        <v>1</v>
      </c>
      <c r="P589" s="9" t="n"/>
      <c r="Q589" s="9" t="n"/>
      <c r="R589" s="9" t="n"/>
      <c r="S589" s="9" t="inlineStr">
        <is>
          <t>Tray</t>
        </is>
      </c>
      <c r="T589" s="10" t="n">
        <v>893</v>
      </c>
      <c r="U589" s="10" t="n">
        <v>105</v>
      </c>
      <c r="V589" s="10">
        <f>ROUNDUP((T589+U589+2*'Read Me'!$B$13)*(1+'Read Me'!$B$12),-1)</f>
        <v/>
      </c>
      <c r="W589" s="10">
        <f>V589*N589*O589</f>
        <v/>
      </c>
      <c r="X589" s="9">
        <f>IF(LEFT(I589,2)="MV",2*N589*IF(L589="1/C",O589,1),0)</f>
        <v/>
      </c>
      <c r="Y589" s="9">
        <f>IF(OR(LEFT(K589,4)="LVAX",LEFT(K589,6)="MV15AX",LEFT(K589,4)="CTAX",LEFT(K589,2)="W|"),2*N589*O589,0)</f>
        <v/>
      </c>
      <c r="Z589" s="9" t="inlineStr"/>
    </row>
    <row r="590">
      <c r="A590" s="9" t="inlineStr">
        <is>
          <t>A-I-0127</t>
        </is>
      </c>
      <c r="B590" s="9" t="inlineStr">
        <is>
          <t>A</t>
        </is>
      </c>
      <c r="C590" s="9" t="inlineStr">
        <is>
          <t>Power block</t>
        </is>
      </c>
      <c r="D590" s="9" t="inlineStr">
        <is>
          <t>Instrumentation</t>
        </is>
      </c>
      <c r="E590" s="9" t="inlineStr">
        <is>
          <t>R3</t>
        </is>
      </c>
      <c r="F590" s="9" t="inlineStr">
        <is>
          <t>R3: ST auxiliary electrical e-house (40 x 65 ft)</t>
        </is>
      </c>
      <c r="G590" s="9" t="inlineStr">
        <is>
          <t>GT3 aux</t>
        </is>
      </c>
      <c r="H590" s="9" t="inlineStr">
        <is>
          <t>GT3 aux: lube oil, hydraulics, enclosure fans</t>
        </is>
      </c>
      <c r="I590" s="9" t="inlineStr">
        <is>
          <t>Instrumentation</t>
        </is>
      </c>
      <c r="J590" s="9" t="inlineStr">
        <is>
          <t>Instrumentation ITC / PLTC, IS, #18 shielded pairs, blue jacket</t>
        </is>
      </c>
      <c r="K590" s="9" t="inlineStr">
        <is>
          <t>ITC|4 pr|18</t>
        </is>
      </c>
      <c r="L590" s="9" t="inlineStr">
        <is>
          <t>4 pr</t>
        </is>
      </c>
      <c r="M590" s="9" t="inlineStr">
        <is>
          <t>18</t>
        </is>
      </c>
      <c r="N590" s="9" t="n">
        <v>1</v>
      </c>
      <c r="O590" s="9" t="n">
        <v>1</v>
      </c>
      <c r="P590" s="9" t="n"/>
      <c r="Q590" s="9" t="n"/>
      <c r="R590" s="9" t="n"/>
      <c r="S590" s="9" t="inlineStr">
        <is>
          <t>Tray</t>
        </is>
      </c>
      <c r="T590" s="10" t="n">
        <v>253</v>
      </c>
      <c r="U590" s="10" t="n">
        <v>106</v>
      </c>
      <c r="V590" s="10">
        <f>ROUNDUP((T590+U590+2*'Read Me'!$B$13)*(1+'Read Me'!$B$12),-1)</f>
        <v/>
      </c>
      <c r="W590" s="10">
        <f>V590*N590*O590</f>
        <v/>
      </c>
      <c r="X590" s="9">
        <f>IF(LEFT(I590,2)="MV",2*N590*IF(L590="1/C",O590,1),0)</f>
        <v/>
      </c>
      <c r="Y590" s="9">
        <f>IF(OR(LEFT(K590,4)="LVAX",LEFT(K590,6)="MV15AX",LEFT(K590,4)="CTAX",LEFT(K590,2)="W|"),2*N590*O590,0)</f>
        <v/>
      </c>
      <c r="Z590" s="9" t="inlineStr"/>
    </row>
    <row r="591">
      <c r="A591" s="9" t="inlineStr">
        <is>
          <t>A-I-0128</t>
        </is>
      </c>
      <c r="B591" s="9" t="inlineStr">
        <is>
          <t>A</t>
        </is>
      </c>
      <c r="C591" s="9" t="inlineStr">
        <is>
          <t>Power block</t>
        </is>
      </c>
      <c r="D591" s="9" t="inlineStr">
        <is>
          <t>Instrumentation</t>
        </is>
      </c>
      <c r="E591" s="9" t="inlineStr">
        <is>
          <t>R3</t>
        </is>
      </c>
      <c r="F591" s="9" t="inlineStr">
        <is>
          <t>R3: ST auxiliary electrical e-house (40 x 65 ft)</t>
        </is>
      </c>
      <c r="G591" s="9" t="inlineStr">
        <is>
          <t>INL-3</t>
        </is>
      </c>
      <c r="H591" s="9" t="inlineStr">
        <is>
          <t>GT3 inlet duct (drop + horizontal EL 23-37)</t>
        </is>
      </c>
      <c r="I591" s="9" t="inlineStr">
        <is>
          <t>Instrumentation</t>
        </is>
      </c>
      <c r="J591" s="9" t="inlineStr">
        <is>
          <t>Instrumentation ITC / PLTC, IS, #18 shielded pairs, blue jacket</t>
        </is>
      </c>
      <c r="K591" s="9" t="inlineStr">
        <is>
          <t>ITC|4 pr|18</t>
        </is>
      </c>
      <c r="L591" s="9" t="inlineStr">
        <is>
          <t>4 pr</t>
        </is>
      </c>
      <c r="M591" s="9" t="inlineStr">
        <is>
          <t>18</t>
        </is>
      </c>
      <c r="N591" s="9" t="n">
        <v>1</v>
      </c>
      <c r="O591" s="9" t="n">
        <v>1</v>
      </c>
      <c r="P591" s="9" t="n"/>
      <c r="Q591" s="9" t="n"/>
      <c r="R591" s="9" t="n"/>
      <c r="S591" s="9" t="inlineStr">
        <is>
          <t>Tray</t>
        </is>
      </c>
      <c r="T591" s="10" t="n">
        <v>580</v>
      </c>
      <c r="U591" s="10" t="n">
        <v>82</v>
      </c>
      <c r="V591" s="10">
        <f>ROUNDUP((T591+U591+2*'Read Me'!$B$13)*(1+'Read Me'!$B$12),-1)</f>
        <v/>
      </c>
      <c r="W591" s="10">
        <f>V591*N591*O591</f>
        <v/>
      </c>
      <c r="X591" s="9">
        <f>IF(LEFT(I591,2)="MV",2*N591*IF(L591="1/C",O591,1),0)</f>
        <v/>
      </c>
      <c r="Y591" s="9">
        <f>IF(OR(LEFT(K591,4)="LVAX",LEFT(K591,6)="MV15AX",LEFT(K591,4)="CTAX",LEFT(K591,2)="W|"),2*N591*O591,0)</f>
        <v/>
      </c>
      <c r="Z591" s="9" t="inlineStr"/>
    </row>
    <row r="592">
      <c r="A592" s="9" t="inlineStr">
        <is>
          <t>A-I-0129</t>
        </is>
      </c>
      <c r="B592" s="9" t="inlineStr">
        <is>
          <t>A</t>
        </is>
      </c>
      <c r="C592" s="9" t="inlineStr">
        <is>
          <t>Power block</t>
        </is>
      </c>
      <c r="D592" s="9" t="inlineStr">
        <is>
          <t>Thermocouples</t>
        </is>
      </c>
      <c r="E592" s="9" t="inlineStr">
        <is>
          <t>R3</t>
        </is>
      </c>
      <c r="F592" s="9" t="inlineStr">
        <is>
          <t>R3: ST auxiliary electrical e-house (40 x 65 ft)</t>
        </is>
      </c>
      <c r="G592" s="9" t="inlineStr">
        <is>
          <t>INL-3</t>
        </is>
      </c>
      <c r="H592" s="9" t="inlineStr">
        <is>
          <t>GT3 inlet duct (drop + horizontal EL 23-37)</t>
        </is>
      </c>
      <c r="I592" s="9" t="inlineStr">
        <is>
          <t>Instrumentation</t>
        </is>
      </c>
      <c r="J592" s="9" t="inlineStr">
        <is>
          <t>Thermocouple extension KX, #16 shielded pairs, PLTC</t>
        </is>
      </c>
      <c r="K592" s="9" t="inlineStr">
        <is>
          <t>TCX|12 pr|16</t>
        </is>
      </c>
      <c r="L592" s="9" t="inlineStr">
        <is>
          <t>12 pr</t>
        </is>
      </c>
      <c r="M592" s="9" t="inlineStr">
        <is>
          <t>16</t>
        </is>
      </c>
      <c r="N592" s="9" t="n">
        <v>1</v>
      </c>
      <c r="O592" s="9" t="n">
        <v>1</v>
      </c>
      <c r="P592" s="9" t="n"/>
      <c r="Q592" s="9" t="n"/>
      <c r="R592" s="9" t="n"/>
      <c r="S592" s="9" t="inlineStr">
        <is>
          <t>Tray</t>
        </is>
      </c>
      <c r="T592" s="10" t="n">
        <v>580</v>
      </c>
      <c r="U592" s="10" t="n">
        <v>82</v>
      </c>
      <c r="V592" s="10">
        <f>ROUNDUP((T592+U592+2*'Read Me'!$B$13)*(1+'Read Me'!$B$12),-1)</f>
        <v/>
      </c>
      <c r="W592" s="10">
        <f>V592*N592*O592</f>
        <v/>
      </c>
      <c r="X592" s="9">
        <f>IF(LEFT(I592,2)="MV",2*N592*IF(L592="1/C",O592,1),0)</f>
        <v/>
      </c>
      <c r="Y592" s="9">
        <f>IF(OR(LEFT(K592,4)="LVAX",LEFT(K592,6)="MV15AX",LEFT(K592,4)="CTAX",LEFT(K592,2)="W|"),2*N592*O592,0)</f>
        <v/>
      </c>
      <c r="Z592" s="9" t="inlineStr"/>
    </row>
    <row r="593">
      <c r="A593" s="9" t="inlineStr">
        <is>
          <t>A-I-0130</t>
        </is>
      </c>
      <c r="B593" s="9" t="inlineStr">
        <is>
          <t>A</t>
        </is>
      </c>
      <c r="C593" s="9" t="inlineStr">
        <is>
          <t>Power block</t>
        </is>
      </c>
      <c r="D593" s="9" t="inlineStr">
        <is>
          <t>Thermocouples</t>
        </is>
      </c>
      <c r="E593" s="9" t="inlineStr">
        <is>
          <t>R3</t>
        </is>
      </c>
      <c r="F593" s="9" t="inlineStr">
        <is>
          <t>R3: ST auxiliary electrical e-house (40 x 65 ft)</t>
        </is>
      </c>
      <c r="G593" s="9" t="inlineStr">
        <is>
          <t>INL-3</t>
        </is>
      </c>
      <c r="H593" s="9" t="inlineStr">
        <is>
          <t>GT3 inlet duct (drop + horizontal EL 23-37)</t>
        </is>
      </c>
      <c r="I593" s="9" t="inlineStr">
        <is>
          <t>Instrumentation</t>
        </is>
      </c>
      <c r="J593" s="9" t="inlineStr">
        <is>
          <t>Thermocouple extension KX, #16 shielded pairs, PLTC</t>
        </is>
      </c>
      <c r="K593" s="9" t="inlineStr">
        <is>
          <t>TCX|12 pr|16</t>
        </is>
      </c>
      <c r="L593" s="9" t="inlineStr">
        <is>
          <t>12 pr</t>
        </is>
      </c>
      <c r="M593" s="9" t="inlineStr">
        <is>
          <t>16</t>
        </is>
      </c>
      <c r="N593" s="9" t="n">
        <v>1</v>
      </c>
      <c r="O593" s="9" t="n">
        <v>1</v>
      </c>
      <c r="P593" s="9" t="n"/>
      <c r="Q593" s="9" t="n"/>
      <c r="R593" s="9" t="n"/>
      <c r="S593" s="9" t="inlineStr">
        <is>
          <t>Tray</t>
        </is>
      </c>
      <c r="T593" s="10" t="n">
        <v>580</v>
      </c>
      <c r="U593" s="10" t="n">
        <v>82</v>
      </c>
      <c r="V593" s="10">
        <f>ROUNDUP((T593+U593+2*'Read Me'!$B$13)*(1+'Read Me'!$B$12),-1)</f>
        <v/>
      </c>
      <c r="W593" s="10">
        <f>V593*N593*O593</f>
        <v/>
      </c>
      <c r="X593" s="9">
        <f>IF(LEFT(I593,2)="MV",2*N593*IF(L593="1/C",O593,1),0)</f>
        <v/>
      </c>
      <c r="Y593" s="9">
        <f>IF(OR(LEFT(K593,4)="LVAX",LEFT(K593,6)="MV15AX",LEFT(K593,4)="CTAX",LEFT(K593,2)="W|"),2*N593*O593,0)</f>
        <v/>
      </c>
      <c r="Z593" s="9" t="inlineStr"/>
    </row>
    <row r="594">
      <c r="A594" s="9" t="inlineStr">
        <is>
          <t>A-I-0131</t>
        </is>
      </c>
      <c r="B594" s="9" t="inlineStr">
        <is>
          <t>A</t>
        </is>
      </c>
      <c r="C594" s="9" t="inlineStr">
        <is>
          <t>Power block</t>
        </is>
      </c>
      <c r="D594" s="9" t="inlineStr">
        <is>
          <t>Instrumentation</t>
        </is>
      </c>
      <c r="E594" s="9" t="inlineStr">
        <is>
          <t>R2C</t>
        </is>
      </c>
      <c r="F594" s="9" t="inlineStr">
        <is>
          <t>R2C: unit / HRSG electrical e-house (32 x 40 ft)</t>
        </is>
      </c>
      <c r="G594" s="9" t="inlineStr">
        <is>
          <t>GT3</t>
        </is>
      </c>
      <c r="H594" s="9" t="inlineStr">
        <is>
          <t>GT3: H-class gas turbine (60 Hz)</t>
        </is>
      </c>
      <c r="I594" s="9" t="inlineStr">
        <is>
          <t>Instrumentation</t>
        </is>
      </c>
      <c r="J594" s="9" t="inlineStr">
        <is>
          <t>Instrumentation ITC / PLTC, IS, #18 shielded pairs, blue jacket</t>
        </is>
      </c>
      <c r="K594" s="9" t="inlineStr">
        <is>
          <t>ITC|4 pr|18</t>
        </is>
      </c>
      <c r="L594" s="9" t="inlineStr">
        <is>
          <t>4 pr</t>
        </is>
      </c>
      <c r="M594" s="9" t="inlineStr">
        <is>
          <t>18</t>
        </is>
      </c>
      <c r="N594" s="9" t="n">
        <v>1</v>
      </c>
      <c r="O594" s="9" t="n">
        <v>1</v>
      </c>
      <c r="P594" s="9" t="n"/>
      <c r="Q594" s="9" t="n"/>
      <c r="R594" s="9" t="n"/>
      <c r="S594" s="9" t="inlineStr">
        <is>
          <t>Tray</t>
        </is>
      </c>
      <c r="T594" s="10" t="n">
        <v>1054</v>
      </c>
      <c r="U594" s="10" t="n">
        <v>121</v>
      </c>
      <c r="V594" s="10">
        <f>ROUNDUP((T594+U594+2*'Read Me'!$B$13)*(1+'Read Me'!$B$12),-1)</f>
        <v/>
      </c>
      <c r="W594" s="10">
        <f>V594*N594*O594</f>
        <v/>
      </c>
      <c r="X594" s="9">
        <f>IF(LEFT(I594,2)="MV",2*N594*IF(L594="1/C",O594,1),0)</f>
        <v/>
      </c>
      <c r="Y594" s="9">
        <f>IF(OR(LEFT(K594,4)="LVAX",LEFT(K594,6)="MV15AX",LEFT(K594,4)="CTAX",LEFT(K594,2)="W|"),2*N594*O594,0)</f>
        <v/>
      </c>
      <c r="Z594" s="9" t="inlineStr"/>
    </row>
    <row r="595">
      <c r="A595" s="9" t="inlineStr">
        <is>
          <t>A-I-0132</t>
        </is>
      </c>
      <c r="B595" s="9" t="inlineStr">
        <is>
          <t>A</t>
        </is>
      </c>
      <c r="C595" s="9" t="inlineStr">
        <is>
          <t>Power block</t>
        </is>
      </c>
      <c r="D595" s="9" t="inlineStr">
        <is>
          <t>Instrumentation</t>
        </is>
      </c>
      <c r="E595" s="9" t="inlineStr">
        <is>
          <t>R2C</t>
        </is>
      </c>
      <c r="F595" s="9" t="inlineStr">
        <is>
          <t>R2C: unit / HRSG electrical e-house (32 x 40 ft)</t>
        </is>
      </c>
      <c r="G595" s="9" t="inlineStr">
        <is>
          <t>GT3</t>
        </is>
      </c>
      <c r="H595" s="9" t="inlineStr">
        <is>
          <t>GT3: H-class gas turbine (60 Hz)</t>
        </is>
      </c>
      <c r="I595" s="9" t="inlineStr">
        <is>
          <t>Instrumentation</t>
        </is>
      </c>
      <c r="J595" s="9" t="inlineStr">
        <is>
          <t>Instrumentation ITC / PLTC, IS, #18 shielded pairs, blue jacket</t>
        </is>
      </c>
      <c r="K595" s="9" t="inlineStr">
        <is>
          <t>ITC|4 pr|18</t>
        </is>
      </c>
      <c r="L595" s="9" t="inlineStr">
        <is>
          <t>4 pr</t>
        </is>
      </c>
      <c r="M595" s="9" t="inlineStr">
        <is>
          <t>18</t>
        </is>
      </c>
      <c r="N595" s="9" t="n">
        <v>1</v>
      </c>
      <c r="O595" s="9" t="n">
        <v>1</v>
      </c>
      <c r="P595" s="9" t="n"/>
      <c r="Q595" s="9" t="n"/>
      <c r="R595" s="9" t="n"/>
      <c r="S595" s="9" t="inlineStr">
        <is>
          <t>Tray</t>
        </is>
      </c>
      <c r="T595" s="10" t="n">
        <v>1054</v>
      </c>
      <c r="U595" s="10" t="n">
        <v>121</v>
      </c>
      <c r="V595" s="10">
        <f>ROUNDUP((T595+U595+2*'Read Me'!$B$13)*(1+'Read Me'!$B$12),-1)</f>
        <v/>
      </c>
      <c r="W595" s="10">
        <f>V595*N595*O595</f>
        <v/>
      </c>
      <c r="X595" s="9">
        <f>IF(LEFT(I595,2)="MV",2*N595*IF(L595="1/C",O595,1),0)</f>
        <v/>
      </c>
      <c r="Y595" s="9">
        <f>IF(OR(LEFT(K595,4)="LVAX",LEFT(K595,6)="MV15AX",LEFT(K595,4)="CTAX",LEFT(K595,2)="W|"),2*N595*O595,0)</f>
        <v/>
      </c>
      <c r="Z595" s="9" t="inlineStr"/>
    </row>
    <row r="596">
      <c r="A596" s="9" t="inlineStr">
        <is>
          <t>A-I-0133</t>
        </is>
      </c>
      <c r="B596" s="9" t="inlineStr">
        <is>
          <t>A</t>
        </is>
      </c>
      <c r="C596" s="9" t="inlineStr">
        <is>
          <t>Power block</t>
        </is>
      </c>
      <c r="D596" s="9" t="inlineStr">
        <is>
          <t>Instrumentation</t>
        </is>
      </c>
      <c r="E596" s="9" t="inlineStr">
        <is>
          <t>R2C</t>
        </is>
      </c>
      <c r="F596" s="9" t="inlineStr">
        <is>
          <t>R2C: unit / HRSG electrical e-house (32 x 40 ft)</t>
        </is>
      </c>
      <c r="G596" s="9" t="inlineStr">
        <is>
          <t>GT3</t>
        </is>
      </c>
      <c r="H596" s="9" t="inlineStr">
        <is>
          <t>GT3: H-class gas turbine (60 Hz)</t>
        </is>
      </c>
      <c r="I596" s="9" t="inlineStr">
        <is>
          <t>Instrumentation</t>
        </is>
      </c>
      <c r="J596" s="9" t="inlineStr">
        <is>
          <t>Instrumentation ITC / PLTC, IS, #18 shielded pairs, blue jacket</t>
        </is>
      </c>
      <c r="K596" s="9" t="inlineStr">
        <is>
          <t>ITC|12 pr|18</t>
        </is>
      </c>
      <c r="L596" s="9" t="inlineStr">
        <is>
          <t>12 pr</t>
        </is>
      </c>
      <c r="M596" s="9" t="inlineStr">
        <is>
          <t>18</t>
        </is>
      </c>
      <c r="N596" s="9" t="n">
        <v>1</v>
      </c>
      <c r="O596" s="9" t="n">
        <v>1</v>
      </c>
      <c r="P596" s="9" t="n"/>
      <c r="Q596" s="9" t="n"/>
      <c r="R596" s="9" t="n"/>
      <c r="S596" s="9" t="inlineStr">
        <is>
          <t>Tray</t>
        </is>
      </c>
      <c r="T596" s="10" t="n">
        <v>1054</v>
      </c>
      <c r="U596" s="10" t="n">
        <v>121</v>
      </c>
      <c r="V596" s="10">
        <f>ROUNDUP((T596+U596+2*'Read Me'!$B$13)*(1+'Read Me'!$B$12),-1)</f>
        <v/>
      </c>
      <c r="W596" s="10">
        <f>V596*N596*O596</f>
        <v/>
      </c>
      <c r="X596" s="9">
        <f>IF(LEFT(I596,2)="MV",2*N596*IF(L596="1/C",O596,1),0)</f>
        <v/>
      </c>
      <c r="Y596" s="9">
        <f>IF(OR(LEFT(K596,4)="LVAX",LEFT(K596,6)="MV15AX",LEFT(K596,4)="CTAX",LEFT(K596,2)="W|"),2*N596*O596,0)</f>
        <v/>
      </c>
      <c r="Z596" s="9" t="inlineStr"/>
    </row>
    <row r="597">
      <c r="A597" s="9" t="inlineStr">
        <is>
          <t>A-I-0134</t>
        </is>
      </c>
      <c r="B597" s="9" t="inlineStr">
        <is>
          <t>A</t>
        </is>
      </c>
      <c r="C597" s="9" t="inlineStr">
        <is>
          <t>Power block</t>
        </is>
      </c>
      <c r="D597" s="9" t="inlineStr">
        <is>
          <t>Instrumentation</t>
        </is>
      </c>
      <c r="E597" s="9" t="inlineStr">
        <is>
          <t>R2C</t>
        </is>
      </c>
      <c r="F597" s="9" t="inlineStr">
        <is>
          <t>R2C: unit / HRSG electrical e-house (32 x 40 ft)</t>
        </is>
      </c>
      <c r="G597" s="9" t="inlineStr">
        <is>
          <t>GT3</t>
        </is>
      </c>
      <c r="H597" s="9" t="inlineStr">
        <is>
          <t>GT3: H-class gas turbine (60 Hz)</t>
        </is>
      </c>
      <c r="I597" s="9" t="inlineStr">
        <is>
          <t>Instrumentation</t>
        </is>
      </c>
      <c r="J597" s="9" t="inlineStr">
        <is>
          <t>Instrumentation ITC / PLTC, IS, #18 shielded pairs, blue jacket</t>
        </is>
      </c>
      <c r="K597" s="9" t="inlineStr">
        <is>
          <t>ITC|12 pr|18</t>
        </is>
      </c>
      <c r="L597" s="9" t="inlineStr">
        <is>
          <t>12 pr</t>
        </is>
      </c>
      <c r="M597" s="9" t="inlineStr">
        <is>
          <t>18</t>
        </is>
      </c>
      <c r="N597" s="9" t="n">
        <v>1</v>
      </c>
      <c r="O597" s="9" t="n">
        <v>1</v>
      </c>
      <c r="P597" s="9" t="n"/>
      <c r="Q597" s="9" t="n"/>
      <c r="R597" s="9" t="n"/>
      <c r="S597" s="9" t="inlineStr">
        <is>
          <t>Tray</t>
        </is>
      </c>
      <c r="T597" s="10" t="n">
        <v>1054</v>
      </c>
      <c r="U597" s="10" t="n">
        <v>121</v>
      </c>
      <c r="V597" s="10">
        <f>ROUNDUP((T597+U597+2*'Read Me'!$B$13)*(1+'Read Me'!$B$12),-1)</f>
        <v/>
      </c>
      <c r="W597" s="10">
        <f>V597*N597*O597</f>
        <v/>
      </c>
      <c r="X597" s="9">
        <f>IF(LEFT(I597,2)="MV",2*N597*IF(L597="1/C",O597,1),0)</f>
        <v/>
      </c>
      <c r="Y597" s="9">
        <f>IF(OR(LEFT(K597,4)="LVAX",LEFT(K597,6)="MV15AX",LEFT(K597,4)="CTAX",LEFT(K597,2)="W|"),2*N597*O597,0)</f>
        <v/>
      </c>
      <c r="Z597" s="9" t="inlineStr"/>
    </row>
    <row r="598">
      <c r="A598" s="9" t="inlineStr">
        <is>
          <t>A-I-0135</t>
        </is>
      </c>
      <c r="B598" s="9" t="inlineStr">
        <is>
          <t>A</t>
        </is>
      </c>
      <c r="C598" s="9" t="inlineStr">
        <is>
          <t>Power block</t>
        </is>
      </c>
      <c r="D598" s="9" t="inlineStr">
        <is>
          <t>Instrumentation</t>
        </is>
      </c>
      <c r="E598" s="9" t="inlineStr">
        <is>
          <t>R2C</t>
        </is>
      </c>
      <c r="F598" s="9" t="inlineStr">
        <is>
          <t>R2C: unit / HRSG electrical e-house (32 x 40 ft)</t>
        </is>
      </c>
      <c r="G598" s="9" t="inlineStr">
        <is>
          <t>GT3</t>
        </is>
      </c>
      <c r="H598" s="9" t="inlineStr">
        <is>
          <t>GT3: H-class gas turbine (60 Hz)</t>
        </is>
      </c>
      <c r="I598" s="9" t="inlineStr">
        <is>
          <t>Instrumentation</t>
        </is>
      </c>
      <c r="J598" s="9" t="inlineStr">
        <is>
          <t>Instrumentation ITC / PLTC, IS, #18 shielded pairs, blue jacket</t>
        </is>
      </c>
      <c r="K598" s="9" t="inlineStr">
        <is>
          <t>ITC|12 pr|18</t>
        </is>
      </c>
      <c r="L598" s="9" t="inlineStr">
        <is>
          <t>12 pr</t>
        </is>
      </c>
      <c r="M598" s="9" t="inlineStr">
        <is>
          <t>18</t>
        </is>
      </c>
      <c r="N598" s="9" t="n">
        <v>1</v>
      </c>
      <c r="O598" s="9" t="n">
        <v>1</v>
      </c>
      <c r="P598" s="9" t="n"/>
      <c r="Q598" s="9" t="n"/>
      <c r="R598" s="9" t="n"/>
      <c r="S598" s="9" t="inlineStr">
        <is>
          <t>Tray</t>
        </is>
      </c>
      <c r="T598" s="10" t="n">
        <v>1054</v>
      </c>
      <c r="U598" s="10" t="n">
        <v>121</v>
      </c>
      <c r="V598" s="10">
        <f>ROUNDUP((T598+U598+2*'Read Me'!$B$13)*(1+'Read Me'!$B$12),-1)</f>
        <v/>
      </c>
      <c r="W598" s="10">
        <f>V598*N598*O598</f>
        <v/>
      </c>
      <c r="X598" s="9">
        <f>IF(LEFT(I598,2)="MV",2*N598*IF(L598="1/C",O598,1),0)</f>
        <v/>
      </c>
      <c r="Y598" s="9">
        <f>IF(OR(LEFT(K598,4)="LVAX",LEFT(K598,6)="MV15AX",LEFT(K598,4)="CTAX",LEFT(K598,2)="W|"),2*N598*O598,0)</f>
        <v/>
      </c>
      <c r="Z598" s="9" t="inlineStr"/>
    </row>
    <row r="599">
      <c r="A599" s="9" t="inlineStr">
        <is>
          <t>A-I-0136</t>
        </is>
      </c>
      <c r="B599" s="9" t="inlineStr">
        <is>
          <t>A</t>
        </is>
      </c>
      <c r="C599" s="9" t="inlineStr">
        <is>
          <t>Power block</t>
        </is>
      </c>
      <c r="D599" s="9" t="inlineStr">
        <is>
          <t>Instrumentation</t>
        </is>
      </c>
      <c r="E599" s="9" t="inlineStr">
        <is>
          <t>R2C</t>
        </is>
      </c>
      <c r="F599" s="9" t="inlineStr">
        <is>
          <t>R2C: unit / HRSG electrical e-house (32 x 40 ft)</t>
        </is>
      </c>
      <c r="G599" s="9" t="inlineStr">
        <is>
          <t>GT3</t>
        </is>
      </c>
      <c r="H599" s="9" t="inlineStr">
        <is>
          <t>GT3: H-class gas turbine (60 Hz)</t>
        </is>
      </c>
      <c r="I599" s="9" t="inlineStr">
        <is>
          <t>Instrumentation</t>
        </is>
      </c>
      <c r="J599" s="9" t="inlineStr">
        <is>
          <t>Instrumentation ITC / PLTC, IS, #18 shielded pairs, blue jacket</t>
        </is>
      </c>
      <c r="K599" s="9" t="inlineStr">
        <is>
          <t>ITC|12 pr|18</t>
        </is>
      </c>
      <c r="L599" s="9" t="inlineStr">
        <is>
          <t>12 pr</t>
        </is>
      </c>
      <c r="M599" s="9" t="inlineStr">
        <is>
          <t>18</t>
        </is>
      </c>
      <c r="N599" s="9" t="n">
        <v>1</v>
      </c>
      <c r="O599" s="9" t="n">
        <v>1</v>
      </c>
      <c r="P599" s="9" t="n"/>
      <c r="Q599" s="9" t="n"/>
      <c r="R599" s="9" t="n"/>
      <c r="S599" s="9" t="inlineStr">
        <is>
          <t>Tray</t>
        </is>
      </c>
      <c r="T599" s="10" t="n">
        <v>1054</v>
      </c>
      <c r="U599" s="10" t="n">
        <v>121</v>
      </c>
      <c r="V599" s="10">
        <f>ROUNDUP((T599+U599+2*'Read Me'!$B$13)*(1+'Read Me'!$B$12),-1)</f>
        <v/>
      </c>
      <c r="W599" s="10">
        <f>V599*N599*O599</f>
        <v/>
      </c>
      <c r="X599" s="9">
        <f>IF(LEFT(I599,2)="MV",2*N599*IF(L599="1/C",O599,1),0)</f>
        <v/>
      </c>
      <c r="Y599" s="9">
        <f>IF(OR(LEFT(K599,4)="LVAX",LEFT(K599,6)="MV15AX",LEFT(K599,4)="CTAX",LEFT(K599,2)="W|"),2*N599*O599,0)</f>
        <v/>
      </c>
      <c r="Z599" s="9" t="inlineStr"/>
    </row>
    <row r="600">
      <c r="A600" s="9" t="inlineStr">
        <is>
          <t>A-I-0137</t>
        </is>
      </c>
      <c r="B600" s="9" t="inlineStr">
        <is>
          <t>A</t>
        </is>
      </c>
      <c r="C600" s="9" t="inlineStr">
        <is>
          <t>Power block</t>
        </is>
      </c>
      <c r="D600" s="9" t="inlineStr">
        <is>
          <t>Instrumentation</t>
        </is>
      </c>
      <c r="E600" s="9" t="inlineStr">
        <is>
          <t>R2C</t>
        </is>
      </c>
      <c r="F600" s="9" t="inlineStr">
        <is>
          <t>R2C: unit / HRSG electrical e-house (32 x 40 ft)</t>
        </is>
      </c>
      <c r="G600" s="9" t="inlineStr">
        <is>
          <t>GT3</t>
        </is>
      </c>
      <c r="H600" s="9" t="inlineStr">
        <is>
          <t>GT3: H-class gas turbine (60 Hz)</t>
        </is>
      </c>
      <c r="I600" s="9" t="inlineStr">
        <is>
          <t>Instrumentation</t>
        </is>
      </c>
      <c r="J600" s="9" t="inlineStr">
        <is>
          <t>Instrumentation ITC / PLTC, IS, #18 shielded pairs, blue jacket</t>
        </is>
      </c>
      <c r="K600" s="9" t="inlineStr">
        <is>
          <t>ITC|12 pr|18</t>
        </is>
      </c>
      <c r="L600" s="9" t="inlineStr">
        <is>
          <t>12 pr</t>
        </is>
      </c>
      <c r="M600" s="9" t="inlineStr">
        <is>
          <t>18</t>
        </is>
      </c>
      <c r="N600" s="9" t="n">
        <v>1</v>
      </c>
      <c r="O600" s="9" t="n">
        <v>1</v>
      </c>
      <c r="P600" s="9" t="n"/>
      <c r="Q600" s="9" t="n"/>
      <c r="R600" s="9" t="n"/>
      <c r="S600" s="9" t="inlineStr">
        <is>
          <t>Tray</t>
        </is>
      </c>
      <c r="T600" s="10" t="n">
        <v>1054</v>
      </c>
      <c r="U600" s="10" t="n">
        <v>121</v>
      </c>
      <c r="V600" s="10">
        <f>ROUNDUP((T600+U600+2*'Read Me'!$B$13)*(1+'Read Me'!$B$12),-1)</f>
        <v/>
      </c>
      <c r="W600" s="10">
        <f>V600*N600*O600</f>
        <v/>
      </c>
      <c r="X600" s="9">
        <f>IF(LEFT(I600,2)="MV",2*N600*IF(L600="1/C",O600,1),0)</f>
        <v/>
      </c>
      <c r="Y600" s="9">
        <f>IF(OR(LEFT(K600,4)="LVAX",LEFT(K600,6)="MV15AX",LEFT(K600,4)="CTAX",LEFT(K600,2)="W|"),2*N600*O600,0)</f>
        <v/>
      </c>
      <c r="Z600" s="9" t="inlineStr"/>
    </row>
    <row r="601">
      <c r="A601" s="9" t="inlineStr">
        <is>
          <t>A-I-0138</t>
        </is>
      </c>
      <c r="B601" s="9" t="inlineStr">
        <is>
          <t>A</t>
        </is>
      </c>
      <c r="C601" s="9" t="inlineStr">
        <is>
          <t>Power block</t>
        </is>
      </c>
      <c r="D601" s="9" t="inlineStr">
        <is>
          <t>Instrumentation</t>
        </is>
      </c>
      <c r="E601" s="9" t="inlineStr">
        <is>
          <t>R2C</t>
        </is>
      </c>
      <c r="F601" s="9" t="inlineStr">
        <is>
          <t>R2C: unit / HRSG electrical e-house (32 x 40 ft)</t>
        </is>
      </c>
      <c r="G601" s="9" t="inlineStr">
        <is>
          <t>GT3</t>
        </is>
      </c>
      <c r="H601" s="9" t="inlineStr">
        <is>
          <t>GT3: H-class gas turbine (60 Hz)</t>
        </is>
      </c>
      <c r="I601" s="9" t="inlineStr">
        <is>
          <t>Instrumentation</t>
        </is>
      </c>
      <c r="J601" s="9" t="inlineStr">
        <is>
          <t>Instrumentation ITC / PLTC, IS, #18 shielded pairs, blue jacket</t>
        </is>
      </c>
      <c r="K601" s="9" t="inlineStr">
        <is>
          <t>ITC|12 pr|18</t>
        </is>
      </c>
      <c r="L601" s="9" t="inlineStr">
        <is>
          <t>12 pr</t>
        </is>
      </c>
      <c r="M601" s="9" t="inlineStr">
        <is>
          <t>18</t>
        </is>
      </c>
      <c r="N601" s="9" t="n">
        <v>1</v>
      </c>
      <c r="O601" s="9" t="n">
        <v>1</v>
      </c>
      <c r="P601" s="9" t="n"/>
      <c r="Q601" s="9" t="n"/>
      <c r="R601" s="9" t="n"/>
      <c r="S601" s="9" t="inlineStr">
        <is>
          <t>Tray</t>
        </is>
      </c>
      <c r="T601" s="10" t="n">
        <v>1054</v>
      </c>
      <c r="U601" s="10" t="n">
        <v>121</v>
      </c>
      <c r="V601" s="10">
        <f>ROUNDUP((T601+U601+2*'Read Me'!$B$13)*(1+'Read Me'!$B$12),-1)</f>
        <v/>
      </c>
      <c r="W601" s="10">
        <f>V601*N601*O601</f>
        <v/>
      </c>
      <c r="X601" s="9">
        <f>IF(LEFT(I601,2)="MV",2*N601*IF(L601="1/C",O601,1),0)</f>
        <v/>
      </c>
      <c r="Y601" s="9">
        <f>IF(OR(LEFT(K601,4)="LVAX",LEFT(K601,6)="MV15AX",LEFT(K601,4)="CTAX",LEFT(K601,2)="W|"),2*N601*O601,0)</f>
        <v/>
      </c>
      <c r="Z601" s="9" t="inlineStr"/>
    </row>
    <row r="602">
      <c r="A602" s="9" t="inlineStr">
        <is>
          <t>A-I-0139</t>
        </is>
      </c>
      <c r="B602" s="9" t="inlineStr">
        <is>
          <t>A</t>
        </is>
      </c>
      <c r="C602" s="9" t="inlineStr">
        <is>
          <t>Power block</t>
        </is>
      </c>
      <c r="D602" s="9" t="inlineStr">
        <is>
          <t>Instrumentation</t>
        </is>
      </c>
      <c r="E602" s="9" t="inlineStr">
        <is>
          <t>R2C</t>
        </is>
      </c>
      <c r="F602" s="9" t="inlineStr">
        <is>
          <t>R2C: unit / HRSG electrical e-house (32 x 40 ft)</t>
        </is>
      </c>
      <c r="G602" s="9" t="inlineStr">
        <is>
          <t>GT3</t>
        </is>
      </c>
      <c r="H602" s="9" t="inlineStr">
        <is>
          <t>GT3: H-class gas turbine (60 Hz)</t>
        </is>
      </c>
      <c r="I602" s="9" t="inlineStr">
        <is>
          <t>Instrumentation</t>
        </is>
      </c>
      <c r="J602" s="9" t="inlineStr">
        <is>
          <t>Instrumentation ITC / PLTC, IS, #18 shielded pairs, blue jacket</t>
        </is>
      </c>
      <c r="K602" s="9" t="inlineStr">
        <is>
          <t>ITC|12 pr|18</t>
        </is>
      </c>
      <c r="L602" s="9" t="inlineStr">
        <is>
          <t>12 pr</t>
        </is>
      </c>
      <c r="M602" s="9" t="inlineStr">
        <is>
          <t>18</t>
        </is>
      </c>
      <c r="N602" s="9" t="n">
        <v>1</v>
      </c>
      <c r="O602" s="9" t="n">
        <v>1</v>
      </c>
      <c r="P602" s="9" t="n"/>
      <c r="Q602" s="9" t="n"/>
      <c r="R602" s="9" t="n"/>
      <c r="S602" s="9" t="inlineStr">
        <is>
          <t>Tray</t>
        </is>
      </c>
      <c r="T602" s="10" t="n">
        <v>1054</v>
      </c>
      <c r="U602" s="10" t="n">
        <v>121</v>
      </c>
      <c r="V602" s="10">
        <f>ROUNDUP((T602+U602+2*'Read Me'!$B$13)*(1+'Read Me'!$B$12),-1)</f>
        <v/>
      </c>
      <c r="W602" s="10">
        <f>V602*N602*O602</f>
        <v/>
      </c>
      <c r="X602" s="9">
        <f>IF(LEFT(I602,2)="MV",2*N602*IF(L602="1/C",O602,1),0)</f>
        <v/>
      </c>
      <c r="Y602" s="9">
        <f>IF(OR(LEFT(K602,4)="LVAX",LEFT(K602,6)="MV15AX",LEFT(K602,4)="CTAX",LEFT(K602,2)="W|"),2*N602*O602,0)</f>
        <v/>
      </c>
      <c r="Z602" s="9" t="inlineStr"/>
    </row>
    <row r="603">
      <c r="A603" s="9" t="inlineStr">
        <is>
          <t>A-I-0140</t>
        </is>
      </c>
      <c r="B603" s="9" t="inlineStr">
        <is>
          <t>A</t>
        </is>
      </c>
      <c r="C603" s="9" t="inlineStr">
        <is>
          <t>Power block</t>
        </is>
      </c>
      <c r="D603" s="9" t="inlineStr">
        <is>
          <t>Instrumentation</t>
        </is>
      </c>
      <c r="E603" s="9" t="inlineStr">
        <is>
          <t>R2C</t>
        </is>
      </c>
      <c r="F603" s="9" t="inlineStr">
        <is>
          <t>R2C: unit / HRSG electrical e-house (32 x 40 ft)</t>
        </is>
      </c>
      <c r="G603" s="9" t="inlineStr">
        <is>
          <t>GT3</t>
        </is>
      </c>
      <c r="H603" s="9" t="inlineStr">
        <is>
          <t>GT3: H-class gas turbine (60 Hz)</t>
        </is>
      </c>
      <c r="I603" s="9" t="inlineStr">
        <is>
          <t>Instrumentation</t>
        </is>
      </c>
      <c r="J603" s="9" t="inlineStr">
        <is>
          <t>Instrumentation ITC / PLTC, IS, #18 shielded pairs, blue jacket</t>
        </is>
      </c>
      <c r="K603" s="9" t="inlineStr">
        <is>
          <t>ITC|12 pr|18</t>
        </is>
      </c>
      <c r="L603" s="9" t="inlineStr">
        <is>
          <t>12 pr</t>
        </is>
      </c>
      <c r="M603" s="9" t="inlineStr">
        <is>
          <t>18</t>
        </is>
      </c>
      <c r="N603" s="9" t="n">
        <v>1</v>
      </c>
      <c r="O603" s="9" t="n">
        <v>1</v>
      </c>
      <c r="P603" s="9" t="n"/>
      <c r="Q603" s="9" t="n"/>
      <c r="R603" s="9" t="n"/>
      <c r="S603" s="9" t="inlineStr">
        <is>
          <t>Tray</t>
        </is>
      </c>
      <c r="T603" s="10" t="n">
        <v>1054</v>
      </c>
      <c r="U603" s="10" t="n">
        <v>121</v>
      </c>
      <c r="V603" s="10">
        <f>ROUNDUP((T603+U603+2*'Read Me'!$B$13)*(1+'Read Me'!$B$12),-1)</f>
        <v/>
      </c>
      <c r="W603" s="10">
        <f>V603*N603*O603</f>
        <v/>
      </c>
      <c r="X603" s="9">
        <f>IF(LEFT(I603,2)="MV",2*N603*IF(L603="1/C",O603,1),0)</f>
        <v/>
      </c>
      <c r="Y603" s="9">
        <f>IF(OR(LEFT(K603,4)="LVAX",LEFT(K603,6)="MV15AX",LEFT(K603,4)="CTAX",LEFT(K603,2)="W|"),2*N603*O603,0)</f>
        <v/>
      </c>
      <c r="Z603" s="9" t="inlineStr"/>
    </row>
    <row r="604">
      <c r="A604" s="9" t="inlineStr">
        <is>
          <t>A-I-0141</t>
        </is>
      </c>
      <c r="B604" s="9" t="inlineStr">
        <is>
          <t>A</t>
        </is>
      </c>
      <c r="C604" s="9" t="inlineStr">
        <is>
          <t>Power block</t>
        </is>
      </c>
      <c r="D604" s="9" t="inlineStr">
        <is>
          <t>Thermocouples</t>
        </is>
      </c>
      <c r="E604" s="9" t="inlineStr">
        <is>
          <t>R2C</t>
        </is>
      </c>
      <c r="F604" s="9" t="inlineStr">
        <is>
          <t>R2C: unit / HRSG electrical e-house (32 x 40 ft)</t>
        </is>
      </c>
      <c r="G604" s="9" t="inlineStr">
        <is>
          <t>GT3</t>
        </is>
      </c>
      <c r="H604" s="9" t="inlineStr">
        <is>
          <t>GT3: H-class gas turbine (60 Hz)</t>
        </is>
      </c>
      <c r="I604" s="9" t="inlineStr">
        <is>
          <t>Instrumentation</t>
        </is>
      </c>
      <c r="J604" s="9" t="inlineStr">
        <is>
          <t>Thermocouple extension KX, #16 shielded pairs, PLTC</t>
        </is>
      </c>
      <c r="K604" s="9" t="inlineStr">
        <is>
          <t>TCX|12 pr|16</t>
        </is>
      </c>
      <c r="L604" s="9" t="inlineStr">
        <is>
          <t>12 pr</t>
        </is>
      </c>
      <c r="M604" s="9" t="inlineStr">
        <is>
          <t>16</t>
        </is>
      </c>
      <c r="N604" s="9" t="n">
        <v>1</v>
      </c>
      <c r="O604" s="9" t="n">
        <v>1</v>
      </c>
      <c r="P604" s="9" t="n"/>
      <c r="Q604" s="9" t="n"/>
      <c r="R604" s="9" t="n"/>
      <c r="S604" s="9" t="inlineStr">
        <is>
          <t>Tray</t>
        </is>
      </c>
      <c r="T604" s="10" t="n">
        <v>1054</v>
      </c>
      <c r="U604" s="10" t="n">
        <v>121</v>
      </c>
      <c r="V604" s="10">
        <f>ROUNDUP((T604+U604+2*'Read Me'!$B$13)*(1+'Read Me'!$B$12),-1)</f>
        <v/>
      </c>
      <c r="W604" s="10">
        <f>V604*N604*O604</f>
        <v/>
      </c>
      <c r="X604" s="9">
        <f>IF(LEFT(I604,2)="MV",2*N604*IF(L604="1/C",O604,1),0)</f>
        <v/>
      </c>
      <c r="Y604" s="9">
        <f>IF(OR(LEFT(K604,4)="LVAX",LEFT(K604,6)="MV15AX",LEFT(K604,4)="CTAX",LEFT(K604,2)="W|"),2*N604*O604,0)</f>
        <v/>
      </c>
      <c r="Z604" s="9" t="inlineStr"/>
    </row>
    <row r="605">
      <c r="A605" s="9" t="inlineStr">
        <is>
          <t>A-I-0142</t>
        </is>
      </c>
      <c r="B605" s="9" t="inlineStr">
        <is>
          <t>A</t>
        </is>
      </c>
      <c r="C605" s="9" t="inlineStr">
        <is>
          <t>Power block</t>
        </is>
      </c>
      <c r="D605" s="9" t="inlineStr">
        <is>
          <t>Thermocouples</t>
        </is>
      </c>
      <c r="E605" s="9" t="inlineStr">
        <is>
          <t>R2C</t>
        </is>
      </c>
      <c r="F605" s="9" t="inlineStr">
        <is>
          <t>R2C: unit / HRSG electrical e-house (32 x 40 ft)</t>
        </is>
      </c>
      <c r="G605" s="9" t="inlineStr">
        <is>
          <t>GT3</t>
        </is>
      </c>
      <c r="H605" s="9" t="inlineStr">
        <is>
          <t>GT3: H-class gas turbine (60 Hz)</t>
        </is>
      </c>
      <c r="I605" s="9" t="inlineStr">
        <is>
          <t>Instrumentation</t>
        </is>
      </c>
      <c r="J605" s="9" t="inlineStr">
        <is>
          <t>Thermocouple extension KX, #16 shielded pairs, PLTC</t>
        </is>
      </c>
      <c r="K605" s="9" t="inlineStr">
        <is>
          <t>TCX|12 pr|16</t>
        </is>
      </c>
      <c r="L605" s="9" t="inlineStr">
        <is>
          <t>12 pr</t>
        </is>
      </c>
      <c r="M605" s="9" t="inlineStr">
        <is>
          <t>16</t>
        </is>
      </c>
      <c r="N605" s="9" t="n">
        <v>1</v>
      </c>
      <c r="O605" s="9" t="n">
        <v>1</v>
      </c>
      <c r="P605" s="9" t="n"/>
      <c r="Q605" s="9" t="n"/>
      <c r="R605" s="9" t="n"/>
      <c r="S605" s="9" t="inlineStr">
        <is>
          <t>Tray</t>
        </is>
      </c>
      <c r="T605" s="10" t="n">
        <v>1054</v>
      </c>
      <c r="U605" s="10" t="n">
        <v>121</v>
      </c>
      <c r="V605" s="10">
        <f>ROUNDUP((T605+U605+2*'Read Me'!$B$13)*(1+'Read Me'!$B$12),-1)</f>
        <v/>
      </c>
      <c r="W605" s="10">
        <f>V605*N605*O605</f>
        <v/>
      </c>
      <c r="X605" s="9">
        <f>IF(LEFT(I605,2)="MV",2*N605*IF(L605="1/C",O605,1),0)</f>
        <v/>
      </c>
      <c r="Y605" s="9">
        <f>IF(OR(LEFT(K605,4)="LVAX",LEFT(K605,6)="MV15AX",LEFT(K605,4)="CTAX",LEFT(K605,2)="W|"),2*N605*O605,0)</f>
        <v/>
      </c>
      <c r="Z605" s="9" t="inlineStr"/>
    </row>
    <row r="606">
      <c r="A606" s="9" t="inlineStr">
        <is>
          <t>A-I-0143</t>
        </is>
      </c>
      <c r="B606" s="9" t="inlineStr">
        <is>
          <t>A</t>
        </is>
      </c>
      <c r="C606" s="9" t="inlineStr">
        <is>
          <t>Power block</t>
        </is>
      </c>
      <c r="D606" s="9" t="inlineStr">
        <is>
          <t>Thermocouples</t>
        </is>
      </c>
      <c r="E606" s="9" t="inlineStr">
        <is>
          <t>R2C</t>
        </is>
      </c>
      <c r="F606" s="9" t="inlineStr">
        <is>
          <t>R2C: unit / HRSG electrical e-house (32 x 40 ft)</t>
        </is>
      </c>
      <c r="G606" s="9" t="inlineStr">
        <is>
          <t>GT3</t>
        </is>
      </c>
      <c r="H606" s="9" t="inlineStr">
        <is>
          <t>GT3: H-class gas turbine (60 Hz)</t>
        </is>
      </c>
      <c r="I606" s="9" t="inlineStr">
        <is>
          <t>Instrumentation</t>
        </is>
      </c>
      <c r="J606" s="9" t="inlineStr">
        <is>
          <t>Thermocouple extension KX, #16 shielded pairs, PLTC</t>
        </is>
      </c>
      <c r="K606" s="9" t="inlineStr">
        <is>
          <t>TCX|12 pr|16</t>
        </is>
      </c>
      <c r="L606" s="9" t="inlineStr">
        <is>
          <t>12 pr</t>
        </is>
      </c>
      <c r="M606" s="9" t="inlineStr">
        <is>
          <t>16</t>
        </is>
      </c>
      <c r="N606" s="9" t="n">
        <v>1</v>
      </c>
      <c r="O606" s="9" t="n">
        <v>1</v>
      </c>
      <c r="P606" s="9" t="n"/>
      <c r="Q606" s="9" t="n"/>
      <c r="R606" s="9" t="n"/>
      <c r="S606" s="9" t="inlineStr">
        <is>
          <t>Tray</t>
        </is>
      </c>
      <c r="T606" s="10" t="n">
        <v>1054</v>
      </c>
      <c r="U606" s="10" t="n">
        <v>121</v>
      </c>
      <c r="V606" s="10">
        <f>ROUNDUP((T606+U606+2*'Read Me'!$B$13)*(1+'Read Me'!$B$12),-1)</f>
        <v/>
      </c>
      <c r="W606" s="10">
        <f>V606*N606*O606</f>
        <v/>
      </c>
      <c r="X606" s="9">
        <f>IF(LEFT(I606,2)="MV",2*N606*IF(L606="1/C",O606,1),0)</f>
        <v/>
      </c>
      <c r="Y606" s="9">
        <f>IF(OR(LEFT(K606,4)="LVAX",LEFT(K606,6)="MV15AX",LEFT(K606,4)="CTAX",LEFT(K606,2)="W|"),2*N606*O606,0)</f>
        <v/>
      </c>
      <c r="Z606" s="9" t="inlineStr"/>
    </row>
    <row r="607">
      <c r="A607" s="9" t="inlineStr">
        <is>
          <t>A-I-0144</t>
        </is>
      </c>
      <c r="B607" s="9" t="inlineStr">
        <is>
          <t>A</t>
        </is>
      </c>
      <c r="C607" s="9" t="inlineStr">
        <is>
          <t>Power block</t>
        </is>
      </c>
      <c r="D607" s="9" t="inlineStr">
        <is>
          <t>Thermocouples</t>
        </is>
      </c>
      <c r="E607" s="9" t="inlineStr">
        <is>
          <t>R2C</t>
        </is>
      </c>
      <c r="F607" s="9" t="inlineStr">
        <is>
          <t>R2C: unit / HRSG electrical e-house (32 x 40 ft)</t>
        </is>
      </c>
      <c r="G607" s="9" t="inlineStr">
        <is>
          <t>GT3</t>
        </is>
      </c>
      <c r="H607" s="9" t="inlineStr">
        <is>
          <t>GT3: H-class gas turbine (60 Hz)</t>
        </is>
      </c>
      <c r="I607" s="9" t="inlineStr">
        <is>
          <t>Instrumentation</t>
        </is>
      </c>
      <c r="J607" s="9" t="inlineStr">
        <is>
          <t>Thermocouple extension KX, #16 shielded pairs, PLTC</t>
        </is>
      </c>
      <c r="K607" s="9" t="inlineStr">
        <is>
          <t>TCX|12 pr|16</t>
        </is>
      </c>
      <c r="L607" s="9" t="inlineStr">
        <is>
          <t>12 pr</t>
        </is>
      </c>
      <c r="M607" s="9" t="inlineStr">
        <is>
          <t>16</t>
        </is>
      </c>
      <c r="N607" s="9" t="n">
        <v>1</v>
      </c>
      <c r="O607" s="9" t="n">
        <v>1</v>
      </c>
      <c r="P607" s="9" t="n"/>
      <c r="Q607" s="9" t="n"/>
      <c r="R607" s="9" t="n"/>
      <c r="S607" s="9" t="inlineStr">
        <is>
          <t>Tray</t>
        </is>
      </c>
      <c r="T607" s="10" t="n">
        <v>1054</v>
      </c>
      <c r="U607" s="10" t="n">
        <v>121</v>
      </c>
      <c r="V607" s="10">
        <f>ROUNDUP((T607+U607+2*'Read Me'!$B$13)*(1+'Read Me'!$B$12),-1)</f>
        <v/>
      </c>
      <c r="W607" s="10">
        <f>V607*N607*O607</f>
        <v/>
      </c>
      <c r="X607" s="9">
        <f>IF(LEFT(I607,2)="MV",2*N607*IF(L607="1/C",O607,1),0)</f>
        <v/>
      </c>
      <c r="Y607" s="9">
        <f>IF(OR(LEFT(K607,4)="LVAX",LEFT(K607,6)="MV15AX",LEFT(K607,4)="CTAX",LEFT(K607,2)="W|"),2*N607*O607,0)</f>
        <v/>
      </c>
      <c r="Z607" s="9" t="inlineStr"/>
    </row>
    <row r="608">
      <c r="A608" s="9" t="inlineStr">
        <is>
          <t>A-I-0145</t>
        </is>
      </c>
      <c r="B608" s="9" t="inlineStr">
        <is>
          <t>A</t>
        </is>
      </c>
      <c r="C608" s="9" t="inlineStr">
        <is>
          <t>Power block</t>
        </is>
      </c>
      <c r="D608" s="9" t="inlineStr">
        <is>
          <t>Thermocouples</t>
        </is>
      </c>
      <c r="E608" s="9" t="inlineStr">
        <is>
          <t>R2C</t>
        </is>
      </c>
      <c r="F608" s="9" t="inlineStr">
        <is>
          <t>R2C: unit / HRSG electrical e-house (32 x 40 ft)</t>
        </is>
      </c>
      <c r="G608" s="9" t="inlineStr">
        <is>
          <t>GT3</t>
        </is>
      </c>
      <c r="H608" s="9" t="inlineStr">
        <is>
          <t>GT3: H-class gas turbine (60 Hz)</t>
        </is>
      </c>
      <c r="I608" s="9" t="inlineStr">
        <is>
          <t>Instrumentation</t>
        </is>
      </c>
      <c r="J608" s="9" t="inlineStr">
        <is>
          <t>Thermocouple extension KX, #16 shielded pairs, PLTC</t>
        </is>
      </c>
      <c r="K608" s="9" t="inlineStr">
        <is>
          <t>TCX|12 pr|16</t>
        </is>
      </c>
      <c r="L608" s="9" t="inlineStr">
        <is>
          <t>12 pr</t>
        </is>
      </c>
      <c r="M608" s="9" t="inlineStr">
        <is>
          <t>16</t>
        </is>
      </c>
      <c r="N608" s="9" t="n">
        <v>1</v>
      </c>
      <c r="O608" s="9" t="n">
        <v>1</v>
      </c>
      <c r="P608" s="9" t="n"/>
      <c r="Q608" s="9" t="n"/>
      <c r="R608" s="9" t="n"/>
      <c r="S608" s="9" t="inlineStr">
        <is>
          <t>Tray</t>
        </is>
      </c>
      <c r="T608" s="10" t="n">
        <v>1054</v>
      </c>
      <c r="U608" s="10" t="n">
        <v>121</v>
      </c>
      <c r="V608" s="10">
        <f>ROUNDUP((T608+U608+2*'Read Me'!$B$13)*(1+'Read Me'!$B$12),-1)</f>
        <v/>
      </c>
      <c r="W608" s="10">
        <f>V608*N608*O608</f>
        <v/>
      </c>
      <c r="X608" s="9">
        <f>IF(LEFT(I608,2)="MV",2*N608*IF(L608="1/C",O608,1),0)</f>
        <v/>
      </c>
      <c r="Y608" s="9">
        <f>IF(OR(LEFT(K608,4)="LVAX",LEFT(K608,6)="MV15AX",LEFT(K608,4)="CTAX",LEFT(K608,2)="W|"),2*N608*O608,0)</f>
        <v/>
      </c>
      <c r="Z608" s="9" t="inlineStr"/>
    </row>
    <row r="609">
      <c r="A609" s="9" t="inlineStr">
        <is>
          <t>A-I-0146</t>
        </is>
      </c>
      <c r="B609" s="9" t="inlineStr">
        <is>
          <t>A</t>
        </is>
      </c>
      <c r="C609" s="9" t="inlineStr">
        <is>
          <t>Power block</t>
        </is>
      </c>
      <c r="D609" s="9" t="inlineStr">
        <is>
          <t>Thermocouples</t>
        </is>
      </c>
      <c r="E609" s="9" t="inlineStr">
        <is>
          <t>R2C</t>
        </is>
      </c>
      <c r="F609" s="9" t="inlineStr">
        <is>
          <t>R2C: unit / HRSG electrical e-house (32 x 40 ft)</t>
        </is>
      </c>
      <c r="G609" s="9" t="inlineStr">
        <is>
          <t>GT3</t>
        </is>
      </c>
      <c r="H609" s="9" t="inlineStr">
        <is>
          <t>GT3: H-class gas turbine (60 Hz)</t>
        </is>
      </c>
      <c r="I609" s="9" t="inlineStr">
        <is>
          <t>Instrumentation</t>
        </is>
      </c>
      <c r="J609" s="9" t="inlineStr">
        <is>
          <t>Thermocouple extension KX, #16 shielded pairs, PLTC</t>
        </is>
      </c>
      <c r="K609" s="9" t="inlineStr">
        <is>
          <t>TCX|12 pr|16</t>
        </is>
      </c>
      <c r="L609" s="9" t="inlineStr">
        <is>
          <t>12 pr</t>
        </is>
      </c>
      <c r="M609" s="9" t="inlineStr">
        <is>
          <t>16</t>
        </is>
      </c>
      <c r="N609" s="9" t="n">
        <v>1</v>
      </c>
      <c r="O609" s="9" t="n">
        <v>1</v>
      </c>
      <c r="P609" s="9" t="n"/>
      <c r="Q609" s="9" t="n"/>
      <c r="R609" s="9" t="n"/>
      <c r="S609" s="9" t="inlineStr">
        <is>
          <t>Tray</t>
        </is>
      </c>
      <c r="T609" s="10" t="n">
        <v>1054</v>
      </c>
      <c r="U609" s="10" t="n">
        <v>121</v>
      </c>
      <c r="V609" s="10">
        <f>ROUNDUP((T609+U609+2*'Read Me'!$B$13)*(1+'Read Me'!$B$12),-1)</f>
        <v/>
      </c>
      <c r="W609" s="10">
        <f>V609*N609*O609</f>
        <v/>
      </c>
      <c r="X609" s="9">
        <f>IF(LEFT(I609,2)="MV",2*N609*IF(L609="1/C",O609,1),0)</f>
        <v/>
      </c>
      <c r="Y609" s="9">
        <f>IF(OR(LEFT(K609,4)="LVAX",LEFT(K609,6)="MV15AX",LEFT(K609,4)="CTAX",LEFT(K609,2)="W|"),2*N609*O609,0)</f>
        <v/>
      </c>
      <c r="Z609" s="9" t="inlineStr"/>
    </row>
    <row r="610">
      <c r="A610" s="9" t="inlineStr">
        <is>
          <t>A-I-0147</t>
        </is>
      </c>
      <c r="B610" s="9" t="inlineStr">
        <is>
          <t>A</t>
        </is>
      </c>
      <c r="C610" s="9" t="inlineStr">
        <is>
          <t>Power block</t>
        </is>
      </c>
      <c r="D610" s="9" t="inlineStr">
        <is>
          <t>Vibration monitoring</t>
        </is>
      </c>
      <c r="E610" s="9" t="inlineStr">
        <is>
          <t>R2C</t>
        </is>
      </c>
      <c r="F610" s="9" t="inlineStr">
        <is>
          <t>R2C: unit / HRSG electrical e-house (32 x 40 ft)</t>
        </is>
      </c>
      <c r="G610" s="9" t="inlineStr">
        <is>
          <t>GT3</t>
        </is>
      </c>
      <c r="H610" s="9" t="inlineStr">
        <is>
          <t>GT3: H-class gas turbine (60 Hz)</t>
        </is>
      </c>
      <c r="I610" s="9" t="inlineStr">
        <is>
          <t>Instrumentation</t>
        </is>
      </c>
      <c r="J610" s="9" t="inlineStr">
        <is>
          <t>Instrumentation PLTC / TC-ER 300 V, #18 twisted shielded pairs, overall shield</t>
        </is>
      </c>
      <c r="K610" s="9" t="inlineStr">
        <is>
          <t>PLTC|4 pr|18</t>
        </is>
      </c>
      <c r="L610" s="9" t="inlineStr">
        <is>
          <t>4 pr</t>
        </is>
      </c>
      <c r="M610" s="9" t="inlineStr">
        <is>
          <t>18</t>
        </is>
      </c>
      <c r="N610" s="9" t="n">
        <v>1</v>
      </c>
      <c r="O610" s="9" t="n">
        <v>1</v>
      </c>
      <c r="P610" s="9" t="n"/>
      <c r="Q610" s="9" t="n"/>
      <c r="R610" s="9" t="n"/>
      <c r="S610" s="9" t="inlineStr">
        <is>
          <t>Tray</t>
        </is>
      </c>
      <c r="T610" s="10" t="n">
        <v>1054</v>
      </c>
      <c r="U610" s="10" t="n">
        <v>121</v>
      </c>
      <c r="V610" s="10">
        <f>ROUNDUP((T610+U610+2*'Read Me'!$B$13)*(1+'Read Me'!$B$12),-1)</f>
        <v/>
      </c>
      <c r="W610" s="10">
        <f>V610*N610*O610</f>
        <v/>
      </c>
      <c r="X610" s="9">
        <f>IF(LEFT(I610,2)="MV",2*N610*IF(L610="1/C",O610,1),0)</f>
        <v/>
      </c>
      <c r="Y610" s="9">
        <f>IF(OR(LEFT(K610,4)="LVAX",LEFT(K610,6)="MV15AX",LEFT(K610,4)="CTAX",LEFT(K610,2)="W|"),2*N610*O610,0)</f>
        <v/>
      </c>
      <c r="Z610" s="9" t="inlineStr"/>
    </row>
    <row r="611">
      <c r="A611" s="9" t="inlineStr">
        <is>
          <t>A-I-0148</t>
        </is>
      </c>
      <c r="B611" s="9" t="inlineStr">
        <is>
          <t>A</t>
        </is>
      </c>
      <c r="C611" s="9" t="inlineStr">
        <is>
          <t>Power block</t>
        </is>
      </c>
      <c r="D611" s="9" t="inlineStr">
        <is>
          <t>RTDs</t>
        </is>
      </c>
      <c r="E611" s="9" t="inlineStr">
        <is>
          <t>R2A</t>
        </is>
      </c>
      <c r="F611" s="9" t="inlineStr">
        <is>
          <t>R2A: unit / HRSG electrical e-house (32 x 40 ft)</t>
        </is>
      </c>
      <c r="G611" s="9" t="inlineStr">
        <is>
          <t>GTG-1</t>
        </is>
      </c>
      <c r="H611" s="9" t="inlineStr">
        <is>
          <t>GTG-1: GT generator</t>
        </is>
      </c>
      <c r="I611" s="9" t="inlineStr">
        <is>
          <t>Instrumentation</t>
        </is>
      </c>
      <c r="J611" s="9" t="inlineStr">
        <is>
          <t>RTD cable, #18 shielded triads, PLTC</t>
        </is>
      </c>
      <c r="K611" s="9" t="inlineStr">
        <is>
          <t>RTD|8 tri|18</t>
        </is>
      </c>
      <c r="L611" s="9" t="inlineStr">
        <is>
          <t>8 tri</t>
        </is>
      </c>
      <c r="M611" s="9" t="inlineStr">
        <is>
          <t>18</t>
        </is>
      </c>
      <c r="N611" s="9" t="n">
        <v>1</v>
      </c>
      <c r="O611" s="9" t="n">
        <v>1</v>
      </c>
      <c r="P611" s="9" t="n"/>
      <c r="Q611" s="9" t="n"/>
      <c r="R611" s="9" t="n"/>
      <c r="S611" s="9" t="inlineStr">
        <is>
          <t>Tray</t>
        </is>
      </c>
      <c r="T611" s="10" t="n">
        <v>401</v>
      </c>
      <c r="U611" s="10" t="n">
        <v>85</v>
      </c>
      <c r="V611" s="10">
        <f>ROUNDUP((T611+U611+2*'Read Me'!$B$13)*(1+'Read Me'!$B$12),-1)</f>
        <v/>
      </c>
      <c r="W611" s="10">
        <f>V611*N611*O611</f>
        <v/>
      </c>
      <c r="X611" s="9">
        <f>IF(LEFT(I611,2)="MV",2*N611*IF(L611="1/C",O611,1),0)</f>
        <v/>
      </c>
      <c r="Y611" s="9">
        <f>IF(OR(LEFT(K611,4)="LVAX",LEFT(K611,6)="MV15AX",LEFT(K611,4)="CTAX",LEFT(K611,2)="W|"),2*N611*O611,0)</f>
        <v/>
      </c>
      <c r="Z611" s="9" t="inlineStr"/>
    </row>
    <row r="612">
      <c r="A612" s="9" t="inlineStr">
        <is>
          <t>A-I-0149</t>
        </is>
      </c>
      <c r="B612" s="9" t="inlineStr">
        <is>
          <t>A</t>
        </is>
      </c>
      <c r="C612" s="9" t="inlineStr">
        <is>
          <t>Power block</t>
        </is>
      </c>
      <c r="D612" s="9" t="inlineStr">
        <is>
          <t>RTDs</t>
        </is>
      </c>
      <c r="E612" s="9" t="inlineStr">
        <is>
          <t>R2A</t>
        </is>
      </c>
      <c r="F612" s="9" t="inlineStr">
        <is>
          <t>R2A: unit / HRSG electrical e-house (32 x 40 ft)</t>
        </is>
      </c>
      <c r="G612" s="9" t="inlineStr">
        <is>
          <t>GTG-1</t>
        </is>
      </c>
      <c r="H612" s="9" t="inlineStr">
        <is>
          <t>GTG-1: GT generator</t>
        </is>
      </c>
      <c r="I612" s="9" t="inlineStr">
        <is>
          <t>Instrumentation</t>
        </is>
      </c>
      <c r="J612" s="9" t="inlineStr">
        <is>
          <t>RTD cable, #18 shielded triads, PLTC</t>
        </is>
      </c>
      <c r="K612" s="9" t="inlineStr">
        <is>
          <t>RTD|8 tri|18</t>
        </is>
      </c>
      <c r="L612" s="9" t="inlineStr">
        <is>
          <t>8 tri</t>
        </is>
      </c>
      <c r="M612" s="9" t="inlineStr">
        <is>
          <t>18</t>
        </is>
      </c>
      <c r="N612" s="9" t="n">
        <v>1</v>
      </c>
      <c r="O612" s="9" t="n">
        <v>1</v>
      </c>
      <c r="P612" s="9" t="n"/>
      <c r="Q612" s="9" t="n"/>
      <c r="R612" s="9" t="n"/>
      <c r="S612" s="9" t="inlineStr">
        <is>
          <t>Tray</t>
        </is>
      </c>
      <c r="T612" s="10" t="n">
        <v>401</v>
      </c>
      <c r="U612" s="10" t="n">
        <v>85</v>
      </c>
      <c r="V612" s="10">
        <f>ROUNDUP((T612+U612+2*'Read Me'!$B$13)*(1+'Read Me'!$B$12),-1)</f>
        <v/>
      </c>
      <c r="W612" s="10">
        <f>V612*N612*O612</f>
        <v/>
      </c>
      <c r="X612" s="9">
        <f>IF(LEFT(I612,2)="MV",2*N612*IF(L612="1/C",O612,1),0)</f>
        <v/>
      </c>
      <c r="Y612" s="9">
        <f>IF(OR(LEFT(K612,4)="LVAX",LEFT(K612,6)="MV15AX",LEFT(K612,4)="CTAX",LEFT(K612,2)="W|"),2*N612*O612,0)</f>
        <v/>
      </c>
      <c r="Z612" s="9" t="inlineStr"/>
    </row>
    <row r="613">
      <c r="A613" s="9" t="inlineStr">
        <is>
          <t>A-I-0150</t>
        </is>
      </c>
      <c r="B613" s="9" t="inlineStr">
        <is>
          <t>A</t>
        </is>
      </c>
      <c r="C613" s="9" t="inlineStr">
        <is>
          <t>Power block</t>
        </is>
      </c>
      <c r="D613" s="9" t="inlineStr">
        <is>
          <t>RTDs</t>
        </is>
      </c>
      <c r="E613" s="9" t="inlineStr">
        <is>
          <t>R2A</t>
        </is>
      </c>
      <c r="F613" s="9" t="inlineStr">
        <is>
          <t>R2A: unit / HRSG electrical e-house (32 x 40 ft)</t>
        </is>
      </c>
      <c r="G613" s="9" t="inlineStr">
        <is>
          <t>GTG-1</t>
        </is>
      </c>
      <c r="H613" s="9" t="inlineStr">
        <is>
          <t>GTG-1: GT generator</t>
        </is>
      </c>
      <c r="I613" s="9" t="inlineStr">
        <is>
          <t>Instrumentation</t>
        </is>
      </c>
      <c r="J613" s="9" t="inlineStr">
        <is>
          <t>RTD cable, #18 shielded triads, PLTC</t>
        </is>
      </c>
      <c r="K613" s="9" t="inlineStr">
        <is>
          <t>RTD|8 tri|18</t>
        </is>
      </c>
      <c r="L613" s="9" t="inlineStr">
        <is>
          <t>8 tri</t>
        </is>
      </c>
      <c r="M613" s="9" t="inlineStr">
        <is>
          <t>18</t>
        </is>
      </c>
      <c r="N613" s="9" t="n">
        <v>1</v>
      </c>
      <c r="O613" s="9" t="n">
        <v>1</v>
      </c>
      <c r="P613" s="9" t="n"/>
      <c r="Q613" s="9" t="n"/>
      <c r="R613" s="9" t="n"/>
      <c r="S613" s="9" t="inlineStr">
        <is>
          <t>Tray</t>
        </is>
      </c>
      <c r="T613" s="10" t="n">
        <v>401</v>
      </c>
      <c r="U613" s="10" t="n">
        <v>85</v>
      </c>
      <c r="V613" s="10">
        <f>ROUNDUP((T613+U613+2*'Read Me'!$B$13)*(1+'Read Me'!$B$12),-1)</f>
        <v/>
      </c>
      <c r="W613" s="10">
        <f>V613*N613*O613</f>
        <v/>
      </c>
      <c r="X613" s="9">
        <f>IF(LEFT(I613,2)="MV",2*N613*IF(L613="1/C",O613,1),0)</f>
        <v/>
      </c>
      <c r="Y613" s="9">
        <f>IF(OR(LEFT(K613,4)="LVAX",LEFT(K613,6)="MV15AX",LEFT(K613,4)="CTAX",LEFT(K613,2)="W|"),2*N613*O613,0)</f>
        <v/>
      </c>
      <c r="Z613" s="9" t="inlineStr"/>
    </row>
    <row r="614">
      <c r="A614" s="9" t="inlineStr">
        <is>
          <t>A-I-0151</t>
        </is>
      </c>
      <c r="B614" s="9" t="inlineStr">
        <is>
          <t>A</t>
        </is>
      </c>
      <c r="C614" s="9" t="inlineStr">
        <is>
          <t>Power block</t>
        </is>
      </c>
      <c r="D614" s="9" t="inlineStr">
        <is>
          <t>RTDs</t>
        </is>
      </c>
      <c r="E614" s="9" t="inlineStr">
        <is>
          <t>R2A</t>
        </is>
      </c>
      <c r="F614" s="9" t="inlineStr">
        <is>
          <t>R2A: unit / HRSG electrical e-house (32 x 40 ft)</t>
        </is>
      </c>
      <c r="G614" s="9" t="inlineStr">
        <is>
          <t>GTG-1</t>
        </is>
      </c>
      <c r="H614" s="9" t="inlineStr">
        <is>
          <t>GTG-1: GT generator</t>
        </is>
      </c>
      <c r="I614" s="9" t="inlineStr">
        <is>
          <t>Instrumentation</t>
        </is>
      </c>
      <c r="J614" s="9" t="inlineStr">
        <is>
          <t>RTD cable, #18 shielded triads, PLTC</t>
        </is>
      </c>
      <c r="K614" s="9" t="inlineStr">
        <is>
          <t>RTD|8 tri|18</t>
        </is>
      </c>
      <c r="L614" s="9" t="inlineStr">
        <is>
          <t>8 tri</t>
        </is>
      </c>
      <c r="M614" s="9" t="inlineStr">
        <is>
          <t>18</t>
        </is>
      </c>
      <c r="N614" s="9" t="n">
        <v>1</v>
      </c>
      <c r="O614" s="9" t="n">
        <v>1</v>
      </c>
      <c r="P614" s="9" t="n"/>
      <c r="Q614" s="9" t="n"/>
      <c r="R614" s="9" t="n"/>
      <c r="S614" s="9" t="inlineStr">
        <is>
          <t>Tray</t>
        </is>
      </c>
      <c r="T614" s="10" t="n">
        <v>401</v>
      </c>
      <c r="U614" s="10" t="n">
        <v>85</v>
      </c>
      <c r="V614" s="10">
        <f>ROUNDUP((T614+U614+2*'Read Me'!$B$13)*(1+'Read Me'!$B$12),-1)</f>
        <v/>
      </c>
      <c r="W614" s="10">
        <f>V614*N614*O614</f>
        <v/>
      </c>
      <c r="X614" s="9">
        <f>IF(LEFT(I614,2)="MV",2*N614*IF(L614="1/C",O614,1),0)</f>
        <v/>
      </c>
      <c r="Y614" s="9">
        <f>IF(OR(LEFT(K614,4)="LVAX",LEFT(K614,6)="MV15AX",LEFT(K614,4)="CTAX",LEFT(K614,2)="W|"),2*N614*O614,0)</f>
        <v/>
      </c>
      <c r="Z614" s="9" t="inlineStr"/>
    </row>
    <row r="615">
      <c r="A615" s="9" t="inlineStr">
        <is>
          <t>A-I-0152</t>
        </is>
      </c>
      <c r="B615" s="9" t="inlineStr">
        <is>
          <t>A</t>
        </is>
      </c>
      <c r="C615" s="9" t="inlineStr">
        <is>
          <t>Power block</t>
        </is>
      </c>
      <c r="D615" s="9" t="inlineStr">
        <is>
          <t>Vibration monitoring</t>
        </is>
      </c>
      <c r="E615" s="9" t="inlineStr">
        <is>
          <t>R2A</t>
        </is>
      </c>
      <c r="F615" s="9" t="inlineStr">
        <is>
          <t>R2A: unit / HRSG electrical e-house (32 x 40 ft)</t>
        </is>
      </c>
      <c r="G615" s="9" t="inlineStr">
        <is>
          <t>GTG-1</t>
        </is>
      </c>
      <c r="H615" s="9" t="inlineStr">
        <is>
          <t>GTG-1: GT generator</t>
        </is>
      </c>
      <c r="I615" s="9" t="inlineStr">
        <is>
          <t>Instrumentation</t>
        </is>
      </c>
      <c r="J615" s="9" t="inlineStr">
        <is>
          <t>Instrumentation PLTC / TC-ER 300 V, #18 twisted shielded pairs, overall shield</t>
        </is>
      </c>
      <c r="K615" s="9" t="inlineStr">
        <is>
          <t>PLTC|4 pr|18</t>
        </is>
      </c>
      <c r="L615" s="9" t="inlineStr">
        <is>
          <t>4 pr</t>
        </is>
      </c>
      <c r="M615" s="9" t="inlineStr">
        <is>
          <t>18</t>
        </is>
      </c>
      <c r="N615" s="9" t="n">
        <v>1</v>
      </c>
      <c r="O615" s="9" t="n">
        <v>1</v>
      </c>
      <c r="P615" s="9" t="n"/>
      <c r="Q615" s="9" t="n"/>
      <c r="R615" s="9" t="n"/>
      <c r="S615" s="9" t="inlineStr">
        <is>
          <t>Tray</t>
        </is>
      </c>
      <c r="T615" s="10" t="n">
        <v>401</v>
      </c>
      <c r="U615" s="10" t="n">
        <v>85</v>
      </c>
      <c r="V615" s="10">
        <f>ROUNDUP((T615+U615+2*'Read Me'!$B$13)*(1+'Read Me'!$B$12),-1)</f>
        <v/>
      </c>
      <c r="W615" s="10">
        <f>V615*N615*O615</f>
        <v/>
      </c>
      <c r="X615" s="9">
        <f>IF(LEFT(I615,2)="MV",2*N615*IF(L615="1/C",O615,1),0)</f>
        <v/>
      </c>
      <c r="Y615" s="9">
        <f>IF(OR(LEFT(K615,4)="LVAX",LEFT(K615,6)="MV15AX",LEFT(K615,4)="CTAX",LEFT(K615,2)="W|"),2*N615*O615,0)</f>
        <v/>
      </c>
      <c r="Z615" s="9" t="inlineStr"/>
    </row>
    <row r="616">
      <c r="A616" s="9" t="inlineStr">
        <is>
          <t>A-I-0153</t>
        </is>
      </c>
      <c r="B616" s="9" t="inlineStr">
        <is>
          <t>A</t>
        </is>
      </c>
      <c r="C616" s="9" t="inlineStr">
        <is>
          <t>Power block</t>
        </is>
      </c>
      <c r="D616" s="9" t="inlineStr">
        <is>
          <t>RTDs</t>
        </is>
      </c>
      <c r="E616" s="9" t="inlineStr">
        <is>
          <t>R2B</t>
        </is>
      </c>
      <c r="F616" s="9" t="inlineStr">
        <is>
          <t>R2B: unit / HRSG electrical e-house (32 x 40 ft)</t>
        </is>
      </c>
      <c r="G616" s="9" t="inlineStr">
        <is>
          <t>GTG-2</t>
        </is>
      </c>
      <c r="H616" s="9" t="inlineStr">
        <is>
          <t>GTG-2: GT generator</t>
        </is>
      </c>
      <c r="I616" s="9" t="inlineStr">
        <is>
          <t>Instrumentation</t>
        </is>
      </c>
      <c r="J616" s="9" t="inlineStr">
        <is>
          <t>RTD cable, #18 shielded triads, PLTC</t>
        </is>
      </c>
      <c r="K616" s="9" t="inlineStr">
        <is>
          <t>RTD|8 tri|18</t>
        </is>
      </c>
      <c r="L616" s="9" t="inlineStr">
        <is>
          <t>8 tri</t>
        </is>
      </c>
      <c r="M616" s="9" t="inlineStr">
        <is>
          <t>18</t>
        </is>
      </c>
      <c r="N616" s="9" t="n">
        <v>1</v>
      </c>
      <c r="O616" s="9" t="n">
        <v>1</v>
      </c>
      <c r="P616" s="9" t="n"/>
      <c r="Q616" s="9" t="n"/>
      <c r="R616" s="9" t="n"/>
      <c r="S616" s="9" t="inlineStr">
        <is>
          <t>Tray</t>
        </is>
      </c>
      <c r="T616" s="10" t="n">
        <v>1140</v>
      </c>
      <c r="U616" s="10" t="n">
        <v>87</v>
      </c>
      <c r="V616" s="10">
        <f>ROUNDUP((T616+U616+2*'Read Me'!$B$13)*(1+'Read Me'!$B$12),-1)</f>
        <v/>
      </c>
      <c r="W616" s="10">
        <f>V616*N616*O616</f>
        <v/>
      </c>
      <c r="X616" s="9">
        <f>IF(LEFT(I616,2)="MV",2*N616*IF(L616="1/C",O616,1),0)</f>
        <v/>
      </c>
      <c r="Y616" s="9">
        <f>IF(OR(LEFT(K616,4)="LVAX",LEFT(K616,6)="MV15AX",LEFT(K616,4)="CTAX",LEFT(K616,2)="W|"),2*N616*O616,0)</f>
        <v/>
      </c>
      <c r="Z616" s="9" t="inlineStr"/>
    </row>
    <row r="617">
      <c r="A617" s="9" t="inlineStr">
        <is>
          <t>A-I-0154</t>
        </is>
      </c>
      <c r="B617" s="9" t="inlineStr">
        <is>
          <t>A</t>
        </is>
      </c>
      <c r="C617" s="9" t="inlineStr">
        <is>
          <t>Power block</t>
        </is>
      </c>
      <c r="D617" s="9" t="inlineStr">
        <is>
          <t>RTDs</t>
        </is>
      </c>
      <c r="E617" s="9" t="inlineStr">
        <is>
          <t>R2B</t>
        </is>
      </c>
      <c r="F617" s="9" t="inlineStr">
        <is>
          <t>R2B: unit / HRSG electrical e-house (32 x 40 ft)</t>
        </is>
      </c>
      <c r="G617" s="9" t="inlineStr">
        <is>
          <t>GTG-2</t>
        </is>
      </c>
      <c r="H617" s="9" t="inlineStr">
        <is>
          <t>GTG-2: GT generator</t>
        </is>
      </c>
      <c r="I617" s="9" t="inlineStr">
        <is>
          <t>Instrumentation</t>
        </is>
      </c>
      <c r="J617" s="9" t="inlineStr">
        <is>
          <t>RTD cable, #18 shielded triads, PLTC</t>
        </is>
      </c>
      <c r="K617" s="9" t="inlineStr">
        <is>
          <t>RTD|8 tri|18</t>
        </is>
      </c>
      <c r="L617" s="9" t="inlineStr">
        <is>
          <t>8 tri</t>
        </is>
      </c>
      <c r="M617" s="9" t="inlineStr">
        <is>
          <t>18</t>
        </is>
      </c>
      <c r="N617" s="9" t="n">
        <v>1</v>
      </c>
      <c r="O617" s="9" t="n">
        <v>1</v>
      </c>
      <c r="P617" s="9" t="n"/>
      <c r="Q617" s="9" t="n"/>
      <c r="R617" s="9" t="n"/>
      <c r="S617" s="9" t="inlineStr">
        <is>
          <t>Tray</t>
        </is>
      </c>
      <c r="T617" s="10" t="n">
        <v>1140</v>
      </c>
      <c r="U617" s="10" t="n">
        <v>87</v>
      </c>
      <c r="V617" s="10">
        <f>ROUNDUP((T617+U617+2*'Read Me'!$B$13)*(1+'Read Me'!$B$12),-1)</f>
        <v/>
      </c>
      <c r="W617" s="10">
        <f>V617*N617*O617</f>
        <v/>
      </c>
      <c r="X617" s="9">
        <f>IF(LEFT(I617,2)="MV",2*N617*IF(L617="1/C",O617,1),0)</f>
        <v/>
      </c>
      <c r="Y617" s="9">
        <f>IF(OR(LEFT(K617,4)="LVAX",LEFT(K617,6)="MV15AX",LEFT(K617,4)="CTAX",LEFT(K617,2)="W|"),2*N617*O617,0)</f>
        <v/>
      </c>
      <c r="Z617" s="9" t="inlineStr"/>
    </row>
    <row r="618">
      <c r="A618" s="9" t="inlineStr">
        <is>
          <t>A-I-0155</t>
        </is>
      </c>
      <c r="B618" s="9" t="inlineStr">
        <is>
          <t>A</t>
        </is>
      </c>
      <c r="C618" s="9" t="inlineStr">
        <is>
          <t>Power block</t>
        </is>
      </c>
      <c r="D618" s="9" t="inlineStr">
        <is>
          <t>RTDs</t>
        </is>
      </c>
      <c r="E618" s="9" t="inlineStr">
        <is>
          <t>R2B</t>
        </is>
      </c>
      <c r="F618" s="9" t="inlineStr">
        <is>
          <t>R2B: unit / HRSG electrical e-house (32 x 40 ft)</t>
        </is>
      </c>
      <c r="G618" s="9" t="inlineStr">
        <is>
          <t>GTG-2</t>
        </is>
      </c>
      <c r="H618" s="9" t="inlineStr">
        <is>
          <t>GTG-2: GT generator</t>
        </is>
      </c>
      <c r="I618" s="9" t="inlineStr">
        <is>
          <t>Instrumentation</t>
        </is>
      </c>
      <c r="J618" s="9" t="inlineStr">
        <is>
          <t>RTD cable, #18 shielded triads, PLTC</t>
        </is>
      </c>
      <c r="K618" s="9" t="inlineStr">
        <is>
          <t>RTD|8 tri|18</t>
        </is>
      </c>
      <c r="L618" s="9" t="inlineStr">
        <is>
          <t>8 tri</t>
        </is>
      </c>
      <c r="M618" s="9" t="inlineStr">
        <is>
          <t>18</t>
        </is>
      </c>
      <c r="N618" s="9" t="n">
        <v>1</v>
      </c>
      <c r="O618" s="9" t="n">
        <v>1</v>
      </c>
      <c r="P618" s="9" t="n"/>
      <c r="Q618" s="9" t="n"/>
      <c r="R618" s="9" t="n"/>
      <c r="S618" s="9" t="inlineStr">
        <is>
          <t>Tray</t>
        </is>
      </c>
      <c r="T618" s="10" t="n">
        <v>1140</v>
      </c>
      <c r="U618" s="10" t="n">
        <v>87</v>
      </c>
      <c r="V618" s="10">
        <f>ROUNDUP((T618+U618+2*'Read Me'!$B$13)*(1+'Read Me'!$B$12),-1)</f>
        <v/>
      </c>
      <c r="W618" s="10">
        <f>V618*N618*O618</f>
        <v/>
      </c>
      <c r="X618" s="9">
        <f>IF(LEFT(I618,2)="MV",2*N618*IF(L618="1/C",O618,1),0)</f>
        <v/>
      </c>
      <c r="Y618" s="9">
        <f>IF(OR(LEFT(K618,4)="LVAX",LEFT(K618,6)="MV15AX",LEFT(K618,4)="CTAX",LEFT(K618,2)="W|"),2*N618*O618,0)</f>
        <v/>
      </c>
      <c r="Z618" s="9" t="inlineStr"/>
    </row>
    <row r="619">
      <c r="A619" s="9" t="inlineStr">
        <is>
          <t>A-I-0156</t>
        </is>
      </c>
      <c r="B619" s="9" t="inlineStr">
        <is>
          <t>A</t>
        </is>
      </c>
      <c r="C619" s="9" t="inlineStr">
        <is>
          <t>Power block</t>
        </is>
      </c>
      <c r="D619" s="9" t="inlineStr">
        <is>
          <t>RTDs</t>
        </is>
      </c>
      <c r="E619" s="9" t="inlineStr">
        <is>
          <t>R2B</t>
        </is>
      </c>
      <c r="F619" s="9" t="inlineStr">
        <is>
          <t>R2B: unit / HRSG electrical e-house (32 x 40 ft)</t>
        </is>
      </c>
      <c r="G619" s="9" t="inlineStr">
        <is>
          <t>GTG-2</t>
        </is>
      </c>
      <c r="H619" s="9" t="inlineStr">
        <is>
          <t>GTG-2: GT generator</t>
        </is>
      </c>
      <c r="I619" s="9" t="inlineStr">
        <is>
          <t>Instrumentation</t>
        </is>
      </c>
      <c r="J619" s="9" t="inlineStr">
        <is>
          <t>RTD cable, #18 shielded triads, PLTC</t>
        </is>
      </c>
      <c r="K619" s="9" t="inlineStr">
        <is>
          <t>RTD|8 tri|18</t>
        </is>
      </c>
      <c r="L619" s="9" t="inlineStr">
        <is>
          <t>8 tri</t>
        </is>
      </c>
      <c r="M619" s="9" t="inlineStr">
        <is>
          <t>18</t>
        </is>
      </c>
      <c r="N619" s="9" t="n">
        <v>1</v>
      </c>
      <c r="O619" s="9" t="n">
        <v>1</v>
      </c>
      <c r="P619" s="9" t="n"/>
      <c r="Q619" s="9" t="n"/>
      <c r="R619" s="9" t="n"/>
      <c r="S619" s="9" t="inlineStr">
        <is>
          <t>Tray</t>
        </is>
      </c>
      <c r="T619" s="10" t="n">
        <v>1140</v>
      </c>
      <c r="U619" s="10" t="n">
        <v>87</v>
      </c>
      <c r="V619" s="10">
        <f>ROUNDUP((T619+U619+2*'Read Me'!$B$13)*(1+'Read Me'!$B$12),-1)</f>
        <v/>
      </c>
      <c r="W619" s="10">
        <f>V619*N619*O619</f>
        <v/>
      </c>
      <c r="X619" s="9">
        <f>IF(LEFT(I619,2)="MV",2*N619*IF(L619="1/C",O619,1),0)</f>
        <v/>
      </c>
      <c r="Y619" s="9">
        <f>IF(OR(LEFT(K619,4)="LVAX",LEFT(K619,6)="MV15AX",LEFT(K619,4)="CTAX",LEFT(K619,2)="W|"),2*N619*O619,0)</f>
        <v/>
      </c>
      <c r="Z619" s="9" t="inlineStr"/>
    </row>
    <row r="620">
      <c r="A620" s="9" t="inlineStr">
        <is>
          <t>A-I-0157</t>
        </is>
      </c>
      <c r="B620" s="9" t="inlineStr">
        <is>
          <t>A</t>
        </is>
      </c>
      <c r="C620" s="9" t="inlineStr">
        <is>
          <t>Power block</t>
        </is>
      </c>
      <c r="D620" s="9" t="inlineStr">
        <is>
          <t>Vibration monitoring</t>
        </is>
      </c>
      <c r="E620" s="9" t="inlineStr">
        <is>
          <t>R2B</t>
        </is>
      </c>
      <c r="F620" s="9" t="inlineStr">
        <is>
          <t>R2B: unit / HRSG electrical e-house (32 x 40 ft)</t>
        </is>
      </c>
      <c r="G620" s="9" t="inlineStr">
        <is>
          <t>GTG-2</t>
        </is>
      </c>
      <c r="H620" s="9" t="inlineStr">
        <is>
          <t>GTG-2: GT generator</t>
        </is>
      </c>
      <c r="I620" s="9" t="inlineStr">
        <is>
          <t>Instrumentation</t>
        </is>
      </c>
      <c r="J620" s="9" t="inlineStr">
        <is>
          <t>Instrumentation PLTC / TC-ER 300 V, #18 twisted shielded pairs, overall shield</t>
        </is>
      </c>
      <c r="K620" s="9" t="inlineStr">
        <is>
          <t>PLTC|4 pr|18</t>
        </is>
      </c>
      <c r="L620" s="9" t="inlineStr">
        <is>
          <t>4 pr</t>
        </is>
      </c>
      <c r="M620" s="9" t="inlineStr">
        <is>
          <t>18</t>
        </is>
      </c>
      <c r="N620" s="9" t="n">
        <v>1</v>
      </c>
      <c r="O620" s="9" t="n">
        <v>1</v>
      </c>
      <c r="P620" s="9" t="n"/>
      <c r="Q620" s="9" t="n"/>
      <c r="R620" s="9" t="n"/>
      <c r="S620" s="9" t="inlineStr">
        <is>
          <t>Tray</t>
        </is>
      </c>
      <c r="T620" s="10" t="n">
        <v>1140</v>
      </c>
      <c r="U620" s="10" t="n">
        <v>87</v>
      </c>
      <c r="V620" s="10">
        <f>ROUNDUP((T620+U620+2*'Read Me'!$B$13)*(1+'Read Me'!$B$12),-1)</f>
        <v/>
      </c>
      <c r="W620" s="10">
        <f>V620*N620*O620</f>
        <v/>
      </c>
      <c r="X620" s="9">
        <f>IF(LEFT(I620,2)="MV",2*N620*IF(L620="1/C",O620,1),0)</f>
        <v/>
      </c>
      <c r="Y620" s="9">
        <f>IF(OR(LEFT(K620,4)="LVAX",LEFT(K620,6)="MV15AX",LEFT(K620,4)="CTAX",LEFT(K620,2)="W|"),2*N620*O620,0)</f>
        <v/>
      </c>
      <c r="Z620" s="9" t="inlineStr"/>
    </row>
    <row r="621">
      <c r="A621" s="9" t="inlineStr">
        <is>
          <t>A-I-0158</t>
        </is>
      </c>
      <c r="B621" s="9" t="inlineStr">
        <is>
          <t>A</t>
        </is>
      </c>
      <c r="C621" s="9" t="inlineStr">
        <is>
          <t>Power block</t>
        </is>
      </c>
      <c r="D621" s="9" t="inlineStr">
        <is>
          <t>RTDs</t>
        </is>
      </c>
      <c r="E621" s="9" t="inlineStr">
        <is>
          <t>R3</t>
        </is>
      </c>
      <c r="F621" s="9" t="inlineStr">
        <is>
          <t>R3: ST auxiliary electrical e-house (40 x 65 ft)</t>
        </is>
      </c>
      <c r="G621" s="9" t="inlineStr">
        <is>
          <t>GTG-3</t>
        </is>
      </c>
      <c r="H621" s="9" t="inlineStr">
        <is>
          <t>GTG-3: GT generator</t>
        </is>
      </c>
      <c r="I621" s="9" t="inlineStr">
        <is>
          <t>Instrumentation</t>
        </is>
      </c>
      <c r="J621" s="9" t="inlineStr">
        <is>
          <t>RTD cable, #18 shielded triads, PLTC</t>
        </is>
      </c>
      <c r="K621" s="9" t="inlineStr">
        <is>
          <t>RTD|8 tri|18</t>
        </is>
      </c>
      <c r="L621" s="9" t="inlineStr">
        <is>
          <t>8 tri</t>
        </is>
      </c>
      <c r="M621" s="9" t="inlineStr">
        <is>
          <t>18</t>
        </is>
      </c>
      <c r="N621" s="9" t="n">
        <v>1</v>
      </c>
      <c r="O621" s="9" t="n">
        <v>1</v>
      </c>
      <c r="P621" s="9" t="n"/>
      <c r="Q621" s="9" t="n"/>
      <c r="R621" s="9" t="n"/>
      <c r="S621" s="9" t="inlineStr">
        <is>
          <t>Tray</t>
        </is>
      </c>
      <c r="T621" s="10" t="n">
        <v>574</v>
      </c>
      <c r="U621" s="10" t="n">
        <v>89</v>
      </c>
      <c r="V621" s="10">
        <f>ROUNDUP((T621+U621+2*'Read Me'!$B$13)*(1+'Read Me'!$B$12),-1)</f>
        <v/>
      </c>
      <c r="W621" s="10">
        <f>V621*N621*O621</f>
        <v/>
      </c>
      <c r="X621" s="9">
        <f>IF(LEFT(I621,2)="MV",2*N621*IF(L621="1/C",O621,1),0)</f>
        <v/>
      </c>
      <c r="Y621" s="9">
        <f>IF(OR(LEFT(K621,4)="LVAX",LEFT(K621,6)="MV15AX",LEFT(K621,4)="CTAX",LEFT(K621,2)="W|"),2*N621*O621,0)</f>
        <v/>
      </c>
      <c r="Z621" s="9" t="inlineStr"/>
    </row>
    <row r="622">
      <c r="A622" s="9" t="inlineStr">
        <is>
          <t>A-I-0159</t>
        </is>
      </c>
      <c r="B622" s="9" t="inlineStr">
        <is>
          <t>A</t>
        </is>
      </c>
      <c r="C622" s="9" t="inlineStr">
        <is>
          <t>Power block</t>
        </is>
      </c>
      <c r="D622" s="9" t="inlineStr">
        <is>
          <t>RTDs</t>
        </is>
      </c>
      <c r="E622" s="9" t="inlineStr">
        <is>
          <t>R3</t>
        </is>
      </c>
      <c r="F622" s="9" t="inlineStr">
        <is>
          <t>R3: ST auxiliary electrical e-house (40 x 65 ft)</t>
        </is>
      </c>
      <c r="G622" s="9" t="inlineStr">
        <is>
          <t>GTG-3</t>
        </is>
      </c>
      <c r="H622" s="9" t="inlineStr">
        <is>
          <t>GTG-3: GT generator</t>
        </is>
      </c>
      <c r="I622" s="9" t="inlineStr">
        <is>
          <t>Instrumentation</t>
        </is>
      </c>
      <c r="J622" s="9" t="inlineStr">
        <is>
          <t>RTD cable, #18 shielded triads, PLTC</t>
        </is>
      </c>
      <c r="K622" s="9" t="inlineStr">
        <is>
          <t>RTD|8 tri|18</t>
        </is>
      </c>
      <c r="L622" s="9" t="inlineStr">
        <is>
          <t>8 tri</t>
        </is>
      </c>
      <c r="M622" s="9" t="inlineStr">
        <is>
          <t>18</t>
        </is>
      </c>
      <c r="N622" s="9" t="n">
        <v>1</v>
      </c>
      <c r="O622" s="9" t="n">
        <v>1</v>
      </c>
      <c r="P622" s="9" t="n"/>
      <c r="Q622" s="9" t="n"/>
      <c r="R622" s="9" t="n"/>
      <c r="S622" s="9" t="inlineStr">
        <is>
          <t>Tray</t>
        </is>
      </c>
      <c r="T622" s="10" t="n">
        <v>574</v>
      </c>
      <c r="U622" s="10" t="n">
        <v>89</v>
      </c>
      <c r="V622" s="10">
        <f>ROUNDUP((T622+U622+2*'Read Me'!$B$13)*(1+'Read Me'!$B$12),-1)</f>
        <v/>
      </c>
      <c r="W622" s="10">
        <f>V622*N622*O622</f>
        <v/>
      </c>
      <c r="X622" s="9">
        <f>IF(LEFT(I622,2)="MV",2*N622*IF(L622="1/C",O622,1),0)</f>
        <v/>
      </c>
      <c r="Y622" s="9">
        <f>IF(OR(LEFT(K622,4)="LVAX",LEFT(K622,6)="MV15AX",LEFT(K622,4)="CTAX",LEFT(K622,2)="W|"),2*N622*O622,0)</f>
        <v/>
      </c>
      <c r="Z622" s="9" t="inlineStr"/>
    </row>
    <row r="623">
      <c r="A623" s="9" t="inlineStr">
        <is>
          <t>A-I-0160</t>
        </is>
      </c>
      <c r="B623" s="9" t="inlineStr">
        <is>
          <t>A</t>
        </is>
      </c>
      <c r="C623" s="9" t="inlineStr">
        <is>
          <t>Power block</t>
        </is>
      </c>
      <c r="D623" s="9" t="inlineStr">
        <is>
          <t>RTDs</t>
        </is>
      </c>
      <c r="E623" s="9" t="inlineStr">
        <is>
          <t>R3</t>
        </is>
      </c>
      <c r="F623" s="9" t="inlineStr">
        <is>
          <t>R3: ST auxiliary electrical e-house (40 x 65 ft)</t>
        </is>
      </c>
      <c r="G623" s="9" t="inlineStr">
        <is>
          <t>GTG-3</t>
        </is>
      </c>
      <c r="H623" s="9" t="inlineStr">
        <is>
          <t>GTG-3: GT generator</t>
        </is>
      </c>
      <c r="I623" s="9" t="inlineStr">
        <is>
          <t>Instrumentation</t>
        </is>
      </c>
      <c r="J623" s="9" t="inlineStr">
        <is>
          <t>RTD cable, #18 shielded triads, PLTC</t>
        </is>
      </c>
      <c r="K623" s="9" t="inlineStr">
        <is>
          <t>RTD|8 tri|18</t>
        </is>
      </c>
      <c r="L623" s="9" t="inlineStr">
        <is>
          <t>8 tri</t>
        </is>
      </c>
      <c r="M623" s="9" t="inlineStr">
        <is>
          <t>18</t>
        </is>
      </c>
      <c r="N623" s="9" t="n">
        <v>1</v>
      </c>
      <c r="O623" s="9" t="n">
        <v>1</v>
      </c>
      <c r="P623" s="9" t="n"/>
      <c r="Q623" s="9" t="n"/>
      <c r="R623" s="9" t="n"/>
      <c r="S623" s="9" t="inlineStr">
        <is>
          <t>Tray</t>
        </is>
      </c>
      <c r="T623" s="10" t="n">
        <v>574</v>
      </c>
      <c r="U623" s="10" t="n">
        <v>89</v>
      </c>
      <c r="V623" s="10">
        <f>ROUNDUP((T623+U623+2*'Read Me'!$B$13)*(1+'Read Me'!$B$12),-1)</f>
        <v/>
      </c>
      <c r="W623" s="10">
        <f>V623*N623*O623</f>
        <v/>
      </c>
      <c r="X623" s="9">
        <f>IF(LEFT(I623,2)="MV",2*N623*IF(L623="1/C",O623,1),0)</f>
        <v/>
      </c>
      <c r="Y623" s="9">
        <f>IF(OR(LEFT(K623,4)="LVAX",LEFT(K623,6)="MV15AX",LEFT(K623,4)="CTAX",LEFT(K623,2)="W|"),2*N623*O623,0)</f>
        <v/>
      </c>
      <c r="Z623" s="9" t="inlineStr"/>
    </row>
    <row r="624">
      <c r="A624" s="9" t="inlineStr">
        <is>
          <t>A-I-0161</t>
        </is>
      </c>
      <c r="B624" s="9" t="inlineStr">
        <is>
          <t>A</t>
        </is>
      </c>
      <c r="C624" s="9" t="inlineStr">
        <is>
          <t>Power block</t>
        </is>
      </c>
      <c r="D624" s="9" t="inlineStr">
        <is>
          <t>RTDs</t>
        </is>
      </c>
      <c r="E624" s="9" t="inlineStr">
        <is>
          <t>R3</t>
        </is>
      </c>
      <c r="F624" s="9" t="inlineStr">
        <is>
          <t>R3: ST auxiliary electrical e-house (40 x 65 ft)</t>
        </is>
      </c>
      <c r="G624" s="9" t="inlineStr">
        <is>
          <t>GTG-3</t>
        </is>
      </c>
      <c r="H624" s="9" t="inlineStr">
        <is>
          <t>GTG-3: GT generator</t>
        </is>
      </c>
      <c r="I624" s="9" t="inlineStr">
        <is>
          <t>Instrumentation</t>
        </is>
      </c>
      <c r="J624" s="9" t="inlineStr">
        <is>
          <t>RTD cable, #18 shielded triads, PLTC</t>
        </is>
      </c>
      <c r="K624" s="9" t="inlineStr">
        <is>
          <t>RTD|8 tri|18</t>
        </is>
      </c>
      <c r="L624" s="9" t="inlineStr">
        <is>
          <t>8 tri</t>
        </is>
      </c>
      <c r="M624" s="9" t="inlineStr">
        <is>
          <t>18</t>
        </is>
      </c>
      <c r="N624" s="9" t="n">
        <v>1</v>
      </c>
      <c r="O624" s="9" t="n">
        <v>1</v>
      </c>
      <c r="P624" s="9" t="n"/>
      <c r="Q624" s="9" t="n"/>
      <c r="R624" s="9" t="n"/>
      <c r="S624" s="9" t="inlineStr">
        <is>
          <t>Tray</t>
        </is>
      </c>
      <c r="T624" s="10" t="n">
        <v>574</v>
      </c>
      <c r="U624" s="10" t="n">
        <v>89</v>
      </c>
      <c r="V624" s="10">
        <f>ROUNDUP((T624+U624+2*'Read Me'!$B$13)*(1+'Read Me'!$B$12),-1)</f>
        <v/>
      </c>
      <c r="W624" s="10">
        <f>V624*N624*O624</f>
        <v/>
      </c>
      <c r="X624" s="9">
        <f>IF(LEFT(I624,2)="MV",2*N624*IF(L624="1/C",O624,1),0)</f>
        <v/>
      </c>
      <c r="Y624" s="9">
        <f>IF(OR(LEFT(K624,4)="LVAX",LEFT(K624,6)="MV15AX",LEFT(K624,4)="CTAX",LEFT(K624,2)="W|"),2*N624*O624,0)</f>
        <v/>
      </c>
      <c r="Z624" s="9" t="inlineStr"/>
    </row>
    <row r="625">
      <c r="A625" s="9" t="inlineStr">
        <is>
          <t>A-I-0162</t>
        </is>
      </c>
      <c r="B625" s="9" t="inlineStr">
        <is>
          <t>A</t>
        </is>
      </c>
      <c r="C625" s="9" t="inlineStr">
        <is>
          <t>Power block</t>
        </is>
      </c>
      <c r="D625" s="9" t="inlineStr">
        <is>
          <t>Vibration monitoring</t>
        </is>
      </c>
      <c r="E625" s="9" t="inlineStr">
        <is>
          <t>R3</t>
        </is>
      </c>
      <c r="F625" s="9" t="inlineStr">
        <is>
          <t>R3: ST auxiliary electrical e-house (40 x 65 ft)</t>
        </is>
      </c>
      <c r="G625" s="9" t="inlineStr">
        <is>
          <t>GTG-3</t>
        </is>
      </c>
      <c r="H625" s="9" t="inlineStr">
        <is>
          <t>GTG-3: GT generator</t>
        </is>
      </c>
      <c r="I625" s="9" t="inlineStr">
        <is>
          <t>Instrumentation</t>
        </is>
      </c>
      <c r="J625" s="9" t="inlineStr">
        <is>
          <t>Instrumentation PLTC / TC-ER 300 V, #18 twisted shielded pairs, overall shield</t>
        </is>
      </c>
      <c r="K625" s="9" t="inlineStr">
        <is>
          <t>PLTC|4 pr|18</t>
        </is>
      </c>
      <c r="L625" s="9" t="inlineStr">
        <is>
          <t>4 pr</t>
        </is>
      </c>
      <c r="M625" s="9" t="inlineStr">
        <is>
          <t>18</t>
        </is>
      </c>
      <c r="N625" s="9" t="n">
        <v>1</v>
      </c>
      <c r="O625" s="9" t="n">
        <v>1</v>
      </c>
      <c r="P625" s="9" t="n"/>
      <c r="Q625" s="9" t="n"/>
      <c r="R625" s="9" t="n"/>
      <c r="S625" s="9" t="inlineStr">
        <is>
          <t>Tray</t>
        </is>
      </c>
      <c r="T625" s="10" t="n">
        <v>574</v>
      </c>
      <c r="U625" s="10" t="n">
        <v>89</v>
      </c>
      <c r="V625" s="10">
        <f>ROUNDUP((T625+U625+2*'Read Me'!$B$13)*(1+'Read Me'!$B$12),-1)</f>
        <v/>
      </c>
      <c r="W625" s="10">
        <f>V625*N625*O625</f>
        <v/>
      </c>
      <c r="X625" s="9">
        <f>IF(LEFT(I625,2)="MV",2*N625*IF(L625="1/C",O625,1),0)</f>
        <v/>
      </c>
      <c r="Y625" s="9">
        <f>IF(OR(LEFT(K625,4)="LVAX",LEFT(K625,6)="MV15AX",LEFT(K625,4)="CTAX",LEFT(K625,2)="W|"),2*N625*O625,0)</f>
        <v/>
      </c>
      <c r="Z625" s="9" t="inlineStr"/>
    </row>
    <row r="626">
      <c r="A626" s="9" t="inlineStr">
        <is>
          <t>A-I-0163</t>
        </is>
      </c>
      <c r="B626" s="9" t="inlineStr">
        <is>
          <t>A</t>
        </is>
      </c>
      <c r="C626" s="9" t="inlineStr">
        <is>
          <t>Power block</t>
        </is>
      </c>
      <c r="D626" s="9" t="inlineStr">
        <is>
          <t>Instrumentation</t>
        </is>
      </c>
      <c r="E626" s="9" t="inlineStr">
        <is>
          <t>R2A</t>
        </is>
      </c>
      <c r="F626" s="9" t="inlineStr">
        <is>
          <t>R2A: unit / HRSG electrical e-house (32 x 40 ft)</t>
        </is>
      </c>
      <c r="G626" s="9" t="inlineStr">
        <is>
          <t>HRSG-1</t>
        </is>
      </c>
      <c r="H626" s="9" t="inlineStr">
        <is>
          <t>HRSG 1 + SCR (3P reheat, horizontal)</t>
        </is>
      </c>
      <c r="I626" s="9" t="inlineStr">
        <is>
          <t>Instrumentation</t>
        </is>
      </c>
      <c r="J626" s="9" t="inlineStr">
        <is>
          <t>Instrumentation PLTC / TC-ER 300 V, #18 twisted shielded pairs, overall shield</t>
        </is>
      </c>
      <c r="K626" s="9" t="inlineStr">
        <is>
          <t>PLTC|4 pr|18</t>
        </is>
      </c>
      <c r="L626" s="9" t="inlineStr">
        <is>
          <t>4 pr</t>
        </is>
      </c>
      <c r="M626" s="9" t="inlineStr">
        <is>
          <t>18</t>
        </is>
      </c>
      <c r="N626" s="9" t="n">
        <v>1</v>
      </c>
      <c r="O626" s="9" t="n">
        <v>1</v>
      </c>
      <c r="P626" s="9" t="n"/>
      <c r="Q626" s="9" t="n"/>
      <c r="R626" s="9" t="n"/>
      <c r="S626" s="9" t="inlineStr">
        <is>
          <t>Tray</t>
        </is>
      </c>
      <c r="T626" s="10" t="n">
        <v>0</v>
      </c>
      <c r="U626" s="10" t="n">
        <v>87</v>
      </c>
      <c r="V626" s="10">
        <f>ROUNDUP((T626+U626+2*'Read Me'!$B$13)*(1+'Read Me'!$B$12),-1)</f>
        <v/>
      </c>
      <c r="W626" s="10">
        <f>V626*N626*O626</f>
        <v/>
      </c>
      <c r="X626" s="9">
        <f>IF(LEFT(I626,2)="MV",2*N626*IF(L626="1/C",O626,1),0)</f>
        <v/>
      </c>
      <c r="Y626" s="9">
        <f>IF(OR(LEFT(K626,4)="LVAX",LEFT(K626,6)="MV15AX",LEFT(K626,4)="CTAX",LEFT(K626,2)="W|"),2*N626*O626,0)</f>
        <v/>
      </c>
      <c r="Z626" s="9" t="inlineStr"/>
    </row>
    <row r="627">
      <c r="A627" s="9" t="inlineStr">
        <is>
          <t>A-I-0164</t>
        </is>
      </c>
      <c r="B627" s="9" t="inlineStr">
        <is>
          <t>A</t>
        </is>
      </c>
      <c r="C627" s="9" t="inlineStr">
        <is>
          <t>Power block</t>
        </is>
      </c>
      <c r="D627" s="9" t="inlineStr">
        <is>
          <t>Instrumentation</t>
        </is>
      </c>
      <c r="E627" s="9" t="inlineStr">
        <is>
          <t>R2A</t>
        </is>
      </c>
      <c r="F627" s="9" t="inlineStr">
        <is>
          <t>R2A: unit / HRSG electrical e-house (32 x 40 ft)</t>
        </is>
      </c>
      <c r="G627" s="9" t="inlineStr">
        <is>
          <t>HRSG-1</t>
        </is>
      </c>
      <c r="H627" s="9" t="inlineStr">
        <is>
          <t>HRSG 1 + SCR (3P reheat, horizontal)</t>
        </is>
      </c>
      <c r="I627" s="9" t="inlineStr">
        <is>
          <t>Instrumentation</t>
        </is>
      </c>
      <c r="J627" s="9" t="inlineStr">
        <is>
          <t>Instrumentation PLTC / TC-ER 300 V, #18 twisted shielded pairs, overall shield</t>
        </is>
      </c>
      <c r="K627" s="9" t="inlineStr">
        <is>
          <t>PLTC|4 pr|18</t>
        </is>
      </c>
      <c r="L627" s="9" t="inlineStr">
        <is>
          <t>4 pr</t>
        </is>
      </c>
      <c r="M627" s="9" t="inlineStr">
        <is>
          <t>18</t>
        </is>
      </c>
      <c r="N627" s="9" t="n">
        <v>1</v>
      </c>
      <c r="O627" s="9" t="n">
        <v>1</v>
      </c>
      <c r="P627" s="9" t="n"/>
      <c r="Q627" s="9" t="n"/>
      <c r="R627" s="9" t="n"/>
      <c r="S627" s="9" t="inlineStr">
        <is>
          <t>Tray</t>
        </is>
      </c>
      <c r="T627" s="10" t="n">
        <v>0</v>
      </c>
      <c r="U627" s="10" t="n">
        <v>87</v>
      </c>
      <c r="V627" s="10">
        <f>ROUNDUP((T627+U627+2*'Read Me'!$B$13)*(1+'Read Me'!$B$12),-1)</f>
        <v/>
      </c>
      <c r="W627" s="10">
        <f>V627*N627*O627</f>
        <v/>
      </c>
      <c r="X627" s="9">
        <f>IF(LEFT(I627,2)="MV",2*N627*IF(L627="1/C",O627,1),0)</f>
        <v/>
      </c>
      <c r="Y627" s="9">
        <f>IF(OR(LEFT(K627,4)="LVAX",LEFT(K627,6)="MV15AX",LEFT(K627,4)="CTAX",LEFT(K627,2)="W|"),2*N627*O627,0)</f>
        <v/>
      </c>
      <c r="Z627" s="9" t="inlineStr"/>
    </row>
    <row r="628">
      <c r="A628" s="9" t="inlineStr">
        <is>
          <t>A-I-0165</t>
        </is>
      </c>
      <c r="B628" s="9" t="inlineStr">
        <is>
          <t>A</t>
        </is>
      </c>
      <c r="C628" s="9" t="inlineStr">
        <is>
          <t>Power block</t>
        </is>
      </c>
      <c r="D628" s="9" t="inlineStr">
        <is>
          <t>Instrumentation</t>
        </is>
      </c>
      <c r="E628" s="9" t="inlineStr">
        <is>
          <t>R2A</t>
        </is>
      </c>
      <c r="F628" s="9" t="inlineStr">
        <is>
          <t>R2A: unit / HRSG electrical e-house (32 x 40 ft)</t>
        </is>
      </c>
      <c r="G628" s="9" t="inlineStr">
        <is>
          <t>HRSG-1</t>
        </is>
      </c>
      <c r="H628" s="9" t="inlineStr">
        <is>
          <t>HRSG 1 + SCR (3P reheat, horizontal)</t>
        </is>
      </c>
      <c r="I628" s="9" t="inlineStr">
        <is>
          <t>Instrumentation</t>
        </is>
      </c>
      <c r="J628" s="9" t="inlineStr">
        <is>
          <t>Instrumentation PLTC / TC-ER 300 V, #18 twisted shielded pairs, overall shield</t>
        </is>
      </c>
      <c r="K628" s="9" t="inlineStr">
        <is>
          <t>PLTC|12 pr|18</t>
        </is>
      </c>
      <c r="L628" s="9" t="inlineStr">
        <is>
          <t>12 pr</t>
        </is>
      </c>
      <c r="M628" s="9" t="inlineStr">
        <is>
          <t>18</t>
        </is>
      </c>
      <c r="N628" s="9" t="n">
        <v>1</v>
      </c>
      <c r="O628" s="9" t="n">
        <v>1</v>
      </c>
      <c r="P628" s="9" t="n"/>
      <c r="Q628" s="9" t="n"/>
      <c r="R628" s="9" t="n"/>
      <c r="S628" s="9" t="inlineStr">
        <is>
          <t>Tray</t>
        </is>
      </c>
      <c r="T628" s="10" t="n">
        <v>0</v>
      </c>
      <c r="U628" s="10" t="n">
        <v>87</v>
      </c>
      <c r="V628" s="10">
        <f>ROUNDUP((T628+U628+2*'Read Me'!$B$13)*(1+'Read Me'!$B$12),-1)</f>
        <v/>
      </c>
      <c r="W628" s="10">
        <f>V628*N628*O628</f>
        <v/>
      </c>
      <c r="X628" s="9">
        <f>IF(LEFT(I628,2)="MV",2*N628*IF(L628="1/C",O628,1),0)</f>
        <v/>
      </c>
      <c r="Y628" s="9">
        <f>IF(OR(LEFT(K628,4)="LVAX",LEFT(K628,6)="MV15AX",LEFT(K628,4)="CTAX",LEFT(K628,2)="W|"),2*N628*O628,0)</f>
        <v/>
      </c>
      <c r="Z628" s="9" t="inlineStr"/>
    </row>
    <row r="629">
      <c r="A629" s="9" t="inlineStr">
        <is>
          <t>A-I-0166</t>
        </is>
      </c>
      <c r="B629" s="9" t="inlineStr">
        <is>
          <t>A</t>
        </is>
      </c>
      <c r="C629" s="9" t="inlineStr">
        <is>
          <t>Power block</t>
        </is>
      </c>
      <c r="D629" s="9" t="inlineStr">
        <is>
          <t>Instrumentation</t>
        </is>
      </c>
      <c r="E629" s="9" t="inlineStr">
        <is>
          <t>R2A</t>
        </is>
      </c>
      <c r="F629" s="9" t="inlineStr">
        <is>
          <t>R2A: unit / HRSG electrical e-house (32 x 40 ft)</t>
        </is>
      </c>
      <c r="G629" s="9" t="inlineStr">
        <is>
          <t>HRSG-1</t>
        </is>
      </c>
      <c r="H629" s="9" t="inlineStr">
        <is>
          <t>HRSG 1 + SCR (3P reheat, horizontal)</t>
        </is>
      </c>
      <c r="I629" s="9" t="inlineStr">
        <is>
          <t>Instrumentation</t>
        </is>
      </c>
      <c r="J629" s="9" t="inlineStr">
        <is>
          <t>Instrumentation PLTC / TC-ER 300 V, #18 twisted shielded pairs, overall shield</t>
        </is>
      </c>
      <c r="K629" s="9" t="inlineStr">
        <is>
          <t>PLTC|12 pr|18</t>
        </is>
      </c>
      <c r="L629" s="9" t="inlineStr">
        <is>
          <t>12 pr</t>
        </is>
      </c>
      <c r="M629" s="9" t="inlineStr">
        <is>
          <t>18</t>
        </is>
      </c>
      <c r="N629" s="9" t="n">
        <v>1</v>
      </c>
      <c r="O629" s="9" t="n">
        <v>1</v>
      </c>
      <c r="P629" s="9" t="n"/>
      <c r="Q629" s="9" t="n"/>
      <c r="R629" s="9" t="n"/>
      <c r="S629" s="9" t="inlineStr">
        <is>
          <t>Tray</t>
        </is>
      </c>
      <c r="T629" s="10" t="n">
        <v>0</v>
      </c>
      <c r="U629" s="10" t="n">
        <v>87</v>
      </c>
      <c r="V629" s="10">
        <f>ROUNDUP((T629+U629+2*'Read Me'!$B$13)*(1+'Read Me'!$B$12),-1)</f>
        <v/>
      </c>
      <c r="W629" s="10">
        <f>V629*N629*O629</f>
        <v/>
      </c>
      <c r="X629" s="9">
        <f>IF(LEFT(I629,2)="MV",2*N629*IF(L629="1/C",O629,1),0)</f>
        <v/>
      </c>
      <c r="Y629" s="9">
        <f>IF(OR(LEFT(K629,4)="LVAX",LEFT(K629,6)="MV15AX",LEFT(K629,4)="CTAX",LEFT(K629,2)="W|"),2*N629*O629,0)</f>
        <v/>
      </c>
      <c r="Z629" s="9" t="inlineStr"/>
    </row>
    <row r="630">
      <c r="A630" s="9" t="inlineStr">
        <is>
          <t>A-I-0167</t>
        </is>
      </c>
      <c r="B630" s="9" t="inlineStr">
        <is>
          <t>A</t>
        </is>
      </c>
      <c r="C630" s="9" t="inlineStr">
        <is>
          <t>Power block</t>
        </is>
      </c>
      <c r="D630" s="9" t="inlineStr">
        <is>
          <t>Instrumentation</t>
        </is>
      </c>
      <c r="E630" s="9" t="inlineStr">
        <is>
          <t>R2A</t>
        </is>
      </c>
      <c r="F630" s="9" t="inlineStr">
        <is>
          <t>R2A: unit / HRSG electrical e-house (32 x 40 ft)</t>
        </is>
      </c>
      <c r="G630" s="9" t="inlineStr">
        <is>
          <t>HRSG-1</t>
        </is>
      </c>
      <c r="H630" s="9" t="inlineStr">
        <is>
          <t>HRSG 1 + SCR (3P reheat, horizontal)</t>
        </is>
      </c>
      <c r="I630" s="9" t="inlineStr">
        <is>
          <t>Instrumentation</t>
        </is>
      </c>
      <c r="J630" s="9" t="inlineStr">
        <is>
          <t>Instrumentation PLTC / TC-ER 300 V, #18 twisted shielded pairs, overall shield</t>
        </is>
      </c>
      <c r="K630" s="9" t="inlineStr">
        <is>
          <t>PLTC|12 pr|18</t>
        </is>
      </c>
      <c r="L630" s="9" t="inlineStr">
        <is>
          <t>12 pr</t>
        </is>
      </c>
      <c r="M630" s="9" t="inlineStr">
        <is>
          <t>18</t>
        </is>
      </c>
      <c r="N630" s="9" t="n">
        <v>1</v>
      </c>
      <c r="O630" s="9" t="n">
        <v>1</v>
      </c>
      <c r="P630" s="9" t="n"/>
      <c r="Q630" s="9" t="n"/>
      <c r="R630" s="9" t="n"/>
      <c r="S630" s="9" t="inlineStr">
        <is>
          <t>Tray</t>
        </is>
      </c>
      <c r="T630" s="10" t="n">
        <v>0</v>
      </c>
      <c r="U630" s="10" t="n">
        <v>87</v>
      </c>
      <c r="V630" s="10">
        <f>ROUNDUP((T630+U630+2*'Read Me'!$B$13)*(1+'Read Me'!$B$12),-1)</f>
        <v/>
      </c>
      <c r="W630" s="10">
        <f>V630*N630*O630</f>
        <v/>
      </c>
      <c r="X630" s="9">
        <f>IF(LEFT(I630,2)="MV",2*N630*IF(L630="1/C",O630,1),0)</f>
        <v/>
      </c>
      <c r="Y630" s="9">
        <f>IF(OR(LEFT(K630,4)="LVAX",LEFT(K630,6)="MV15AX",LEFT(K630,4)="CTAX",LEFT(K630,2)="W|"),2*N630*O630,0)</f>
        <v/>
      </c>
      <c r="Z630" s="9" t="inlineStr"/>
    </row>
    <row r="631">
      <c r="A631" s="9" t="inlineStr">
        <is>
          <t>A-I-0168</t>
        </is>
      </c>
      <c r="B631" s="9" t="inlineStr">
        <is>
          <t>A</t>
        </is>
      </c>
      <c r="C631" s="9" t="inlineStr">
        <is>
          <t>Power block</t>
        </is>
      </c>
      <c r="D631" s="9" t="inlineStr">
        <is>
          <t>Instrumentation</t>
        </is>
      </c>
      <c r="E631" s="9" t="inlineStr">
        <is>
          <t>R2A</t>
        </is>
      </c>
      <c r="F631" s="9" t="inlineStr">
        <is>
          <t>R2A: unit / HRSG electrical e-house (32 x 40 ft)</t>
        </is>
      </c>
      <c r="G631" s="9" t="inlineStr">
        <is>
          <t>HRSG-1</t>
        </is>
      </c>
      <c r="H631" s="9" t="inlineStr">
        <is>
          <t>HRSG 1 + SCR (3P reheat, horizontal)</t>
        </is>
      </c>
      <c r="I631" s="9" t="inlineStr">
        <is>
          <t>Instrumentation</t>
        </is>
      </c>
      <c r="J631" s="9" t="inlineStr">
        <is>
          <t>Instrumentation PLTC / TC-ER 300 V, #18 twisted shielded pairs, overall shield</t>
        </is>
      </c>
      <c r="K631" s="9" t="inlineStr">
        <is>
          <t>PLTC|12 pr|18</t>
        </is>
      </c>
      <c r="L631" s="9" t="inlineStr">
        <is>
          <t>12 pr</t>
        </is>
      </c>
      <c r="M631" s="9" t="inlineStr">
        <is>
          <t>18</t>
        </is>
      </c>
      <c r="N631" s="9" t="n">
        <v>1</v>
      </c>
      <c r="O631" s="9" t="n">
        <v>1</v>
      </c>
      <c r="P631" s="9" t="n"/>
      <c r="Q631" s="9" t="n"/>
      <c r="R631" s="9" t="n"/>
      <c r="S631" s="9" t="inlineStr">
        <is>
          <t>Tray</t>
        </is>
      </c>
      <c r="T631" s="10" t="n">
        <v>0</v>
      </c>
      <c r="U631" s="10" t="n">
        <v>87</v>
      </c>
      <c r="V631" s="10">
        <f>ROUNDUP((T631+U631+2*'Read Me'!$B$13)*(1+'Read Me'!$B$12),-1)</f>
        <v/>
      </c>
      <c r="W631" s="10">
        <f>V631*N631*O631</f>
        <v/>
      </c>
      <c r="X631" s="9">
        <f>IF(LEFT(I631,2)="MV",2*N631*IF(L631="1/C",O631,1),0)</f>
        <v/>
      </c>
      <c r="Y631" s="9">
        <f>IF(OR(LEFT(K631,4)="LVAX",LEFT(K631,6)="MV15AX",LEFT(K631,4)="CTAX",LEFT(K631,2)="W|"),2*N631*O631,0)</f>
        <v/>
      </c>
      <c r="Z631" s="9" t="inlineStr"/>
    </row>
    <row r="632">
      <c r="A632" s="9" t="inlineStr">
        <is>
          <t>A-I-0169</t>
        </is>
      </c>
      <c r="B632" s="9" t="inlineStr">
        <is>
          <t>A</t>
        </is>
      </c>
      <c r="C632" s="9" t="inlineStr">
        <is>
          <t>Power block</t>
        </is>
      </c>
      <c r="D632" s="9" t="inlineStr">
        <is>
          <t>Instrumentation</t>
        </is>
      </c>
      <c r="E632" s="9" t="inlineStr">
        <is>
          <t>R2A</t>
        </is>
      </c>
      <c r="F632" s="9" t="inlineStr">
        <is>
          <t>R2A: unit / HRSG electrical e-house (32 x 40 ft)</t>
        </is>
      </c>
      <c r="G632" s="9" t="inlineStr">
        <is>
          <t>HRSG-1</t>
        </is>
      </c>
      <c r="H632" s="9" t="inlineStr">
        <is>
          <t>HRSG 1 + SCR (3P reheat, horizontal)</t>
        </is>
      </c>
      <c r="I632" s="9" t="inlineStr">
        <is>
          <t>Instrumentation</t>
        </is>
      </c>
      <c r="J632" s="9" t="inlineStr">
        <is>
          <t>Instrumentation PLTC / TC-ER 300 V, #18 twisted shielded pairs, overall shield</t>
        </is>
      </c>
      <c r="K632" s="9" t="inlineStr">
        <is>
          <t>PLTC|12 pr|18</t>
        </is>
      </c>
      <c r="L632" s="9" t="inlineStr">
        <is>
          <t>12 pr</t>
        </is>
      </c>
      <c r="M632" s="9" t="inlineStr">
        <is>
          <t>18</t>
        </is>
      </c>
      <c r="N632" s="9" t="n">
        <v>1</v>
      </c>
      <c r="O632" s="9" t="n">
        <v>1</v>
      </c>
      <c r="P632" s="9" t="n"/>
      <c r="Q632" s="9" t="n"/>
      <c r="R632" s="9" t="n"/>
      <c r="S632" s="9" t="inlineStr">
        <is>
          <t>Tray</t>
        </is>
      </c>
      <c r="T632" s="10" t="n">
        <v>0</v>
      </c>
      <c r="U632" s="10" t="n">
        <v>87</v>
      </c>
      <c r="V632" s="10">
        <f>ROUNDUP((T632+U632+2*'Read Me'!$B$13)*(1+'Read Me'!$B$12),-1)</f>
        <v/>
      </c>
      <c r="W632" s="10">
        <f>V632*N632*O632</f>
        <v/>
      </c>
      <c r="X632" s="9">
        <f>IF(LEFT(I632,2)="MV",2*N632*IF(L632="1/C",O632,1),0)</f>
        <v/>
      </c>
      <c r="Y632" s="9">
        <f>IF(OR(LEFT(K632,4)="LVAX",LEFT(K632,6)="MV15AX",LEFT(K632,4)="CTAX",LEFT(K632,2)="W|"),2*N632*O632,0)</f>
        <v/>
      </c>
      <c r="Z632" s="9" t="inlineStr"/>
    </row>
    <row r="633">
      <c r="A633" s="9" t="inlineStr">
        <is>
          <t>A-I-0170</t>
        </is>
      </c>
      <c r="B633" s="9" t="inlineStr">
        <is>
          <t>A</t>
        </is>
      </c>
      <c r="C633" s="9" t="inlineStr">
        <is>
          <t>Power block</t>
        </is>
      </c>
      <c r="D633" s="9" t="inlineStr">
        <is>
          <t>Instrumentation</t>
        </is>
      </c>
      <c r="E633" s="9" t="inlineStr">
        <is>
          <t>R2A</t>
        </is>
      </c>
      <c r="F633" s="9" t="inlineStr">
        <is>
          <t>R2A: unit / HRSG electrical e-house (32 x 40 ft)</t>
        </is>
      </c>
      <c r="G633" s="9" t="inlineStr">
        <is>
          <t>HRSG-1</t>
        </is>
      </c>
      <c r="H633" s="9" t="inlineStr">
        <is>
          <t>HRSG 1 + SCR (3P reheat, horizontal)</t>
        </is>
      </c>
      <c r="I633" s="9" t="inlineStr">
        <is>
          <t>Instrumentation</t>
        </is>
      </c>
      <c r="J633" s="9" t="inlineStr">
        <is>
          <t>Instrumentation PLTC / TC-ER 300 V, #18 twisted shielded pairs, overall shield</t>
        </is>
      </c>
      <c r="K633" s="9" t="inlineStr">
        <is>
          <t>PLTC|12 pr|18</t>
        </is>
      </c>
      <c r="L633" s="9" t="inlineStr">
        <is>
          <t>12 pr</t>
        </is>
      </c>
      <c r="M633" s="9" t="inlineStr">
        <is>
          <t>18</t>
        </is>
      </c>
      <c r="N633" s="9" t="n">
        <v>1</v>
      </c>
      <c r="O633" s="9" t="n">
        <v>1</v>
      </c>
      <c r="P633" s="9" t="n"/>
      <c r="Q633" s="9" t="n"/>
      <c r="R633" s="9" t="n"/>
      <c r="S633" s="9" t="inlineStr">
        <is>
          <t>Tray</t>
        </is>
      </c>
      <c r="T633" s="10" t="n">
        <v>0</v>
      </c>
      <c r="U633" s="10" t="n">
        <v>87</v>
      </c>
      <c r="V633" s="10">
        <f>ROUNDUP((T633+U633+2*'Read Me'!$B$13)*(1+'Read Me'!$B$12),-1)</f>
        <v/>
      </c>
      <c r="W633" s="10">
        <f>V633*N633*O633</f>
        <v/>
      </c>
      <c r="X633" s="9">
        <f>IF(LEFT(I633,2)="MV",2*N633*IF(L633="1/C",O633,1),0)</f>
        <v/>
      </c>
      <c r="Y633" s="9">
        <f>IF(OR(LEFT(K633,4)="LVAX",LEFT(K633,6)="MV15AX",LEFT(K633,4)="CTAX",LEFT(K633,2)="W|"),2*N633*O633,0)</f>
        <v/>
      </c>
      <c r="Z633" s="9" t="inlineStr"/>
    </row>
    <row r="634">
      <c r="A634" s="9" t="inlineStr">
        <is>
          <t>A-I-0171</t>
        </is>
      </c>
      <c r="B634" s="9" t="inlineStr">
        <is>
          <t>A</t>
        </is>
      </c>
      <c r="C634" s="9" t="inlineStr">
        <is>
          <t>Power block</t>
        </is>
      </c>
      <c r="D634" s="9" t="inlineStr">
        <is>
          <t>Instrumentation</t>
        </is>
      </c>
      <c r="E634" s="9" t="inlineStr">
        <is>
          <t>R2A</t>
        </is>
      </c>
      <c r="F634" s="9" t="inlineStr">
        <is>
          <t>R2A: unit / HRSG electrical e-house (32 x 40 ft)</t>
        </is>
      </c>
      <c r="G634" s="9" t="inlineStr">
        <is>
          <t>HRSG-1</t>
        </is>
      </c>
      <c r="H634" s="9" t="inlineStr">
        <is>
          <t>HRSG 1 + SCR (3P reheat, horizontal)</t>
        </is>
      </c>
      <c r="I634" s="9" t="inlineStr">
        <is>
          <t>Instrumentation</t>
        </is>
      </c>
      <c r="J634" s="9" t="inlineStr">
        <is>
          <t>Instrumentation PLTC / TC-ER 300 V, #18 twisted shielded pairs, overall shield</t>
        </is>
      </c>
      <c r="K634" s="9" t="inlineStr">
        <is>
          <t>PLTC|12 pr|18</t>
        </is>
      </c>
      <c r="L634" s="9" t="inlineStr">
        <is>
          <t>12 pr</t>
        </is>
      </c>
      <c r="M634" s="9" t="inlineStr">
        <is>
          <t>18</t>
        </is>
      </c>
      <c r="N634" s="9" t="n">
        <v>1</v>
      </c>
      <c r="O634" s="9" t="n">
        <v>1</v>
      </c>
      <c r="P634" s="9" t="n"/>
      <c r="Q634" s="9" t="n"/>
      <c r="R634" s="9" t="n"/>
      <c r="S634" s="9" t="inlineStr">
        <is>
          <t>Tray</t>
        </is>
      </c>
      <c r="T634" s="10" t="n">
        <v>0</v>
      </c>
      <c r="U634" s="10" t="n">
        <v>87</v>
      </c>
      <c r="V634" s="10">
        <f>ROUNDUP((T634+U634+2*'Read Me'!$B$13)*(1+'Read Me'!$B$12),-1)</f>
        <v/>
      </c>
      <c r="W634" s="10">
        <f>V634*N634*O634</f>
        <v/>
      </c>
      <c r="X634" s="9">
        <f>IF(LEFT(I634,2)="MV",2*N634*IF(L634="1/C",O634,1),0)</f>
        <v/>
      </c>
      <c r="Y634" s="9">
        <f>IF(OR(LEFT(K634,4)="LVAX",LEFT(K634,6)="MV15AX",LEFT(K634,4)="CTAX",LEFT(K634,2)="W|"),2*N634*O634,0)</f>
        <v/>
      </c>
      <c r="Z634" s="9" t="inlineStr"/>
    </row>
    <row r="635">
      <c r="A635" s="9" t="inlineStr">
        <is>
          <t>A-I-0172</t>
        </is>
      </c>
      <c r="B635" s="9" t="inlineStr">
        <is>
          <t>A</t>
        </is>
      </c>
      <c r="C635" s="9" t="inlineStr">
        <is>
          <t>Power block</t>
        </is>
      </c>
      <c r="D635" s="9" t="inlineStr">
        <is>
          <t>Instrumentation</t>
        </is>
      </c>
      <c r="E635" s="9" t="inlineStr">
        <is>
          <t>R2A</t>
        </is>
      </c>
      <c r="F635" s="9" t="inlineStr">
        <is>
          <t>R2A: unit / HRSG electrical e-house (32 x 40 ft)</t>
        </is>
      </c>
      <c r="G635" s="9" t="inlineStr">
        <is>
          <t>HRSG-1</t>
        </is>
      </c>
      <c r="H635" s="9" t="inlineStr">
        <is>
          <t>HRSG 1 + SCR (3P reheat, horizontal)</t>
        </is>
      </c>
      <c r="I635" s="9" t="inlineStr">
        <is>
          <t>Instrumentation</t>
        </is>
      </c>
      <c r="J635" s="9" t="inlineStr">
        <is>
          <t>Instrumentation PLTC / TC-ER 300 V, #18 twisted shielded pairs, overall shield</t>
        </is>
      </c>
      <c r="K635" s="9" t="inlineStr">
        <is>
          <t>PLTC|12 pr|18</t>
        </is>
      </c>
      <c r="L635" s="9" t="inlineStr">
        <is>
          <t>12 pr</t>
        </is>
      </c>
      <c r="M635" s="9" t="inlineStr">
        <is>
          <t>18</t>
        </is>
      </c>
      <c r="N635" s="9" t="n">
        <v>1</v>
      </c>
      <c r="O635" s="9" t="n">
        <v>1</v>
      </c>
      <c r="P635" s="9" t="n"/>
      <c r="Q635" s="9" t="n"/>
      <c r="R635" s="9" t="n"/>
      <c r="S635" s="9" t="inlineStr">
        <is>
          <t>Tray</t>
        </is>
      </c>
      <c r="T635" s="10" t="n">
        <v>0</v>
      </c>
      <c r="U635" s="10" t="n">
        <v>87</v>
      </c>
      <c r="V635" s="10">
        <f>ROUNDUP((T635+U635+2*'Read Me'!$B$13)*(1+'Read Me'!$B$12),-1)</f>
        <v/>
      </c>
      <c r="W635" s="10">
        <f>V635*N635*O635</f>
        <v/>
      </c>
      <c r="X635" s="9">
        <f>IF(LEFT(I635,2)="MV",2*N635*IF(L635="1/C",O635,1),0)</f>
        <v/>
      </c>
      <c r="Y635" s="9">
        <f>IF(OR(LEFT(K635,4)="LVAX",LEFT(K635,6)="MV15AX",LEFT(K635,4)="CTAX",LEFT(K635,2)="W|"),2*N635*O635,0)</f>
        <v/>
      </c>
      <c r="Z635" s="9" t="inlineStr"/>
    </row>
    <row r="636">
      <c r="A636" s="9" t="inlineStr">
        <is>
          <t>A-I-0173</t>
        </is>
      </c>
      <c r="B636" s="9" t="inlineStr">
        <is>
          <t>A</t>
        </is>
      </c>
      <c r="C636" s="9" t="inlineStr">
        <is>
          <t>Power block</t>
        </is>
      </c>
      <c r="D636" s="9" t="inlineStr">
        <is>
          <t>Thermocouples</t>
        </is>
      </c>
      <c r="E636" s="9" t="inlineStr">
        <is>
          <t>R2A</t>
        </is>
      </c>
      <c r="F636" s="9" t="inlineStr">
        <is>
          <t>R2A: unit / HRSG electrical e-house (32 x 40 ft)</t>
        </is>
      </c>
      <c r="G636" s="9" t="inlineStr">
        <is>
          <t>HRSG-1</t>
        </is>
      </c>
      <c r="H636" s="9" t="inlineStr">
        <is>
          <t>HRSG 1 + SCR (3P reheat, horizontal)</t>
        </is>
      </c>
      <c r="I636" s="9" t="inlineStr">
        <is>
          <t>Instrumentation</t>
        </is>
      </c>
      <c r="J636" s="9" t="inlineStr">
        <is>
          <t>Thermocouple extension KX, #16 shielded pairs, PLTC</t>
        </is>
      </c>
      <c r="K636" s="9" t="inlineStr">
        <is>
          <t>TCX|12 pr|16</t>
        </is>
      </c>
      <c r="L636" s="9" t="inlineStr">
        <is>
          <t>12 pr</t>
        </is>
      </c>
      <c r="M636" s="9" t="inlineStr">
        <is>
          <t>16</t>
        </is>
      </c>
      <c r="N636" s="9" t="n">
        <v>1</v>
      </c>
      <c r="O636" s="9" t="n">
        <v>1</v>
      </c>
      <c r="P636" s="9" t="n"/>
      <c r="Q636" s="9" t="n"/>
      <c r="R636" s="9" t="n"/>
      <c r="S636" s="9" t="inlineStr">
        <is>
          <t>Tray</t>
        </is>
      </c>
      <c r="T636" s="10" t="n">
        <v>0</v>
      </c>
      <c r="U636" s="10" t="n">
        <v>87</v>
      </c>
      <c r="V636" s="10">
        <f>ROUNDUP((T636+U636+2*'Read Me'!$B$13)*(1+'Read Me'!$B$12),-1)</f>
        <v/>
      </c>
      <c r="W636" s="10">
        <f>V636*N636*O636</f>
        <v/>
      </c>
      <c r="X636" s="9">
        <f>IF(LEFT(I636,2)="MV",2*N636*IF(L636="1/C",O636,1),0)</f>
        <v/>
      </c>
      <c r="Y636" s="9">
        <f>IF(OR(LEFT(K636,4)="LVAX",LEFT(K636,6)="MV15AX",LEFT(K636,4)="CTAX",LEFT(K636,2)="W|"),2*N636*O636,0)</f>
        <v/>
      </c>
      <c r="Z636" s="9" t="inlineStr"/>
    </row>
    <row r="637">
      <c r="A637" s="9" t="inlineStr">
        <is>
          <t>A-I-0174</t>
        </is>
      </c>
      <c r="B637" s="9" t="inlineStr">
        <is>
          <t>A</t>
        </is>
      </c>
      <c r="C637" s="9" t="inlineStr">
        <is>
          <t>Power block</t>
        </is>
      </c>
      <c r="D637" s="9" t="inlineStr">
        <is>
          <t>Thermocouples</t>
        </is>
      </c>
      <c r="E637" s="9" t="inlineStr">
        <is>
          <t>R2A</t>
        </is>
      </c>
      <c r="F637" s="9" t="inlineStr">
        <is>
          <t>R2A: unit / HRSG electrical e-house (32 x 40 ft)</t>
        </is>
      </c>
      <c r="G637" s="9" t="inlineStr">
        <is>
          <t>HRSG-1</t>
        </is>
      </c>
      <c r="H637" s="9" t="inlineStr">
        <is>
          <t>HRSG 1 + SCR (3P reheat, horizontal)</t>
        </is>
      </c>
      <c r="I637" s="9" t="inlineStr">
        <is>
          <t>Instrumentation</t>
        </is>
      </c>
      <c r="J637" s="9" t="inlineStr">
        <is>
          <t>Thermocouple extension KX, #16 shielded pairs, PLTC</t>
        </is>
      </c>
      <c r="K637" s="9" t="inlineStr">
        <is>
          <t>TCX|12 pr|16</t>
        </is>
      </c>
      <c r="L637" s="9" t="inlineStr">
        <is>
          <t>12 pr</t>
        </is>
      </c>
      <c r="M637" s="9" t="inlineStr">
        <is>
          <t>16</t>
        </is>
      </c>
      <c r="N637" s="9" t="n">
        <v>1</v>
      </c>
      <c r="O637" s="9" t="n">
        <v>1</v>
      </c>
      <c r="P637" s="9" t="n"/>
      <c r="Q637" s="9" t="n"/>
      <c r="R637" s="9" t="n"/>
      <c r="S637" s="9" t="inlineStr">
        <is>
          <t>Tray</t>
        </is>
      </c>
      <c r="T637" s="10" t="n">
        <v>0</v>
      </c>
      <c r="U637" s="10" t="n">
        <v>87</v>
      </c>
      <c r="V637" s="10">
        <f>ROUNDUP((T637+U637+2*'Read Me'!$B$13)*(1+'Read Me'!$B$12),-1)</f>
        <v/>
      </c>
      <c r="W637" s="10">
        <f>V637*N637*O637</f>
        <v/>
      </c>
      <c r="X637" s="9">
        <f>IF(LEFT(I637,2)="MV",2*N637*IF(L637="1/C",O637,1),0)</f>
        <v/>
      </c>
      <c r="Y637" s="9">
        <f>IF(OR(LEFT(K637,4)="LVAX",LEFT(K637,6)="MV15AX",LEFT(K637,4)="CTAX",LEFT(K637,2)="W|"),2*N637*O637,0)</f>
        <v/>
      </c>
      <c r="Z637" s="9" t="inlineStr"/>
    </row>
    <row r="638">
      <c r="A638" s="9" t="inlineStr">
        <is>
          <t>A-I-0175</t>
        </is>
      </c>
      <c r="B638" s="9" t="inlineStr">
        <is>
          <t>A</t>
        </is>
      </c>
      <c r="C638" s="9" t="inlineStr">
        <is>
          <t>Power block</t>
        </is>
      </c>
      <c r="D638" s="9" t="inlineStr">
        <is>
          <t>Thermocouples</t>
        </is>
      </c>
      <c r="E638" s="9" t="inlineStr">
        <is>
          <t>R2A</t>
        </is>
      </c>
      <c r="F638" s="9" t="inlineStr">
        <is>
          <t>R2A: unit / HRSG electrical e-house (32 x 40 ft)</t>
        </is>
      </c>
      <c r="G638" s="9" t="inlineStr">
        <is>
          <t>HRSG-1</t>
        </is>
      </c>
      <c r="H638" s="9" t="inlineStr">
        <is>
          <t>HRSG 1 + SCR (3P reheat, horizontal)</t>
        </is>
      </c>
      <c r="I638" s="9" t="inlineStr">
        <is>
          <t>Instrumentation</t>
        </is>
      </c>
      <c r="J638" s="9" t="inlineStr">
        <is>
          <t>Thermocouple extension KX, #16 shielded pairs, PLTC</t>
        </is>
      </c>
      <c r="K638" s="9" t="inlineStr">
        <is>
          <t>TCX|12 pr|16</t>
        </is>
      </c>
      <c r="L638" s="9" t="inlineStr">
        <is>
          <t>12 pr</t>
        </is>
      </c>
      <c r="M638" s="9" t="inlineStr">
        <is>
          <t>16</t>
        </is>
      </c>
      <c r="N638" s="9" t="n">
        <v>1</v>
      </c>
      <c r="O638" s="9" t="n">
        <v>1</v>
      </c>
      <c r="P638" s="9" t="n"/>
      <c r="Q638" s="9" t="n"/>
      <c r="R638" s="9" t="n"/>
      <c r="S638" s="9" t="inlineStr">
        <is>
          <t>Tray</t>
        </is>
      </c>
      <c r="T638" s="10" t="n">
        <v>0</v>
      </c>
      <c r="U638" s="10" t="n">
        <v>87</v>
      </c>
      <c r="V638" s="10">
        <f>ROUNDUP((T638+U638+2*'Read Me'!$B$13)*(1+'Read Me'!$B$12),-1)</f>
        <v/>
      </c>
      <c r="W638" s="10">
        <f>V638*N638*O638</f>
        <v/>
      </c>
      <c r="X638" s="9">
        <f>IF(LEFT(I638,2)="MV",2*N638*IF(L638="1/C",O638,1),0)</f>
        <v/>
      </c>
      <c r="Y638" s="9">
        <f>IF(OR(LEFT(K638,4)="LVAX",LEFT(K638,6)="MV15AX",LEFT(K638,4)="CTAX",LEFT(K638,2)="W|"),2*N638*O638,0)</f>
        <v/>
      </c>
      <c r="Z638" s="9" t="inlineStr"/>
    </row>
    <row r="639">
      <c r="A639" s="9" t="inlineStr">
        <is>
          <t>A-I-0176</t>
        </is>
      </c>
      <c r="B639" s="9" t="inlineStr">
        <is>
          <t>A</t>
        </is>
      </c>
      <c r="C639" s="9" t="inlineStr">
        <is>
          <t>Power block</t>
        </is>
      </c>
      <c r="D639" s="9" t="inlineStr">
        <is>
          <t>Thermocouples</t>
        </is>
      </c>
      <c r="E639" s="9" t="inlineStr">
        <is>
          <t>R2A</t>
        </is>
      </c>
      <c r="F639" s="9" t="inlineStr">
        <is>
          <t>R2A: unit / HRSG electrical e-house (32 x 40 ft)</t>
        </is>
      </c>
      <c r="G639" s="9" t="inlineStr">
        <is>
          <t>HRSG-1</t>
        </is>
      </c>
      <c r="H639" s="9" t="inlineStr">
        <is>
          <t>HRSG 1 + SCR (3P reheat, horizontal)</t>
        </is>
      </c>
      <c r="I639" s="9" t="inlineStr">
        <is>
          <t>Instrumentation</t>
        </is>
      </c>
      <c r="J639" s="9" t="inlineStr">
        <is>
          <t>Thermocouple extension KX, #16 shielded pairs, PLTC</t>
        </is>
      </c>
      <c r="K639" s="9" t="inlineStr">
        <is>
          <t>TCX|12 pr|16</t>
        </is>
      </c>
      <c r="L639" s="9" t="inlineStr">
        <is>
          <t>12 pr</t>
        </is>
      </c>
      <c r="M639" s="9" t="inlineStr">
        <is>
          <t>16</t>
        </is>
      </c>
      <c r="N639" s="9" t="n">
        <v>1</v>
      </c>
      <c r="O639" s="9" t="n">
        <v>1</v>
      </c>
      <c r="P639" s="9" t="n"/>
      <c r="Q639" s="9" t="n"/>
      <c r="R639" s="9" t="n"/>
      <c r="S639" s="9" t="inlineStr">
        <is>
          <t>Tray</t>
        </is>
      </c>
      <c r="T639" s="10" t="n">
        <v>0</v>
      </c>
      <c r="U639" s="10" t="n">
        <v>87</v>
      </c>
      <c r="V639" s="10">
        <f>ROUNDUP((T639+U639+2*'Read Me'!$B$13)*(1+'Read Me'!$B$12),-1)</f>
        <v/>
      </c>
      <c r="W639" s="10">
        <f>V639*N639*O639</f>
        <v/>
      </c>
      <c r="X639" s="9">
        <f>IF(LEFT(I639,2)="MV",2*N639*IF(L639="1/C",O639,1),0)</f>
        <v/>
      </c>
      <c r="Y639" s="9">
        <f>IF(OR(LEFT(K639,4)="LVAX",LEFT(K639,6)="MV15AX",LEFT(K639,4)="CTAX",LEFT(K639,2)="W|"),2*N639*O639,0)</f>
        <v/>
      </c>
      <c r="Z639" s="9" t="inlineStr"/>
    </row>
    <row r="640">
      <c r="A640" s="9" t="inlineStr">
        <is>
          <t>A-I-0177</t>
        </is>
      </c>
      <c r="B640" s="9" t="inlineStr">
        <is>
          <t>A</t>
        </is>
      </c>
      <c r="C640" s="9" t="inlineStr">
        <is>
          <t>Power block</t>
        </is>
      </c>
      <c r="D640" s="9" t="inlineStr">
        <is>
          <t>Thermocouples</t>
        </is>
      </c>
      <c r="E640" s="9" t="inlineStr">
        <is>
          <t>R2A</t>
        </is>
      </c>
      <c r="F640" s="9" t="inlineStr">
        <is>
          <t>R2A: unit / HRSG electrical e-house (32 x 40 ft)</t>
        </is>
      </c>
      <c r="G640" s="9" t="inlineStr">
        <is>
          <t>HRSG-1</t>
        </is>
      </c>
      <c r="H640" s="9" t="inlineStr">
        <is>
          <t>HRSG 1 + SCR (3P reheat, horizontal)</t>
        </is>
      </c>
      <c r="I640" s="9" t="inlineStr">
        <is>
          <t>Instrumentation</t>
        </is>
      </c>
      <c r="J640" s="9" t="inlineStr">
        <is>
          <t>Thermocouple extension KX, #16 shielded pairs, PLTC</t>
        </is>
      </c>
      <c r="K640" s="9" t="inlineStr">
        <is>
          <t>TCX|12 pr|16</t>
        </is>
      </c>
      <c r="L640" s="9" t="inlineStr">
        <is>
          <t>12 pr</t>
        </is>
      </c>
      <c r="M640" s="9" t="inlineStr">
        <is>
          <t>16</t>
        </is>
      </c>
      <c r="N640" s="9" t="n">
        <v>1</v>
      </c>
      <c r="O640" s="9" t="n">
        <v>1</v>
      </c>
      <c r="P640" s="9" t="n"/>
      <c r="Q640" s="9" t="n"/>
      <c r="R640" s="9" t="n"/>
      <c r="S640" s="9" t="inlineStr">
        <is>
          <t>Tray</t>
        </is>
      </c>
      <c r="T640" s="10" t="n">
        <v>0</v>
      </c>
      <c r="U640" s="10" t="n">
        <v>87</v>
      </c>
      <c r="V640" s="10">
        <f>ROUNDUP((T640+U640+2*'Read Me'!$B$13)*(1+'Read Me'!$B$12),-1)</f>
        <v/>
      </c>
      <c r="W640" s="10">
        <f>V640*N640*O640</f>
        <v/>
      </c>
      <c r="X640" s="9">
        <f>IF(LEFT(I640,2)="MV",2*N640*IF(L640="1/C",O640,1),0)</f>
        <v/>
      </c>
      <c r="Y640" s="9">
        <f>IF(OR(LEFT(K640,4)="LVAX",LEFT(K640,6)="MV15AX",LEFT(K640,4)="CTAX",LEFT(K640,2)="W|"),2*N640*O640,0)</f>
        <v/>
      </c>
      <c r="Z640" s="9" t="inlineStr"/>
    </row>
    <row r="641">
      <c r="A641" s="9" t="inlineStr">
        <is>
          <t>A-I-0178</t>
        </is>
      </c>
      <c r="B641" s="9" t="inlineStr">
        <is>
          <t>A</t>
        </is>
      </c>
      <c r="C641" s="9" t="inlineStr">
        <is>
          <t>Power block</t>
        </is>
      </c>
      <c r="D641" s="9" t="inlineStr">
        <is>
          <t>Thermocouples</t>
        </is>
      </c>
      <c r="E641" s="9" t="inlineStr">
        <is>
          <t>R2A</t>
        </is>
      </c>
      <c r="F641" s="9" t="inlineStr">
        <is>
          <t>R2A: unit / HRSG electrical e-house (32 x 40 ft)</t>
        </is>
      </c>
      <c r="G641" s="9" t="inlineStr">
        <is>
          <t>HRSG-1</t>
        </is>
      </c>
      <c r="H641" s="9" t="inlineStr">
        <is>
          <t>HRSG 1 + SCR (3P reheat, horizontal)</t>
        </is>
      </c>
      <c r="I641" s="9" t="inlineStr">
        <is>
          <t>Instrumentation</t>
        </is>
      </c>
      <c r="J641" s="9" t="inlineStr">
        <is>
          <t>Thermocouple extension KX, #16 shielded pairs, PLTC</t>
        </is>
      </c>
      <c r="K641" s="9" t="inlineStr">
        <is>
          <t>TCX|12 pr|16</t>
        </is>
      </c>
      <c r="L641" s="9" t="inlineStr">
        <is>
          <t>12 pr</t>
        </is>
      </c>
      <c r="M641" s="9" t="inlineStr">
        <is>
          <t>16</t>
        </is>
      </c>
      <c r="N641" s="9" t="n">
        <v>1</v>
      </c>
      <c r="O641" s="9" t="n">
        <v>1</v>
      </c>
      <c r="P641" s="9" t="n"/>
      <c r="Q641" s="9" t="n"/>
      <c r="R641" s="9" t="n"/>
      <c r="S641" s="9" t="inlineStr">
        <is>
          <t>Tray</t>
        </is>
      </c>
      <c r="T641" s="10" t="n">
        <v>0</v>
      </c>
      <c r="U641" s="10" t="n">
        <v>87</v>
      </c>
      <c r="V641" s="10">
        <f>ROUNDUP((T641+U641+2*'Read Me'!$B$13)*(1+'Read Me'!$B$12),-1)</f>
        <v/>
      </c>
      <c r="W641" s="10">
        <f>V641*N641*O641</f>
        <v/>
      </c>
      <c r="X641" s="9">
        <f>IF(LEFT(I641,2)="MV",2*N641*IF(L641="1/C",O641,1),0)</f>
        <v/>
      </c>
      <c r="Y641" s="9">
        <f>IF(OR(LEFT(K641,4)="LVAX",LEFT(K641,6)="MV15AX",LEFT(K641,4)="CTAX",LEFT(K641,2)="W|"),2*N641*O641,0)</f>
        <v/>
      </c>
      <c r="Z641" s="9" t="inlineStr"/>
    </row>
    <row r="642">
      <c r="A642" s="9" t="inlineStr">
        <is>
          <t>A-I-0179</t>
        </is>
      </c>
      <c r="B642" s="9" t="inlineStr">
        <is>
          <t>A</t>
        </is>
      </c>
      <c r="C642" s="9" t="inlineStr">
        <is>
          <t>Power block</t>
        </is>
      </c>
      <c r="D642" s="9" t="inlineStr">
        <is>
          <t>Instrumentation</t>
        </is>
      </c>
      <c r="E642" s="9" t="inlineStr">
        <is>
          <t>R2A</t>
        </is>
      </c>
      <c r="F642" s="9" t="inlineStr">
        <is>
          <t>R2A: unit / HRSG electrical e-house (32 x 40 ft)</t>
        </is>
      </c>
      <c r="G642" s="9" t="inlineStr"/>
      <c r="H642" s="9" t="inlineStr">
        <is>
          <t>HRSG 1 blowdown tank (continuous / intermittent)</t>
        </is>
      </c>
      <c r="I642" s="9" t="inlineStr">
        <is>
          <t>Instrumentation</t>
        </is>
      </c>
      <c r="J642" s="9" t="inlineStr">
        <is>
          <t>Instrumentation PLTC / TC-ER 300 V, #18 twisted shielded pairs, overall shield</t>
        </is>
      </c>
      <c r="K642" s="9" t="inlineStr">
        <is>
          <t>PLTC|4 pr|18</t>
        </is>
      </c>
      <c r="L642" s="9" t="inlineStr">
        <is>
          <t>4 pr</t>
        </is>
      </c>
      <c r="M642" s="9" t="inlineStr">
        <is>
          <t>18</t>
        </is>
      </c>
      <c r="N642" s="9" t="n">
        <v>1</v>
      </c>
      <c r="O642" s="9" t="n">
        <v>1</v>
      </c>
      <c r="P642" s="9" t="n"/>
      <c r="Q642" s="9" t="n"/>
      <c r="R642" s="9" t="n"/>
      <c r="S642" s="9" t="inlineStr">
        <is>
          <t>Tray</t>
        </is>
      </c>
      <c r="T642" s="10" t="n">
        <v>0</v>
      </c>
      <c r="U642" s="10" t="n">
        <v>124</v>
      </c>
      <c r="V642" s="10">
        <f>ROUNDUP((T642+U642+2*'Read Me'!$B$13)*(1+'Read Me'!$B$12),-1)</f>
        <v/>
      </c>
      <c r="W642" s="10">
        <f>V642*N642*O642</f>
        <v/>
      </c>
      <c r="X642" s="9">
        <f>IF(LEFT(I642,2)="MV",2*N642*IF(L642="1/C",O642,1),0)</f>
        <v/>
      </c>
      <c r="Y642" s="9">
        <f>IF(OR(LEFT(K642,4)="LVAX",LEFT(K642,6)="MV15AX",LEFT(K642,4)="CTAX",LEFT(K642,2)="W|"),2*N642*O642,0)</f>
        <v/>
      </c>
      <c r="Z642" s="9" t="inlineStr"/>
    </row>
    <row r="643">
      <c r="A643" s="9" t="inlineStr">
        <is>
          <t>A-I-0180</t>
        </is>
      </c>
      <c r="B643" s="9" t="inlineStr">
        <is>
          <t>A</t>
        </is>
      </c>
      <c r="C643" s="9" t="inlineStr">
        <is>
          <t>Power block</t>
        </is>
      </c>
      <c r="D643" s="9" t="inlineStr">
        <is>
          <t>Instrumentation</t>
        </is>
      </c>
      <c r="E643" s="9" t="inlineStr">
        <is>
          <t>R2A</t>
        </is>
      </c>
      <c r="F643" s="9" t="inlineStr">
        <is>
          <t>R2A: unit / HRSG electrical e-house (32 x 40 ft)</t>
        </is>
      </c>
      <c r="G643" s="9" t="inlineStr"/>
      <c r="H643" s="9" t="inlineStr">
        <is>
          <t>HRSG 1 blowdown tank (continuous / intermittent)</t>
        </is>
      </c>
      <c r="I643" s="9" t="inlineStr">
        <is>
          <t>Instrumentation</t>
        </is>
      </c>
      <c r="J643" s="9" t="inlineStr">
        <is>
          <t>Instrumentation PLTC / TC-ER 300 V, #18 twisted shielded pairs, overall shield</t>
        </is>
      </c>
      <c r="K643" s="9" t="inlineStr">
        <is>
          <t>PLTC|12 pr|18</t>
        </is>
      </c>
      <c r="L643" s="9" t="inlineStr">
        <is>
          <t>12 pr</t>
        </is>
      </c>
      <c r="M643" s="9" t="inlineStr">
        <is>
          <t>18</t>
        </is>
      </c>
      <c r="N643" s="9" t="n">
        <v>1</v>
      </c>
      <c r="O643" s="9" t="n">
        <v>1</v>
      </c>
      <c r="P643" s="9" t="n"/>
      <c r="Q643" s="9" t="n"/>
      <c r="R643" s="9" t="n"/>
      <c r="S643" s="9" t="inlineStr">
        <is>
          <t>Tray</t>
        </is>
      </c>
      <c r="T643" s="10" t="n">
        <v>0</v>
      </c>
      <c r="U643" s="10" t="n">
        <v>124</v>
      </c>
      <c r="V643" s="10">
        <f>ROUNDUP((T643+U643+2*'Read Me'!$B$13)*(1+'Read Me'!$B$12),-1)</f>
        <v/>
      </c>
      <c r="W643" s="10">
        <f>V643*N643*O643</f>
        <v/>
      </c>
      <c r="X643" s="9">
        <f>IF(LEFT(I643,2)="MV",2*N643*IF(L643="1/C",O643,1),0)</f>
        <v/>
      </c>
      <c r="Y643" s="9">
        <f>IF(OR(LEFT(K643,4)="LVAX",LEFT(K643,6)="MV15AX",LEFT(K643,4)="CTAX",LEFT(K643,2)="W|"),2*N643*O643,0)</f>
        <v/>
      </c>
      <c r="Z643" s="9" t="inlineStr"/>
    </row>
    <row r="644">
      <c r="A644" s="9" t="inlineStr">
        <is>
          <t>A-I-0181</t>
        </is>
      </c>
      <c r="B644" s="9" t="inlineStr">
        <is>
          <t>A</t>
        </is>
      </c>
      <c r="C644" s="9" t="inlineStr">
        <is>
          <t>Power block</t>
        </is>
      </c>
      <c r="D644" s="9" t="inlineStr">
        <is>
          <t>Instrumentation</t>
        </is>
      </c>
      <c r="E644" s="9" t="inlineStr">
        <is>
          <t>R2B</t>
        </is>
      </c>
      <c r="F644" s="9" t="inlineStr">
        <is>
          <t>R2B: unit / HRSG electrical e-house (32 x 40 ft)</t>
        </is>
      </c>
      <c r="G644" s="9" t="inlineStr"/>
      <c r="H644" s="9" t="inlineStr">
        <is>
          <t>HRSG 1 chemical feed skid (phosphate / amine)</t>
        </is>
      </c>
      <c r="I644" s="9" t="inlineStr">
        <is>
          <t>Instrumentation</t>
        </is>
      </c>
      <c r="J644" s="9" t="inlineStr">
        <is>
          <t>Instrumentation PLTC / TC-ER 300 V, #18 twisted shielded pairs, overall shield</t>
        </is>
      </c>
      <c r="K644" s="9" t="inlineStr">
        <is>
          <t>PLTC|4 pr|18</t>
        </is>
      </c>
      <c r="L644" s="9" t="inlineStr">
        <is>
          <t>4 pr</t>
        </is>
      </c>
      <c r="M644" s="9" t="inlineStr">
        <is>
          <t>18</t>
        </is>
      </c>
      <c r="N644" s="9" t="n">
        <v>1</v>
      </c>
      <c r="O644" s="9" t="n">
        <v>1</v>
      </c>
      <c r="P644" s="9" t="n"/>
      <c r="Q644" s="9" t="n"/>
      <c r="R644" s="9" t="n"/>
      <c r="S644" s="9" t="inlineStr">
        <is>
          <t>Tray</t>
        </is>
      </c>
      <c r="T644" s="10" t="n">
        <v>30</v>
      </c>
      <c r="U644" s="10" t="n">
        <v>109</v>
      </c>
      <c r="V644" s="10">
        <f>ROUNDUP((T644+U644+2*'Read Me'!$B$13)*(1+'Read Me'!$B$12),-1)</f>
        <v/>
      </c>
      <c r="W644" s="10">
        <f>V644*N644*O644</f>
        <v/>
      </c>
      <c r="X644" s="9">
        <f>IF(LEFT(I644,2)="MV",2*N644*IF(L644="1/C",O644,1),0)</f>
        <v/>
      </c>
      <c r="Y644" s="9">
        <f>IF(OR(LEFT(K644,4)="LVAX",LEFT(K644,6)="MV15AX",LEFT(K644,4)="CTAX",LEFT(K644,2)="W|"),2*N644*O644,0)</f>
        <v/>
      </c>
      <c r="Z644" s="9" t="inlineStr"/>
    </row>
    <row r="645">
      <c r="A645" s="9" t="inlineStr">
        <is>
          <t>A-I-0182</t>
        </is>
      </c>
      <c r="B645" s="9" t="inlineStr">
        <is>
          <t>A</t>
        </is>
      </c>
      <c r="C645" s="9" t="inlineStr">
        <is>
          <t>Power block</t>
        </is>
      </c>
      <c r="D645" s="9" t="inlineStr">
        <is>
          <t>Instrumentation</t>
        </is>
      </c>
      <c r="E645" s="9" t="inlineStr">
        <is>
          <t>R2B</t>
        </is>
      </c>
      <c r="F645" s="9" t="inlineStr">
        <is>
          <t>R2B: unit / HRSG electrical e-house (32 x 40 ft)</t>
        </is>
      </c>
      <c r="G645" s="9" t="inlineStr"/>
      <c r="H645" s="9" t="inlineStr">
        <is>
          <t>HRSG 1 chemical feed skid (phosphate / amine)</t>
        </is>
      </c>
      <c r="I645" s="9" t="inlineStr">
        <is>
          <t>Instrumentation</t>
        </is>
      </c>
      <c r="J645" s="9" t="inlineStr">
        <is>
          <t>Instrumentation PLTC / TC-ER 300 V, #18 twisted shielded pairs, overall shield</t>
        </is>
      </c>
      <c r="K645" s="9" t="inlineStr">
        <is>
          <t>PLTC|12 pr|18</t>
        </is>
      </c>
      <c r="L645" s="9" t="inlineStr">
        <is>
          <t>12 pr</t>
        </is>
      </c>
      <c r="M645" s="9" t="inlineStr">
        <is>
          <t>18</t>
        </is>
      </c>
      <c r="N645" s="9" t="n">
        <v>1</v>
      </c>
      <c r="O645" s="9" t="n">
        <v>1</v>
      </c>
      <c r="P645" s="9" t="n"/>
      <c r="Q645" s="9" t="n"/>
      <c r="R645" s="9" t="n"/>
      <c r="S645" s="9" t="inlineStr">
        <is>
          <t>Tray</t>
        </is>
      </c>
      <c r="T645" s="10" t="n">
        <v>30</v>
      </c>
      <c r="U645" s="10" t="n">
        <v>109</v>
      </c>
      <c r="V645" s="10">
        <f>ROUNDUP((T645+U645+2*'Read Me'!$B$13)*(1+'Read Me'!$B$12),-1)</f>
        <v/>
      </c>
      <c r="W645" s="10">
        <f>V645*N645*O645</f>
        <v/>
      </c>
      <c r="X645" s="9">
        <f>IF(LEFT(I645,2)="MV",2*N645*IF(L645="1/C",O645,1),0)</f>
        <v/>
      </c>
      <c r="Y645" s="9">
        <f>IF(OR(LEFT(K645,4)="LVAX",LEFT(K645,6)="MV15AX",LEFT(K645,4)="CTAX",LEFT(K645,2)="W|"),2*N645*O645,0)</f>
        <v/>
      </c>
      <c r="Z645" s="9" t="inlineStr"/>
    </row>
    <row r="646">
      <c r="A646" s="9" t="inlineStr">
        <is>
          <t>A-I-0183</t>
        </is>
      </c>
      <c r="B646" s="9" t="inlineStr">
        <is>
          <t>A</t>
        </is>
      </c>
      <c r="C646" s="9" t="inlineStr">
        <is>
          <t>Power block</t>
        </is>
      </c>
      <c r="D646" s="9" t="inlineStr">
        <is>
          <t>Instrumentation</t>
        </is>
      </c>
      <c r="E646" s="9" t="inlineStr">
        <is>
          <t>R2B</t>
        </is>
      </c>
      <c r="F646" s="9" t="inlineStr">
        <is>
          <t>R2B: unit / HRSG electrical e-house (32 x 40 ft)</t>
        </is>
      </c>
      <c r="G646" s="9" t="inlineStr">
        <is>
          <t>HRSG-2</t>
        </is>
      </c>
      <c r="H646" s="9" t="inlineStr">
        <is>
          <t>HRSG 2 + SCR (3P reheat, horizontal)</t>
        </is>
      </c>
      <c r="I646" s="9" t="inlineStr">
        <is>
          <t>Instrumentation</t>
        </is>
      </c>
      <c r="J646" s="9" t="inlineStr">
        <is>
          <t>Instrumentation PLTC / TC-ER 300 V, #18 twisted shielded pairs, overall shield</t>
        </is>
      </c>
      <c r="K646" s="9" t="inlineStr">
        <is>
          <t>PLTC|4 pr|18</t>
        </is>
      </c>
      <c r="L646" s="9" t="inlineStr">
        <is>
          <t>4 pr</t>
        </is>
      </c>
      <c r="M646" s="9" t="inlineStr">
        <is>
          <t>18</t>
        </is>
      </c>
      <c r="N646" s="9" t="n">
        <v>1</v>
      </c>
      <c r="O646" s="9" t="n">
        <v>1</v>
      </c>
      <c r="P646" s="9" t="n"/>
      <c r="Q646" s="9" t="n"/>
      <c r="R646" s="9" t="n"/>
      <c r="S646" s="9" t="inlineStr">
        <is>
          <t>Tray</t>
        </is>
      </c>
      <c r="T646" s="10" t="n">
        <v>63</v>
      </c>
      <c r="U646" s="10" t="n">
        <v>84</v>
      </c>
      <c r="V646" s="10">
        <f>ROUNDUP((T646+U646+2*'Read Me'!$B$13)*(1+'Read Me'!$B$12),-1)</f>
        <v/>
      </c>
      <c r="W646" s="10">
        <f>V646*N646*O646</f>
        <v/>
      </c>
      <c r="X646" s="9">
        <f>IF(LEFT(I646,2)="MV",2*N646*IF(L646="1/C",O646,1),0)</f>
        <v/>
      </c>
      <c r="Y646" s="9">
        <f>IF(OR(LEFT(K646,4)="LVAX",LEFT(K646,6)="MV15AX",LEFT(K646,4)="CTAX",LEFT(K646,2)="W|"),2*N646*O646,0)</f>
        <v/>
      </c>
      <c r="Z646" s="9" t="inlineStr"/>
    </row>
    <row r="647">
      <c r="A647" s="9" t="inlineStr">
        <is>
          <t>A-I-0184</t>
        </is>
      </c>
      <c r="B647" s="9" t="inlineStr">
        <is>
          <t>A</t>
        </is>
      </c>
      <c r="C647" s="9" t="inlineStr">
        <is>
          <t>Power block</t>
        </is>
      </c>
      <c r="D647" s="9" t="inlineStr">
        <is>
          <t>Instrumentation</t>
        </is>
      </c>
      <c r="E647" s="9" t="inlineStr">
        <is>
          <t>R2B</t>
        </is>
      </c>
      <c r="F647" s="9" t="inlineStr">
        <is>
          <t>R2B: unit / HRSG electrical e-house (32 x 40 ft)</t>
        </is>
      </c>
      <c r="G647" s="9" t="inlineStr">
        <is>
          <t>HRSG-2</t>
        </is>
      </c>
      <c r="H647" s="9" t="inlineStr">
        <is>
          <t>HRSG 2 + SCR (3P reheat, horizontal)</t>
        </is>
      </c>
      <c r="I647" s="9" t="inlineStr">
        <is>
          <t>Instrumentation</t>
        </is>
      </c>
      <c r="J647" s="9" t="inlineStr">
        <is>
          <t>Instrumentation PLTC / TC-ER 300 V, #18 twisted shielded pairs, overall shield</t>
        </is>
      </c>
      <c r="K647" s="9" t="inlineStr">
        <is>
          <t>PLTC|4 pr|18</t>
        </is>
      </c>
      <c r="L647" s="9" t="inlineStr">
        <is>
          <t>4 pr</t>
        </is>
      </c>
      <c r="M647" s="9" t="inlineStr">
        <is>
          <t>18</t>
        </is>
      </c>
      <c r="N647" s="9" t="n">
        <v>1</v>
      </c>
      <c r="O647" s="9" t="n">
        <v>1</v>
      </c>
      <c r="P647" s="9" t="n"/>
      <c r="Q647" s="9" t="n"/>
      <c r="R647" s="9" t="n"/>
      <c r="S647" s="9" t="inlineStr">
        <is>
          <t>Tray</t>
        </is>
      </c>
      <c r="T647" s="10" t="n">
        <v>63</v>
      </c>
      <c r="U647" s="10" t="n">
        <v>84</v>
      </c>
      <c r="V647" s="10">
        <f>ROUNDUP((T647+U647+2*'Read Me'!$B$13)*(1+'Read Me'!$B$12),-1)</f>
        <v/>
      </c>
      <c r="W647" s="10">
        <f>V647*N647*O647</f>
        <v/>
      </c>
      <c r="X647" s="9">
        <f>IF(LEFT(I647,2)="MV",2*N647*IF(L647="1/C",O647,1),0)</f>
        <v/>
      </c>
      <c r="Y647" s="9">
        <f>IF(OR(LEFT(K647,4)="LVAX",LEFT(K647,6)="MV15AX",LEFT(K647,4)="CTAX",LEFT(K647,2)="W|"),2*N647*O647,0)</f>
        <v/>
      </c>
      <c r="Z647" s="9" t="inlineStr"/>
    </row>
    <row r="648">
      <c r="A648" s="9" t="inlineStr">
        <is>
          <t>A-I-0185</t>
        </is>
      </c>
      <c r="B648" s="9" t="inlineStr">
        <is>
          <t>A</t>
        </is>
      </c>
      <c r="C648" s="9" t="inlineStr">
        <is>
          <t>Power block</t>
        </is>
      </c>
      <c r="D648" s="9" t="inlineStr">
        <is>
          <t>Instrumentation</t>
        </is>
      </c>
      <c r="E648" s="9" t="inlineStr">
        <is>
          <t>R2B</t>
        </is>
      </c>
      <c r="F648" s="9" t="inlineStr">
        <is>
          <t>R2B: unit / HRSG electrical e-house (32 x 40 ft)</t>
        </is>
      </c>
      <c r="G648" s="9" t="inlineStr">
        <is>
          <t>HRSG-2</t>
        </is>
      </c>
      <c r="H648" s="9" t="inlineStr">
        <is>
          <t>HRSG 2 + SCR (3P reheat, horizontal)</t>
        </is>
      </c>
      <c r="I648" s="9" t="inlineStr">
        <is>
          <t>Instrumentation</t>
        </is>
      </c>
      <c r="J648" s="9" t="inlineStr">
        <is>
          <t>Instrumentation PLTC / TC-ER 300 V, #18 twisted shielded pairs, overall shield</t>
        </is>
      </c>
      <c r="K648" s="9" t="inlineStr">
        <is>
          <t>PLTC|12 pr|18</t>
        </is>
      </c>
      <c r="L648" s="9" t="inlineStr">
        <is>
          <t>12 pr</t>
        </is>
      </c>
      <c r="M648" s="9" t="inlineStr">
        <is>
          <t>18</t>
        </is>
      </c>
      <c r="N648" s="9" t="n">
        <v>1</v>
      </c>
      <c r="O648" s="9" t="n">
        <v>1</v>
      </c>
      <c r="P648" s="9" t="n"/>
      <c r="Q648" s="9" t="n"/>
      <c r="R648" s="9" t="n"/>
      <c r="S648" s="9" t="inlineStr">
        <is>
          <t>Tray</t>
        </is>
      </c>
      <c r="T648" s="10" t="n">
        <v>63</v>
      </c>
      <c r="U648" s="10" t="n">
        <v>84</v>
      </c>
      <c r="V648" s="10">
        <f>ROUNDUP((T648+U648+2*'Read Me'!$B$13)*(1+'Read Me'!$B$12),-1)</f>
        <v/>
      </c>
      <c r="W648" s="10">
        <f>V648*N648*O648</f>
        <v/>
      </c>
      <c r="X648" s="9">
        <f>IF(LEFT(I648,2)="MV",2*N648*IF(L648="1/C",O648,1),0)</f>
        <v/>
      </c>
      <c r="Y648" s="9">
        <f>IF(OR(LEFT(K648,4)="LVAX",LEFT(K648,6)="MV15AX",LEFT(K648,4)="CTAX",LEFT(K648,2)="W|"),2*N648*O648,0)</f>
        <v/>
      </c>
      <c r="Z648" s="9" t="inlineStr"/>
    </row>
    <row r="649">
      <c r="A649" s="9" t="inlineStr">
        <is>
          <t>A-I-0186</t>
        </is>
      </c>
      <c r="B649" s="9" t="inlineStr">
        <is>
          <t>A</t>
        </is>
      </c>
      <c r="C649" s="9" t="inlineStr">
        <is>
          <t>Power block</t>
        </is>
      </c>
      <c r="D649" s="9" t="inlineStr">
        <is>
          <t>Instrumentation</t>
        </is>
      </c>
      <c r="E649" s="9" t="inlineStr">
        <is>
          <t>R2B</t>
        </is>
      </c>
      <c r="F649" s="9" t="inlineStr">
        <is>
          <t>R2B: unit / HRSG electrical e-house (32 x 40 ft)</t>
        </is>
      </c>
      <c r="G649" s="9" t="inlineStr">
        <is>
          <t>HRSG-2</t>
        </is>
      </c>
      <c r="H649" s="9" t="inlineStr">
        <is>
          <t>HRSG 2 + SCR (3P reheat, horizontal)</t>
        </is>
      </c>
      <c r="I649" s="9" t="inlineStr">
        <is>
          <t>Instrumentation</t>
        </is>
      </c>
      <c r="J649" s="9" t="inlineStr">
        <is>
          <t>Instrumentation PLTC / TC-ER 300 V, #18 twisted shielded pairs, overall shield</t>
        </is>
      </c>
      <c r="K649" s="9" t="inlineStr">
        <is>
          <t>PLTC|12 pr|18</t>
        </is>
      </c>
      <c r="L649" s="9" t="inlineStr">
        <is>
          <t>12 pr</t>
        </is>
      </c>
      <c r="M649" s="9" t="inlineStr">
        <is>
          <t>18</t>
        </is>
      </c>
      <c r="N649" s="9" t="n">
        <v>1</v>
      </c>
      <c r="O649" s="9" t="n">
        <v>1</v>
      </c>
      <c r="P649" s="9" t="n"/>
      <c r="Q649" s="9" t="n"/>
      <c r="R649" s="9" t="n"/>
      <c r="S649" s="9" t="inlineStr">
        <is>
          <t>Tray</t>
        </is>
      </c>
      <c r="T649" s="10" t="n">
        <v>63</v>
      </c>
      <c r="U649" s="10" t="n">
        <v>84</v>
      </c>
      <c r="V649" s="10">
        <f>ROUNDUP((T649+U649+2*'Read Me'!$B$13)*(1+'Read Me'!$B$12),-1)</f>
        <v/>
      </c>
      <c r="W649" s="10">
        <f>V649*N649*O649</f>
        <v/>
      </c>
      <c r="X649" s="9">
        <f>IF(LEFT(I649,2)="MV",2*N649*IF(L649="1/C",O649,1),0)</f>
        <v/>
      </c>
      <c r="Y649" s="9">
        <f>IF(OR(LEFT(K649,4)="LVAX",LEFT(K649,6)="MV15AX",LEFT(K649,4)="CTAX",LEFT(K649,2)="W|"),2*N649*O649,0)</f>
        <v/>
      </c>
      <c r="Z649" s="9" t="inlineStr"/>
    </row>
    <row r="650">
      <c r="A650" s="9" t="inlineStr">
        <is>
          <t>A-I-0187</t>
        </is>
      </c>
      <c r="B650" s="9" t="inlineStr">
        <is>
          <t>A</t>
        </is>
      </c>
      <c r="C650" s="9" t="inlineStr">
        <is>
          <t>Power block</t>
        </is>
      </c>
      <c r="D650" s="9" t="inlineStr">
        <is>
          <t>Instrumentation</t>
        </is>
      </c>
      <c r="E650" s="9" t="inlineStr">
        <is>
          <t>R2B</t>
        </is>
      </c>
      <c r="F650" s="9" t="inlineStr">
        <is>
          <t>R2B: unit / HRSG electrical e-house (32 x 40 ft)</t>
        </is>
      </c>
      <c r="G650" s="9" t="inlineStr">
        <is>
          <t>HRSG-2</t>
        </is>
      </c>
      <c r="H650" s="9" t="inlineStr">
        <is>
          <t>HRSG 2 + SCR (3P reheat, horizontal)</t>
        </is>
      </c>
      <c r="I650" s="9" t="inlineStr">
        <is>
          <t>Instrumentation</t>
        </is>
      </c>
      <c r="J650" s="9" t="inlineStr">
        <is>
          <t>Instrumentation PLTC / TC-ER 300 V, #18 twisted shielded pairs, overall shield</t>
        </is>
      </c>
      <c r="K650" s="9" t="inlineStr">
        <is>
          <t>PLTC|12 pr|18</t>
        </is>
      </c>
      <c r="L650" s="9" t="inlineStr">
        <is>
          <t>12 pr</t>
        </is>
      </c>
      <c r="M650" s="9" t="inlineStr">
        <is>
          <t>18</t>
        </is>
      </c>
      <c r="N650" s="9" t="n">
        <v>1</v>
      </c>
      <c r="O650" s="9" t="n">
        <v>1</v>
      </c>
      <c r="P650" s="9" t="n"/>
      <c r="Q650" s="9" t="n"/>
      <c r="R650" s="9" t="n"/>
      <c r="S650" s="9" t="inlineStr">
        <is>
          <t>Tray</t>
        </is>
      </c>
      <c r="T650" s="10" t="n">
        <v>63</v>
      </c>
      <c r="U650" s="10" t="n">
        <v>84</v>
      </c>
      <c r="V650" s="10">
        <f>ROUNDUP((T650+U650+2*'Read Me'!$B$13)*(1+'Read Me'!$B$12),-1)</f>
        <v/>
      </c>
      <c r="W650" s="10">
        <f>V650*N650*O650</f>
        <v/>
      </c>
      <c r="X650" s="9">
        <f>IF(LEFT(I650,2)="MV",2*N650*IF(L650="1/C",O650,1),0)</f>
        <v/>
      </c>
      <c r="Y650" s="9">
        <f>IF(OR(LEFT(K650,4)="LVAX",LEFT(K650,6)="MV15AX",LEFT(K650,4)="CTAX",LEFT(K650,2)="W|"),2*N650*O650,0)</f>
        <v/>
      </c>
      <c r="Z650" s="9" t="inlineStr"/>
    </row>
    <row r="651">
      <c r="A651" s="9" t="inlineStr">
        <is>
          <t>A-I-0188</t>
        </is>
      </c>
      <c r="B651" s="9" t="inlineStr">
        <is>
          <t>A</t>
        </is>
      </c>
      <c r="C651" s="9" t="inlineStr">
        <is>
          <t>Power block</t>
        </is>
      </c>
      <c r="D651" s="9" t="inlineStr">
        <is>
          <t>Instrumentation</t>
        </is>
      </c>
      <c r="E651" s="9" t="inlineStr">
        <is>
          <t>R2B</t>
        </is>
      </c>
      <c r="F651" s="9" t="inlineStr">
        <is>
          <t>R2B: unit / HRSG electrical e-house (32 x 40 ft)</t>
        </is>
      </c>
      <c r="G651" s="9" t="inlineStr">
        <is>
          <t>HRSG-2</t>
        </is>
      </c>
      <c r="H651" s="9" t="inlineStr">
        <is>
          <t>HRSG 2 + SCR (3P reheat, horizontal)</t>
        </is>
      </c>
      <c r="I651" s="9" t="inlineStr">
        <is>
          <t>Instrumentation</t>
        </is>
      </c>
      <c r="J651" s="9" t="inlineStr">
        <is>
          <t>Instrumentation PLTC / TC-ER 300 V, #18 twisted shielded pairs, overall shield</t>
        </is>
      </c>
      <c r="K651" s="9" t="inlineStr">
        <is>
          <t>PLTC|12 pr|18</t>
        </is>
      </c>
      <c r="L651" s="9" t="inlineStr">
        <is>
          <t>12 pr</t>
        </is>
      </c>
      <c r="M651" s="9" t="inlineStr">
        <is>
          <t>18</t>
        </is>
      </c>
      <c r="N651" s="9" t="n">
        <v>1</v>
      </c>
      <c r="O651" s="9" t="n">
        <v>1</v>
      </c>
      <c r="P651" s="9" t="n"/>
      <c r="Q651" s="9" t="n"/>
      <c r="R651" s="9" t="n"/>
      <c r="S651" s="9" t="inlineStr">
        <is>
          <t>Tray</t>
        </is>
      </c>
      <c r="T651" s="10" t="n">
        <v>63</v>
      </c>
      <c r="U651" s="10" t="n">
        <v>84</v>
      </c>
      <c r="V651" s="10">
        <f>ROUNDUP((T651+U651+2*'Read Me'!$B$13)*(1+'Read Me'!$B$12),-1)</f>
        <v/>
      </c>
      <c r="W651" s="10">
        <f>V651*N651*O651</f>
        <v/>
      </c>
      <c r="X651" s="9">
        <f>IF(LEFT(I651,2)="MV",2*N651*IF(L651="1/C",O651,1),0)</f>
        <v/>
      </c>
      <c r="Y651" s="9">
        <f>IF(OR(LEFT(K651,4)="LVAX",LEFT(K651,6)="MV15AX",LEFT(K651,4)="CTAX",LEFT(K651,2)="W|"),2*N651*O651,0)</f>
        <v/>
      </c>
      <c r="Z651" s="9" t="inlineStr"/>
    </row>
    <row r="652">
      <c r="A652" s="9" t="inlineStr">
        <is>
          <t>A-I-0189</t>
        </is>
      </c>
      <c r="B652" s="9" t="inlineStr">
        <is>
          <t>A</t>
        </is>
      </c>
      <c r="C652" s="9" t="inlineStr">
        <is>
          <t>Power block</t>
        </is>
      </c>
      <c r="D652" s="9" t="inlineStr">
        <is>
          <t>Instrumentation</t>
        </is>
      </c>
      <c r="E652" s="9" t="inlineStr">
        <is>
          <t>R2B</t>
        </is>
      </c>
      <c r="F652" s="9" t="inlineStr">
        <is>
          <t>R2B: unit / HRSG electrical e-house (32 x 40 ft)</t>
        </is>
      </c>
      <c r="G652" s="9" t="inlineStr">
        <is>
          <t>HRSG-2</t>
        </is>
      </c>
      <c r="H652" s="9" t="inlineStr">
        <is>
          <t>HRSG 2 + SCR (3P reheat, horizontal)</t>
        </is>
      </c>
      <c r="I652" s="9" t="inlineStr">
        <is>
          <t>Instrumentation</t>
        </is>
      </c>
      <c r="J652" s="9" t="inlineStr">
        <is>
          <t>Instrumentation PLTC / TC-ER 300 V, #18 twisted shielded pairs, overall shield</t>
        </is>
      </c>
      <c r="K652" s="9" t="inlineStr">
        <is>
          <t>PLTC|12 pr|18</t>
        </is>
      </c>
      <c r="L652" s="9" t="inlineStr">
        <is>
          <t>12 pr</t>
        </is>
      </c>
      <c r="M652" s="9" t="inlineStr">
        <is>
          <t>18</t>
        </is>
      </c>
      <c r="N652" s="9" t="n">
        <v>1</v>
      </c>
      <c r="O652" s="9" t="n">
        <v>1</v>
      </c>
      <c r="P652" s="9" t="n"/>
      <c r="Q652" s="9" t="n"/>
      <c r="R652" s="9" t="n"/>
      <c r="S652" s="9" t="inlineStr">
        <is>
          <t>Tray</t>
        </is>
      </c>
      <c r="T652" s="10" t="n">
        <v>63</v>
      </c>
      <c r="U652" s="10" t="n">
        <v>84</v>
      </c>
      <c r="V652" s="10">
        <f>ROUNDUP((T652+U652+2*'Read Me'!$B$13)*(1+'Read Me'!$B$12),-1)</f>
        <v/>
      </c>
      <c r="W652" s="10">
        <f>V652*N652*O652</f>
        <v/>
      </c>
      <c r="X652" s="9">
        <f>IF(LEFT(I652,2)="MV",2*N652*IF(L652="1/C",O652,1),0)</f>
        <v/>
      </c>
      <c r="Y652" s="9">
        <f>IF(OR(LEFT(K652,4)="LVAX",LEFT(K652,6)="MV15AX",LEFT(K652,4)="CTAX",LEFT(K652,2)="W|"),2*N652*O652,0)</f>
        <v/>
      </c>
      <c r="Z652" s="9" t="inlineStr"/>
    </row>
    <row r="653">
      <c r="A653" s="9" t="inlineStr">
        <is>
          <t>A-I-0190</t>
        </is>
      </c>
      <c r="B653" s="9" t="inlineStr">
        <is>
          <t>A</t>
        </is>
      </c>
      <c r="C653" s="9" t="inlineStr">
        <is>
          <t>Power block</t>
        </is>
      </c>
      <c r="D653" s="9" t="inlineStr">
        <is>
          <t>Instrumentation</t>
        </is>
      </c>
      <c r="E653" s="9" t="inlineStr">
        <is>
          <t>R2B</t>
        </is>
      </c>
      <c r="F653" s="9" t="inlineStr">
        <is>
          <t>R2B: unit / HRSG electrical e-house (32 x 40 ft)</t>
        </is>
      </c>
      <c r="G653" s="9" t="inlineStr">
        <is>
          <t>HRSG-2</t>
        </is>
      </c>
      <c r="H653" s="9" t="inlineStr">
        <is>
          <t>HRSG 2 + SCR (3P reheat, horizontal)</t>
        </is>
      </c>
      <c r="I653" s="9" t="inlineStr">
        <is>
          <t>Instrumentation</t>
        </is>
      </c>
      <c r="J653" s="9" t="inlineStr">
        <is>
          <t>Instrumentation PLTC / TC-ER 300 V, #18 twisted shielded pairs, overall shield</t>
        </is>
      </c>
      <c r="K653" s="9" t="inlineStr">
        <is>
          <t>PLTC|12 pr|18</t>
        </is>
      </c>
      <c r="L653" s="9" t="inlineStr">
        <is>
          <t>12 pr</t>
        </is>
      </c>
      <c r="M653" s="9" t="inlineStr">
        <is>
          <t>18</t>
        </is>
      </c>
      <c r="N653" s="9" t="n">
        <v>1</v>
      </c>
      <c r="O653" s="9" t="n">
        <v>1</v>
      </c>
      <c r="P653" s="9" t="n"/>
      <c r="Q653" s="9" t="n"/>
      <c r="R653" s="9" t="n"/>
      <c r="S653" s="9" t="inlineStr">
        <is>
          <t>Tray</t>
        </is>
      </c>
      <c r="T653" s="10" t="n">
        <v>63</v>
      </c>
      <c r="U653" s="10" t="n">
        <v>84</v>
      </c>
      <c r="V653" s="10">
        <f>ROUNDUP((T653+U653+2*'Read Me'!$B$13)*(1+'Read Me'!$B$12),-1)</f>
        <v/>
      </c>
      <c r="W653" s="10">
        <f>V653*N653*O653</f>
        <v/>
      </c>
      <c r="X653" s="9">
        <f>IF(LEFT(I653,2)="MV",2*N653*IF(L653="1/C",O653,1),0)</f>
        <v/>
      </c>
      <c r="Y653" s="9">
        <f>IF(OR(LEFT(K653,4)="LVAX",LEFT(K653,6)="MV15AX",LEFT(K653,4)="CTAX",LEFT(K653,2)="W|"),2*N653*O653,0)</f>
        <v/>
      </c>
      <c r="Z653" s="9" t="inlineStr"/>
    </row>
    <row r="654">
      <c r="A654" s="9" t="inlineStr">
        <is>
          <t>A-I-0191</t>
        </is>
      </c>
      <c r="B654" s="9" t="inlineStr">
        <is>
          <t>A</t>
        </is>
      </c>
      <c r="C654" s="9" t="inlineStr">
        <is>
          <t>Power block</t>
        </is>
      </c>
      <c r="D654" s="9" t="inlineStr">
        <is>
          <t>Instrumentation</t>
        </is>
      </c>
      <c r="E654" s="9" t="inlineStr">
        <is>
          <t>R2B</t>
        </is>
      </c>
      <c r="F654" s="9" t="inlineStr">
        <is>
          <t>R2B: unit / HRSG electrical e-house (32 x 40 ft)</t>
        </is>
      </c>
      <c r="G654" s="9" t="inlineStr">
        <is>
          <t>HRSG-2</t>
        </is>
      </c>
      <c r="H654" s="9" t="inlineStr">
        <is>
          <t>HRSG 2 + SCR (3P reheat, horizontal)</t>
        </is>
      </c>
      <c r="I654" s="9" t="inlineStr">
        <is>
          <t>Instrumentation</t>
        </is>
      </c>
      <c r="J654" s="9" t="inlineStr">
        <is>
          <t>Instrumentation PLTC / TC-ER 300 V, #18 twisted shielded pairs, overall shield</t>
        </is>
      </c>
      <c r="K654" s="9" t="inlineStr">
        <is>
          <t>PLTC|12 pr|18</t>
        </is>
      </c>
      <c r="L654" s="9" t="inlineStr">
        <is>
          <t>12 pr</t>
        </is>
      </c>
      <c r="M654" s="9" t="inlineStr">
        <is>
          <t>18</t>
        </is>
      </c>
      <c r="N654" s="9" t="n">
        <v>1</v>
      </c>
      <c r="O654" s="9" t="n">
        <v>1</v>
      </c>
      <c r="P654" s="9" t="n"/>
      <c r="Q654" s="9" t="n"/>
      <c r="R654" s="9" t="n"/>
      <c r="S654" s="9" t="inlineStr">
        <is>
          <t>Tray</t>
        </is>
      </c>
      <c r="T654" s="10" t="n">
        <v>63</v>
      </c>
      <c r="U654" s="10" t="n">
        <v>84</v>
      </c>
      <c r="V654" s="10">
        <f>ROUNDUP((T654+U654+2*'Read Me'!$B$13)*(1+'Read Me'!$B$12),-1)</f>
        <v/>
      </c>
      <c r="W654" s="10">
        <f>V654*N654*O654</f>
        <v/>
      </c>
      <c r="X654" s="9">
        <f>IF(LEFT(I654,2)="MV",2*N654*IF(L654="1/C",O654,1),0)</f>
        <v/>
      </c>
      <c r="Y654" s="9">
        <f>IF(OR(LEFT(K654,4)="LVAX",LEFT(K654,6)="MV15AX",LEFT(K654,4)="CTAX",LEFT(K654,2)="W|"),2*N654*O654,0)</f>
        <v/>
      </c>
      <c r="Z654" s="9" t="inlineStr"/>
    </row>
    <row r="655">
      <c r="A655" s="9" t="inlineStr">
        <is>
          <t>A-I-0192</t>
        </is>
      </c>
      <c r="B655" s="9" t="inlineStr">
        <is>
          <t>A</t>
        </is>
      </c>
      <c r="C655" s="9" t="inlineStr">
        <is>
          <t>Power block</t>
        </is>
      </c>
      <c r="D655" s="9" t="inlineStr">
        <is>
          <t>Instrumentation</t>
        </is>
      </c>
      <c r="E655" s="9" t="inlineStr">
        <is>
          <t>R2B</t>
        </is>
      </c>
      <c r="F655" s="9" t="inlineStr">
        <is>
          <t>R2B: unit / HRSG electrical e-house (32 x 40 ft)</t>
        </is>
      </c>
      <c r="G655" s="9" t="inlineStr">
        <is>
          <t>HRSG-2</t>
        </is>
      </c>
      <c r="H655" s="9" t="inlineStr">
        <is>
          <t>HRSG 2 + SCR (3P reheat, horizontal)</t>
        </is>
      </c>
      <c r="I655" s="9" t="inlineStr">
        <is>
          <t>Instrumentation</t>
        </is>
      </c>
      <c r="J655" s="9" t="inlineStr">
        <is>
          <t>Instrumentation PLTC / TC-ER 300 V, #18 twisted shielded pairs, overall shield</t>
        </is>
      </c>
      <c r="K655" s="9" t="inlineStr">
        <is>
          <t>PLTC|12 pr|18</t>
        </is>
      </c>
      <c r="L655" s="9" t="inlineStr">
        <is>
          <t>12 pr</t>
        </is>
      </c>
      <c r="M655" s="9" t="inlineStr">
        <is>
          <t>18</t>
        </is>
      </c>
      <c r="N655" s="9" t="n">
        <v>1</v>
      </c>
      <c r="O655" s="9" t="n">
        <v>1</v>
      </c>
      <c r="P655" s="9" t="n"/>
      <c r="Q655" s="9" t="n"/>
      <c r="R655" s="9" t="n"/>
      <c r="S655" s="9" t="inlineStr">
        <is>
          <t>Tray</t>
        </is>
      </c>
      <c r="T655" s="10" t="n">
        <v>63</v>
      </c>
      <c r="U655" s="10" t="n">
        <v>84</v>
      </c>
      <c r="V655" s="10">
        <f>ROUNDUP((T655+U655+2*'Read Me'!$B$13)*(1+'Read Me'!$B$12),-1)</f>
        <v/>
      </c>
      <c r="W655" s="10">
        <f>V655*N655*O655</f>
        <v/>
      </c>
      <c r="X655" s="9">
        <f>IF(LEFT(I655,2)="MV",2*N655*IF(L655="1/C",O655,1),0)</f>
        <v/>
      </c>
      <c r="Y655" s="9">
        <f>IF(OR(LEFT(K655,4)="LVAX",LEFT(K655,6)="MV15AX",LEFT(K655,4)="CTAX",LEFT(K655,2)="W|"),2*N655*O655,0)</f>
        <v/>
      </c>
      <c r="Z655" s="9" t="inlineStr"/>
    </row>
    <row r="656">
      <c r="A656" s="9" t="inlineStr">
        <is>
          <t>A-I-0193</t>
        </is>
      </c>
      <c r="B656" s="9" t="inlineStr">
        <is>
          <t>A</t>
        </is>
      </c>
      <c r="C656" s="9" t="inlineStr">
        <is>
          <t>Power block</t>
        </is>
      </c>
      <c r="D656" s="9" t="inlineStr">
        <is>
          <t>Thermocouples</t>
        </is>
      </c>
      <c r="E656" s="9" t="inlineStr">
        <is>
          <t>R2B</t>
        </is>
      </c>
      <c r="F656" s="9" t="inlineStr">
        <is>
          <t>R2B: unit / HRSG electrical e-house (32 x 40 ft)</t>
        </is>
      </c>
      <c r="G656" s="9" t="inlineStr">
        <is>
          <t>HRSG-2</t>
        </is>
      </c>
      <c r="H656" s="9" t="inlineStr">
        <is>
          <t>HRSG 2 + SCR (3P reheat, horizontal)</t>
        </is>
      </c>
      <c r="I656" s="9" t="inlineStr">
        <is>
          <t>Instrumentation</t>
        </is>
      </c>
      <c r="J656" s="9" t="inlineStr">
        <is>
          <t>Thermocouple extension KX, #16 shielded pairs, PLTC</t>
        </is>
      </c>
      <c r="K656" s="9" t="inlineStr">
        <is>
          <t>TCX|12 pr|16</t>
        </is>
      </c>
      <c r="L656" s="9" t="inlineStr">
        <is>
          <t>12 pr</t>
        </is>
      </c>
      <c r="M656" s="9" t="inlineStr">
        <is>
          <t>16</t>
        </is>
      </c>
      <c r="N656" s="9" t="n">
        <v>1</v>
      </c>
      <c r="O656" s="9" t="n">
        <v>1</v>
      </c>
      <c r="P656" s="9" t="n"/>
      <c r="Q656" s="9" t="n"/>
      <c r="R656" s="9" t="n"/>
      <c r="S656" s="9" t="inlineStr">
        <is>
          <t>Tray</t>
        </is>
      </c>
      <c r="T656" s="10" t="n">
        <v>63</v>
      </c>
      <c r="U656" s="10" t="n">
        <v>84</v>
      </c>
      <c r="V656" s="10">
        <f>ROUNDUP((T656+U656+2*'Read Me'!$B$13)*(1+'Read Me'!$B$12),-1)</f>
        <v/>
      </c>
      <c r="W656" s="10">
        <f>V656*N656*O656</f>
        <v/>
      </c>
      <c r="X656" s="9">
        <f>IF(LEFT(I656,2)="MV",2*N656*IF(L656="1/C",O656,1),0)</f>
        <v/>
      </c>
      <c r="Y656" s="9">
        <f>IF(OR(LEFT(K656,4)="LVAX",LEFT(K656,6)="MV15AX",LEFT(K656,4)="CTAX",LEFT(K656,2)="W|"),2*N656*O656,0)</f>
        <v/>
      </c>
      <c r="Z656" s="9" t="inlineStr"/>
    </row>
    <row r="657">
      <c r="A657" s="9" t="inlineStr">
        <is>
          <t>A-I-0194</t>
        </is>
      </c>
      <c r="B657" s="9" t="inlineStr">
        <is>
          <t>A</t>
        </is>
      </c>
      <c r="C657" s="9" t="inlineStr">
        <is>
          <t>Power block</t>
        </is>
      </c>
      <c r="D657" s="9" t="inlineStr">
        <is>
          <t>Thermocouples</t>
        </is>
      </c>
      <c r="E657" s="9" t="inlineStr">
        <is>
          <t>R2B</t>
        </is>
      </c>
      <c r="F657" s="9" t="inlineStr">
        <is>
          <t>R2B: unit / HRSG electrical e-house (32 x 40 ft)</t>
        </is>
      </c>
      <c r="G657" s="9" t="inlineStr">
        <is>
          <t>HRSG-2</t>
        </is>
      </c>
      <c r="H657" s="9" t="inlineStr">
        <is>
          <t>HRSG 2 + SCR (3P reheat, horizontal)</t>
        </is>
      </c>
      <c r="I657" s="9" t="inlineStr">
        <is>
          <t>Instrumentation</t>
        </is>
      </c>
      <c r="J657" s="9" t="inlineStr">
        <is>
          <t>Thermocouple extension KX, #16 shielded pairs, PLTC</t>
        </is>
      </c>
      <c r="K657" s="9" t="inlineStr">
        <is>
          <t>TCX|12 pr|16</t>
        </is>
      </c>
      <c r="L657" s="9" t="inlineStr">
        <is>
          <t>12 pr</t>
        </is>
      </c>
      <c r="M657" s="9" t="inlineStr">
        <is>
          <t>16</t>
        </is>
      </c>
      <c r="N657" s="9" t="n">
        <v>1</v>
      </c>
      <c r="O657" s="9" t="n">
        <v>1</v>
      </c>
      <c r="P657" s="9" t="n"/>
      <c r="Q657" s="9" t="n"/>
      <c r="R657" s="9" t="n"/>
      <c r="S657" s="9" t="inlineStr">
        <is>
          <t>Tray</t>
        </is>
      </c>
      <c r="T657" s="10" t="n">
        <v>63</v>
      </c>
      <c r="U657" s="10" t="n">
        <v>84</v>
      </c>
      <c r="V657" s="10">
        <f>ROUNDUP((T657+U657+2*'Read Me'!$B$13)*(1+'Read Me'!$B$12),-1)</f>
        <v/>
      </c>
      <c r="W657" s="10">
        <f>V657*N657*O657</f>
        <v/>
      </c>
      <c r="X657" s="9">
        <f>IF(LEFT(I657,2)="MV",2*N657*IF(L657="1/C",O657,1),0)</f>
        <v/>
      </c>
      <c r="Y657" s="9">
        <f>IF(OR(LEFT(K657,4)="LVAX",LEFT(K657,6)="MV15AX",LEFT(K657,4)="CTAX",LEFT(K657,2)="W|"),2*N657*O657,0)</f>
        <v/>
      </c>
      <c r="Z657" s="9" t="inlineStr"/>
    </row>
    <row r="658">
      <c r="A658" s="9" t="inlineStr">
        <is>
          <t>A-I-0195</t>
        </is>
      </c>
      <c r="B658" s="9" t="inlineStr">
        <is>
          <t>A</t>
        </is>
      </c>
      <c r="C658" s="9" t="inlineStr">
        <is>
          <t>Power block</t>
        </is>
      </c>
      <c r="D658" s="9" t="inlineStr">
        <is>
          <t>Thermocouples</t>
        </is>
      </c>
      <c r="E658" s="9" t="inlineStr">
        <is>
          <t>R2B</t>
        </is>
      </c>
      <c r="F658" s="9" t="inlineStr">
        <is>
          <t>R2B: unit / HRSG electrical e-house (32 x 40 ft)</t>
        </is>
      </c>
      <c r="G658" s="9" t="inlineStr">
        <is>
          <t>HRSG-2</t>
        </is>
      </c>
      <c r="H658" s="9" t="inlineStr">
        <is>
          <t>HRSG 2 + SCR (3P reheat, horizontal)</t>
        </is>
      </c>
      <c r="I658" s="9" t="inlineStr">
        <is>
          <t>Instrumentation</t>
        </is>
      </c>
      <c r="J658" s="9" t="inlineStr">
        <is>
          <t>Thermocouple extension KX, #16 shielded pairs, PLTC</t>
        </is>
      </c>
      <c r="K658" s="9" t="inlineStr">
        <is>
          <t>TCX|12 pr|16</t>
        </is>
      </c>
      <c r="L658" s="9" t="inlineStr">
        <is>
          <t>12 pr</t>
        </is>
      </c>
      <c r="M658" s="9" t="inlineStr">
        <is>
          <t>16</t>
        </is>
      </c>
      <c r="N658" s="9" t="n">
        <v>1</v>
      </c>
      <c r="O658" s="9" t="n">
        <v>1</v>
      </c>
      <c r="P658" s="9" t="n"/>
      <c r="Q658" s="9" t="n"/>
      <c r="R658" s="9" t="n"/>
      <c r="S658" s="9" t="inlineStr">
        <is>
          <t>Tray</t>
        </is>
      </c>
      <c r="T658" s="10" t="n">
        <v>63</v>
      </c>
      <c r="U658" s="10" t="n">
        <v>84</v>
      </c>
      <c r="V658" s="10">
        <f>ROUNDUP((T658+U658+2*'Read Me'!$B$13)*(1+'Read Me'!$B$12),-1)</f>
        <v/>
      </c>
      <c r="W658" s="10">
        <f>V658*N658*O658</f>
        <v/>
      </c>
      <c r="X658" s="9">
        <f>IF(LEFT(I658,2)="MV",2*N658*IF(L658="1/C",O658,1),0)</f>
        <v/>
      </c>
      <c r="Y658" s="9">
        <f>IF(OR(LEFT(K658,4)="LVAX",LEFT(K658,6)="MV15AX",LEFT(K658,4)="CTAX",LEFT(K658,2)="W|"),2*N658*O658,0)</f>
        <v/>
      </c>
      <c r="Z658" s="9" t="inlineStr"/>
    </row>
    <row r="659">
      <c r="A659" s="9" t="inlineStr">
        <is>
          <t>A-I-0196</t>
        </is>
      </c>
      <c r="B659" s="9" t="inlineStr">
        <is>
          <t>A</t>
        </is>
      </c>
      <c r="C659" s="9" t="inlineStr">
        <is>
          <t>Power block</t>
        </is>
      </c>
      <c r="D659" s="9" t="inlineStr">
        <is>
          <t>Thermocouples</t>
        </is>
      </c>
      <c r="E659" s="9" t="inlineStr">
        <is>
          <t>R2B</t>
        </is>
      </c>
      <c r="F659" s="9" t="inlineStr">
        <is>
          <t>R2B: unit / HRSG electrical e-house (32 x 40 ft)</t>
        </is>
      </c>
      <c r="G659" s="9" t="inlineStr">
        <is>
          <t>HRSG-2</t>
        </is>
      </c>
      <c r="H659" s="9" t="inlineStr">
        <is>
          <t>HRSG 2 + SCR (3P reheat, horizontal)</t>
        </is>
      </c>
      <c r="I659" s="9" t="inlineStr">
        <is>
          <t>Instrumentation</t>
        </is>
      </c>
      <c r="J659" s="9" t="inlineStr">
        <is>
          <t>Thermocouple extension KX, #16 shielded pairs, PLTC</t>
        </is>
      </c>
      <c r="K659" s="9" t="inlineStr">
        <is>
          <t>TCX|12 pr|16</t>
        </is>
      </c>
      <c r="L659" s="9" t="inlineStr">
        <is>
          <t>12 pr</t>
        </is>
      </c>
      <c r="M659" s="9" t="inlineStr">
        <is>
          <t>16</t>
        </is>
      </c>
      <c r="N659" s="9" t="n">
        <v>1</v>
      </c>
      <c r="O659" s="9" t="n">
        <v>1</v>
      </c>
      <c r="P659" s="9" t="n"/>
      <c r="Q659" s="9" t="n"/>
      <c r="R659" s="9" t="n"/>
      <c r="S659" s="9" t="inlineStr">
        <is>
          <t>Tray</t>
        </is>
      </c>
      <c r="T659" s="10" t="n">
        <v>63</v>
      </c>
      <c r="U659" s="10" t="n">
        <v>84</v>
      </c>
      <c r="V659" s="10">
        <f>ROUNDUP((T659+U659+2*'Read Me'!$B$13)*(1+'Read Me'!$B$12),-1)</f>
        <v/>
      </c>
      <c r="W659" s="10">
        <f>V659*N659*O659</f>
        <v/>
      </c>
      <c r="X659" s="9">
        <f>IF(LEFT(I659,2)="MV",2*N659*IF(L659="1/C",O659,1),0)</f>
        <v/>
      </c>
      <c r="Y659" s="9">
        <f>IF(OR(LEFT(K659,4)="LVAX",LEFT(K659,6)="MV15AX",LEFT(K659,4)="CTAX",LEFT(K659,2)="W|"),2*N659*O659,0)</f>
        <v/>
      </c>
      <c r="Z659" s="9" t="inlineStr"/>
    </row>
    <row r="660">
      <c r="A660" s="9" t="inlineStr">
        <is>
          <t>A-I-0197</t>
        </is>
      </c>
      <c r="B660" s="9" t="inlineStr">
        <is>
          <t>A</t>
        </is>
      </c>
      <c r="C660" s="9" t="inlineStr">
        <is>
          <t>Power block</t>
        </is>
      </c>
      <c r="D660" s="9" t="inlineStr">
        <is>
          <t>Thermocouples</t>
        </is>
      </c>
      <c r="E660" s="9" t="inlineStr">
        <is>
          <t>R2B</t>
        </is>
      </c>
      <c r="F660" s="9" t="inlineStr">
        <is>
          <t>R2B: unit / HRSG electrical e-house (32 x 40 ft)</t>
        </is>
      </c>
      <c r="G660" s="9" t="inlineStr">
        <is>
          <t>HRSG-2</t>
        </is>
      </c>
      <c r="H660" s="9" t="inlineStr">
        <is>
          <t>HRSG 2 + SCR (3P reheat, horizontal)</t>
        </is>
      </c>
      <c r="I660" s="9" t="inlineStr">
        <is>
          <t>Instrumentation</t>
        </is>
      </c>
      <c r="J660" s="9" t="inlineStr">
        <is>
          <t>Thermocouple extension KX, #16 shielded pairs, PLTC</t>
        </is>
      </c>
      <c r="K660" s="9" t="inlineStr">
        <is>
          <t>TCX|12 pr|16</t>
        </is>
      </c>
      <c r="L660" s="9" t="inlineStr">
        <is>
          <t>12 pr</t>
        </is>
      </c>
      <c r="M660" s="9" t="inlineStr">
        <is>
          <t>16</t>
        </is>
      </c>
      <c r="N660" s="9" t="n">
        <v>1</v>
      </c>
      <c r="O660" s="9" t="n">
        <v>1</v>
      </c>
      <c r="P660" s="9" t="n"/>
      <c r="Q660" s="9" t="n"/>
      <c r="R660" s="9" t="n"/>
      <c r="S660" s="9" t="inlineStr">
        <is>
          <t>Tray</t>
        </is>
      </c>
      <c r="T660" s="10" t="n">
        <v>63</v>
      </c>
      <c r="U660" s="10" t="n">
        <v>84</v>
      </c>
      <c r="V660" s="10">
        <f>ROUNDUP((T660+U660+2*'Read Me'!$B$13)*(1+'Read Me'!$B$12),-1)</f>
        <v/>
      </c>
      <c r="W660" s="10">
        <f>V660*N660*O660</f>
        <v/>
      </c>
      <c r="X660" s="9">
        <f>IF(LEFT(I660,2)="MV",2*N660*IF(L660="1/C",O660,1),0)</f>
        <v/>
      </c>
      <c r="Y660" s="9">
        <f>IF(OR(LEFT(K660,4)="LVAX",LEFT(K660,6)="MV15AX",LEFT(K660,4)="CTAX",LEFT(K660,2)="W|"),2*N660*O660,0)</f>
        <v/>
      </c>
      <c r="Z660" s="9" t="inlineStr"/>
    </row>
    <row r="661">
      <c r="A661" s="9" t="inlineStr">
        <is>
          <t>A-I-0198</t>
        </is>
      </c>
      <c r="B661" s="9" t="inlineStr">
        <is>
          <t>A</t>
        </is>
      </c>
      <c r="C661" s="9" t="inlineStr">
        <is>
          <t>Power block</t>
        </is>
      </c>
      <c r="D661" s="9" t="inlineStr">
        <is>
          <t>Thermocouples</t>
        </is>
      </c>
      <c r="E661" s="9" t="inlineStr">
        <is>
          <t>R2B</t>
        </is>
      </c>
      <c r="F661" s="9" t="inlineStr">
        <is>
          <t>R2B: unit / HRSG electrical e-house (32 x 40 ft)</t>
        </is>
      </c>
      <c r="G661" s="9" t="inlineStr">
        <is>
          <t>HRSG-2</t>
        </is>
      </c>
      <c r="H661" s="9" t="inlineStr">
        <is>
          <t>HRSG 2 + SCR (3P reheat, horizontal)</t>
        </is>
      </c>
      <c r="I661" s="9" t="inlineStr">
        <is>
          <t>Instrumentation</t>
        </is>
      </c>
      <c r="J661" s="9" t="inlineStr">
        <is>
          <t>Thermocouple extension KX, #16 shielded pairs, PLTC</t>
        </is>
      </c>
      <c r="K661" s="9" t="inlineStr">
        <is>
          <t>TCX|12 pr|16</t>
        </is>
      </c>
      <c r="L661" s="9" t="inlineStr">
        <is>
          <t>12 pr</t>
        </is>
      </c>
      <c r="M661" s="9" t="inlineStr">
        <is>
          <t>16</t>
        </is>
      </c>
      <c r="N661" s="9" t="n">
        <v>1</v>
      </c>
      <c r="O661" s="9" t="n">
        <v>1</v>
      </c>
      <c r="P661" s="9" t="n"/>
      <c r="Q661" s="9" t="n"/>
      <c r="R661" s="9" t="n"/>
      <c r="S661" s="9" t="inlineStr">
        <is>
          <t>Tray</t>
        </is>
      </c>
      <c r="T661" s="10" t="n">
        <v>63</v>
      </c>
      <c r="U661" s="10" t="n">
        <v>84</v>
      </c>
      <c r="V661" s="10">
        <f>ROUNDUP((T661+U661+2*'Read Me'!$B$13)*(1+'Read Me'!$B$12),-1)</f>
        <v/>
      </c>
      <c r="W661" s="10">
        <f>V661*N661*O661</f>
        <v/>
      </c>
      <c r="X661" s="9">
        <f>IF(LEFT(I661,2)="MV",2*N661*IF(L661="1/C",O661,1),0)</f>
        <v/>
      </c>
      <c r="Y661" s="9">
        <f>IF(OR(LEFT(K661,4)="LVAX",LEFT(K661,6)="MV15AX",LEFT(K661,4)="CTAX",LEFT(K661,2)="W|"),2*N661*O661,0)</f>
        <v/>
      </c>
      <c r="Z661" s="9" t="inlineStr"/>
    </row>
    <row r="662">
      <c r="A662" s="9" t="inlineStr">
        <is>
          <t>A-I-0199</t>
        </is>
      </c>
      <c r="B662" s="9" t="inlineStr">
        <is>
          <t>A</t>
        </is>
      </c>
      <c r="C662" s="9" t="inlineStr">
        <is>
          <t>Power block</t>
        </is>
      </c>
      <c r="D662" s="9" t="inlineStr">
        <is>
          <t>Instrumentation</t>
        </is>
      </c>
      <c r="E662" s="9" t="inlineStr">
        <is>
          <t>R2B</t>
        </is>
      </c>
      <c r="F662" s="9" t="inlineStr">
        <is>
          <t>R2B: unit / HRSG electrical e-house (32 x 40 ft)</t>
        </is>
      </c>
      <c r="G662" s="9" t="inlineStr"/>
      <c r="H662" s="9" t="inlineStr">
        <is>
          <t>HRSG 2 blowdown tank (continuous / intermittent)</t>
        </is>
      </c>
      <c r="I662" s="9" t="inlineStr">
        <is>
          <t>Instrumentation</t>
        </is>
      </c>
      <c r="J662" s="9" t="inlineStr">
        <is>
          <t>Instrumentation PLTC / TC-ER 300 V, #18 twisted shielded pairs, overall shield</t>
        </is>
      </c>
      <c r="K662" s="9" t="inlineStr">
        <is>
          <t>PLTC|4 pr|18</t>
        </is>
      </c>
      <c r="L662" s="9" t="inlineStr">
        <is>
          <t>4 pr</t>
        </is>
      </c>
      <c r="M662" s="9" t="inlineStr">
        <is>
          <t>18</t>
        </is>
      </c>
      <c r="N662" s="9" t="n">
        <v>1</v>
      </c>
      <c r="O662" s="9" t="n">
        <v>1</v>
      </c>
      <c r="P662" s="9" t="n"/>
      <c r="Q662" s="9" t="n"/>
      <c r="R662" s="9" t="n"/>
      <c r="S662" s="9" t="inlineStr">
        <is>
          <t>Tray</t>
        </is>
      </c>
      <c r="T662" s="10" t="n">
        <v>0</v>
      </c>
      <c r="U662" s="10" t="n">
        <v>124</v>
      </c>
      <c r="V662" s="10">
        <f>ROUNDUP((T662+U662+2*'Read Me'!$B$13)*(1+'Read Me'!$B$12),-1)</f>
        <v/>
      </c>
      <c r="W662" s="10">
        <f>V662*N662*O662</f>
        <v/>
      </c>
      <c r="X662" s="9">
        <f>IF(LEFT(I662,2)="MV",2*N662*IF(L662="1/C",O662,1),0)</f>
        <v/>
      </c>
      <c r="Y662" s="9">
        <f>IF(OR(LEFT(K662,4)="LVAX",LEFT(K662,6)="MV15AX",LEFT(K662,4)="CTAX",LEFT(K662,2)="W|"),2*N662*O662,0)</f>
        <v/>
      </c>
      <c r="Z662" s="9" t="inlineStr"/>
    </row>
    <row r="663">
      <c r="A663" s="9" t="inlineStr">
        <is>
          <t>A-I-0200</t>
        </is>
      </c>
      <c r="B663" s="9" t="inlineStr">
        <is>
          <t>A</t>
        </is>
      </c>
      <c r="C663" s="9" t="inlineStr">
        <is>
          <t>Power block</t>
        </is>
      </c>
      <c r="D663" s="9" t="inlineStr">
        <is>
          <t>Instrumentation</t>
        </is>
      </c>
      <c r="E663" s="9" t="inlineStr">
        <is>
          <t>R2B</t>
        </is>
      </c>
      <c r="F663" s="9" t="inlineStr">
        <is>
          <t>R2B: unit / HRSG electrical e-house (32 x 40 ft)</t>
        </is>
      </c>
      <c r="G663" s="9" t="inlineStr"/>
      <c r="H663" s="9" t="inlineStr">
        <is>
          <t>HRSG 2 blowdown tank (continuous / intermittent)</t>
        </is>
      </c>
      <c r="I663" s="9" t="inlineStr">
        <is>
          <t>Instrumentation</t>
        </is>
      </c>
      <c r="J663" s="9" t="inlineStr">
        <is>
          <t>Instrumentation PLTC / TC-ER 300 V, #18 twisted shielded pairs, overall shield</t>
        </is>
      </c>
      <c r="K663" s="9" t="inlineStr">
        <is>
          <t>PLTC|12 pr|18</t>
        </is>
      </c>
      <c r="L663" s="9" t="inlineStr">
        <is>
          <t>12 pr</t>
        </is>
      </c>
      <c r="M663" s="9" t="inlineStr">
        <is>
          <t>18</t>
        </is>
      </c>
      <c r="N663" s="9" t="n">
        <v>1</v>
      </c>
      <c r="O663" s="9" t="n">
        <v>1</v>
      </c>
      <c r="P663" s="9" t="n"/>
      <c r="Q663" s="9" t="n"/>
      <c r="R663" s="9" t="n"/>
      <c r="S663" s="9" t="inlineStr">
        <is>
          <t>Tray</t>
        </is>
      </c>
      <c r="T663" s="10" t="n">
        <v>0</v>
      </c>
      <c r="U663" s="10" t="n">
        <v>124</v>
      </c>
      <c r="V663" s="10">
        <f>ROUNDUP((T663+U663+2*'Read Me'!$B$13)*(1+'Read Me'!$B$12),-1)</f>
        <v/>
      </c>
      <c r="W663" s="10">
        <f>V663*N663*O663</f>
        <v/>
      </c>
      <c r="X663" s="9">
        <f>IF(LEFT(I663,2)="MV",2*N663*IF(L663="1/C",O663,1),0)</f>
        <v/>
      </c>
      <c r="Y663" s="9">
        <f>IF(OR(LEFT(K663,4)="LVAX",LEFT(K663,6)="MV15AX",LEFT(K663,4)="CTAX",LEFT(K663,2)="W|"),2*N663*O663,0)</f>
        <v/>
      </c>
      <c r="Z663" s="9" t="inlineStr"/>
    </row>
    <row r="664">
      <c r="A664" s="9" t="inlineStr">
        <is>
          <t>A-I-0201</t>
        </is>
      </c>
      <c r="B664" s="9" t="inlineStr">
        <is>
          <t>A</t>
        </is>
      </c>
      <c r="C664" s="9" t="inlineStr">
        <is>
          <t>Power block</t>
        </is>
      </c>
      <c r="D664" s="9" t="inlineStr">
        <is>
          <t>Instrumentation</t>
        </is>
      </c>
      <c r="E664" s="9" t="inlineStr">
        <is>
          <t>R2C</t>
        </is>
      </c>
      <c r="F664" s="9" t="inlineStr">
        <is>
          <t>R2C: unit / HRSG electrical e-house (32 x 40 ft)</t>
        </is>
      </c>
      <c r="G664" s="9" t="inlineStr"/>
      <c r="H664" s="9" t="inlineStr">
        <is>
          <t>HRSG 2 chemical feed skid (phosphate / amine)</t>
        </is>
      </c>
      <c r="I664" s="9" t="inlineStr">
        <is>
          <t>Instrumentation</t>
        </is>
      </c>
      <c r="J664" s="9" t="inlineStr">
        <is>
          <t>Instrumentation PLTC / TC-ER 300 V, #18 twisted shielded pairs, overall shield</t>
        </is>
      </c>
      <c r="K664" s="9" t="inlineStr">
        <is>
          <t>PLTC|4 pr|18</t>
        </is>
      </c>
      <c r="L664" s="9" t="inlineStr">
        <is>
          <t>4 pr</t>
        </is>
      </c>
      <c r="M664" s="9" t="inlineStr">
        <is>
          <t>18</t>
        </is>
      </c>
      <c r="N664" s="9" t="n">
        <v>1</v>
      </c>
      <c r="O664" s="9" t="n">
        <v>1</v>
      </c>
      <c r="P664" s="9" t="n"/>
      <c r="Q664" s="9" t="n"/>
      <c r="R664" s="9" t="n"/>
      <c r="S664" s="9" t="inlineStr">
        <is>
          <t>Tray</t>
        </is>
      </c>
      <c r="T664" s="10" t="n">
        <v>30</v>
      </c>
      <c r="U664" s="10" t="n">
        <v>109</v>
      </c>
      <c r="V664" s="10">
        <f>ROUNDUP((T664+U664+2*'Read Me'!$B$13)*(1+'Read Me'!$B$12),-1)</f>
        <v/>
      </c>
      <c r="W664" s="10">
        <f>V664*N664*O664</f>
        <v/>
      </c>
      <c r="X664" s="9">
        <f>IF(LEFT(I664,2)="MV",2*N664*IF(L664="1/C",O664,1),0)</f>
        <v/>
      </c>
      <c r="Y664" s="9">
        <f>IF(OR(LEFT(K664,4)="LVAX",LEFT(K664,6)="MV15AX",LEFT(K664,4)="CTAX",LEFT(K664,2)="W|"),2*N664*O664,0)</f>
        <v/>
      </c>
      <c r="Z664" s="9" t="inlineStr"/>
    </row>
    <row r="665">
      <c r="A665" s="9" t="inlineStr">
        <is>
          <t>A-I-0202</t>
        </is>
      </c>
      <c r="B665" s="9" t="inlineStr">
        <is>
          <t>A</t>
        </is>
      </c>
      <c r="C665" s="9" t="inlineStr">
        <is>
          <t>Power block</t>
        </is>
      </c>
      <c r="D665" s="9" t="inlineStr">
        <is>
          <t>Instrumentation</t>
        </is>
      </c>
      <c r="E665" s="9" t="inlineStr">
        <is>
          <t>R2C</t>
        </is>
      </c>
      <c r="F665" s="9" t="inlineStr">
        <is>
          <t>R2C: unit / HRSG electrical e-house (32 x 40 ft)</t>
        </is>
      </c>
      <c r="G665" s="9" t="inlineStr"/>
      <c r="H665" s="9" t="inlineStr">
        <is>
          <t>HRSG 2 chemical feed skid (phosphate / amine)</t>
        </is>
      </c>
      <c r="I665" s="9" t="inlineStr">
        <is>
          <t>Instrumentation</t>
        </is>
      </c>
      <c r="J665" s="9" t="inlineStr">
        <is>
          <t>Instrumentation PLTC / TC-ER 300 V, #18 twisted shielded pairs, overall shield</t>
        </is>
      </c>
      <c r="K665" s="9" t="inlineStr">
        <is>
          <t>PLTC|12 pr|18</t>
        </is>
      </c>
      <c r="L665" s="9" t="inlineStr">
        <is>
          <t>12 pr</t>
        </is>
      </c>
      <c r="M665" s="9" t="inlineStr">
        <is>
          <t>18</t>
        </is>
      </c>
      <c r="N665" s="9" t="n">
        <v>1</v>
      </c>
      <c r="O665" s="9" t="n">
        <v>1</v>
      </c>
      <c r="P665" s="9" t="n"/>
      <c r="Q665" s="9" t="n"/>
      <c r="R665" s="9" t="n"/>
      <c r="S665" s="9" t="inlineStr">
        <is>
          <t>Tray</t>
        </is>
      </c>
      <c r="T665" s="10" t="n">
        <v>30</v>
      </c>
      <c r="U665" s="10" t="n">
        <v>109</v>
      </c>
      <c r="V665" s="10">
        <f>ROUNDUP((T665+U665+2*'Read Me'!$B$13)*(1+'Read Me'!$B$12),-1)</f>
        <v/>
      </c>
      <c r="W665" s="10">
        <f>V665*N665*O665</f>
        <v/>
      </c>
      <c r="X665" s="9">
        <f>IF(LEFT(I665,2)="MV",2*N665*IF(L665="1/C",O665,1),0)</f>
        <v/>
      </c>
      <c r="Y665" s="9">
        <f>IF(OR(LEFT(K665,4)="LVAX",LEFT(K665,6)="MV15AX",LEFT(K665,4)="CTAX",LEFT(K665,2)="W|"),2*N665*O665,0)</f>
        <v/>
      </c>
      <c r="Z665" s="9" t="inlineStr"/>
    </row>
    <row r="666">
      <c r="A666" s="9" t="inlineStr">
        <is>
          <t>A-I-0203</t>
        </is>
      </c>
      <c r="B666" s="9" t="inlineStr">
        <is>
          <t>A</t>
        </is>
      </c>
      <c r="C666" s="9" t="inlineStr">
        <is>
          <t>Power block</t>
        </is>
      </c>
      <c r="D666" s="9" t="inlineStr">
        <is>
          <t>Instrumentation</t>
        </is>
      </c>
      <c r="E666" s="9" t="inlineStr">
        <is>
          <t>R2C</t>
        </is>
      </c>
      <c r="F666" s="9" t="inlineStr">
        <is>
          <t>R2C: unit / HRSG electrical e-house (32 x 40 ft)</t>
        </is>
      </c>
      <c r="G666" s="9" t="inlineStr">
        <is>
          <t>HRSG-3</t>
        </is>
      </c>
      <c r="H666" s="9" t="inlineStr">
        <is>
          <t>HRSG 3 + SCR (3P reheat, horizontal)</t>
        </is>
      </c>
      <c r="I666" s="9" t="inlineStr">
        <is>
          <t>Instrumentation</t>
        </is>
      </c>
      <c r="J666" s="9" t="inlineStr">
        <is>
          <t>Instrumentation PLTC / TC-ER 300 V, #18 twisted shielded pairs, overall shield</t>
        </is>
      </c>
      <c r="K666" s="9" t="inlineStr">
        <is>
          <t>PLTC|4 pr|18</t>
        </is>
      </c>
      <c r="L666" s="9" t="inlineStr">
        <is>
          <t>4 pr</t>
        </is>
      </c>
      <c r="M666" s="9" t="inlineStr">
        <is>
          <t>18</t>
        </is>
      </c>
      <c r="N666" s="9" t="n">
        <v>1</v>
      </c>
      <c r="O666" s="9" t="n">
        <v>1</v>
      </c>
      <c r="P666" s="9" t="n"/>
      <c r="Q666" s="9" t="n"/>
      <c r="R666" s="9" t="n"/>
      <c r="S666" s="9" t="inlineStr">
        <is>
          <t>Tray</t>
        </is>
      </c>
      <c r="T666" s="10" t="n">
        <v>0</v>
      </c>
      <c r="U666" s="10" t="n">
        <v>87</v>
      </c>
      <c r="V666" s="10">
        <f>ROUNDUP((T666+U666+2*'Read Me'!$B$13)*(1+'Read Me'!$B$12),-1)</f>
        <v/>
      </c>
      <c r="W666" s="10">
        <f>V666*N666*O666</f>
        <v/>
      </c>
      <c r="X666" s="9">
        <f>IF(LEFT(I666,2)="MV",2*N666*IF(L666="1/C",O666,1),0)</f>
        <v/>
      </c>
      <c r="Y666" s="9">
        <f>IF(OR(LEFT(K666,4)="LVAX",LEFT(K666,6)="MV15AX",LEFT(K666,4)="CTAX",LEFT(K666,2)="W|"),2*N666*O666,0)</f>
        <v/>
      </c>
      <c r="Z666" s="9" t="inlineStr"/>
    </row>
    <row r="667">
      <c r="A667" s="9" t="inlineStr">
        <is>
          <t>A-I-0204</t>
        </is>
      </c>
      <c r="B667" s="9" t="inlineStr">
        <is>
          <t>A</t>
        </is>
      </c>
      <c r="C667" s="9" t="inlineStr">
        <is>
          <t>Power block</t>
        </is>
      </c>
      <c r="D667" s="9" t="inlineStr">
        <is>
          <t>Instrumentation</t>
        </is>
      </c>
      <c r="E667" s="9" t="inlineStr">
        <is>
          <t>R2C</t>
        </is>
      </c>
      <c r="F667" s="9" t="inlineStr">
        <is>
          <t>R2C: unit / HRSG electrical e-house (32 x 40 ft)</t>
        </is>
      </c>
      <c r="G667" s="9" t="inlineStr">
        <is>
          <t>HRSG-3</t>
        </is>
      </c>
      <c r="H667" s="9" t="inlineStr">
        <is>
          <t>HRSG 3 + SCR (3P reheat, horizontal)</t>
        </is>
      </c>
      <c r="I667" s="9" t="inlineStr">
        <is>
          <t>Instrumentation</t>
        </is>
      </c>
      <c r="J667" s="9" t="inlineStr">
        <is>
          <t>Instrumentation PLTC / TC-ER 300 V, #18 twisted shielded pairs, overall shield</t>
        </is>
      </c>
      <c r="K667" s="9" t="inlineStr">
        <is>
          <t>PLTC|4 pr|18</t>
        </is>
      </c>
      <c r="L667" s="9" t="inlineStr">
        <is>
          <t>4 pr</t>
        </is>
      </c>
      <c r="M667" s="9" t="inlineStr">
        <is>
          <t>18</t>
        </is>
      </c>
      <c r="N667" s="9" t="n">
        <v>1</v>
      </c>
      <c r="O667" s="9" t="n">
        <v>1</v>
      </c>
      <c r="P667" s="9" t="n"/>
      <c r="Q667" s="9" t="n"/>
      <c r="R667" s="9" t="n"/>
      <c r="S667" s="9" t="inlineStr">
        <is>
          <t>Tray</t>
        </is>
      </c>
      <c r="T667" s="10" t="n">
        <v>0</v>
      </c>
      <c r="U667" s="10" t="n">
        <v>87</v>
      </c>
      <c r="V667" s="10">
        <f>ROUNDUP((T667+U667+2*'Read Me'!$B$13)*(1+'Read Me'!$B$12),-1)</f>
        <v/>
      </c>
      <c r="W667" s="10">
        <f>V667*N667*O667</f>
        <v/>
      </c>
      <c r="X667" s="9">
        <f>IF(LEFT(I667,2)="MV",2*N667*IF(L667="1/C",O667,1),0)</f>
        <v/>
      </c>
      <c r="Y667" s="9">
        <f>IF(OR(LEFT(K667,4)="LVAX",LEFT(K667,6)="MV15AX",LEFT(K667,4)="CTAX",LEFT(K667,2)="W|"),2*N667*O667,0)</f>
        <v/>
      </c>
      <c r="Z667" s="9" t="inlineStr"/>
    </row>
    <row r="668">
      <c r="A668" s="9" t="inlineStr">
        <is>
          <t>A-I-0205</t>
        </is>
      </c>
      <c r="B668" s="9" t="inlineStr">
        <is>
          <t>A</t>
        </is>
      </c>
      <c r="C668" s="9" t="inlineStr">
        <is>
          <t>Power block</t>
        </is>
      </c>
      <c r="D668" s="9" t="inlineStr">
        <is>
          <t>Instrumentation</t>
        </is>
      </c>
      <c r="E668" s="9" t="inlineStr">
        <is>
          <t>R2C</t>
        </is>
      </c>
      <c r="F668" s="9" t="inlineStr">
        <is>
          <t>R2C: unit / HRSG electrical e-house (32 x 40 ft)</t>
        </is>
      </c>
      <c r="G668" s="9" t="inlineStr">
        <is>
          <t>HRSG-3</t>
        </is>
      </c>
      <c r="H668" s="9" t="inlineStr">
        <is>
          <t>HRSG 3 + SCR (3P reheat, horizontal)</t>
        </is>
      </c>
      <c r="I668" s="9" t="inlineStr">
        <is>
          <t>Instrumentation</t>
        </is>
      </c>
      <c r="J668" s="9" t="inlineStr">
        <is>
          <t>Instrumentation PLTC / TC-ER 300 V, #18 twisted shielded pairs, overall shield</t>
        </is>
      </c>
      <c r="K668" s="9" t="inlineStr">
        <is>
          <t>PLTC|12 pr|18</t>
        </is>
      </c>
      <c r="L668" s="9" t="inlineStr">
        <is>
          <t>12 pr</t>
        </is>
      </c>
      <c r="M668" s="9" t="inlineStr">
        <is>
          <t>18</t>
        </is>
      </c>
      <c r="N668" s="9" t="n">
        <v>1</v>
      </c>
      <c r="O668" s="9" t="n">
        <v>1</v>
      </c>
      <c r="P668" s="9" t="n"/>
      <c r="Q668" s="9" t="n"/>
      <c r="R668" s="9" t="n"/>
      <c r="S668" s="9" t="inlineStr">
        <is>
          <t>Tray</t>
        </is>
      </c>
      <c r="T668" s="10" t="n">
        <v>0</v>
      </c>
      <c r="U668" s="10" t="n">
        <v>87</v>
      </c>
      <c r="V668" s="10">
        <f>ROUNDUP((T668+U668+2*'Read Me'!$B$13)*(1+'Read Me'!$B$12),-1)</f>
        <v/>
      </c>
      <c r="W668" s="10">
        <f>V668*N668*O668</f>
        <v/>
      </c>
      <c r="X668" s="9">
        <f>IF(LEFT(I668,2)="MV",2*N668*IF(L668="1/C",O668,1),0)</f>
        <v/>
      </c>
      <c r="Y668" s="9">
        <f>IF(OR(LEFT(K668,4)="LVAX",LEFT(K668,6)="MV15AX",LEFT(K668,4)="CTAX",LEFT(K668,2)="W|"),2*N668*O668,0)</f>
        <v/>
      </c>
      <c r="Z668" s="9" t="inlineStr"/>
    </row>
    <row r="669">
      <c r="A669" s="9" t="inlineStr">
        <is>
          <t>A-I-0206</t>
        </is>
      </c>
      <c r="B669" s="9" t="inlineStr">
        <is>
          <t>A</t>
        </is>
      </c>
      <c r="C669" s="9" t="inlineStr">
        <is>
          <t>Power block</t>
        </is>
      </c>
      <c r="D669" s="9" t="inlineStr">
        <is>
          <t>Instrumentation</t>
        </is>
      </c>
      <c r="E669" s="9" t="inlineStr">
        <is>
          <t>R2C</t>
        </is>
      </c>
      <c r="F669" s="9" t="inlineStr">
        <is>
          <t>R2C: unit / HRSG electrical e-house (32 x 40 ft)</t>
        </is>
      </c>
      <c r="G669" s="9" t="inlineStr">
        <is>
          <t>HRSG-3</t>
        </is>
      </c>
      <c r="H669" s="9" t="inlineStr">
        <is>
          <t>HRSG 3 + SCR (3P reheat, horizontal)</t>
        </is>
      </c>
      <c r="I669" s="9" t="inlineStr">
        <is>
          <t>Instrumentation</t>
        </is>
      </c>
      <c r="J669" s="9" t="inlineStr">
        <is>
          <t>Instrumentation PLTC / TC-ER 300 V, #18 twisted shielded pairs, overall shield</t>
        </is>
      </c>
      <c r="K669" s="9" t="inlineStr">
        <is>
          <t>PLTC|12 pr|18</t>
        </is>
      </c>
      <c r="L669" s="9" t="inlineStr">
        <is>
          <t>12 pr</t>
        </is>
      </c>
      <c r="M669" s="9" t="inlineStr">
        <is>
          <t>18</t>
        </is>
      </c>
      <c r="N669" s="9" t="n">
        <v>1</v>
      </c>
      <c r="O669" s="9" t="n">
        <v>1</v>
      </c>
      <c r="P669" s="9" t="n"/>
      <c r="Q669" s="9" t="n"/>
      <c r="R669" s="9" t="n"/>
      <c r="S669" s="9" t="inlineStr">
        <is>
          <t>Tray</t>
        </is>
      </c>
      <c r="T669" s="10" t="n">
        <v>0</v>
      </c>
      <c r="U669" s="10" t="n">
        <v>87</v>
      </c>
      <c r="V669" s="10">
        <f>ROUNDUP((T669+U669+2*'Read Me'!$B$13)*(1+'Read Me'!$B$12),-1)</f>
        <v/>
      </c>
      <c r="W669" s="10">
        <f>V669*N669*O669</f>
        <v/>
      </c>
      <c r="X669" s="9">
        <f>IF(LEFT(I669,2)="MV",2*N669*IF(L669="1/C",O669,1),0)</f>
        <v/>
      </c>
      <c r="Y669" s="9">
        <f>IF(OR(LEFT(K669,4)="LVAX",LEFT(K669,6)="MV15AX",LEFT(K669,4)="CTAX",LEFT(K669,2)="W|"),2*N669*O669,0)</f>
        <v/>
      </c>
      <c r="Z669" s="9" t="inlineStr"/>
    </row>
    <row r="670">
      <c r="A670" s="9" t="inlineStr">
        <is>
          <t>A-I-0207</t>
        </is>
      </c>
      <c r="B670" s="9" t="inlineStr">
        <is>
          <t>A</t>
        </is>
      </c>
      <c r="C670" s="9" t="inlineStr">
        <is>
          <t>Power block</t>
        </is>
      </c>
      <c r="D670" s="9" t="inlineStr">
        <is>
          <t>Instrumentation</t>
        </is>
      </c>
      <c r="E670" s="9" t="inlineStr">
        <is>
          <t>R2C</t>
        </is>
      </c>
      <c r="F670" s="9" t="inlineStr">
        <is>
          <t>R2C: unit / HRSG electrical e-house (32 x 40 ft)</t>
        </is>
      </c>
      <c r="G670" s="9" t="inlineStr">
        <is>
          <t>HRSG-3</t>
        </is>
      </c>
      <c r="H670" s="9" t="inlineStr">
        <is>
          <t>HRSG 3 + SCR (3P reheat, horizontal)</t>
        </is>
      </c>
      <c r="I670" s="9" t="inlineStr">
        <is>
          <t>Instrumentation</t>
        </is>
      </c>
      <c r="J670" s="9" t="inlineStr">
        <is>
          <t>Instrumentation PLTC / TC-ER 300 V, #18 twisted shielded pairs, overall shield</t>
        </is>
      </c>
      <c r="K670" s="9" t="inlineStr">
        <is>
          <t>PLTC|12 pr|18</t>
        </is>
      </c>
      <c r="L670" s="9" t="inlineStr">
        <is>
          <t>12 pr</t>
        </is>
      </c>
      <c r="M670" s="9" t="inlineStr">
        <is>
          <t>18</t>
        </is>
      </c>
      <c r="N670" s="9" t="n">
        <v>1</v>
      </c>
      <c r="O670" s="9" t="n">
        <v>1</v>
      </c>
      <c r="P670" s="9" t="n"/>
      <c r="Q670" s="9" t="n"/>
      <c r="R670" s="9" t="n"/>
      <c r="S670" s="9" t="inlineStr">
        <is>
          <t>Tray</t>
        </is>
      </c>
      <c r="T670" s="10" t="n">
        <v>0</v>
      </c>
      <c r="U670" s="10" t="n">
        <v>87</v>
      </c>
      <c r="V670" s="10">
        <f>ROUNDUP((T670+U670+2*'Read Me'!$B$13)*(1+'Read Me'!$B$12),-1)</f>
        <v/>
      </c>
      <c r="W670" s="10">
        <f>V670*N670*O670</f>
        <v/>
      </c>
      <c r="X670" s="9">
        <f>IF(LEFT(I670,2)="MV",2*N670*IF(L670="1/C",O670,1),0)</f>
        <v/>
      </c>
      <c r="Y670" s="9">
        <f>IF(OR(LEFT(K670,4)="LVAX",LEFT(K670,6)="MV15AX",LEFT(K670,4)="CTAX",LEFT(K670,2)="W|"),2*N670*O670,0)</f>
        <v/>
      </c>
      <c r="Z670" s="9" t="inlineStr"/>
    </row>
    <row r="671">
      <c r="A671" s="9" t="inlineStr">
        <is>
          <t>A-I-0208</t>
        </is>
      </c>
      <c r="B671" s="9" t="inlineStr">
        <is>
          <t>A</t>
        </is>
      </c>
      <c r="C671" s="9" t="inlineStr">
        <is>
          <t>Power block</t>
        </is>
      </c>
      <c r="D671" s="9" t="inlineStr">
        <is>
          <t>Instrumentation</t>
        </is>
      </c>
      <c r="E671" s="9" t="inlineStr">
        <is>
          <t>R2C</t>
        </is>
      </c>
      <c r="F671" s="9" t="inlineStr">
        <is>
          <t>R2C: unit / HRSG electrical e-house (32 x 40 ft)</t>
        </is>
      </c>
      <c r="G671" s="9" t="inlineStr">
        <is>
          <t>HRSG-3</t>
        </is>
      </c>
      <c r="H671" s="9" t="inlineStr">
        <is>
          <t>HRSG 3 + SCR (3P reheat, horizontal)</t>
        </is>
      </c>
      <c r="I671" s="9" t="inlineStr">
        <is>
          <t>Instrumentation</t>
        </is>
      </c>
      <c r="J671" s="9" t="inlineStr">
        <is>
          <t>Instrumentation PLTC / TC-ER 300 V, #18 twisted shielded pairs, overall shield</t>
        </is>
      </c>
      <c r="K671" s="9" t="inlineStr">
        <is>
          <t>PLTC|12 pr|18</t>
        </is>
      </c>
      <c r="L671" s="9" t="inlineStr">
        <is>
          <t>12 pr</t>
        </is>
      </c>
      <c r="M671" s="9" t="inlineStr">
        <is>
          <t>18</t>
        </is>
      </c>
      <c r="N671" s="9" t="n">
        <v>1</v>
      </c>
      <c r="O671" s="9" t="n">
        <v>1</v>
      </c>
      <c r="P671" s="9" t="n"/>
      <c r="Q671" s="9" t="n"/>
      <c r="R671" s="9" t="n"/>
      <c r="S671" s="9" t="inlineStr">
        <is>
          <t>Tray</t>
        </is>
      </c>
      <c r="T671" s="10" t="n">
        <v>0</v>
      </c>
      <c r="U671" s="10" t="n">
        <v>87</v>
      </c>
      <c r="V671" s="10">
        <f>ROUNDUP((T671+U671+2*'Read Me'!$B$13)*(1+'Read Me'!$B$12),-1)</f>
        <v/>
      </c>
      <c r="W671" s="10">
        <f>V671*N671*O671</f>
        <v/>
      </c>
      <c r="X671" s="9">
        <f>IF(LEFT(I671,2)="MV",2*N671*IF(L671="1/C",O671,1),0)</f>
        <v/>
      </c>
      <c r="Y671" s="9">
        <f>IF(OR(LEFT(K671,4)="LVAX",LEFT(K671,6)="MV15AX",LEFT(K671,4)="CTAX",LEFT(K671,2)="W|"),2*N671*O671,0)</f>
        <v/>
      </c>
      <c r="Z671" s="9" t="inlineStr"/>
    </row>
    <row r="672">
      <c r="A672" s="9" t="inlineStr">
        <is>
          <t>A-I-0209</t>
        </is>
      </c>
      <c r="B672" s="9" t="inlineStr">
        <is>
          <t>A</t>
        </is>
      </c>
      <c r="C672" s="9" t="inlineStr">
        <is>
          <t>Power block</t>
        </is>
      </c>
      <c r="D672" s="9" t="inlineStr">
        <is>
          <t>Instrumentation</t>
        </is>
      </c>
      <c r="E672" s="9" t="inlineStr">
        <is>
          <t>R2C</t>
        </is>
      </c>
      <c r="F672" s="9" t="inlineStr">
        <is>
          <t>R2C: unit / HRSG electrical e-house (32 x 40 ft)</t>
        </is>
      </c>
      <c r="G672" s="9" t="inlineStr">
        <is>
          <t>HRSG-3</t>
        </is>
      </c>
      <c r="H672" s="9" t="inlineStr">
        <is>
          <t>HRSG 3 + SCR (3P reheat, horizontal)</t>
        </is>
      </c>
      <c r="I672" s="9" t="inlineStr">
        <is>
          <t>Instrumentation</t>
        </is>
      </c>
      <c r="J672" s="9" t="inlineStr">
        <is>
          <t>Instrumentation PLTC / TC-ER 300 V, #18 twisted shielded pairs, overall shield</t>
        </is>
      </c>
      <c r="K672" s="9" t="inlineStr">
        <is>
          <t>PLTC|12 pr|18</t>
        </is>
      </c>
      <c r="L672" s="9" t="inlineStr">
        <is>
          <t>12 pr</t>
        </is>
      </c>
      <c r="M672" s="9" t="inlineStr">
        <is>
          <t>18</t>
        </is>
      </c>
      <c r="N672" s="9" t="n">
        <v>1</v>
      </c>
      <c r="O672" s="9" t="n">
        <v>1</v>
      </c>
      <c r="P672" s="9" t="n"/>
      <c r="Q672" s="9" t="n"/>
      <c r="R672" s="9" t="n"/>
      <c r="S672" s="9" t="inlineStr">
        <is>
          <t>Tray</t>
        </is>
      </c>
      <c r="T672" s="10" t="n">
        <v>0</v>
      </c>
      <c r="U672" s="10" t="n">
        <v>87</v>
      </c>
      <c r="V672" s="10">
        <f>ROUNDUP((T672+U672+2*'Read Me'!$B$13)*(1+'Read Me'!$B$12),-1)</f>
        <v/>
      </c>
      <c r="W672" s="10">
        <f>V672*N672*O672</f>
        <v/>
      </c>
      <c r="X672" s="9">
        <f>IF(LEFT(I672,2)="MV",2*N672*IF(L672="1/C",O672,1),0)</f>
        <v/>
      </c>
      <c r="Y672" s="9">
        <f>IF(OR(LEFT(K672,4)="LVAX",LEFT(K672,6)="MV15AX",LEFT(K672,4)="CTAX",LEFT(K672,2)="W|"),2*N672*O672,0)</f>
        <v/>
      </c>
      <c r="Z672" s="9" t="inlineStr"/>
    </row>
    <row r="673">
      <c r="A673" s="9" t="inlineStr">
        <is>
          <t>A-I-0210</t>
        </is>
      </c>
      <c r="B673" s="9" t="inlineStr">
        <is>
          <t>A</t>
        </is>
      </c>
      <c r="C673" s="9" t="inlineStr">
        <is>
          <t>Power block</t>
        </is>
      </c>
      <c r="D673" s="9" t="inlineStr">
        <is>
          <t>Instrumentation</t>
        </is>
      </c>
      <c r="E673" s="9" t="inlineStr">
        <is>
          <t>R2C</t>
        </is>
      </c>
      <c r="F673" s="9" t="inlineStr">
        <is>
          <t>R2C: unit / HRSG electrical e-house (32 x 40 ft)</t>
        </is>
      </c>
      <c r="G673" s="9" t="inlineStr">
        <is>
          <t>HRSG-3</t>
        </is>
      </c>
      <c r="H673" s="9" t="inlineStr">
        <is>
          <t>HRSG 3 + SCR (3P reheat, horizontal)</t>
        </is>
      </c>
      <c r="I673" s="9" t="inlineStr">
        <is>
          <t>Instrumentation</t>
        </is>
      </c>
      <c r="J673" s="9" t="inlineStr">
        <is>
          <t>Instrumentation PLTC / TC-ER 300 V, #18 twisted shielded pairs, overall shield</t>
        </is>
      </c>
      <c r="K673" s="9" t="inlineStr">
        <is>
          <t>PLTC|12 pr|18</t>
        </is>
      </c>
      <c r="L673" s="9" t="inlineStr">
        <is>
          <t>12 pr</t>
        </is>
      </c>
      <c r="M673" s="9" t="inlineStr">
        <is>
          <t>18</t>
        </is>
      </c>
      <c r="N673" s="9" t="n">
        <v>1</v>
      </c>
      <c r="O673" s="9" t="n">
        <v>1</v>
      </c>
      <c r="P673" s="9" t="n"/>
      <c r="Q673" s="9" t="n"/>
      <c r="R673" s="9" t="n"/>
      <c r="S673" s="9" t="inlineStr">
        <is>
          <t>Tray</t>
        </is>
      </c>
      <c r="T673" s="10" t="n">
        <v>0</v>
      </c>
      <c r="U673" s="10" t="n">
        <v>87</v>
      </c>
      <c r="V673" s="10">
        <f>ROUNDUP((T673+U673+2*'Read Me'!$B$13)*(1+'Read Me'!$B$12),-1)</f>
        <v/>
      </c>
      <c r="W673" s="10">
        <f>V673*N673*O673</f>
        <v/>
      </c>
      <c r="X673" s="9">
        <f>IF(LEFT(I673,2)="MV",2*N673*IF(L673="1/C",O673,1),0)</f>
        <v/>
      </c>
      <c r="Y673" s="9">
        <f>IF(OR(LEFT(K673,4)="LVAX",LEFT(K673,6)="MV15AX",LEFT(K673,4)="CTAX",LEFT(K673,2)="W|"),2*N673*O673,0)</f>
        <v/>
      </c>
      <c r="Z673" s="9" t="inlineStr"/>
    </row>
    <row r="674">
      <c r="A674" s="9" t="inlineStr">
        <is>
          <t>A-I-0211</t>
        </is>
      </c>
      <c r="B674" s="9" t="inlineStr">
        <is>
          <t>A</t>
        </is>
      </c>
      <c r="C674" s="9" t="inlineStr">
        <is>
          <t>Power block</t>
        </is>
      </c>
      <c r="D674" s="9" t="inlineStr">
        <is>
          <t>Instrumentation</t>
        </is>
      </c>
      <c r="E674" s="9" t="inlineStr">
        <is>
          <t>R2C</t>
        </is>
      </c>
      <c r="F674" s="9" t="inlineStr">
        <is>
          <t>R2C: unit / HRSG electrical e-house (32 x 40 ft)</t>
        </is>
      </c>
      <c r="G674" s="9" t="inlineStr">
        <is>
          <t>HRSG-3</t>
        </is>
      </c>
      <c r="H674" s="9" t="inlineStr">
        <is>
          <t>HRSG 3 + SCR (3P reheat, horizontal)</t>
        </is>
      </c>
      <c r="I674" s="9" t="inlineStr">
        <is>
          <t>Instrumentation</t>
        </is>
      </c>
      <c r="J674" s="9" t="inlineStr">
        <is>
          <t>Instrumentation PLTC / TC-ER 300 V, #18 twisted shielded pairs, overall shield</t>
        </is>
      </c>
      <c r="K674" s="9" t="inlineStr">
        <is>
          <t>PLTC|12 pr|18</t>
        </is>
      </c>
      <c r="L674" s="9" t="inlineStr">
        <is>
          <t>12 pr</t>
        </is>
      </c>
      <c r="M674" s="9" t="inlineStr">
        <is>
          <t>18</t>
        </is>
      </c>
      <c r="N674" s="9" t="n">
        <v>1</v>
      </c>
      <c r="O674" s="9" t="n">
        <v>1</v>
      </c>
      <c r="P674" s="9" t="n"/>
      <c r="Q674" s="9" t="n"/>
      <c r="R674" s="9" t="n"/>
      <c r="S674" s="9" t="inlineStr">
        <is>
          <t>Tray</t>
        </is>
      </c>
      <c r="T674" s="10" t="n">
        <v>0</v>
      </c>
      <c r="U674" s="10" t="n">
        <v>87</v>
      </c>
      <c r="V674" s="10">
        <f>ROUNDUP((T674+U674+2*'Read Me'!$B$13)*(1+'Read Me'!$B$12),-1)</f>
        <v/>
      </c>
      <c r="W674" s="10">
        <f>V674*N674*O674</f>
        <v/>
      </c>
      <c r="X674" s="9">
        <f>IF(LEFT(I674,2)="MV",2*N674*IF(L674="1/C",O674,1),0)</f>
        <v/>
      </c>
      <c r="Y674" s="9">
        <f>IF(OR(LEFT(K674,4)="LVAX",LEFT(K674,6)="MV15AX",LEFT(K674,4)="CTAX",LEFT(K674,2)="W|"),2*N674*O674,0)</f>
        <v/>
      </c>
      <c r="Z674" s="9" t="inlineStr"/>
    </row>
    <row r="675">
      <c r="A675" s="9" t="inlineStr">
        <is>
          <t>A-I-0212</t>
        </is>
      </c>
      <c r="B675" s="9" t="inlineStr">
        <is>
          <t>A</t>
        </is>
      </c>
      <c r="C675" s="9" t="inlineStr">
        <is>
          <t>Power block</t>
        </is>
      </c>
      <c r="D675" s="9" t="inlineStr">
        <is>
          <t>Instrumentation</t>
        </is>
      </c>
      <c r="E675" s="9" t="inlineStr">
        <is>
          <t>R2C</t>
        </is>
      </c>
      <c r="F675" s="9" t="inlineStr">
        <is>
          <t>R2C: unit / HRSG electrical e-house (32 x 40 ft)</t>
        </is>
      </c>
      <c r="G675" s="9" t="inlineStr">
        <is>
          <t>HRSG-3</t>
        </is>
      </c>
      <c r="H675" s="9" t="inlineStr">
        <is>
          <t>HRSG 3 + SCR (3P reheat, horizontal)</t>
        </is>
      </c>
      <c r="I675" s="9" t="inlineStr">
        <is>
          <t>Instrumentation</t>
        </is>
      </c>
      <c r="J675" s="9" t="inlineStr">
        <is>
          <t>Instrumentation PLTC / TC-ER 300 V, #18 twisted shielded pairs, overall shield</t>
        </is>
      </c>
      <c r="K675" s="9" t="inlineStr">
        <is>
          <t>PLTC|12 pr|18</t>
        </is>
      </c>
      <c r="L675" s="9" t="inlineStr">
        <is>
          <t>12 pr</t>
        </is>
      </c>
      <c r="M675" s="9" t="inlineStr">
        <is>
          <t>18</t>
        </is>
      </c>
      <c r="N675" s="9" t="n">
        <v>1</v>
      </c>
      <c r="O675" s="9" t="n">
        <v>1</v>
      </c>
      <c r="P675" s="9" t="n"/>
      <c r="Q675" s="9" t="n"/>
      <c r="R675" s="9" t="n"/>
      <c r="S675" s="9" t="inlineStr">
        <is>
          <t>Tray</t>
        </is>
      </c>
      <c r="T675" s="10" t="n">
        <v>0</v>
      </c>
      <c r="U675" s="10" t="n">
        <v>87</v>
      </c>
      <c r="V675" s="10">
        <f>ROUNDUP((T675+U675+2*'Read Me'!$B$13)*(1+'Read Me'!$B$12),-1)</f>
        <v/>
      </c>
      <c r="W675" s="10">
        <f>V675*N675*O675</f>
        <v/>
      </c>
      <c r="X675" s="9">
        <f>IF(LEFT(I675,2)="MV",2*N675*IF(L675="1/C",O675,1),0)</f>
        <v/>
      </c>
      <c r="Y675" s="9">
        <f>IF(OR(LEFT(K675,4)="LVAX",LEFT(K675,6)="MV15AX",LEFT(K675,4)="CTAX",LEFT(K675,2)="W|"),2*N675*O675,0)</f>
        <v/>
      </c>
      <c r="Z675" s="9" t="inlineStr"/>
    </row>
    <row r="676">
      <c r="A676" s="9" t="inlineStr">
        <is>
          <t>A-I-0213</t>
        </is>
      </c>
      <c r="B676" s="9" t="inlineStr">
        <is>
          <t>A</t>
        </is>
      </c>
      <c r="C676" s="9" t="inlineStr">
        <is>
          <t>Power block</t>
        </is>
      </c>
      <c r="D676" s="9" t="inlineStr">
        <is>
          <t>Thermocouples</t>
        </is>
      </c>
      <c r="E676" s="9" t="inlineStr">
        <is>
          <t>R2C</t>
        </is>
      </c>
      <c r="F676" s="9" t="inlineStr">
        <is>
          <t>R2C: unit / HRSG electrical e-house (32 x 40 ft)</t>
        </is>
      </c>
      <c r="G676" s="9" t="inlineStr">
        <is>
          <t>HRSG-3</t>
        </is>
      </c>
      <c r="H676" s="9" t="inlineStr">
        <is>
          <t>HRSG 3 + SCR (3P reheat, horizontal)</t>
        </is>
      </c>
      <c r="I676" s="9" t="inlineStr">
        <is>
          <t>Instrumentation</t>
        </is>
      </c>
      <c r="J676" s="9" t="inlineStr">
        <is>
          <t>Thermocouple extension KX, #16 shielded pairs, PLTC</t>
        </is>
      </c>
      <c r="K676" s="9" t="inlineStr">
        <is>
          <t>TCX|12 pr|16</t>
        </is>
      </c>
      <c r="L676" s="9" t="inlineStr">
        <is>
          <t>12 pr</t>
        </is>
      </c>
      <c r="M676" s="9" t="inlineStr">
        <is>
          <t>16</t>
        </is>
      </c>
      <c r="N676" s="9" t="n">
        <v>1</v>
      </c>
      <c r="O676" s="9" t="n">
        <v>1</v>
      </c>
      <c r="P676" s="9" t="n"/>
      <c r="Q676" s="9" t="n"/>
      <c r="R676" s="9" t="n"/>
      <c r="S676" s="9" t="inlineStr">
        <is>
          <t>Tray</t>
        </is>
      </c>
      <c r="T676" s="10" t="n">
        <v>0</v>
      </c>
      <c r="U676" s="10" t="n">
        <v>87</v>
      </c>
      <c r="V676" s="10">
        <f>ROUNDUP((T676+U676+2*'Read Me'!$B$13)*(1+'Read Me'!$B$12),-1)</f>
        <v/>
      </c>
      <c r="W676" s="10">
        <f>V676*N676*O676</f>
        <v/>
      </c>
      <c r="X676" s="9">
        <f>IF(LEFT(I676,2)="MV",2*N676*IF(L676="1/C",O676,1),0)</f>
        <v/>
      </c>
      <c r="Y676" s="9">
        <f>IF(OR(LEFT(K676,4)="LVAX",LEFT(K676,6)="MV15AX",LEFT(K676,4)="CTAX",LEFT(K676,2)="W|"),2*N676*O676,0)</f>
        <v/>
      </c>
      <c r="Z676" s="9" t="inlineStr"/>
    </row>
    <row r="677">
      <c r="A677" s="9" t="inlineStr">
        <is>
          <t>A-I-0214</t>
        </is>
      </c>
      <c r="B677" s="9" t="inlineStr">
        <is>
          <t>A</t>
        </is>
      </c>
      <c r="C677" s="9" t="inlineStr">
        <is>
          <t>Power block</t>
        </is>
      </c>
      <c r="D677" s="9" t="inlineStr">
        <is>
          <t>Thermocouples</t>
        </is>
      </c>
      <c r="E677" s="9" t="inlineStr">
        <is>
          <t>R2C</t>
        </is>
      </c>
      <c r="F677" s="9" t="inlineStr">
        <is>
          <t>R2C: unit / HRSG electrical e-house (32 x 40 ft)</t>
        </is>
      </c>
      <c r="G677" s="9" t="inlineStr">
        <is>
          <t>HRSG-3</t>
        </is>
      </c>
      <c r="H677" s="9" t="inlineStr">
        <is>
          <t>HRSG 3 + SCR (3P reheat, horizontal)</t>
        </is>
      </c>
      <c r="I677" s="9" t="inlineStr">
        <is>
          <t>Instrumentation</t>
        </is>
      </c>
      <c r="J677" s="9" t="inlineStr">
        <is>
          <t>Thermocouple extension KX, #16 shielded pairs, PLTC</t>
        </is>
      </c>
      <c r="K677" s="9" t="inlineStr">
        <is>
          <t>TCX|12 pr|16</t>
        </is>
      </c>
      <c r="L677" s="9" t="inlineStr">
        <is>
          <t>12 pr</t>
        </is>
      </c>
      <c r="M677" s="9" t="inlineStr">
        <is>
          <t>16</t>
        </is>
      </c>
      <c r="N677" s="9" t="n">
        <v>1</v>
      </c>
      <c r="O677" s="9" t="n">
        <v>1</v>
      </c>
      <c r="P677" s="9" t="n"/>
      <c r="Q677" s="9" t="n"/>
      <c r="R677" s="9" t="n"/>
      <c r="S677" s="9" t="inlineStr">
        <is>
          <t>Tray</t>
        </is>
      </c>
      <c r="T677" s="10" t="n">
        <v>0</v>
      </c>
      <c r="U677" s="10" t="n">
        <v>87</v>
      </c>
      <c r="V677" s="10">
        <f>ROUNDUP((T677+U677+2*'Read Me'!$B$13)*(1+'Read Me'!$B$12),-1)</f>
        <v/>
      </c>
      <c r="W677" s="10">
        <f>V677*N677*O677</f>
        <v/>
      </c>
      <c r="X677" s="9">
        <f>IF(LEFT(I677,2)="MV",2*N677*IF(L677="1/C",O677,1),0)</f>
        <v/>
      </c>
      <c r="Y677" s="9">
        <f>IF(OR(LEFT(K677,4)="LVAX",LEFT(K677,6)="MV15AX",LEFT(K677,4)="CTAX",LEFT(K677,2)="W|"),2*N677*O677,0)</f>
        <v/>
      </c>
      <c r="Z677" s="9" t="inlineStr"/>
    </row>
    <row r="678">
      <c r="A678" s="9" t="inlineStr">
        <is>
          <t>A-I-0215</t>
        </is>
      </c>
      <c r="B678" s="9" t="inlineStr">
        <is>
          <t>A</t>
        </is>
      </c>
      <c r="C678" s="9" t="inlineStr">
        <is>
          <t>Power block</t>
        </is>
      </c>
      <c r="D678" s="9" t="inlineStr">
        <is>
          <t>Thermocouples</t>
        </is>
      </c>
      <c r="E678" s="9" t="inlineStr">
        <is>
          <t>R2C</t>
        </is>
      </c>
      <c r="F678" s="9" t="inlineStr">
        <is>
          <t>R2C: unit / HRSG electrical e-house (32 x 40 ft)</t>
        </is>
      </c>
      <c r="G678" s="9" t="inlineStr">
        <is>
          <t>HRSG-3</t>
        </is>
      </c>
      <c r="H678" s="9" t="inlineStr">
        <is>
          <t>HRSG 3 + SCR (3P reheat, horizontal)</t>
        </is>
      </c>
      <c r="I678" s="9" t="inlineStr">
        <is>
          <t>Instrumentation</t>
        </is>
      </c>
      <c r="J678" s="9" t="inlineStr">
        <is>
          <t>Thermocouple extension KX, #16 shielded pairs, PLTC</t>
        </is>
      </c>
      <c r="K678" s="9" t="inlineStr">
        <is>
          <t>TCX|12 pr|16</t>
        </is>
      </c>
      <c r="L678" s="9" t="inlineStr">
        <is>
          <t>12 pr</t>
        </is>
      </c>
      <c r="M678" s="9" t="inlineStr">
        <is>
          <t>16</t>
        </is>
      </c>
      <c r="N678" s="9" t="n">
        <v>1</v>
      </c>
      <c r="O678" s="9" t="n">
        <v>1</v>
      </c>
      <c r="P678" s="9" t="n"/>
      <c r="Q678" s="9" t="n"/>
      <c r="R678" s="9" t="n"/>
      <c r="S678" s="9" t="inlineStr">
        <is>
          <t>Tray</t>
        </is>
      </c>
      <c r="T678" s="10" t="n">
        <v>0</v>
      </c>
      <c r="U678" s="10" t="n">
        <v>87</v>
      </c>
      <c r="V678" s="10">
        <f>ROUNDUP((T678+U678+2*'Read Me'!$B$13)*(1+'Read Me'!$B$12),-1)</f>
        <v/>
      </c>
      <c r="W678" s="10">
        <f>V678*N678*O678</f>
        <v/>
      </c>
      <c r="X678" s="9">
        <f>IF(LEFT(I678,2)="MV",2*N678*IF(L678="1/C",O678,1),0)</f>
        <v/>
      </c>
      <c r="Y678" s="9">
        <f>IF(OR(LEFT(K678,4)="LVAX",LEFT(K678,6)="MV15AX",LEFT(K678,4)="CTAX",LEFT(K678,2)="W|"),2*N678*O678,0)</f>
        <v/>
      </c>
      <c r="Z678" s="9" t="inlineStr"/>
    </row>
    <row r="679">
      <c r="A679" s="9" t="inlineStr">
        <is>
          <t>A-I-0216</t>
        </is>
      </c>
      <c r="B679" s="9" t="inlineStr">
        <is>
          <t>A</t>
        </is>
      </c>
      <c r="C679" s="9" t="inlineStr">
        <is>
          <t>Power block</t>
        </is>
      </c>
      <c r="D679" s="9" t="inlineStr">
        <is>
          <t>Thermocouples</t>
        </is>
      </c>
      <c r="E679" s="9" t="inlineStr">
        <is>
          <t>R2C</t>
        </is>
      </c>
      <c r="F679" s="9" t="inlineStr">
        <is>
          <t>R2C: unit / HRSG electrical e-house (32 x 40 ft)</t>
        </is>
      </c>
      <c r="G679" s="9" t="inlineStr">
        <is>
          <t>HRSG-3</t>
        </is>
      </c>
      <c r="H679" s="9" t="inlineStr">
        <is>
          <t>HRSG 3 + SCR (3P reheat, horizontal)</t>
        </is>
      </c>
      <c r="I679" s="9" t="inlineStr">
        <is>
          <t>Instrumentation</t>
        </is>
      </c>
      <c r="J679" s="9" t="inlineStr">
        <is>
          <t>Thermocouple extension KX, #16 shielded pairs, PLTC</t>
        </is>
      </c>
      <c r="K679" s="9" t="inlineStr">
        <is>
          <t>TCX|12 pr|16</t>
        </is>
      </c>
      <c r="L679" s="9" t="inlineStr">
        <is>
          <t>12 pr</t>
        </is>
      </c>
      <c r="M679" s="9" t="inlineStr">
        <is>
          <t>16</t>
        </is>
      </c>
      <c r="N679" s="9" t="n">
        <v>1</v>
      </c>
      <c r="O679" s="9" t="n">
        <v>1</v>
      </c>
      <c r="P679" s="9" t="n"/>
      <c r="Q679" s="9" t="n"/>
      <c r="R679" s="9" t="n"/>
      <c r="S679" s="9" t="inlineStr">
        <is>
          <t>Tray</t>
        </is>
      </c>
      <c r="T679" s="10" t="n">
        <v>0</v>
      </c>
      <c r="U679" s="10" t="n">
        <v>87</v>
      </c>
      <c r="V679" s="10">
        <f>ROUNDUP((T679+U679+2*'Read Me'!$B$13)*(1+'Read Me'!$B$12),-1)</f>
        <v/>
      </c>
      <c r="W679" s="10">
        <f>V679*N679*O679</f>
        <v/>
      </c>
      <c r="X679" s="9">
        <f>IF(LEFT(I679,2)="MV",2*N679*IF(L679="1/C",O679,1),0)</f>
        <v/>
      </c>
      <c r="Y679" s="9">
        <f>IF(OR(LEFT(K679,4)="LVAX",LEFT(K679,6)="MV15AX",LEFT(K679,4)="CTAX",LEFT(K679,2)="W|"),2*N679*O679,0)</f>
        <v/>
      </c>
      <c r="Z679" s="9" t="inlineStr"/>
    </row>
    <row r="680">
      <c r="A680" s="9" t="inlineStr">
        <is>
          <t>A-I-0217</t>
        </is>
      </c>
      <c r="B680" s="9" t="inlineStr">
        <is>
          <t>A</t>
        </is>
      </c>
      <c r="C680" s="9" t="inlineStr">
        <is>
          <t>Power block</t>
        </is>
      </c>
      <c r="D680" s="9" t="inlineStr">
        <is>
          <t>Thermocouples</t>
        </is>
      </c>
      <c r="E680" s="9" t="inlineStr">
        <is>
          <t>R2C</t>
        </is>
      </c>
      <c r="F680" s="9" t="inlineStr">
        <is>
          <t>R2C: unit / HRSG electrical e-house (32 x 40 ft)</t>
        </is>
      </c>
      <c r="G680" s="9" t="inlineStr">
        <is>
          <t>HRSG-3</t>
        </is>
      </c>
      <c r="H680" s="9" t="inlineStr">
        <is>
          <t>HRSG 3 + SCR (3P reheat, horizontal)</t>
        </is>
      </c>
      <c r="I680" s="9" t="inlineStr">
        <is>
          <t>Instrumentation</t>
        </is>
      </c>
      <c r="J680" s="9" t="inlineStr">
        <is>
          <t>Thermocouple extension KX, #16 shielded pairs, PLTC</t>
        </is>
      </c>
      <c r="K680" s="9" t="inlineStr">
        <is>
          <t>TCX|12 pr|16</t>
        </is>
      </c>
      <c r="L680" s="9" t="inlineStr">
        <is>
          <t>12 pr</t>
        </is>
      </c>
      <c r="M680" s="9" t="inlineStr">
        <is>
          <t>16</t>
        </is>
      </c>
      <c r="N680" s="9" t="n">
        <v>1</v>
      </c>
      <c r="O680" s="9" t="n">
        <v>1</v>
      </c>
      <c r="P680" s="9" t="n"/>
      <c r="Q680" s="9" t="n"/>
      <c r="R680" s="9" t="n"/>
      <c r="S680" s="9" t="inlineStr">
        <is>
          <t>Tray</t>
        </is>
      </c>
      <c r="T680" s="10" t="n">
        <v>0</v>
      </c>
      <c r="U680" s="10" t="n">
        <v>87</v>
      </c>
      <c r="V680" s="10">
        <f>ROUNDUP((T680+U680+2*'Read Me'!$B$13)*(1+'Read Me'!$B$12),-1)</f>
        <v/>
      </c>
      <c r="W680" s="10">
        <f>V680*N680*O680</f>
        <v/>
      </c>
      <c r="X680" s="9">
        <f>IF(LEFT(I680,2)="MV",2*N680*IF(L680="1/C",O680,1),0)</f>
        <v/>
      </c>
      <c r="Y680" s="9">
        <f>IF(OR(LEFT(K680,4)="LVAX",LEFT(K680,6)="MV15AX",LEFT(K680,4)="CTAX",LEFT(K680,2)="W|"),2*N680*O680,0)</f>
        <v/>
      </c>
      <c r="Z680" s="9" t="inlineStr"/>
    </row>
    <row r="681">
      <c r="A681" s="9" t="inlineStr">
        <is>
          <t>A-I-0218</t>
        </is>
      </c>
      <c r="B681" s="9" t="inlineStr">
        <is>
          <t>A</t>
        </is>
      </c>
      <c r="C681" s="9" t="inlineStr">
        <is>
          <t>Power block</t>
        </is>
      </c>
      <c r="D681" s="9" t="inlineStr">
        <is>
          <t>Thermocouples</t>
        </is>
      </c>
      <c r="E681" s="9" t="inlineStr">
        <is>
          <t>R2C</t>
        </is>
      </c>
      <c r="F681" s="9" t="inlineStr">
        <is>
          <t>R2C: unit / HRSG electrical e-house (32 x 40 ft)</t>
        </is>
      </c>
      <c r="G681" s="9" t="inlineStr">
        <is>
          <t>HRSG-3</t>
        </is>
      </c>
      <c r="H681" s="9" t="inlineStr">
        <is>
          <t>HRSG 3 + SCR (3P reheat, horizontal)</t>
        </is>
      </c>
      <c r="I681" s="9" t="inlineStr">
        <is>
          <t>Instrumentation</t>
        </is>
      </c>
      <c r="J681" s="9" t="inlineStr">
        <is>
          <t>Thermocouple extension KX, #16 shielded pairs, PLTC</t>
        </is>
      </c>
      <c r="K681" s="9" t="inlineStr">
        <is>
          <t>TCX|12 pr|16</t>
        </is>
      </c>
      <c r="L681" s="9" t="inlineStr">
        <is>
          <t>12 pr</t>
        </is>
      </c>
      <c r="M681" s="9" t="inlineStr">
        <is>
          <t>16</t>
        </is>
      </c>
      <c r="N681" s="9" t="n">
        <v>1</v>
      </c>
      <c r="O681" s="9" t="n">
        <v>1</v>
      </c>
      <c r="P681" s="9" t="n"/>
      <c r="Q681" s="9" t="n"/>
      <c r="R681" s="9" t="n"/>
      <c r="S681" s="9" t="inlineStr">
        <is>
          <t>Tray</t>
        </is>
      </c>
      <c r="T681" s="10" t="n">
        <v>0</v>
      </c>
      <c r="U681" s="10" t="n">
        <v>87</v>
      </c>
      <c r="V681" s="10">
        <f>ROUNDUP((T681+U681+2*'Read Me'!$B$13)*(1+'Read Me'!$B$12),-1)</f>
        <v/>
      </c>
      <c r="W681" s="10">
        <f>V681*N681*O681</f>
        <v/>
      </c>
      <c r="X681" s="9">
        <f>IF(LEFT(I681,2)="MV",2*N681*IF(L681="1/C",O681,1),0)</f>
        <v/>
      </c>
      <c r="Y681" s="9">
        <f>IF(OR(LEFT(K681,4)="LVAX",LEFT(K681,6)="MV15AX",LEFT(K681,4)="CTAX",LEFT(K681,2)="W|"),2*N681*O681,0)</f>
        <v/>
      </c>
      <c r="Z681" s="9" t="inlineStr"/>
    </row>
    <row r="682">
      <c r="A682" s="9" t="inlineStr">
        <is>
          <t>A-I-0219</t>
        </is>
      </c>
      <c r="B682" s="9" t="inlineStr">
        <is>
          <t>A</t>
        </is>
      </c>
      <c r="C682" s="9" t="inlineStr">
        <is>
          <t>Power block</t>
        </is>
      </c>
      <c r="D682" s="9" t="inlineStr">
        <is>
          <t>Instrumentation</t>
        </is>
      </c>
      <c r="E682" s="9" t="inlineStr">
        <is>
          <t>R2C</t>
        </is>
      </c>
      <c r="F682" s="9" t="inlineStr">
        <is>
          <t>R2C: unit / HRSG electrical e-house (32 x 40 ft)</t>
        </is>
      </c>
      <c r="G682" s="9" t="inlineStr"/>
      <c r="H682" s="9" t="inlineStr">
        <is>
          <t>HRSG 3 blowdown tank (continuous / intermittent)</t>
        </is>
      </c>
      <c r="I682" s="9" t="inlineStr">
        <is>
          <t>Instrumentation</t>
        </is>
      </c>
      <c r="J682" s="9" t="inlineStr">
        <is>
          <t>Instrumentation PLTC / TC-ER 300 V, #18 twisted shielded pairs, overall shield</t>
        </is>
      </c>
      <c r="K682" s="9" t="inlineStr">
        <is>
          <t>PLTC|4 pr|18</t>
        </is>
      </c>
      <c r="L682" s="9" t="inlineStr">
        <is>
          <t>4 pr</t>
        </is>
      </c>
      <c r="M682" s="9" t="inlineStr">
        <is>
          <t>18</t>
        </is>
      </c>
      <c r="N682" s="9" t="n">
        <v>1</v>
      </c>
      <c r="O682" s="9" t="n">
        <v>1</v>
      </c>
      <c r="P682" s="9" t="n"/>
      <c r="Q682" s="9" t="n"/>
      <c r="R682" s="9" t="n"/>
      <c r="S682" s="9" t="inlineStr">
        <is>
          <t>Tray</t>
        </is>
      </c>
      <c r="T682" s="10" t="n">
        <v>0</v>
      </c>
      <c r="U682" s="10" t="n">
        <v>124</v>
      </c>
      <c r="V682" s="10">
        <f>ROUNDUP((T682+U682+2*'Read Me'!$B$13)*(1+'Read Me'!$B$12),-1)</f>
        <v/>
      </c>
      <c r="W682" s="10">
        <f>V682*N682*O682</f>
        <v/>
      </c>
      <c r="X682" s="9">
        <f>IF(LEFT(I682,2)="MV",2*N682*IF(L682="1/C",O682,1),0)</f>
        <v/>
      </c>
      <c r="Y682" s="9">
        <f>IF(OR(LEFT(K682,4)="LVAX",LEFT(K682,6)="MV15AX",LEFT(K682,4)="CTAX",LEFT(K682,2)="W|"),2*N682*O682,0)</f>
        <v/>
      </c>
      <c r="Z682" s="9" t="inlineStr"/>
    </row>
    <row r="683">
      <c r="A683" s="9" t="inlineStr">
        <is>
          <t>A-I-0220</t>
        </is>
      </c>
      <c r="B683" s="9" t="inlineStr">
        <is>
          <t>A</t>
        </is>
      </c>
      <c r="C683" s="9" t="inlineStr">
        <is>
          <t>Power block</t>
        </is>
      </c>
      <c r="D683" s="9" t="inlineStr">
        <is>
          <t>Instrumentation</t>
        </is>
      </c>
      <c r="E683" s="9" t="inlineStr">
        <is>
          <t>R2C</t>
        </is>
      </c>
      <c r="F683" s="9" t="inlineStr">
        <is>
          <t>R2C: unit / HRSG electrical e-house (32 x 40 ft)</t>
        </is>
      </c>
      <c r="G683" s="9" t="inlineStr"/>
      <c r="H683" s="9" t="inlineStr">
        <is>
          <t>HRSG 3 blowdown tank (continuous / intermittent)</t>
        </is>
      </c>
      <c r="I683" s="9" t="inlineStr">
        <is>
          <t>Instrumentation</t>
        </is>
      </c>
      <c r="J683" s="9" t="inlineStr">
        <is>
          <t>Instrumentation PLTC / TC-ER 300 V, #18 twisted shielded pairs, overall shield</t>
        </is>
      </c>
      <c r="K683" s="9" t="inlineStr">
        <is>
          <t>PLTC|12 pr|18</t>
        </is>
      </c>
      <c r="L683" s="9" t="inlineStr">
        <is>
          <t>12 pr</t>
        </is>
      </c>
      <c r="M683" s="9" t="inlineStr">
        <is>
          <t>18</t>
        </is>
      </c>
      <c r="N683" s="9" t="n">
        <v>1</v>
      </c>
      <c r="O683" s="9" t="n">
        <v>1</v>
      </c>
      <c r="P683" s="9" t="n"/>
      <c r="Q683" s="9" t="n"/>
      <c r="R683" s="9" t="n"/>
      <c r="S683" s="9" t="inlineStr">
        <is>
          <t>Tray</t>
        </is>
      </c>
      <c r="T683" s="10" t="n">
        <v>0</v>
      </c>
      <c r="U683" s="10" t="n">
        <v>124</v>
      </c>
      <c r="V683" s="10">
        <f>ROUNDUP((T683+U683+2*'Read Me'!$B$13)*(1+'Read Me'!$B$12),-1)</f>
        <v/>
      </c>
      <c r="W683" s="10">
        <f>V683*N683*O683</f>
        <v/>
      </c>
      <c r="X683" s="9">
        <f>IF(LEFT(I683,2)="MV",2*N683*IF(L683="1/C",O683,1),0)</f>
        <v/>
      </c>
      <c r="Y683" s="9">
        <f>IF(OR(LEFT(K683,4)="LVAX",LEFT(K683,6)="MV15AX",LEFT(K683,4)="CTAX",LEFT(K683,2)="W|"),2*N683*O683,0)</f>
        <v/>
      </c>
      <c r="Z683" s="9" t="inlineStr"/>
    </row>
    <row r="684">
      <c r="A684" s="9" t="inlineStr">
        <is>
          <t>A-I-0221</t>
        </is>
      </c>
      <c r="B684" s="9" t="inlineStr">
        <is>
          <t>A</t>
        </is>
      </c>
      <c r="C684" s="9" t="inlineStr">
        <is>
          <t>Power block</t>
        </is>
      </c>
      <c r="D684" s="9" t="inlineStr">
        <is>
          <t>Instrumentation</t>
        </is>
      </c>
      <c r="E684" s="9" t="inlineStr">
        <is>
          <t>R3</t>
        </is>
      </c>
      <c r="F684" s="9" t="inlineStr">
        <is>
          <t>R3: ST auxiliary electrical e-house (40 x 65 ft)</t>
        </is>
      </c>
      <c r="G684" s="9" t="inlineStr"/>
      <c r="H684" s="9" t="inlineStr">
        <is>
          <t>HRSG 3 chemical feed skid (phosphate / amine)</t>
        </is>
      </c>
      <c r="I684" s="9" t="inlineStr">
        <is>
          <t>Instrumentation</t>
        </is>
      </c>
      <c r="J684" s="9" t="inlineStr">
        <is>
          <t>Instrumentation PLTC / TC-ER 300 V, #18 twisted shielded pairs, overall shield</t>
        </is>
      </c>
      <c r="K684" s="9" t="inlineStr">
        <is>
          <t>PLTC|4 pr|18</t>
        </is>
      </c>
      <c r="L684" s="9" t="inlineStr">
        <is>
          <t>4 pr</t>
        </is>
      </c>
      <c r="M684" s="9" t="inlineStr">
        <is>
          <t>18</t>
        </is>
      </c>
      <c r="N684" s="9" t="n">
        <v>1</v>
      </c>
      <c r="O684" s="9" t="n">
        <v>1</v>
      </c>
      <c r="P684" s="9" t="n"/>
      <c r="Q684" s="9" t="n"/>
      <c r="R684" s="9" t="n"/>
      <c r="S684" s="9" t="inlineStr">
        <is>
          <t>Tray</t>
        </is>
      </c>
      <c r="T684" s="10" t="n">
        <v>512</v>
      </c>
      <c r="U684" s="10" t="n">
        <v>150</v>
      </c>
      <c r="V684" s="10">
        <f>ROUNDUP((T684+U684+2*'Read Me'!$B$13)*(1+'Read Me'!$B$12),-1)</f>
        <v/>
      </c>
      <c r="W684" s="10">
        <f>V684*N684*O684</f>
        <v/>
      </c>
      <c r="X684" s="9">
        <f>IF(LEFT(I684,2)="MV",2*N684*IF(L684="1/C",O684,1),0)</f>
        <v/>
      </c>
      <c r="Y684" s="9">
        <f>IF(OR(LEFT(K684,4)="LVAX",LEFT(K684,6)="MV15AX",LEFT(K684,4)="CTAX",LEFT(K684,2)="W|"),2*N684*O684,0)</f>
        <v/>
      </c>
      <c r="Z684" s="9" t="inlineStr"/>
    </row>
    <row r="685">
      <c r="A685" s="9" t="inlineStr">
        <is>
          <t>A-I-0222</t>
        </is>
      </c>
      <c r="B685" s="9" t="inlineStr">
        <is>
          <t>A</t>
        </is>
      </c>
      <c r="C685" s="9" t="inlineStr">
        <is>
          <t>Power block</t>
        </is>
      </c>
      <c r="D685" s="9" t="inlineStr">
        <is>
          <t>Instrumentation</t>
        </is>
      </c>
      <c r="E685" s="9" t="inlineStr">
        <is>
          <t>R3</t>
        </is>
      </c>
      <c r="F685" s="9" t="inlineStr">
        <is>
          <t>R3: ST auxiliary electrical e-house (40 x 65 ft)</t>
        </is>
      </c>
      <c r="G685" s="9" t="inlineStr"/>
      <c r="H685" s="9" t="inlineStr">
        <is>
          <t>HRSG 3 chemical feed skid (phosphate / amine)</t>
        </is>
      </c>
      <c r="I685" s="9" t="inlineStr">
        <is>
          <t>Instrumentation</t>
        </is>
      </c>
      <c r="J685" s="9" t="inlineStr">
        <is>
          <t>Instrumentation PLTC / TC-ER 300 V, #18 twisted shielded pairs, overall shield</t>
        </is>
      </c>
      <c r="K685" s="9" t="inlineStr">
        <is>
          <t>PLTC|12 pr|18</t>
        </is>
      </c>
      <c r="L685" s="9" t="inlineStr">
        <is>
          <t>12 pr</t>
        </is>
      </c>
      <c r="M685" s="9" t="inlineStr">
        <is>
          <t>18</t>
        </is>
      </c>
      <c r="N685" s="9" t="n">
        <v>1</v>
      </c>
      <c r="O685" s="9" t="n">
        <v>1</v>
      </c>
      <c r="P685" s="9" t="n"/>
      <c r="Q685" s="9" t="n"/>
      <c r="R685" s="9" t="n"/>
      <c r="S685" s="9" t="inlineStr">
        <is>
          <t>Tray</t>
        </is>
      </c>
      <c r="T685" s="10" t="n">
        <v>512</v>
      </c>
      <c r="U685" s="10" t="n">
        <v>150</v>
      </c>
      <c r="V685" s="10">
        <f>ROUNDUP((T685+U685+2*'Read Me'!$B$13)*(1+'Read Me'!$B$12),-1)</f>
        <v/>
      </c>
      <c r="W685" s="10">
        <f>V685*N685*O685</f>
        <v/>
      </c>
      <c r="X685" s="9">
        <f>IF(LEFT(I685,2)="MV",2*N685*IF(L685="1/C",O685,1),0)</f>
        <v/>
      </c>
      <c r="Y685" s="9">
        <f>IF(OR(LEFT(K685,4)="LVAX",LEFT(K685,6)="MV15AX",LEFT(K685,4)="CTAX",LEFT(K685,2)="W|"),2*N685*O685,0)</f>
        <v/>
      </c>
      <c r="Z685" s="9" t="inlineStr"/>
    </row>
    <row r="686">
      <c r="A686" s="9" t="inlineStr">
        <is>
          <t>A-I-0223</t>
        </is>
      </c>
      <c r="B686" s="9" t="inlineStr">
        <is>
          <t>A</t>
        </is>
      </c>
      <c r="C686" s="9" t="inlineStr">
        <is>
          <t>Power block</t>
        </is>
      </c>
      <c r="D686" s="9" t="inlineStr">
        <is>
          <t>Instrumentation</t>
        </is>
      </c>
      <c r="E686" s="9" t="inlineStr">
        <is>
          <t>R1</t>
        </is>
      </c>
      <c r="F686" s="9" t="inlineStr">
        <is>
          <t>R1: main electrical building (64 x 180 ft)</t>
        </is>
      </c>
      <c r="G686" s="9" t="inlineStr">
        <is>
          <t>LCT-A</t>
        </is>
      </c>
      <c r="H686" s="9" t="inlineStr">
        <is>
          <t>LCT-A: 13.8/0.48 kV load-centre transformer</t>
        </is>
      </c>
      <c r="I686" s="9" t="inlineStr">
        <is>
          <t>Instrumentation</t>
        </is>
      </c>
      <c r="J686" s="9" t="inlineStr">
        <is>
          <t>Instrumentation PLTC / TC-ER 300 V, #18 twisted shielded pairs, overall shield</t>
        </is>
      </c>
      <c r="K686" s="9" t="inlineStr">
        <is>
          <t>PLTC|4 pr|18</t>
        </is>
      </c>
      <c r="L686" s="9" t="inlineStr">
        <is>
          <t>4 pr</t>
        </is>
      </c>
      <c r="M686" s="9" t="inlineStr">
        <is>
          <t>18</t>
        </is>
      </c>
      <c r="N686" s="9" t="n">
        <v>1</v>
      </c>
      <c r="O686" s="9" t="n">
        <v>1</v>
      </c>
      <c r="P686" s="9" t="n"/>
      <c r="Q686" s="9" t="n"/>
      <c r="R686" s="9" t="n"/>
      <c r="S686" s="9" t="inlineStr">
        <is>
          <t>Duct bank</t>
        </is>
      </c>
      <c r="T686" s="10" t="n">
        <v>1355</v>
      </c>
      <c r="U686" s="10" t="n">
        <v>46</v>
      </c>
      <c r="V686" s="10">
        <f>ROUNDUP((T686+U686+2*'Read Me'!$B$13)*(1+'Read Me'!$B$12),-1)</f>
        <v/>
      </c>
      <c r="W686" s="10">
        <f>V686*N686*O686</f>
        <v/>
      </c>
      <c r="X686" s="9">
        <f>IF(LEFT(I686,2)="MV",2*N686*IF(L686="1/C",O686,1),0)</f>
        <v/>
      </c>
      <c r="Y686" s="9">
        <f>IF(OR(LEFT(K686,4)="LVAX",LEFT(K686,6)="MV15AX",LEFT(K686,4)="CTAX",LEFT(K686,2)="W|"),2*N686*O686,0)</f>
        <v/>
      </c>
      <c r="Z686" s="9" t="inlineStr"/>
    </row>
    <row r="687">
      <c r="A687" s="9" t="inlineStr">
        <is>
          <t>A-I-0224</t>
        </is>
      </c>
      <c r="B687" s="9" t="inlineStr">
        <is>
          <t>A</t>
        </is>
      </c>
      <c r="C687" s="9" t="inlineStr">
        <is>
          <t>Power block</t>
        </is>
      </c>
      <c r="D687" s="9" t="inlineStr">
        <is>
          <t>Instrumentation</t>
        </is>
      </c>
      <c r="E687" s="9" t="inlineStr">
        <is>
          <t>R1</t>
        </is>
      </c>
      <c r="F687" s="9" t="inlineStr">
        <is>
          <t>R1: main electrical building (64 x 180 ft)</t>
        </is>
      </c>
      <c r="G687" s="9" t="inlineStr">
        <is>
          <t>LCT-B</t>
        </is>
      </c>
      <c r="H687" s="9" t="inlineStr">
        <is>
          <t>LCT-B: 13.8/0.48 kV load-centre transformer</t>
        </is>
      </c>
      <c r="I687" s="9" t="inlineStr">
        <is>
          <t>Instrumentation</t>
        </is>
      </c>
      <c r="J687" s="9" t="inlineStr">
        <is>
          <t>Instrumentation PLTC / TC-ER 300 V, #18 twisted shielded pairs, overall shield</t>
        </is>
      </c>
      <c r="K687" s="9" t="inlineStr">
        <is>
          <t>PLTC|4 pr|18</t>
        </is>
      </c>
      <c r="L687" s="9" t="inlineStr">
        <is>
          <t>4 pr</t>
        </is>
      </c>
      <c r="M687" s="9" t="inlineStr">
        <is>
          <t>18</t>
        </is>
      </c>
      <c r="N687" s="9" t="n">
        <v>1</v>
      </c>
      <c r="O687" s="9" t="n">
        <v>1</v>
      </c>
      <c r="P687" s="9" t="n"/>
      <c r="Q687" s="9" t="n"/>
      <c r="R687" s="9" t="n"/>
      <c r="S687" s="9" t="inlineStr">
        <is>
          <t>Duct bank</t>
        </is>
      </c>
      <c r="T687" s="10" t="n">
        <v>1355</v>
      </c>
      <c r="U687" s="10" t="n">
        <v>68</v>
      </c>
      <c r="V687" s="10">
        <f>ROUNDUP((T687+U687+2*'Read Me'!$B$13)*(1+'Read Me'!$B$12),-1)</f>
        <v/>
      </c>
      <c r="W687" s="10">
        <f>V687*N687*O687</f>
        <v/>
      </c>
      <c r="X687" s="9">
        <f>IF(LEFT(I687,2)="MV",2*N687*IF(L687="1/C",O687,1),0)</f>
        <v/>
      </c>
      <c r="Y687" s="9">
        <f>IF(OR(LEFT(K687,4)="LVAX",LEFT(K687,6)="MV15AX",LEFT(K687,4)="CTAX",LEFT(K687,2)="W|"),2*N687*O687,0)</f>
        <v/>
      </c>
      <c r="Z687" s="9" t="inlineStr"/>
    </row>
    <row r="688">
      <c r="A688" s="9" t="inlineStr">
        <is>
          <t>A-I-0225</t>
        </is>
      </c>
      <c r="B688" s="9" t="inlineStr">
        <is>
          <t>A</t>
        </is>
      </c>
      <c r="C688" s="9" t="inlineStr">
        <is>
          <t>Power block</t>
        </is>
      </c>
      <c r="D688" s="9" t="inlineStr">
        <is>
          <t>Instrumentation</t>
        </is>
      </c>
      <c r="E688" s="9" t="inlineStr">
        <is>
          <t>R1</t>
        </is>
      </c>
      <c r="F688" s="9" t="inlineStr">
        <is>
          <t>R1: main electrical building (64 x 180 ft)</t>
        </is>
      </c>
      <c r="G688" s="9" t="inlineStr">
        <is>
          <t>TX-LCI-1</t>
        </is>
      </c>
      <c r="H688" s="9" t="inlineStr">
        <is>
          <t>R1 TX-LCI-1 dry-type input transformer</t>
        </is>
      </c>
      <c r="I688" s="9" t="inlineStr">
        <is>
          <t>Instrumentation</t>
        </is>
      </c>
      <c r="J688" s="9" t="inlineStr">
        <is>
          <t>Instrumentation PLTC / TC-ER 300 V, #18 twisted shielded pairs, overall shield</t>
        </is>
      </c>
      <c r="K688" s="9" t="inlineStr">
        <is>
          <t>PLTC|4 pr|18</t>
        </is>
      </c>
      <c r="L688" s="9" t="inlineStr">
        <is>
          <t>4 pr</t>
        </is>
      </c>
      <c r="M688" s="9" t="inlineStr">
        <is>
          <t>18</t>
        </is>
      </c>
      <c r="N688" s="9" t="n">
        <v>1</v>
      </c>
      <c r="O688" s="9" t="n">
        <v>1</v>
      </c>
      <c r="P688" s="9" t="n"/>
      <c r="Q688" s="9" t="n"/>
      <c r="R688" s="9" t="n"/>
      <c r="S688" s="9" t="inlineStr">
        <is>
          <t>Tray</t>
        </is>
      </c>
      <c r="T688" s="10" t="n">
        <v>0</v>
      </c>
      <c r="U688" s="10" t="n">
        <v>73</v>
      </c>
      <c r="V688" s="10">
        <f>ROUNDUP((T688+U688+2*'Read Me'!$B$13)*(1+'Read Me'!$B$12),-1)</f>
        <v/>
      </c>
      <c r="W688" s="10">
        <f>V688*N688*O688</f>
        <v/>
      </c>
      <c r="X688" s="9">
        <f>IF(LEFT(I688,2)="MV",2*N688*IF(L688="1/C",O688,1),0)</f>
        <v/>
      </c>
      <c r="Y688" s="9">
        <f>IF(OR(LEFT(K688,4)="LVAX",LEFT(K688,6)="MV15AX",LEFT(K688,4)="CTAX",LEFT(K688,2)="W|"),2*N688*O688,0)</f>
        <v/>
      </c>
      <c r="Z688" s="9" t="inlineStr"/>
    </row>
    <row r="689">
      <c r="A689" s="9" t="inlineStr">
        <is>
          <t>A-I-0226</t>
        </is>
      </c>
      <c r="B689" s="9" t="inlineStr">
        <is>
          <t>A</t>
        </is>
      </c>
      <c r="C689" s="9" t="inlineStr">
        <is>
          <t>Power block</t>
        </is>
      </c>
      <c r="D689" s="9" t="inlineStr">
        <is>
          <t>Instrumentation</t>
        </is>
      </c>
      <c r="E689" s="9" t="inlineStr">
        <is>
          <t>R1</t>
        </is>
      </c>
      <c r="F689" s="9" t="inlineStr">
        <is>
          <t>R1: main electrical building (64 x 180 ft)</t>
        </is>
      </c>
      <c r="G689" s="9" t="inlineStr">
        <is>
          <t>TX-LCI-2</t>
        </is>
      </c>
      <c r="H689" s="9" t="inlineStr">
        <is>
          <t>R1 TX-LCI-2 dry-type input transformer</t>
        </is>
      </c>
      <c r="I689" s="9" t="inlineStr">
        <is>
          <t>Instrumentation</t>
        </is>
      </c>
      <c r="J689" s="9" t="inlineStr">
        <is>
          <t>Instrumentation PLTC / TC-ER 300 V, #18 twisted shielded pairs, overall shield</t>
        </is>
      </c>
      <c r="K689" s="9" t="inlineStr">
        <is>
          <t>PLTC|4 pr|18</t>
        </is>
      </c>
      <c r="L689" s="9" t="inlineStr">
        <is>
          <t>4 pr</t>
        </is>
      </c>
      <c r="M689" s="9" t="inlineStr">
        <is>
          <t>18</t>
        </is>
      </c>
      <c r="N689" s="9" t="n">
        <v>1</v>
      </c>
      <c r="O689" s="9" t="n">
        <v>1</v>
      </c>
      <c r="P689" s="9" t="n"/>
      <c r="Q689" s="9" t="n"/>
      <c r="R689" s="9" t="n"/>
      <c r="S689" s="9" t="inlineStr">
        <is>
          <t>Tray</t>
        </is>
      </c>
      <c r="T689" s="10" t="n">
        <v>0</v>
      </c>
      <c r="U689" s="10" t="n">
        <v>109</v>
      </c>
      <c r="V689" s="10">
        <f>ROUNDUP((T689+U689+2*'Read Me'!$B$13)*(1+'Read Me'!$B$12),-1)</f>
        <v/>
      </c>
      <c r="W689" s="10">
        <f>V689*N689*O689</f>
        <v/>
      </c>
      <c r="X689" s="9">
        <f>IF(LEFT(I689,2)="MV",2*N689*IF(L689="1/C",O689,1),0)</f>
        <v/>
      </c>
      <c r="Y689" s="9">
        <f>IF(OR(LEFT(K689,4)="LVAX",LEFT(K689,6)="MV15AX",LEFT(K689,4)="CTAX",LEFT(K689,2)="W|"),2*N689*O689,0)</f>
        <v/>
      </c>
      <c r="Z689" s="9" t="inlineStr"/>
    </row>
    <row r="690">
      <c r="A690" s="9" t="inlineStr">
        <is>
          <t>A-I-0227</t>
        </is>
      </c>
      <c r="B690" s="9" t="inlineStr">
        <is>
          <t>A</t>
        </is>
      </c>
      <c r="C690" s="9" t="inlineStr">
        <is>
          <t>Power block</t>
        </is>
      </c>
      <c r="D690" s="9" t="inlineStr">
        <is>
          <t>Instrumentation</t>
        </is>
      </c>
      <c r="E690" s="9" t="inlineStr">
        <is>
          <t>R1</t>
        </is>
      </c>
      <c r="F690" s="9" t="inlineStr">
        <is>
          <t>R1: main electrical building (64 x 180 ft)</t>
        </is>
      </c>
      <c r="G690" s="9" t="inlineStr">
        <is>
          <t>TX-LCI-3</t>
        </is>
      </c>
      <c r="H690" s="9" t="inlineStr">
        <is>
          <t>R1 TX-LCI-3 dry-type input transformer</t>
        </is>
      </c>
      <c r="I690" s="9" t="inlineStr">
        <is>
          <t>Instrumentation</t>
        </is>
      </c>
      <c r="J690" s="9" t="inlineStr">
        <is>
          <t>Instrumentation PLTC / TC-ER 300 V, #18 twisted shielded pairs, overall shield</t>
        </is>
      </c>
      <c r="K690" s="9" t="inlineStr">
        <is>
          <t>PLTC|4 pr|18</t>
        </is>
      </c>
      <c r="L690" s="9" t="inlineStr">
        <is>
          <t>4 pr</t>
        </is>
      </c>
      <c r="M690" s="9" t="inlineStr">
        <is>
          <t>18</t>
        </is>
      </c>
      <c r="N690" s="9" t="n">
        <v>1</v>
      </c>
      <c r="O690" s="9" t="n">
        <v>1</v>
      </c>
      <c r="P690" s="9" t="n"/>
      <c r="Q690" s="9" t="n"/>
      <c r="R690" s="9" t="n"/>
      <c r="S690" s="9" t="inlineStr">
        <is>
          <t>Duct bank</t>
        </is>
      </c>
      <c r="T690" s="10" t="n">
        <v>1304</v>
      </c>
      <c r="U690" s="10" t="n">
        <v>66</v>
      </c>
      <c r="V690" s="10">
        <f>ROUNDUP((T690+U690+2*'Read Me'!$B$13)*(1+'Read Me'!$B$12),-1)</f>
        <v/>
      </c>
      <c r="W690" s="10">
        <f>V690*N690*O690</f>
        <v/>
      </c>
      <c r="X690" s="9">
        <f>IF(LEFT(I690,2)="MV",2*N690*IF(L690="1/C",O690,1),0)</f>
        <v/>
      </c>
      <c r="Y690" s="9">
        <f>IF(OR(LEFT(K690,4)="LVAX",LEFT(K690,6)="MV15AX",LEFT(K690,4)="CTAX",LEFT(K690,2)="W|"),2*N690*O690,0)</f>
        <v/>
      </c>
      <c r="Z690" s="9" t="inlineStr"/>
    </row>
    <row r="691">
      <c r="A691" s="9" t="inlineStr">
        <is>
          <t>A-I-0228</t>
        </is>
      </c>
      <c r="B691" s="9" t="inlineStr">
        <is>
          <t>A</t>
        </is>
      </c>
      <c r="C691" s="9" t="inlineStr">
        <is>
          <t>Power block</t>
        </is>
      </c>
      <c r="D691" s="9" t="inlineStr">
        <is>
          <t>Instrumentation</t>
        </is>
      </c>
      <c r="E691" s="9" t="inlineStr">
        <is>
          <t>R2B</t>
        </is>
      </c>
      <c r="F691" s="9" t="inlineStr">
        <is>
          <t>R2B: unit / HRSG electrical e-house (32 x 40 ft)</t>
        </is>
      </c>
      <c r="G691" s="9" t="inlineStr">
        <is>
          <t>SCRB-1</t>
        </is>
      </c>
      <c r="H691" s="9" t="inlineStr">
        <is>
          <t>SCRB-1A/B: SCR dilution-air blowers</t>
        </is>
      </c>
      <c r="I691" s="9" t="inlineStr">
        <is>
          <t>Instrumentation</t>
        </is>
      </c>
      <c r="J691" s="9" t="inlineStr">
        <is>
          <t>Instrumentation PLTC / TC-ER 300 V, #18 twisted shielded pairs, overall shield</t>
        </is>
      </c>
      <c r="K691" s="9" t="inlineStr">
        <is>
          <t>PLTC|4 pr|18</t>
        </is>
      </c>
      <c r="L691" s="9" t="inlineStr">
        <is>
          <t>4 pr</t>
        </is>
      </c>
      <c r="M691" s="9" t="inlineStr">
        <is>
          <t>18</t>
        </is>
      </c>
      <c r="N691" s="9" t="n">
        <v>1</v>
      </c>
      <c r="O691" s="9" t="n">
        <v>1</v>
      </c>
      <c r="P691" s="9" t="n"/>
      <c r="Q691" s="9" t="n"/>
      <c r="R691" s="9" t="n"/>
      <c r="S691" s="9" t="inlineStr">
        <is>
          <t>Tray</t>
        </is>
      </c>
      <c r="T691" s="10" t="n">
        <v>116</v>
      </c>
      <c r="U691" s="10" t="n">
        <v>78</v>
      </c>
      <c r="V691" s="10">
        <f>ROUNDUP((T691+U691+2*'Read Me'!$B$13)*(1+'Read Me'!$B$12),-1)</f>
        <v/>
      </c>
      <c r="W691" s="10">
        <f>V691*N691*O691</f>
        <v/>
      </c>
      <c r="X691" s="9">
        <f>IF(LEFT(I691,2)="MV",2*N691*IF(L691="1/C",O691,1),0)</f>
        <v/>
      </c>
      <c r="Y691" s="9">
        <f>IF(OR(LEFT(K691,4)="LVAX",LEFT(K691,6)="MV15AX",LEFT(K691,4)="CTAX",LEFT(K691,2)="W|"),2*N691*O691,0)</f>
        <v/>
      </c>
      <c r="Z691" s="9" t="inlineStr"/>
    </row>
    <row r="692">
      <c r="A692" s="9" t="inlineStr">
        <is>
          <t>A-I-0229</t>
        </is>
      </c>
      <c r="B692" s="9" t="inlineStr">
        <is>
          <t>A</t>
        </is>
      </c>
      <c r="C692" s="9" t="inlineStr">
        <is>
          <t>Power block</t>
        </is>
      </c>
      <c r="D692" s="9" t="inlineStr">
        <is>
          <t>Instrumentation</t>
        </is>
      </c>
      <c r="E692" s="9" t="inlineStr">
        <is>
          <t>R2C</t>
        </is>
      </c>
      <c r="F692" s="9" t="inlineStr">
        <is>
          <t>R2C: unit / HRSG electrical e-house (32 x 40 ft)</t>
        </is>
      </c>
      <c r="G692" s="9" t="inlineStr">
        <is>
          <t>SCRB-2</t>
        </is>
      </c>
      <c r="H692" s="9" t="inlineStr">
        <is>
          <t>SCRB-2A/B: SCR dilution-air blowers</t>
        </is>
      </c>
      <c r="I692" s="9" t="inlineStr">
        <is>
          <t>Instrumentation</t>
        </is>
      </c>
      <c r="J692" s="9" t="inlineStr">
        <is>
          <t>Instrumentation PLTC / TC-ER 300 V, #18 twisted shielded pairs, overall shield</t>
        </is>
      </c>
      <c r="K692" s="9" t="inlineStr">
        <is>
          <t>PLTC|4 pr|18</t>
        </is>
      </c>
      <c r="L692" s="9" t="inlineStr">
        <is>
          <t>4 pr</t>
        </is>
      </c>
      <c r="M692" s="9" t="inlineStr">
        <is>
          <t>18</t>
        </is>
      </c>
      <c r="N692" s="9" t="n">
        <v>1</v>
      </c>
      <c r="O692" s="9" t="n">
        <v>1</v>
      </c>
      <c r="P692" s="9" t="n"/>
      <c r="Q692" s="9" t="n"/>
      <c r="R692" s="9" t="n"/>
      <c r="S692" s="9" t="inlineStr">
        <is>
          <t>Tray</t>
        </is>
      </c>
      <c r="T692" s="10" t="n">
        <v>30</v>
      </c>
      <c r="U692" s="10" t="n">
        <v>128</v>
      </c>
      <c r="V692" s="10">
        <f>ROUNDUP((T692+U692+2*'Read Me'!$B$13)*(1+'Read Me'!$B$12),-1)</f>
        <v/>
      </c>
      <c r="W692" s="10">
        <f>V692*N692*O692</f>
        <v/>
      </c>
      <c r="X692" s="9">
        <f>IF(LEFT(I692,2)="MV",2*N692*IF(L692="1/C",O692,1),0)</f>
        <v/>
      </c>
      <c r="Y692" s="9">
        <f>IF(OR(LEFT(K692,4)="LVAX",LEFT(K692,6)="MV15AX",LEFT(K692,4)="CTAX",LEFT(K692,2)="W|"),2*N692*O692,0)</f>
        <v/>
      </c>
      <c r="Z692" s="9" t="inlineStr"/>
    </row>
    <row r="693">
      <c r="A693" s="9" t="inlineStr">
        <is>
          <t>A-I-0230</t>
        </is>
      </c>
      <c r="B693" s="9" t="inlineStr">
        <is>
          <t>A</t>
        </is>
      </c>
      <c r="C693" s="9" t="inlineStr">
        <is>
          <t>Power block</t>
        </is>
      </c>
      <c r="D693" s="9" t="inlineStr">
        <is>
          <t>Instrumentation</t>
        </is>
      </c>
      <c r="E693" s="9" t="inlineStr">
        <is>
          <t>R3</t>
        </is>
      </c>
      <c r="F693" s="9" t="inlineStr">
        <is>
          <t>R3: ST auxiliary electrical e-house (40 x 65 ft)</t>
        </is>
      </c>
      <c r="G693" s="9" t="inlineStr">
        <is>
          <t>SCRB-3</t>
        </is>
      </c>
      <c r="H693" s="9" t="inlineStr">
        <is>
          <t>SCRB-3A/B: SCR dilution-air blowers</t>
        </is>
      </c>
      <c r="I693" s="9" t="inlineStr">
        <is>
          <t>Instrumentation</t>
        </is>
      </c>
      <c r="J693" s="9" t="inlineStr">
        <is>
          <t>Instrumentation PLTC / TC-ER 300 V, #18 twisted shielded pairs, overall shield</t>
        </is>
      </c>
      <c r="K693" s="9" t="inlineStr">
        <is>
          <t>PLTC|4 pr|18</t>
        </is>
      </c>
      <c r="L693" s="9" t="inlineStr">
        <is>
          <t>4 pr</t>
        </is>
      </c>
      <c r="M693" s="9" t="inlineStr">
        <is>
          <t>18</t>
        </is>
      </c>
      <c r="N693" s="9" t="n">
        <v>1</v>
      </c>
      <c r="O693" s="9" t="n">
        <v>1</v>
      </c>
      <c r="P693" s="9" t="n"/>
      <c r="Q693" s="9" t="n"/>
      <c r="R693" s="9" t="n"/>
      <c r="S693" s="9" t="inlineStr">
        <is>
          <t>Tray</t>
        </is>
      </c>
      <c r="T693" s="10" t="n">
        <v>510</v>
      </c>
      <c r="U693" s="10" t="n">
        <v>114</v>
      </c>
      <c r="V693" s="10">
        <f>ROUNDUP((T693+U693+2*'Read Me'!$B$13)*(1+'Read Me'!$B$12),-1)</f>
        <v/>
      </c>
      <c r="W693" s="10">
        <f>V693*N693*O693</f>
        <v/>
      </c>
      <c r="X693" s="9">
        <f>IF(LEFT(I693,2)="MV",2*N693*IF(L693="1/C",O693,1),0)</f>
        <v/>
      </c>
      <c r="Y693" s="9">
        <f>IF(OR(LEFT(K693,4)="LVAX",LEFT(K693,6)="MV15AX",LEFT(K693,4)="CTAX",LEFT(K693,2)="W|"),2*N693*O693,0)</f>
        <v/>
      </c>
      <c r="Z693" s="9" t="inlineStr"/>
    </row>
    <row r="694">
      <c r="A694" s="9" t="inlineStr">
        <is>
          <t>A-I-0231</t>
        </is>
      </c>
      <c r="B694" s="9" t="inlineStr">
        <is>
          <t>A</t>
        </is>
      </c>
      <c r="C694" s="9" t="inlineStr">
        <is>
          <t>Power block</t>
        </is>
      </c>
      <c r="D694" s="9" t="inlineStr">
        <is>
          <t>Instrumentation</t>
        </is>
      </c>
      <c r="E694" s="9" t="inlineStr">
        <is>
          <t>R2A</t>
        </is>
      </c>
      <c r="F694" s="9" t="inlineStr">
        <is>
          <t>R2A: unit / HRSG electrical e-house (32 x 40 ft)</t>
        </is>
      </c>
      <c r="G694" s="9" t="inlineStr">
        <is>
          <t>SOS-1</t>
        </is>
      </c>
      <c r="H694" s="9" t="inlineStr">
        <is>
          <t>SOS-1: GTG-1 seal-oil and H2 / CO2 gas-control skid</t>
        </is>
      </c>
      <c r="I694" s="9" t="inlineStr">
        <is>
          <t>Instrumentation</t>
        </is>
      </c>
      <c r="J694" s="9" t="inlineStr">
        <is>
          <t>Instrumentation ITC / PLTC, IS, #18 shielded pairs, blue jacket</t>
        </is>
      </c>
      <c r="K694" s="9" t="inlineStr">
        <is>
          <t>ITC|4 pr|18</t>
        </is>
      </c>
      <c r="L694" s="9" t="inlineStr">
        <is>
          <t>4 pr</t>
        </is>
      </c>
      <c r="M694" s="9" t="inlineStr">
        <is>
          <t>18</t>
        </is>
      </c>
      <c r="N694" s="9" t="n">
        <v>1</v>
      </c>
      <c r="O694" s="9" t="n">
        <v>1</v>
      </c>
      <c r="P694" s="9" t="n"/>
      <c r="Q694" s="9" t="n"/>
      <c r="R694" s="9" t="n"/>
      <c r="S694" s="9" t="inlineStr">
        <is>
          <t>Tray</t>
        </is>
      </c>
      <c r="T694" s="10" t="n">
        <v>258</v>
      </c>
      <c r="U694" s="10" t="n">
        <v>100</v>
      </c>
      <c r="V694" s="10">
        <f>ROUNDUP((T694+U694+2*'Read Me'!$B$13)*(1+'Read Me'!$B$12),-1)</f>
        <v/>
      </c>
      <c r="W694" s="10">
        <f>V694*N694*O694</f>
        <v/>
      </c>
      <c r="X694" s="9">
        <f>IF(LEFT(I694,2)="MV",2*N694*IF(L694="1/C",O694,1),0)</f>
        <v/>
      </c>
      <c r="Y694" s="9">
        <f>IF(OR(LEFT(K694,4)="LVAX",LEFT(K694,6)="MV15AX",LEFT(K694,4)="CTAX",LEFT(K694,2)="W|"),2*N694*O694,0)</f>
        <v/>
      </c>
      <c r="Z694" s="9" t="inlineStr"/>
    </row>
    <row r="695">
      <c r="A695" s="9" t="inlineStr">
        <is>
          <t>A-I-0232</t>
        </is>
      </c>
      <c r="B695" s="9" t="inlineStr">
        <is>
          <t>A</t>
        </is>
      </c>
      <c r="C695" s="9" t="inlineStr">
        <is>
          <t>Power block</t>
        </is>
      </c>
      <c r="D695" s="9" t="inlineStr">
        <is>
          <t>Instrumentation</t>
        </is>
      </c>
      <c r="E695" s="9" t="inlineStr">
        <is>
          <t>R2A</t>
        </is>
      </c>
      <c r="F695" s="9" t="inlineStr">
        <is>
          <t>R2A: unit / HRSG electrical e-house (32 x 40 ft)</t>
        </is>
      </c>
      <c r="G695" s="9" t="inlineStr">
        <is>
          <t>SOS-1</t>
        </is>
      </c>
      <c r="H695" s="9" t="inlineStr">
        <is>
          <t>SOS-1: GTG-1 seal-oil and H2 / CO2 gas-control skid</t>
        </is>
      </c>
      <c r="I695" s="9" t="inlineStr">
        <is>
          <t>Instrumentation</t>
        </is>
      </c>
      <c r="J695" s="9" t="inlineStr">
        <is>
          <t>Instrumentation ITC / PLTC, IS, #18 shielded pairs, blue jacket</t>
        </is>
      </c>
      <c r="K695" s="9" t="inlineStr">
        <is>
          <t>ITC|4 pr|18</t>
        </is>
      </c>
      <c r="L695" s="9" t="inlineStr">
        <is>
          <t>4 pr</t>
        </is>
      </c>
      <c r="M695" s="9" t="inlineStr">
        <is>
          <t>18</t>
        </is>
      </c>
      <c r="N695" s="9" t="n">
        <v>1</v>
      </c>
      <c r="O695" s="9" t="n">
        <v>1</v>
      </c>
      <c r="P695" s="9" t="n"/>
      <c r="Q695" s="9" t="n"/>
      <c r="R695" s="9" t="n"/>
      <c r="S695" s="9" t="inlineStr">
        <is>
          <t>Tray</t>
        </is>
      </c>
      <c r="T695" s="10" t="n">
        <v>258</v>
      </c>
      <c r="U695" s="10" t="n">
        <v>100</v>
      </c>
      <c r="V695" s="10">
        <f>ROUNDUP((T695+U695+2*'Read Me'!$B$13)*(1+'Read Me'!$B$12),-1)</f>
        <v/>
      </c>
      <c r="W695" s="10">
        <f>V695*N695*O695</f>
        <v/>
      </c>
      <c r="X695" s="9">
        <f>IF(LEFT(I695,2)="MV",2*N695*IF(L695="1/C",O695,1),0)</f>
        <v/>
      </c>
      <c r="Y695" s="9">
        <f>IF(OR(LEFT(K695,4)="LVAX",LEFT(K695,6)="MV15AX",LEFT(K695,4)="CTAX",LEFT(K695,2)="W|"),2*N695*O695,0)</f>
        <v/>
      </c>
      <c r="Z695" s="9" t="inlineStr"/>
    </row>
    <row r="696">
      <c r="A696" s="9" t="inlineStr">
        <is>
          <t>A-I-0233</t>
        </is>
      </c>
      <c r="B696" s="9" t="inlineStr">
        <is>
          <t>A</t>
        </is>
      </c>
      <c r="C696" s="9" t="inlineStr">
        <is>
          <t>Power block</t>
        </is>
      </c>
      <c r="D696" s="9" t="inlineStr">
        <is>
          <t>Instrumentation</t>
        </is>
      </c>
      <c r="E696" s="9" t="inlineStr">
        <is>
          <t>R2A</t>
        </is>
      </c>
      <c r="F696" s="9" t="inlineStr">
        <is>
          <t>R2A: unit / HRSG electrical e-house (32 x 40 ft)</t>
        </is>
      </c>
      <c r="G696" s="9" t="inlineStr">
        <is>
          <t>SOS-1</t>
        </is>
      </c>
      <c r="H696" s="9" t="inlineStr">
        <is>
          <t>SOS-1: GTG-1 seal-oil and H2 / CO2 gas-control skid</t>
        </is>
      </c>
      <c r="I696" s="9" t="inlineStr">
        <is>
          <t>Instrumentation</t>
        </is>
      </c>
      <c r="J696" s="9" t="inlineStr">
        <is>
          <t>Instrumentation ITC / PLTC, IS, #18 shielded pairs, blue jacket</t>
        </is>
      </c>
      <c r="K696" s="9" t="inlineStr">
        <is>
          <t>ITC|12 pr|18</t>
        </is>
      </c>
      <c r="L696" s="9" t="inlineStr">
        <is>
          <t>12 pr</t>
        </is>
      </c>
      <c r="M696" s="9" t="inlineStr">
        <is>
          <t>18</t>
        </is>
      </c>
      <c r="N696" s="9" t="n">
        <v>1</v>
      </c>
      <c r="O696" s="9" t="n">
        <v>1</v>
      </c>
      <c r="P696" s="9" t="n"/>
      <c r="Q696" s="9" t="n"/>
      <c r="R696" s="9" t="n"/>
      <c r="S696" s="9" t="inlineStr">
        <is>
          <t>Tray</t>
        </is>
      </c>
      <c r="T696" s="10" t="n">
        <v>258</v>
      </c>
      <c r="U696" s="10" t="n">
        <v>100</v>
      </c>
      <c r="V696" s="10">
        <f>ROUNDUP((T696+U696+2*'Read Me'!$B$13)*(1+'Read Me'!$B$12),-1)</f>
        <v/>
      </c>
      <c r="W696" s="10">
        <f>V696*N696*O696</f>
        <v/>
      </c>
      <c r="X696" s="9">
        <f>IF(LEFT(I696,2)="MV",2*N696*IF(L696="1/C",O696,1),0)</f>
        <v/>
      </c>
      <c r="Y696" s="9">
        <f>IF(OR(LEFT(K696,4)="LVAX",LEFT(K696,6)="MV15AX",LEFT(K696,4)="CTAX",LEFT(K696,2)="W|"),2*N696*O696,0)</f>
        <v/>
      </c>
      <c r="Z696" s="9" t="inlineStr"/>
    </row>
    <row r="697">
      <c r="A697" s="9" t="inlineStr">
        <is>
          <t>A-I-0234</t>
        </is>
      </c>
      <c r="B697" s="9" t="inlineStr">
        <is>
          <t>A</t>
        </is>
      </c>
      <c r="C697" s="9" t="inlineStr">
        <is>
          <t>Power block</t>
        </is>
      </c>
      <c r="D697" s="9" t="inlineStr">
        <is>
          <t>Instrumentation</t>
        </is>
      </c>
      <c r="E697" s="9" t="inlineStr">
        <is>
          <t>R2A</t>
        </is>
      </c>
      <c r="F697" s="9" t="inlineStr">
        <is>
          <t>R2A: unit / HRSG electrical e-house (32 x 40 ft)</t>
        </is>
      </c>
      <c r="G697" s="9" t="inlineStr">
        <is>
          <t>SOS-1</t>
        </is>
      </c>
      <c r="H697" s="9" t="inlineStr">
        <is>
          <t>SOS-1: GTG-1 seal-oil and H2 / CO2 gas-control skid</t>
        </is>
      </c>
      <c r="I697" s="9" t="inlineStr">
        <is>
          <t>Instrumentation</t>
        </is>
      </c>
      <c r="J697" s="9" t="inlineStr">
        <is>
          <t>Instrumentation ITC / PLTC, IS, #18 shielded pairs, blue jacket</t>
        </is>
      </c>
      <c r="K697" s="9" t="inlineStr">
        <is>
          <t>ITC|12 pr|18</t>
        </is>
      </c>
      <c r="L697" s="9" t="inlineStr">
        <is>
          <t>12 pr</t>
        </is>
      </c>
      <c r="M697" s="9" t="inlineStr">
        <is>
          <t>18</t>
        </is>
      </c>
      <c r="N697" s="9" t="n">
        <v>1</v>
      </c>
      <c r="O697" s="9" t="n">
        <v>1</v>
      </c>
      <c r="P697" s="9" t="n"/>
      <c r="Q697" s="9" t="n"/>
      <c r="R697" s="9" t="n"/>
      <c r="S697" s="9" t="inlineStr">
        <is>
          <t>Tray</t>
        </is>
      </c>
      <c r="T697" s="10" t="n">
        <v>258</v>
      </c>
      <c r="U697" s="10" t="n">
        <v>100</v>
      </c>
      <c r="V697" s="10">
        <f>ROUNDUP((T697+U697+2*'Read Me'!$B$13)*(1+'Read Me'!$B$12),-1)</f>
        <v/>
      </c>
      <c r="W697" s="10">
        <f>V697*N697*O697</f>
        <v/>
      </c>
      <c r="X697" s="9">
        <f>IF(LEFT(I697,2)="MV",2*N697*IF(L697="1/C",O697,1),0)</f>
        <v/>
      </c>
      <c r="Y697" s="9">
        <f>IF(OR(LEFT(K697,4)="LVAX",LEFT(K697,6)="MV15AX",LEFT(K697,4)="CTAX",LEFT(K697,2)="W|"),2*N697*O697,0)</f>
        <v/>
      </c>
      <c r="Z697" s="9" t="inlineStr"/>
    </row>
    <row r="698">
      <c r="A698" s="9" t="inlineStr">
        <is>
          <t>A-I-0235</t>
        </is>
      </c>
      <c r="B698" s="9" t="inlineStr">
        <is>
          <t>A</t>
        </is>
      </c>
      <c r="C698" s="9" t="inlineStr">
        <is>
          <t>Power block</t>
        </is>
      </c>
      <c r="D698" s="9" t="inlineStr">
        <is>
          <t>Instrumentation</t>
        </is>
      </c>
      <c r="E698" s="9" t="inlineStr">
        <is>
          <t>R2A</t>
        </is>
      </c>
      <c r="F698" s="9" t="inlineStr">
        <is>
          <t>R2A: unit / HRSG electrical e-house (32 x 40 ft)</t>
        </is>
      </c>
      <c r="G698" s="9" t="inlineStr">
        <is>
          <t>SOS-1</t>
        </is>
      </c>
      <c r="H698" s="9" t="inlineStr">
        <is>
          <t>SOS-1: GTG-1 seal-oil and H2 / CO2 gas-control skid</t>
        </is>
      </c>
      <c r="I698" s="9" t="inlineStr">
        <is>
          <t>Instrumentation</t>
        </is>
      </c>
      <c r="J698" s="9" t="inlineStr">
        <is>
          <t>Instrumentation ITC / PLTC, IS, #18 shielded pairs, blue jacket</t>
        </is>
      </c>
      <c r="K698" s="9" t="inlineStr">
        <is>
          <t>ITC|12 pr|18</t>
        </is>
      </c>
      <c r="L698" s="9" t="inlineStr">
        <is>
          <t>12 pr</t>
        </is>
      </c>
      <c r="M698" s="9" t="inlineStr">
        <is>
          <t>18</t>
        </is>
      </c>
      <c r="N698" s="9" t="n">
        <v>1</v>
      </c>
      <c r="O698" s="9" t="n">
        <v>1</v>
      </c>
      <c r="P698" s="9" t="n"/>
      <c r="Q698" s="9" t="n"/>
      <c r="R698" s="9" t="n"/>
      <c r="S698" s="9" t="inlineStr">
        <is>
          <t>Tray</t>
        </is>
      </c>
      <c r="T698" s="10" t="n">
        <v>258</v>
      </c>
      <c r="U698" s="10" t="n">
        <v>100</v>
      </c>
      <c r="V698" s="10">
        <f>ROUNDUP((T698+U698+2*'Read Me'!$B$13)*(1+'Read Me'!$B$12),-1)</f>
        <v/>
      </c>
      <c r="W698" s="10">
        <f>V698*N698*O698</f>
        <v/>
      </c>
      <c r="X698" s="9">
        <f>IF(LEFT(I698,2)="MV",2*N698*IF(L698="1/C",O698,1),0)</f>
        <v/>
      </c>
      <c r="Y698" s="9">
        <f>IF(OR(LEFT(K698,4)="LVAX",LEFT(K698,6)="MV15AX",LEFT(K698,4)="CTAX",LEFT(K698,2)="W|"),2*N698*O698,0)</f>
        <v/>
      </c>
      <c r="Z698" s="9" t="inlineStr"/>
    </row>
    <row r="699">
      <c r="A699" s="9" t="inlineStr">
        <is>
          <t>A-I-0236</t>
        </is>
      </c>
      <c r="B699" s="9" t="inlineStr">
        <is>
          <t>A</t>
        </is>
      </c>
      <c r="C699" s="9" t="inlineStr">
        <is>
          <t>Power block</t>
        </is>
      </c>
      <c r="D699" s="9" t="inlineStr">
        <is>
          <t>Instrumentation</t>
        </is>
      </c>
      <c r="E699" s="9" t="inlineStr">
        <is>
          <t>R2A</t>
        </is>
      </c>
      <c r="F699" s="9" t="inlineStr">
        <is>
          <t>R2A: unit / HRSG electrical e-house (32 x 40 ft)</t>
        </is>
      </c>
      <c r="G699" s="9" t="inlineStr">
        <is>
          <t>SOS-1</t>
        </is>
      </c>
      <c r="H699" s="9" t="inlineStr">
        <is>
          <t>SOS-1: GTG-1 seal-oil and H2 / CO2 gas-control skid</t>
        </is>
      </c>
      <c r="I699" s="9" t="inlineStr">
        <is>
          <t>Instrumentation</t>
        </is>
      </c>
      <c r="J699" s="9" t="inlineStr">
        <is>
          <t>Instrumentation ITC / PLTC, IS, #18 shielded pairs, blue jacket</t>
        </is>
      </c>
      <c r="K699" s="9" t="inlineStr">
        <is>
          <t>ITC|12 pr|18</t>
        </is>
      </c>
      <c r="L699" s="9" t="inlineStr">
        <is>
          <t>12 pr</t>
        </is>
      </c>
      <c r="M699" s="9" t="inlineStr">
        <is>
          <t>18</t>
        </is>
      </c>
      <c r="N699" s="9" t="n">
        <v>1</v>
      </c>
      <c r="O699" s="9" t="n">
        <v>1</v>
      </c>
      <c r="P699" s="9" t="n"/>
      <c r="Q699" s="9" t="n"/>
      <c r="R699" s="9" t="n"/>
      <c r="S699" s="9" t="inlineStr">
        <is>
          <t>Tray</t>
        </is>
      </c>
      <c r="T699" s="10" t="n">
        <v>258</v>
      </c>
      <c r="U699" s="10" t="n">
        <v>100</v>
      </c>
      <c r="V699" s="10">
        <f>ROUNDUP((T699+U699+2*'Read Me'!$B$13)*(1+'Read Me'!$B$12),-1)</f>
        <v/>
      </c>
      <c r="W699" s="10">
        <f>V699*N699*O699</f>
        <v/>
      </c>
      <c r="X699" s="9">
        <f>IF(LEFT(I699,2)="MV",2*N699*IF(L699="1/C",O699,1),0)</f>
        <v/>
      </c>
      <c r="Y699" s="9">
        <f>IF(OR(LEFT(K699,4)="LVAX",LEFT(K699,6)="MV15AX",LEFT(K699,4)="CTAX",LEFT(K699,2)="W|"),2*N699*O699,0)</f>
        <v/>
      </c>
      <c r="Z699" s="9" t="inlineStr"/>
    </row>
    <row r="700">
      <c r="A700" s="9" t="inlineStr">
        <is>
          <t>A-I-0237</t>
        </is>
      </c>
      <c r="B700" s="9" t="inlineStr">
        <is>
          <t>A</t>
        </is>
      </c>
      <c r="C700" s="9" t="inlineStr">
        <is>
          <t>Power block</t>
        </is>
      </c>
      <c r="D700" s="9" t="inlineStr">
        <is>
          <t>Instrumentation</t>
        </is>
      </c>
      <c r="E700" s="9" t="inlineStr">
        <is>
          <t>R2A</t>
        </is>
      </c>
      <c r="F700" s="9" t="inlineStr">
        <is>
          <t>R2A: unit / HRSG electrical e-house (32 x 40 ft)</t>
        </is>
      </c>
      <c r="G700" s="9" t="inlineStr">
        <is>
          <t>SOS-1</t>
        </is>
      </c>
      <c r="H700" s="9" t="inlineStr">
        <is>
          <t>SOS-1: GTG-1 seal-oil and H2 / CO2 gas-control skid</t>
        </is>
      </c>
      <c r="I700" s="9" t="inlineStr">
        <is>
          <t>Instrumentation</t>
        </is>
      </c>
      <c r="J700" s="9" t="inlineStr">
        <is>
          <t>Instrumentation ITC / PLTC, IS, #18 shielded pairs, blue jacket</t>
        </is>
      </c>
      <c r="K700" s="9" t="inlineStr">
        <is>
          <t>ITC|12 pr|18</t>
        </is>
      </c>
      <c r="L700" s="9" t="inlineStr">
        <is>
          <t>12 pr</t>
        </is>
      </c>
      <c r="M700" s="9" t="inlineStr">
        <is>
          <t>18</t>
        </is>
      </c>
      <c r="N700" s="9" t="n">
        <v>1</v>
      </c>
      <c r="O700" s="9" t="n">
        <v>1</v>
      </c>
      <c r="P700" s="9" t="n"/>
      <c r="Q700" s="9" t="n"/>
      <c r="R700" s="9" t="n"/>
      <c r="S700" s="9" t="inlineStr">
        <is>
          <t>Tray</t>
        </is>
      </c>
      <c r="T700" s="10" t="n">
        <v>258</v>
      </c>
      <c r="U700" s="10" t="n">
        <v>100</v>
      </c>
      <c r="V700" s="10">
        <f>ROUNDUP((T700+U700+2*'Read Me'!$B$13)*(1+'Read Me'!$B$12),-1)</f>
        <v/>
      </c>
      <c r="W700" s="10">
        <f>V700*N700*O700</f>
        <v/>
      </c>
      <c r="X700" s="9">
        <f>IF(LEFT(I700,2)="MV",2*N700*IF(L700="1/C",O700,1),0)</f>
        <v/>
      </c>
      <c r="Y700" s="9">
        <f>IF(OR(LEFT(K700,4)="LVAX",LEFT(K700,6)="MV15AX",LEFT(K700,4)="CTAX",LEFT(K700,2)="W|"),2*N700*O700,0)</f>
        <v/>
      </c>
      <c r="Z700" s="9" t="inlineStr"/>
    </row>
    <row r="701">
      <c r="A701" s="9" t="inlineStr">
        <is>
          <t>A-I-0238</t>
        </is>
      </c>
      <c r="B701" s="9" t="inlineStr">
        <is>
          <t>A</t>
        </is>
      </c>
      <c r="C701" s="9" t="inlineStr">
        <is>
          <t>Power block</t>
        </is>
      </c>
      <c r="D701" s="9" t="inlineStr">
        <is>
          <t>Instrumentation</t>
        </is>
      </c>
      <c r="E701" s="9" t="inlineStr">
        <is>
          <t>R2A</t>
        </is>
      </c>
      <c r="F701" s="9" t="inlineStr">
        <is>
          <t>R2A: unit / HRSG electrical e-house (32 x 40 ft)</t>
        </is>
      </c>
      <c r="G701" s="9" t="inlineStr">
        <is>
          <t>SOS-1</t>
        </is>
      </c>
      <c r="H701" s="9" t="inlineStr">
        <is>
          <t>SOS-1: GTG-1 seal-oil and H2 / CO2 gas-control skid</t>
        </is>
      </c>
      <c r="I701" s="9" t="inlineStr">
        <is>
          <t>Instrumentation</t>
        </is>
      </c>
      <c r="J701" s="9" t="inlineStr">
        <is>
          <t>Instrumentation ITC / PLTC, IS, #18 shielded pairs, blue jacket</t>
        </is>
      </c>
      <c r="K701" s="9" t="inlineStr">
        <is>
          <t>ITC|12 pr|18</t>
        </is>
      </c>
      <c r="L701" s="9" t="inlineStr">
        <is>
          <t>12 pr</t>
        </is>
      </c>
      <c r="M701" s="9" t="inlineStr">
        <is>
          <t>18</t>
        </is>
      </c>
      <c r="N701" s="9" t="n">
        <v>1</v>
      </c>
      <c r="O701" s="9" t="n">
        <v>1</v>
      </c>
      <c r="P701" s="9" t="n"/>
      <c r="Q701" s="9" t="n"/>
      <c r="R701" s="9" t="n"/>
      <c r="S701" s="9" t="inlineStr">
        <is>
          <t>Tray</t>
        </is>
      </c>
      <c r="T701" s="10" t="n">
        <v>258</v>
      </c>
      <c r="U701" s="10" t="n">
        <v>100</v>
      </c>
      <c r="V701" s="10">
        <f>ROUNDUP((T701+U701+2*'Read Me'!$B$13)*(1+'Read Me'!$B$12),-1)</f>
        <v/>
      </c>
      <c r="W701" s="10">
        <f>V701*N701*O701</f>
        <v/>
      </c>
      <c r="X701" s="9">
        <f>IF(LEFT(I701,2)="MV",2*N701*IF(L701="1/C",O701,1),0)</f>
        <v/>
      </c>
      <c r="Y701" s="9">
        <f>IF(OR(LEFT(K701,4)="LVAX",LEFT(K701,6)="MV15AX",LEFT(K701,4)="CTAX",LEFT(K701,2)="W|"),2*N701*O701,0)</f>
        <v/>
      </c>
      <c r="Z701" s="9" t="inlineStr"/>
    </row>
    <row r="702">
      <c r="A702" s="9" t="inlineStr">
        <is>
          <t>A-I-0239</t>
        </is>
      </c>
      <c r="B702" s="9" t="inlineStr">
        <is>
          <t>A</t>
        </is>
      </c>
      <c r="C702" s="9" t="inlineStr">
        <is>
          <t>Power block</t>
        </is>
      </c>
      <c r="D702" s="9" t="inlineStr">
        <is>
          <t>Instrumentation</t>
        </is>
      </c>
      <c r="E702" s="9" t="inlineStr">
        <is>
          <t>R2A</t>
        </is>
      </c>
      <c r="F702" s="9" t="inlineStr">
        <is>
          <t>R2A: unit / HRSG electrical e-house (32 x 40 ft)</t>
        </is>
      </c>
      <c r="G702" s="9" t="inlineStr">
        <is>
          <t>SOS-1</t>
        </is>
      </c>
      <c r="H702" s="9" t="inlineStr">
        <is>
          <t>SOS-1: GTG-1 seal-oil and H2 / CO2 gas-control skid</t>
        </is>
      </c>
      <c r="I702" s="9" t="inlineStr">
        <is>
          <t>Instrumentation</t>
        </is>
      </c>
      <c r="J702" s="9" t="inlineStr">
        <is>
          <t>Instrumentation ITC / PLTC, IS, #18 shielded pairs, blue jacket</t>
        </is>
      </c>
      <c r="K702" s="9" t="inlineStr">
        <is>
          <t>ITC|12 pr|18</t>
        </is>
      </c>
      <c r="L702" s="9" t="inlineStr">
        <is>
          <t>12 pr</t>
        </is>
      </c>
      <c r="M702" s="9" t="inlineStr">
        <is>
          <t>18</t>
        </is>
      </c>
      <c r="N702" s="9" t="n">
        <v>1</v>
      </c>
      <c r="O702" s="9" t="n">
        <v>1</v>
      </c>
      <c r="P702" s="9" t="n"/>
      <c r="Q702" s="9" t="n"/>
      <c r="R702" s="9" t="n"/>
      <c r="S702" s="9" t="inlineStr">
        <is>
          <t>Tray</t>
        </is>
      </c>
      <c r="T702" s="10" t="n">
        <v>258</v>
      </c>
      <c r="U702" s="10" t="n">
        <v>100</v>
      </c>
      <c r="V702" s="10">
        <f>ROUNDUP((T702+U702+2*'Read Me'!$B$13)*(1+'Read Me'!$B$12),-1)</f>
        <v/>
      </c>
      <c r="W702" s="10">
        <f>V702*N702*O702</f>
        <v/>
      </c>
      <c r="X702" s="9">
        <f>IF(LEFT(I702,2)="MV",2*N702*IF(L702="1/C",O702,1),0)</f>
        <v/>
      </c>
      <c r="Y702" s="9">
        <f>IF(OR(LEFT(K702,4)="LVAX",LEFT(K702,6)="MV15AX",LEFT(K702,4)="CTAX",LEFT(K702,2)="W|"),2*N702*O702,0)</f>
        <v/>
      </c>
      <c r="Z702" s="9" t="inlineStr"/>
    </row>
    <row r="703">
      <c r="A703" s="9" t="inlineStr">
        <is>
          <t>A-I-0240</t>
        </is>
      </c>
      <c r="B703" s="9" t="inlineStr">
        <is>
          <t>A</t>
        </is>
      </c>
      <c r="C703" s="9" t="inlineStr">
        <is>
          <t>Power block</t>
        </is>
      </c>
      <c r="D703" s="9" t="inlineStr">
        <is>
          <t>Instrumentation</t>
        </is>
      </c>
      <c r="E703" s="9" t="inlineStr">
        <is>
          <t>R2A</t>
        </is>
      </c>
      <c r="F703" s="9" t="inlineStr">
        <is>
          <t>R2A: unit / HRSG electrical e-house (32 x 40 ft)</t>
        </is>
      </c>
      <c r="G703" s="9" t="inlineStr">
        <is>
          <t>SOS-1</t>
        </is>
      </c>
      <c r="H703" s="9" t="inlineStr">
        <is>
          <t>SOS-1: GTG-1 seal-oil and H2 / CO2 gas-control skid</t>
        </is>
      </c>
      <c r="I703" s="9" t="inlineStr">
        <is>
          <t>Instrumentation</t>
        </is>
      </c>
      <c r="J703" s="9" t="inlineStr">
        <is>
          <t>Instrumentation ITC / PLTC, IS, #18 shielded pairs, blue jacket</t>
        </is>
      </c>
      <c r="K703" s="9" t="inlineStr">
        <is>
          <t>ITC|12 pr|18</t>
        </is>
      </c>
      <c r="L703" s="9" t="inlineStr">
        <is>
          <t>12 pr</t>
        </is>
      </c>
      <c r="M703" s="9" t="inlineStr">
        <is>
          <t>18</t>
        </is>
      </c>
      <c r="N703" s="9" t="n">
        <v>1</v>
      </c>
      <c r="O703" s="9" t="n">
        <v>1</v>
      </c>
      <c r="P703" s="9" t="n"/>
      <c r="Q703" s="9" t="n"/>
      <c r="R703" s="9" t="n"/>
      <c r="S703" s="9" t="inlineStr">
        <is>
          <t>Tray</t>
        </is>
      </c>
      <c r="T703" s="10" t="n">
        <v>258</v>
      </c>
      <c r="U703" s="10" t="n">
        <v>100</v>
      </c>
      <c r="V703" s="10">
        <f>ROUNDUP((T703+U703+2*'Read Me'!$B$13)*(1+'Read Me'!$B$12),-1)</f>
        <v/>
      </c>
      <c r="W703" s="10">
        <f>V703*N703*O703</f>
        <v/>
      </c>
      <c r="X703" s="9">
        <f>IF(LEFT(I703,2)="MV",2*N703*IF(L703="1/C",O703,1),0)</f>
        <v/>
      </c>
      <c r="Y703" s="9">
        <f>IF(OR(LEFT(K703,4)="LVAX",LEFT(K703,6)="MV15AX",LEFT(K703,4)="CTAX",LEFT(K703,2)="W|"),2*N703*O703,0)</f>
        <v/>
      </c>
      <c r="Z703" s="9" t="inlineStr"/>
    </row>
    <row r="704">
      <c r="A704" s="9" t="inlineStr">
        <is>
          <t>A-I-0241</t>
        </is>
      </c>
      <c r="B704" s="9" t="inlineStr">
        <is>
          <t>A</t>
        </is>
      </c>
      <c r="C704" s="9" t="inlineStr">
        <is>
          <t>Power block</t>
        </is>
      </c>
      <c r="D704" s="9" t="inlineStr">
        <is>
          <t>Instrumentation</t>
        </is>
      </c>
      <c r="E704" s="9" t="inlineStr">
        <is>
          <t>R2B</t>
        </is>
      </c>
      <c r="F704" s="9" t="inlineStr">
        <is>
          <t>R2B: unit / HRSG electrical e-house (32 x 40 ft)</t>
        </is>
      </c>
      <c r="G704" s="9" t="inlineStr">
        <is>
          <t>SOS-2</t>
        </is>
      </c>
      <c r="H704" s="9" t="inlineStr">
        <is>
          <t>SOS-2: GTG-2 seal-oil and H2 / CO2 gas-control skid</t>
        </is>
      </c>
      <c r="I704" s="9" t="inlineStr">
        <is>
          <t>Instrumentation</t>
        </is>
      </c>
      <c r="J704" s="9" t="inlineStr">
        <is>
          <t>Instrumentation ITC / PLTC, IS, #18 shielded pairs, blue jacket</t>
        </is>
      </c>
      <c r="K704" s="9" t="inlineStr">
        <is>
          <t>ITC|4 pr|18</t>
        </is>
      </c>
      <c r="L704" s="9" t="inlineStr">
        <is>
          <t>4 pr</t>
        </is>
      </c>
      <c r="M704" s="9" t="inlineStr">
        <is>
          <t>18</t>
        </is>
      </c>
      <c r="N704" s="9" t="n">
        <v>1</v>
      </c>
      <c r="O704" s="9" t="n">
        <v>1</v>
      </c>
      <c r="P704" s="9" t="n"/>
      <c r="Q704" s="9" t="n"/>
      <c r="R704" s="9" t="n"/>
      <c r="S704" s="9" t="inlineStr">
        <is>
          <t>Tray</t>
        </is>
      </c>
      <c r="T704" s="10" t="n">
        <v>997</v>
      </c>
      <c r="U704" s="10" t="n">
        <v>102</v>
      </c>
      <c r="V704" s="10">
        <f>ROUNDUP((T704+U704+2*'Read Me'!$B$13)*(1+'Read Me'!$B$12),-1)</f>
        <v/>
      </c>
      <c r="W704" s="10">
        <f>V704*N704*O704</f>
        <v/>
      </c>
      <c r="X704" s="9">
        <f>IF(LEFT(I704,2)="MV",2*N704*IF(L704="1/C",O704,1),0)</f>
        <v/>
      </c>
      <c r="Y704" s="9">
        <f>IF(OR(LEFT(K704,4)="LVAX",LEFT(K704,6)="MV15AX",LEFT(K704,4)="CTAX",LEFT(K704,2)="W|"),2*N704*O704,0)</f>
        <v/>
      </c>
      <c r="Z704" s="9" t="inlineStr"/>
    </row>
    <row r="705">
      <c r="A705" s="9" t="inlineStr">
        <is>
          <t>A-I-0242</t>
        </is>
      </c>
      <c r="B705" s="9" t="inlineStr">
        <is>
          <t>A</t>
        </is>
      </c>
      <c r="C705" s="9" t="inlineStr">
        <is>
          <t>Power block</t>
        </is>
      </c>
      <c r="D705" s="9" t="inlineStr">
        <is>
          <t>Instrumentation</t>
        </is>
      </c>
      <c r="E705" s="9" t="inlineStr">
        <is>
          <t>R2B</t>
        </is>
      </c>
      <c r="F705" s="9" t="inlineStr">
        <is>
          <t>R2B: unit / HRSG electrical e-house (32 x 40 ft)</t>
        </is>
      </c>
      <c r="G705" s="9" t="inlineStr">
        <is>
          <t>SOS-2</t>
        </is>
      </c>
      <c r="H705" s="9" t="inlineStr">
        <is>
          <t>SOS-2: GTG-2 seal-oil and H2 / CO2 gas-control skid</t>
        </is>
      </c>
      <c r="I705" s="9" t="inlineStr">
        <is>
          <t>Instrumentation</t>
        </is>
      </c>
      <c r="J705" s="9" t="inlineStr">
        <is>
          <t>Instrumentation ITC / PLTC, IS, #18 shielded pairs, blue jacket</t>
        </is>
      </c>
      <c r="K705" s="9" t="inlineStr">
        <is>
          <t>ITC|4 pr|18</t>
        </is>
      </c>
      <c r="L705" s="9" t="inlineStr">
        <is>
          <t>4 pr</t>
        </is>
      </c>
      <c r="M705" s="9" t="inlineStr">
        <is>
          <t>18</t>
        </is>
      </c>
      <c r="N705" s="9" t="n">
        <v>1</v>
      </c>
      <c r="O705" s="9" t="n">
        <v>1</v>
      </c>
      <c r="P705" s="9" t="n"/>
      <c r="Q705" s="9" t="n"/>
      <c r="R705" s="9" t="n"/>
      <c r="S705" s="9" t="inlineStr">
        <is>
          <t>Tray</t>
        </is>
      </c>
      <c r="T705" s="10" t="n">
        <v>997</v>
      </c>
      <c r="U705" s="10" t="n">
        <v>102</v>
      </c>
      <c r="V705" s="10">
        <f>ROUNDUP((T705+U705+2*'Read Me'!$B$13)*(1+'Read Me'!$B$12),-1)</f>
        <v/>
      </c>
      <c r="W705" s="10">
        <f>V705*N705*O705</f>
        <v/>
      </c>
      <c r="X705" s="9">
        <f>IF(LEFT(I705,2)="MV",2*N705*IF(L705="1/C",O705,1),0)</f>
        <v/>
      </c>
      <c r="Y705" s="9">
        <f>IF(OR(LEFT(K705,4)="LVAX",LEFT(K705,6)="MV15AX",LEFT(K705,4)="CTAX",LEFT(K705,2)="W|"),2*N705*O705,0)</f>
        <v/>
      </c>
      <c r="Z705" s="9" t="inlineStr"/>
    </row>
    <row r="706">
      <c r="A706" s="9" t="inlineStr">
        <is>
          <t>A-I-0243</t>
        </is>
      </c>
      <c r="B706" s="9" t="inlineStr">
        <is>
          <t>A</t>
        </is>
      </c>
      <c r="C706" s="9" t="inlineStr">
        <is>
          <t>Power block</t>
        </is>
      </c>
      <c r="D706" s="9" t="inlineStr">
        <is>
          <t>Instrumentation</t>
        </is>
      </c>
      <c r="E706" s="9" t="inlineStr">
        <is>
          <t>R2B</t>
        </is>
      </c>
      <c r="F706" s="9" t="inlineStr">
        <is>
          <t>R2B: unit / HRSG electrical e-house (32 x 40 ft)</t>
        </is>
      </c>
      <c r="G706" s="9" t="inlineStr">
        <is>
          <t>SOS-2</t>
        </is>
      </c>
      <c r="H706" s="9" t="inlineStr">
        <is>
          <t>SOS-2: GTG-2 seal-oil and H2 / CO2 gas-control skid</t>
        </is>
      </c>
      <c r="I706" s="9" t="inlineStr">
        <is>
          <t>Instrumentation</t>
        </is>
      </c>
      <c r="J706" s="9" t="inlineStr">
        <is>
          <t>Instrumentation ITC / PLTC, IS, #18 shielded pairs, blue jacket</t>
        </is>
      </c>
      <c r="K706" s="9" t="inlineStr">
        <is>
          <t>ITC|12 pr|18</t>
        </is>
      </c>
      <c r="L706" s="9" t="inlineStr">
        <is>
          <t>12 pr</t>
        </is>
      </c>
      <c r="M706" s="9" t="inlineStr">
        <is>
          <t>18</t>
        </is>
      </c>
      <c r="N706" s="9" t="n">
        <v>1</v>
      </c>
      <c r="O706" s="9" t="n">
        <v>1</v>
      </c>
      <c r="P706" s="9" t="n"/>
      <c r="Q706" s="9" t="n"/>
      <c r="R706" s="9" t="n"/>
      <c r="S706" s="9" t="inlineStr">
        <is>
          <t>Tray</t>
        </is>
      </c>
      <c r="T706" s="10" t="n">
        <v>997</v>
      </c>
      <c r="U706" s="10" t="n">
        <v>102</v>
      </c>
      <c r="V706" s="10">
        <f>ROUNDUP((T706+U706+2*'Read Me'!$B$13)*(1+'Read Me'!$B$12),-1)</f>
        <v/>
      </c>
      <c r="W706" s="10">
        <f>V706*N706*O706</f>
        <v/>
      </c>
      <c r="X706" s="9">
        <f>IF(LEFT(I706,2)="MV",2*N706*IF(L706="1/C",O706,1),0)</f>
        <v/>
      </c>
      <c r="Y706" s="9">
        <f>IF(OR(LEFT(K706,4)="LVAX",LEFT(K706,6)="MV15AX",LEFT(K706,4)="CTAX",LEFT(K706,2)="W|"),2*N706*O706,0)</f>
        <v/>
      </c>
      <c r="Z706" s="9" t="inlineStr"/>
    </row>
    <row r="707">
      <c r="A707" s="9" t="inlineStr">
        <is>
          <t>A-I-0244</t>
        </is>
      </c>
      <c r="B707" s="9" t="inlineStr">
        <is>
          <t>A</t>
        </is>
      </c>
      <c r="C707" s="9" t="inlineStr">
        <is>
          <t>Power block</t>
        </is>
      </c>
      <c r="D707" s="9" t="inlineStr">
        <is>
          <t>Instrumentation</t>
        </is>
      </c>
      <c r="E707" s="9" t="inlineStr">
        <is>
          <t>R2B</t>
        </is>
      </c>
      <c r="F707" s="9" t="inlineStr">
        <is>
          <t>R2B: unit / HRSG electrical e-house (32 x 40 ft)</t>
        </is>
      </c>
      <c r="G707" s="9" t="inlineStr">
        <is>
          <t>SOS-2</t>
        </is>
      </c>
      <c r="H707" s="9" t="inlineStr">
        <is>
          <t>SOS-2: GTG-2 seal-oil and H2 / CO2 gas-control skid</t>
        </is>
      </c>
      <c r="I707" s="9" t="inlineStr">
        <is>
          <t>Instrumentation</t>
        </is>
      </c>
      <c r="J707" s="9" t="inlineStr">
        <is>
          <t>Instrumentation ITC / PLTC, IS, #18 shielded pairs, blue jacket</t>
        </is>
      </c>
      <c r="K707" s="9" t="inlineStr">
        <is>
          <t>ITC|12 pr|18</t>
        </is>
      </c>
      <c r="L707" s="9" t="inlineStr">
        <is>
          <t>12 pr</t>
        </is>
      </c>
      <c r="M707" s="9" t="inlineStr">
        <is>
          <t>18</t>
        </is>
      </c>
      <c r="N707" s="9" t="n">
        <v>1</v>
      </c>
      <c r="O707" s="9" t="n">
        <v>1</v>
      </c>
      <c r="P707" s="9" t="n"/>
      <c r="Q707" s="9" t="n"/>
      <c r="R707" s="9" t="n"/>
      <c r="S707" s="9" t="inlineStr">
        <is>
          <t>Tray</t>
        </is>
      </c>
      <c r="T707" s="10" t="n">
        <v>997</v>
      </c>
      <c r="U707" s="10" t="n">
        <v>102</v>
      </c>
      <c r="V707" s="10">
        <f>ROUNDUP((T707+U707+2*'Read Me'!$B$13)*(1+'Read Me'!$B$12),-1)</f>
        <v/>
      </c>
      <c r="W707" s="10">
        <f>V707*N707*O707</f>
        <v/>
      </c>
      <c r="X707" s="9">
        <f>IF(LEFT(I707,2)="MV",2*N707*IF(L707="1/C",O707,1),0)</f>
        <v/>
      </c>
      <c r="Y707" s="9">
        <f>IF(OR(LEFT(K707,4)="LVAX",LEFT(K707,6)="MV15AX",LEFT(K707,4)="CTAX",LEFT(K707,2)="W|"),2*N707*O707,0)</f>
        <v/>
      </c>
      <c r="Z707" s="9" t="inlineStr"/>
    </row>
    <row r="708">
      <c r="A708" s="9" t="inlineStr">
        <is>
          <t>A-I-0245</t>
        </is>
      </c>
      <c r="B708" s="9" t="inlineStr">
        <is>
          <t>A</t>
        </is>
      </c>
      <c r="C708" s="9" t="inlineStr">
        <is>
          <t>Power block</t>
        </is>
      </c>
      <c r="D708" s="9" t="inlineStr">
        <is>
          <t>Instrumentation</t>
        </is>
      </c>
      <c r="E708" s="9" t="inlineStr">
        <is>
          <t>R2B</t>
        </is>
      </c>
      <c r="F708" s="9" t="inlineStr">
        <is>
          <t>R2B: unit / HRSG electrical e-house (32 x 40 ft)</t>
        </is>
      </c>
      <c r="G708" s="9" t="inlineStr">
        <is>
          <t>SOS-2</t>
        </is>
      </c>
      <c r="H708" s="9" t="inlineStr">
        <is>
          <t>SOS-2: GTG-2 seal-oil and H2 / CO2 gas-control skid</t>
        </is>
      </c>
      <c r="I708" s="9" t="inlineStr">
        <is>
          <t>Instrumentation</t>
        </is>
      </c>
      <c r="J708" s="9" t="inlineStr">
        <is>
          <t>Instrumentation ITC / PLTC, IS, #18 shielded pairs, blue jacket</t>
        </is>
      </c>
      <c r="K708" s="9" t="inlineStr">
        <is>
          <t>ITC|12 pr|18</t>
        </is>
      </c>
      <c r="L708" s="9" t="inlineStr">
        <is>
          <t>12 pr</t>
        </is>
      </c>
      <c r="M708" s="9" t="inlineStr">
        <is>
          <t>18</t>
        </is>
      </c>
      <c r="N708" s="9" t="n">
        <v>1</v>
      </c>
      <c r="O708" s="9" t="n">
        <v>1</v>
      </c>
      <c r="P708" s="9" t="n"/>
      <c r="Q708" s="9" t="n"/>
      <c r="R708" s="9" t="n"/>
      <c r="S708" s="9" t="inlineStr">
        <is>
          <t>Tray</t>
        </is>
      </c>
      <c r="T708" s="10" t="n">
        <v>997</v>
      </c>
      <c r="U708" s="10" t="n">
        <v>102</v>
      </c>
      <c r="V708" s="10">
        <f>ROUNDUP((T708+U708+2*'Read Me'!$B$13)*(1+'Read Me'!$B$12),-1)</f>
        <v/>
      </c>
      <c r="W708" s="10">
        <f>V708*N708*O708</f>
        <v/>
      </c>
      <c r="X708" s="9">
        <f>IF(LEFT(I708,2)="MV",2*N708*IF(L708="1/C",O708,1),0)</f>
        <v/>
      </c>
      <c r="Y708" s="9">
        <f>IF(OR(LEFT(K708,4)="LVAX",LEFT(K708,6)="MV15AX",LEFT(K708,4)="CTAX",LEFT(K708,2)="W|"),2*N708*O708,0)</f>
        <v/>
      </c>
      <c r="Z708" s="9" t="inlineStr"/>
    </row>
    <row r="709">
      <c r="A709" s="9" t="inlineStr">
        <is>
          <t>A-I-0246</t>
        </is>
      </c>
      <c r="B709" s="9" t="inlineStr">
        <is>
          <t>A</t>
        </is>
      </c>
      <c r="C709" s="9" t="inlineStr">
        <is>
          <t>Power block</t>
        </is>
      </c>
      <c r="D709" s="9" t="inlineStr">
        <is>
          <t>Instrumentation</t>
        </is>
      </c>
      <c r="E709" s="9" t="inlineStr">
        <is>
          <t>R2B</t>
        </is>
      </c>
      <c r="F709" s="9" t="inlineStr">
        <is>
          <t>R2B: unit / HRSG electrical e-house (32 x 40 ft)</t>
        </is>
      </c>
      <c r="G709" s="9" t="inlineStr">
        <is>
          <t>SOS-2</t>
        </is>
      </c>
      <c r="H709" s="9" t="inlineStr">
        <is>
          <t>SOS-2: GTG-2 seal-oil and H2 / CO2 gas-control skid</t>
        </is>
      </c>
      <c r="I709" s="9" t="inlineStr">
        <is>
          <t>Instrumentation</t>
        </is>
      </c>
      <c r="J709" s="9" t="inlineStr">
        <is>
          <t>Instrumentation ITC / PLTC, IS, #18 shielded pairs, blue jacket</t>
        </is>
      </c>
      <c r="K709" s="9" t="inlineStr">
        <is>
          <t>ITC|12 pr|18</t>
        </is>
      </c>
      <c r="L709" s="9" t="inlineStr">
        <is>
          <t>12 pr</t>
        </is>
      </c>
      <c r="M709" s="9" t="inlineStr">
        <is>
          <t>18</t>
        </is>
      </c>
      <c r="N709" s="9" t="n">
        <v>1</v>
      </c>
      <c r="O709" s="9" t="n">
        <v>1</v>
      </c>
      <c r="P709" s="9" t="n"/>
      <c r="Q709" s="9" t="n"/>
      <c r="R709" s="9" t="n"/>
      <c r="S709" s="9" t="inlineStr">
        <is>
          <t>Tray</t>
        </is>
      </c>
      <c r="T709" s="10" t="n">
        <v>997</v>
      </c>
      <c r="U709" s="10" t="n">
        <v>102</v>
      </c>
      <c r="V709" s="10">
        <f>ROUNDUP((T709+U709+2*'Read Me'!$B$13)*(1+'Read Me'!$B$12),-1)</f>
        <v/>
      </c>
      <c r="W709" s="10">
        <f>V709*N709*O709</f>
        <v/>
      </c>
      <c r="X709" s="9">
        <f>IF(LEFT(I709,2)="MV",2*N709*IF(L709="1/C",O709,1),0)</f>
        <v/>
      </c>
      <c r="Y709" s="9">
        <f>IF(OR(LEFT(K709,4)="LVAX",LEFT(K709,6)="MV15AX",LEFT(K709,4)="CTAX",LEFT(K709,2)="W|"),2*N709*O709,0)</f>
        <v/>
      </c>
      <c r="Z709" s="9" t="inlineStr"/>
    </row>
    <row r="710">
      <c r="A710" s="9" t="inlineStr">
        <is>
          <t>A-I-0247</t>
        </is>
      </c>
      <c r="B710" s="9" t="inlineStr">
        <is>
          <t>A</t>
        </is>
      </c>
      <c r="C710" s="9" t="inlineStr">
        <is>
          <t>Power block</t>
        </is>
      </c>
      <c r="D710" s="9" t="inlineStr">
        <is>
          <t>Instrumentation</t>
        </is>
      </c>
      <c r="E710" s="9" t="inlineStr">
        <is>
          <t>R2B</t>
        </is>
      </c>
      <c r="F710" s="9" t="inlineStr">
        <is>
          <t>R2B: unit / HRSG electrical e-house (32 x 40 ft)</t>
        </is>
      </c>
      <c r="G710" s="9" t="inlineStr">
        <is>
          <t>SOS-2</t>
        </is>
      </c>
      <c r="H710" s="9" t="inlineStr">
        <is>
          <t>SOS-2: GTG-2 seal-oil and H2 / CO2 gas-control skid</t>
        </is>
      </c>
      <c r="I710" s="9" t="inlineStr">
        <is>
          <t>Instrumentation</t>
        </is>
      </c>
      <c r="J710" s="9" t="inlineStr">
        <is>
          <t>Instrumentation ITC / PLTC, IS, #18 shielded pairs, blue jacket</t>
        </is>
      </c>
      <c r="K710" s="9" t="inlineStr">
        <is>
          <t>ITC|12 pr|18</t>
        </is>
      </c>
      <c r="L710" s="9" t="inlineStr">
        <is>
          <t>12 pr</t>
        </is>
      </c>
      <c r="M710" s="9" t="inlineStr">
        <is>
          <t>18</t>
        </is>
      </c>
      <c r="N710" s="9" t="n">
        <v>1</v>
      </c>
      <c r="O710" s="9" t="n">
        <v>1</v>
      </c>
      <c r="P710" s="9" t="n"/>
      <c r="Q710" s="9" t="n"/>
      <c r="R710" s="9" t="n"/>
      <c r="S710" s="9" t="inlineStr">
        <is>
          <t>Tray</t>
        </is>
      </c>
      <c r="T710" s="10" t="n">
        <v>997</v>
      </c>
      <c r="U710" s="10" t="n">
        <v>102</v>
      </c>
      <c r="V710" s="10">
        <f>ROUNDUP((T710+U710+2*'Read Me'!$B$13)*(1+'Read Me'!$B$12),-1)</f>
        <v/>
      </c>
      <c r="W710" s="10">
        <f>V710*N710*O710</f>
        <v/>
      </c>
      <c r="X710" s="9">
        <f>IF(LEFT(I710,2)="MV",2*N710*IF(L710="1/C",O710,1),0)</f>
        <v/>
      </c>
      <c r="Y710" s="9">
        <f>IF(OR(LEFT(K710,4)="LVAX",LEFT(K710,6)="MV15AX",LEFT(K710,4)="CTAX",LEFT(K710,2)="W|"),2*N710*O710,0)</f>
        <v/>
      </c>
      <c r="Z710" s="9" t="inlineStr"/>
    </row>
    <row r="711">
      <c r="A711" s="9" t="inlineStr">
        <is>
          <t>A-I-0248</t>
        </is>
      </c>
      <c r="B711" s="9" t="inlineStr">
        <is>
          <t>A</t>
        </is>
      </c>
      <c r="C711" s="9" t="inlineStr">
        <is>
          <t>Power block</t>
        </is>
      </c>
      <c r="D711" s="9" t="inlineStr">
        <is>
          <t>Instrumentation</t>
        </is>
      </c>
      <c r="E711" s="9" t="inlineStr">
        <is>
          <t>R2B</t>
        </is>
      </c>
      <c r="F711" s="9" t="inlineStr">
        <is>
          <t>R2B: unit / HRSG electrical e-house (32 x 40 ft)</t>
        </is>
      </c>
      <c r="G711" s="9" t="inlineStr">
        <is>
          <t>SOS-2</t>
        </is>
      </c>
      <c r="H711" s="9" t="inlineStr">
        <is>
          <t>SOS-2: GTG-2 seal-oil and H2 / CO2 gas-control skid</t>
        </is>
      </c>
      <c r="I711" s="9" t="inlineStr">
        <is>
          <t>Instrumentation</t>
        </is>
      </c>
      <c r="J711" s="9" t="inlineStr">
        <is>
          <t>Instrumentation ITC / PLTC, IS, #18 shielded pairs, blue jacket</t>
        </is>
      </c>
      <c r="K711" s="9" t="inlineStr">
        <is>
          <t>ITC|12 pr|18</t>
        </is>
      </c>
      <c r="L711" s="9" t="inlineStr">
        <is>
          <t>12 pr</t>
        </is>
      </c>
      <c r="M711" s="9" t="inlineStr">
        <is>
          <t>18</t>
        </is>
      </c>
      <c r="N711" s="9" t="n">
        <v>1</v>
      </c>
      <c r="O711" s="9" t="n">
        <v>1</v>
      </c>
      <c r="P711" s="9" t="n"/>
      <c r="Q711" s="9" t="n"/>
      <c r="R711" s="9" t="n"/>
      <c r="S711" s="9" t="inlineStr">
        <is>
          <t>Tray</t>
        </is>
      </c>
      <c r="T711" s="10" t="n">
        <v>997</v>
      </c>
      <c r="U711" s="10" t="n">
        <v>102</v>
      </c>
      <c r="V711" s="10">
        <f>ROUNDUP((T711+U711+2*'Read Me'!$B$13)*(1+'Read Me'!$B$12),-1)</f>
        <v/>
      </c>
      <c r="W711" s="10">
        <f>V711*N711*O711</f>
        <v/>
      </c>
      <c r="X711" s="9">
        <f>IF(LEFT(I711,2)="MV",2*N711*IF(L711="1/C",O711,1),0)</f>
        <v/>
      </c>
      <c r="Y711" s="9">
        <f>IF(OR(LEFT(K711,4)="LVAX",LEFT(K711,6)="MV15AX",LEFT(K711,4)="CTAX",LEFT(K711,2)="W|"),2*N711*O711,0)</f>
        <v/>
      </c>
      <c r="Z711" s="9" t="inlineStr"/>
    </row>
    <row r="712">
      <c r="A712" s="9" t="inlineStr">
        <is>
          <t>A-I-0249</t>
        </is>
      </c>
      <c r="B712" s="9" t="inlineStr">
        <is>
          <t>A</t>
        </is>
      </c>
      <c r="C712" s="9" t="inlineStr">
        <is>
          <t>Power block</t>
        </is>
      </c>
      <c r="D712" s="9" t="inlineStr">
        <is>
          <t>Instrumentation</t>
        </is>
      </c>
      <c r="E712" s="9" t="inlineStr">
        <is>
          <t>R2B</t>
        </is>
      </c>
      <c r="F712" s="9" t="inlineStr">
        <is>
          <t>R2B: unit / HRSG electrical e-house (32 x 40 ft)</t>
        </is>
      </c>
      <c r="G712" s="9" t="inlineStr">
        <is>
          <t>SOS-2</t>
        </is>
      </c>
      <c r="H712" s="9" t="inlineStr">
        <is>
          <t>SOS-2: GTG-2 seal-oil and H2 / CO2 gas-control skid</t>
        </is>
      </c>
      <c r="I712" s="9" t="inlineStr">
        <is>
          <t>Instrumentation</t>
        </is>
      </c>
      <c r="J712" s="9" t="inlineStr">
        <is>
          <t>Instrumentation ITC / PLTC, IS, #18 shielded pairs, blue jacket</t>
        </is>
      </c>
      <c r="K712" s="9" t="inlineStr">
        <is>
          <t>ITC|12 pr|18</t>
        </is>
      </c>
      <c r="L712" s="9" t="inlineStr">
        <is>
          <t>12 pr</t>
        </is>
      </c>
      <c r="M712" s="9" t="inlineStr">
        <is>
          <t>18</t>
        </is>
      </c>
      <c r="N712" s="9" t="n">
        <v>1</v>
      </c>
      <c r="O712" s="9" t="n">
        <v>1</v>
      </c>
      <c r="P712" s="9" t="n"/>
      <c r="Q712" s="9" t="n"/>
      <c r="R712" s="9" t="n"/>
      <c r="S712" s="9" t="inlineStr">
        <is>
          <t>Tray</t>
        </is>
      </c>
      <c r="T712" s="10" t="n">
        <v>997</v>
      </c>
      <c r="U712" s="10" t="n">
        <v>102</v>
      </c>
      <c r="V712" s="10">
        <f>ROUNDUP((T712+U712+2*'Read Me'!$B$13)*(1+'Read Me'!$B$12),-1)</f>
        <v/>
      </c>
      <c r="W712" s="10">
        <f>V712*N712*O712</f>
        <v/>
      </c>
      <c r="X712" s="9">
        <f>IF(LEFT(I712,2)="MV",2*N712*IF(L712="1/C",O712,1),0)</f>
        <v/>
      </c>
      <c r="Y712" s="9">
        <f>IF(OR(LEFT(K712,4)="LVAX",LEFT(K712,6)="MV15AX",LEFT(K712,4)="CTAX",LEFT(K712,2)="W|"),2*N712*O712,0)</f>
        <v/>
      </c>
      <c r="Z712" s="9" t="inlineStr"/>
    </row>
    <row r="713">
      <c r="A713" s="9" t="inlineStr">
        <is>
          <t>A-I-0250</t>
        </is>
      </c>
      <c r="B713" s="9" t="inlineStr">
        <is>
          <t>A</t>
        </is>
      </c>
      <c r="C713" s="9" t="inlineStr">
        <is>
          <t>Power block</t>
        </is>
      </c>
      <c r="D713" s="9" t="inlineStr">
        <is>
          <t>Instrumentation</t>
        </is>
      </c>
      <c r="E713" s="9" t="inlineStr">
        <is>
          <t>R2B</t>
        </is>
      </c>
      <c r="F713" s="9" t="inlineStr">
        <is>
          <t>R2B: unit / HRSG electrical e-house (32 x 40 ft)</t>
        </is>
      </c>
      <c r="G713" s="9" t="inlineStr">
        <is>
          <t>SOS-2</t>
        </is>
      </c>
      <c r="H713" s="9" t="inlineStr">
        <is>
          <t>SOS-2: GTG-2 seal-oil and H2 / CO2 gas-control skid</t>
        </is>
      </c>
      <c r="I713" s="9" t="inlineStr">
        <is>
          <t>Instrumentation</t>
        </is>
      </c>
      <c r="J713" s="9" t="inlineStr">
        <is>
          <t>Instrumentation ITC / PLTC, IS, #18 shielded pairs, blue jacket</t>
        </is>
      </c>
      <c r="K713" s="9" t="inlineStr">
        <is>
          <t>ITC|12 pr|18</t>
        </is>
      </c>
      <c r="L713" s="9" t="inlineStr">
        <is>
          <t>12 pr</t>
        </is>
      </c>
      <c r="M713" s="9" t="inlineStr">
        <is>
          <t>18</t>
        </is>
      </c>
      <c r="N713" s="9" t="n">
        <v>1</v>
      </c>
      <c r="O713" s="9" t="n">
        <v>1</v>
      </c>
      <c r="P713" s="9" t="n"/>
      <c r="Q713" s="9" t="n"/>
      <c r="R713" s="9" t="n"/>
      <c r="S713" s="9" t="inlineStr">
        <is>
          <t>Tray</t>
        </is>
      </c>
      <c r="T713" s="10" t="n">
        <v>997</v>
      </c>
      <c r="U713" s="10" t="n">
        <v>102</v>
      </c>
      <c r="V713" s="10">
        <f>ROUNDUP((T713+U713+2*'Read Me'!$B$13)*(1+'Read Me'!$B$12),-1)</f>
        <v/>
      </c>
      <c r="W713" s="10">
        <f>V713*N713*O713</f>
        <v/>
      </c>
      <c r="X713" s="9">
        <f>IF(LEFT(I713,2)="MV",2*N713*IF(L713="1/C",O713,1),0)</f>
        <v/>
      </c>
      <c r="Y713" s="9">
        <f>IF(OR(LEFT(K713,4)="LVAX",LEFT(K713,6)="MV15AX",LEFT(K713,4)="CTAX",LEFT(K713,2)="W|"),2*N713*O713,0)</f>
        <v/>
      </c>
      <c r="Z713" s="9" t="inlineStr"/>
    </row>
    <row r="714">
      <c r="A714" s="9" t="inlineStr">
        <is>
          <t>A-I-0251</t>
        </is>
      </c>
      <c r="B714" s="9" t="inlineStr">
        <is>
          <t>A</t>
        </is>
      </c>
      <c r="C714" s="9" t="inlineStr">
        <is>
          <t>Power block</t>
        </is>
      </c>
      <c r="D714" s="9" t="inlineStr">
        <is>
          <t>Instrumentation</t>
        </is>
      </c>
      <c r="E714" s="9" t="inlineStr">
        <is>
          <t>R2C</t>
        </is>
      </c>
      <c r="F714" s="9" t="inlineStr">
        <is>
          <t>R2C: unit / HRSG electrical e-house (32 x 40 ft)</t>
        </is>
      </c>
      <c r="G714" s="9" t="inlineStr">
        <is>
          <t>SOS-3</t>
        </is>
      </c>
      <c r="H714" s="9" t="inlineStr">
        <is>
          <t>SOS-3: GTG-3 seal-oil and H2 / CO2 gas-control skid</t>
        </is>
      </c>
      <c r="I714" s="9" t="inlineStr">
        <is>
          <t>Instrumentation</t>
        </is>
      </c>
      <c r="J714" s="9" t="inlineStr">
        <is>
          <t>Instrumentation ITC / PLTC, IS, #18 shielded pairs, blue jacket</t>
        </is>
      </c>
      <c r="K714" s="9" t="inlineStr">
        <is>
          <t>ITC|4 pr|18</t>
        </is>
      </c>
      <c r="L714" s="9" t="inlineStr">
        <is>
          <t>4 pr</t>
        </is>
      </c>
      <c r="M714" s="9" t="inlineStr">
        <is>
          <t>18</t>
        </is>
      </c>
      <c r="N714" s="9" t="n">
        <v>1</v>
      </c>
      <c r="O714" s="9" t="n">
        <v>1</v>
      </c>
      <c r="P714" s="9" t="n"/>
      <c r="Q714" s="9" t="n"/>
      <c r="R714" s="9" t="n"/>
      <c r="S714" s="9" t="inlineStr">
        <is>
          <t>Tray</t>
        </is>
      </c>
      <c r="T714" s="10" t="n">
        <v>1158</v>
      </c>
      <c r="U714" s="10" t="n">
        <v>118</v>
      </c>
      <c r="V714" s="10">
        <f>ROUNDUP((T714+U714+2*'Read Me'!$B$13)*(1+'Read Me'!$B$12),-1)</f>
        <v/>
      </c>
      <c r="W714" s="10">
        <f>V714*N714*O714</f>
        <v/>
      </c>
      <c r="X714" s="9">
        <f>IF(LEFT(I714,2)="MV",2*N714*IF(L714="1/C",O714,1),0)</f>
        <v/>
      </c>
      <c r="Y714" s="9">
        <f>IF(OR(LEFT(K714,4)="LVAX",LEFT(K714,6)="MV15AX",LEFT(K714,4)="CTAX",LEFT(K714,2)="W|"),2*N714*O714,0)</f>
        <v/>
      </c>
      <c r="Z714" s="9" t="inlineStr"/>
    </row>
    <row r="715">
      <c r="A715" s="9" t="inlineStr">
        <is>
          <t>A-I-0252</t>
        </is>
      </c>
      <c r="B715" s="9" t="inlineStr">
        <is>
          <t>A</t>
        </is>
      </c>
      <c r="C715" s="9" t="inlineStr">
        <is>
          <t>Power block</t>
        </is>
      </c>
      <c r="D715" s="9" t="inlineStr">
        <is>
          <t>Instrumentation</t>
        </is>
      </c>
      <c r="E715" s="9" t="inlineStr">
        <is>
          <t>R2C</t>
        </is>
      </c>
      <c r="F715" s="9" t="inlineStr">
        <is>
          <t>R2C: unit / HRSG electrical e-house (32 x 40 ft)</t>
        </is>
      </c>
      <c r="G715" s="9" t="inlineStr">
        <is>
          <t>SOS-3</t>
        </is>
      </c>
      <c r="H715" s="9" t="inlineStr">
        <is>
          <t>SOS-3: GTG-3 seal-oil and H2 / CO2 gas-control skid</t>
        </is>
      </c>
      <c r="I715" s="9" t="inlineStr">
        <is>
          <t>Instrumentation</t>
        </is>
      </c>
      <c r="J715" s="9" t="inlineStr">
        <is>
          <t>Instrumentation ITC / PLTC, IS, #18 shielded pairs, blue jacket</t>
        </is>
      </c>
      <c r="K715" s="9" t="inlineStr">
        <is>
          <t>ITC|4 pr|18</t>
        </is>
      </c>
      <c r="L715" s="9" t="inlineStr">
        <is>
          <t>4 pr</t>
        </is>
      </c>
      <c r="M715" s="9" t="inlineStr">
        <is>
          <t>18</t>
        </is>
      </c>
      <c r="N715" s="9" t="n">
        <v>1</v>
      </c>
      <c r="O715" s="9" t="n">
        <v>1</v>
      </c>
      <c r="P715" s="9" t="n"/>
      <c r="Q715" s="9" t="n"/>
      <c r="R715" s="9" t="n"/>
      <c r="S715" s="9" t="inlineStr">
        <is>
          <t>Tray</t>
        </is>
      </c>
      <c r="T715" s="10" t="n">
        <v>1158</v>
      </c>
      <c r="U715" s="10" t="n">
        <v>118</v>
      </c>
      <c r="V715" s="10">
        <f>ROUNDUP((T715+U715+2*'Read Me'!$B$13)*(1+'Read Me'!$B$12),-1)</f>
        <v/>
      </c>
      <c r="W715" s="10">
        <f>V715*N715*O715</f>
        <v/>
      </c>
      <c r="X715" s="9">
        <f>IF(LEFT(I715,2)="MV",2*N715*IF(L715="1/C",O715,1),0)</f>
        <v/>
      </c>
      <c r="Y715" s="9">
        <f>IF(OR(LEFT(K715,4)="LVAX",LEFT(K715,6)="MV15AX",LEFT(K715,4)="CTAX",LEFT(K715,2)="W|"),2*N715*O715,0)</f>
        <v/>
      </c>
      <c r="Z715" s="9" t="inlineStr"/>
    </row>
    <row r="716">
      <c r="A716" s="9" t="inlineStr">
        <is>
          <t>A-I-0253</t>
        </is>
      </c>
      <c r="B716" s="9" t="inlineStr">
        <is>
          <t>A</t>
        </is>
      </c>
      <c r="C716" s="9" t="inlineStr">
        <is>
          <t>Power block</t>
        </is>
      </c>
      <c r="D716" s="9" t="inlineStr">
        <is>
          <t>Instrumentation</t>
        </is>
      </c>
      <c r="E716" s="9" t="inlineStr">
        <is>
          <t>R2C</t>
        </is>
      </c>
      <c r="F716" s="9" t="inlineStr">
        <is>
          <t>R2C: unit / HRSG electrical e-house (32 x 40 ft)</t>
        </is>
      </c>
      <c r="G716" s="9" t="inlineStr">
        <is>
          <t>SOS-3</t>
        </is>
      </c>
      <c r="H716" s="9" t="inlineStr">
        <is>
          <t>SOS-3: GTG-3 seal-oil and H2 / CO2 gas-control skid</t>
        </is>
      </c>
      <c r="I716" s="9" t="inlineStr">
        <is>
          <t>Instrumentation</t>
        </is>
      </c>
      <c r="J716" s="9" t="inlineStr">
        <is>
          <t>Instrumentation ITC / PLTC, IS, #18 shielded pairs, blue jacket</t>
        </is>
      </c>
      <c r="K716" s="9" t="inlineStr">
        <is>
          <t>ITC|12 pr|18</t>
        </is>
      </c>
      <c r="L716" s="9" t="inlineStr">
        <is>
          <t>12 pr</t>
        </is>
      </c>
      <c r="M716" s="9" t="inlineStr">
        <is>
          <t>18</t>
        </is>
      </c>
      <c r="N716" s="9" t="n">
        <v>1</v>
      </c>
      <c r="O716" s="9" t="n">
        <v>1</v>
      </c>
      <c r="P716" s="9" t="n"/>
      <c r="Q716" s="9" t="n"/>
      <c r="R716" s="9" t="n"/>
      <c r="S716" s="9" t="inlineStr">
        <is>
          <t>Tray</t>
        </is>
      </c>
      <c r="T716" s="10" t="n">
        <v>1158</v>
      </c>
      <c r="U716" s="10" t="n">
        <v>118</v>
      </c>
      <c r="V716" s="10">
        <f>ROUNDUP((T716+U716+2*'Read Me'!$B$13)*(1+'Read Me'!$B$12),-1)</f>
        <v/>
      </c>
      <c r="W716" s="10">
        <f>V716*N716*O716</f>
        <v/>
      </c>
      <c r="X716" s="9">
        <f>IF(LEFT(I716,2)="MV",2*N716*IF(L716="1/C",O716,1),0)</f>
        <v/>
      </c>
      <c r="Y716" s="9">
        <f>IF(OR(LEFT(K716,4)="LVAX",LEFT(K716,6)="MV15AX",LEFT(K716,4)="CTAX",LEFT(K716,2)="W|"),2*N716*O716,0)</f>
        <v/>
      </c>
      <c r="Z716" s="9" t="inlineStr"/>
    </row>
    <row r="717">
      <c r="A717" s="9" t="inlineStr">
        <is>
          <t>A-I-0254</t>
        </is>
      </c>
      <c r="B717" s="9" t="inlineStr">
        <is>
          <t>A</t>
        </is>
      </c>
      <c r="C717" s="9" t="inlineStr">
        <is>
          <t>Power block</t>
        </is>
      </c>
      <c r="D717" s="9" t="inlineStr">
        <is>
          <t>Instrumentation</t>
        </is>
      </c>
      <c r="E717" s="9" t="inlineStr">
        <is>
          <t>R2C</t>
        </is>
      </c>
      <c r="F717" s="9" t="inlineStr">
        <is>
          <t>R2C: unit / HRSG electrical e-house (32 x 40 ft)</t>
        </is>
      </c>
      <c r="G717" s="9" t="inlineStr">
        <is>
          <t>SOS-3</t>
        </is>
      </c>
      <c r="H717" s="9" t="inlineStr">
        <is>
          <t>SOS-3: GTG-3 seal-oil and H2 / CO2 gas-control skid</t>
        </is>
      </c>
      <c r="I717" s="9" t="inlineStr">
        <is>
          <t>Instrumentation</t>
        </is>
      </c>
      <c r="J717" s="9" t="inlineStr">
        <is>
          <t>Instrumentation ITC / PLTC, IS, #18 shielded pairs, blue jacket</t>
        </is>
      </c>
      <c r="K717" s="9" t="inlineStr">
        <is>
          <t>ITC|12 pr|18</t>
        </is>
      </c>
      <c r="L717" s="9" t="inlineStr">
        <is>
          <t>12 pr</t>
        </is>
      </c>
      <c r="M717" s="9" t="inlineStr">
        <is>
          <t>18</t>
        </is>
      </c>
      <c r="N717" s="9" t="n">
        <v>1</v>
      </c>
      <c r="O717" s="9" t="n">
        <v>1</v>
      </c>
      <c r="P717" s="9" t="n"/>
      <c r="Q717" s="9" t="n"/>
      <c r="R717" s="9" t="n"/>
      <c r="S717" s="9" t="inlineStr">
        <is>
          <t>Tray</t>
        </is>
      </c>
      <c r="T717" s="10" t="n">
        <v>1158</v>
      </c>
      <c r="U717" s="10" t="n">
        <v>118</v>
      </c>
      <c r="V717" s="10">
        <f>ROUNDUP((T717+U717+2*'Read Me'!$B$13)*(1+'Read Me'!$B$12),-1)</f>
        <v/>
      </c>
      <c r="W717" s="10">
        <f>V717*N717*O717</f>
        <v/>
      </c>
      <c r="X717" s="9">
        <f>IF(LEFT(I717,2)="MV",2*N717*IF(L717="1/C",O717,1),0)</f>
        <v/>
      </c>
      <c r="Y717" s="9">
        <f>IF(OR(LEFT(K717,4)="LVAX",LEFT(K717,6)="MV15AX",LEFT(K717,4)="CTAX",LEFT(K717,2)="W|"),2*N717*O717,0)</f>
        <v/>
      </c>
      <c r="Z717" s="9" t="inlineStr"/>
    </row>
    <row r="718">
      <c r="A718" s="9" t="inlineStr">
        <is>
          <t>A-I-0255</t>
        </is>
      </c>
      <c r="B718" s="9" t="inlineStr">
        <is>
          <t>A</t>
        </is>
      </c>
      <c r="C718" s="9" t="inlineStr">
        <is>
          <t>Power block</t>
        </is>
      </c>
      <c r="D718" s="9" t="inlineStr">
        <is>
          <t>Instrumentation</t>
        </is>
      </c>
      <c r="E718" s="9" t="inlineStr">
        <is>
          <t>R2C</t>
        </is>
      </c>
      <c r="F718" s="9" t="inlineStr">
        <is>
          <t>R2C: unit / HRSG electrical e-house (32 x 40 ft)</t>
        </is>
      </c>
      <c r="G718" s="9" t="inlineStr">
        <is>
          <t>SOS-3</t>
        </is>
      </c>
      <c r="H718" s="9" t="inlineStr">
        <is>
          <t>SOS-3: GTG-3 seal-oil and H2 / CO2 gas-control skid</t>
        </is>
      </c>
      <c r="I718" s="9" t="inlineStr">
        <is>
          <t>Instrumentation</t>
        </is>
      </c>
      <c r="J718" s="9" t="inlineStr">
        <is>
          <t>Instrumentation ITC / PLTC, IS, #18 shielded pairs, blue jacket</t>
        </is>
      </c>
      <c r="K718" s="9" t="inlineStr">
        <is>
          <t>ITC|12 pr|18</t>
        </is>
      </c>
      <c r="L718" s="9" t="inlineStr">
        <is>
          <t>12 pr</t>
        </is>
      </c>
      <c r="M718" s="9" t="inlineStr">
        <is>
          <t>18</t>
        </is>
      </c>
      <c r="N718" s="9" t="n">
        <v>1</v>
      </c>
      <c r="O718" s="9" t="n">
        <v>1</v>
      </c>
      <c r="P718" s="9" t="n"/>
      <c r="Q718" s="9" t="n"/>
      <c r="R718" s="9" t="n"/>
      <c r="S718" s="9" t="inlineStr">
        <is>
          <t>Tray</t>
        </is>
      </c>
      <c r="T718" s="10" t="n">
        <v>1158</v>
      </c>
      <c r="U718" s="10" t="n">
        <v>118</v>
      </c>
      <c r="V718" s="10">
        <f>ROUNDUP((T718+U718+2*'Read Me'!$B$13)*(1+'Read Me'!$B$12),-1)</f>
        <v/>
      </c>
      <c r="W718" s="10">
        <f>V718*N718*O718</f>
        <v/>
      </c>
      <c r="X718" s="9">
        <f>IF(LEFT(I718,2)="MV",2*N718*IF(L718="1/C",O718,1),0)</f>
        <v/>
      </c>
      <c r="Y718" s="9">
        <f>IF(OR(LEFT(K718,4)="LVAX",LEFT(K718,6)="MV15AX",LEFT(K718,4)="CTAX",LEFT(K718,2)="W|"),2*N718*O718,0)</f>
        <v/>
      </c>
      <c r="Z718" s="9" t="inlineStr"/>
    </row>
    <row r="719">
      <c r="A719" s="9" t="inlineStr">
        <is>
          <t>A-I-0256</t>
        </is>
      </c>
      <c r="B719" s="9" t="inlineStr">
        <is>
          <t>A</t>
        </is>
      </c>
      <c r="C719" s="9" t="inlineStr">
        <is>
          <t>Power block</t>
        </is>
      </c>
      <c r="D719" s="9" t="inlineStr">
        <is>
          <t>Instrumentation</t>
        </is>
      </c>
      <c r="E719" s="9" t="inlineStr">
        <is>
          <t>R2C</t>
        </is>
      </c>
      <c r="F719" s="9" t="inlineStr">
        <is>
          <t>R2C: unit / HRSG electrical e-house (32 x 40 ft)</t>
        </is>
      </c>
      <c r="G719" s="9" t="inlineStr">
        <is>
          <t>SOS-3</t>
        </is>
      </c>
      <c r="H719" s="9" t="inlineStr">
        <is>
          <t>SOS-3: GTG-3 seal-oil and H2 / CO2 gas-control skid</t>
        </is>
      </c>
      <c r="I719" s="9" t="inlineStr">
        <is>
          <t>Instrumentation</t>
        </is>
      </c>
      <c r="J719" s="9" t="inlineStr">
        <is>
          <t>Instrumentation ITC / PLTC, IS, #18 shielded pairs, blue jacket</t>
        </is>
      </c>
      <c r="K719" s="9" t="inlineStr">
        <is>
          <t>ITC|12 pr|18</t>
        </is>
      </c>
      <c r="L719" s="9" t="inlineStr">
        <is>
          <t>12 pr</t>
        </is>
      </c>
      <c r="M719" s="9" t="inlineStr">
        <is>
          <t>18</t>
        </is>
      </c>
      <c r="N719" s="9" t="n">
        <v>1</v>
      </c>
      <c r="O719" s="9" t="n">
        <v>1</v>
      </c>
      <c r="P719" s="9" t="n"/>
      <c r="Q719" s="9" t="n"/>
      <c r="R719" s="9" t="n"/>
      <c r="S719" s="9" t="inlineStr">
        <is>
          <t>Tray</t>
        </is>
      </c>
      <c r="T719" s="10" t="n">
        <v>1158</v>
      </c>
      <c r="U719" s="10" t="n">
        <v>118</v>
      </c>
      <c r="V719" s="10">
        <f>ROUNDUP((T719+U719+2*'Read Me'!$B$13)*(1+'Read Me'!$B$12),-1)</f>
        <v/>
      </c>
      <c r="W719" s="10">
        <f>V719*N719*O719</f>
        <v/>
      </c>
      <c r="X719" s="9">
        <f>IF(LEFT(I719,2)="MV",2*N719*IF(L719="1/C",O719,1),0)</f>
        <v/>
      </c>
      <c r="Y719" s="9">
        <f>IF(OR(LEFT(K719,4)="LVAX",LEFT(K719,6)="MV15AX",LEFT(K719,4)="CTAX",LEFT(K719,2)="W|"),2*N719*O719,0)</f>
        <v/>
      </c>
      <c r="Z719" s="9" t="inlineStr"/>
    </row>
    <row r="720">
      <c r="A720" s="9" t="inlineStr">
        <is>
          <t>A-I-0257</t>
        </is>
      </c>
      <c r="B720" s="9" t="inlineStr">
        <is>
          <t>A</t>
        </is>
      </c>
      <c r="C720" s="9" t="inlineStr">
        <is>
          <t>Power block</t>
        </is>
      </c>
      <c r="D720" s="9" t="inlineStr">
        <is>
          <t>Instrumentation</t>
        </is>
      </c>
      <c r="E720" s="9" t="inlineStr">
        <is>
          <t>R2C</t>
        </is>
      </c>
      <c r="F720" s="9" t="inlineStr">
        <is>
          <t>R2C: unit / HRSG electrical e-house (32 x 40 ft)</t>
        </is>
      </c>
      <c r="G720" s="9" t="inlineStr">
        <is>
          <t>SOS-3</t>
        </is>
      </c>
      <c r="H720" s="9" t="inlineStr">
        <is>
          <t>SOS-3: GTG-3 seal-oil and H2 / CO2 gas-control skid</t>
        </is>
      </c>
      <c r="I720" s="9" t="inlineStr">
        <is>
          <t>Instrumentation</t>
        </is>
      </c>
      <c r="J720" s="9" t="inlineStr">
        <is>
          <t>Instrumentation ITC / PLTC, IS, #18 shielded pairs, blue jacket</t>
        </is>
      </c>
      <c r="K720" s="9" t="inlineStr">
        <is>
          <t>ITC|12 pr|18</t>
        </is>
      </c>
      <c r="L720" s="9" t="inlineStr">
        <is>
          <t>12 pr</t>
        </is>
      </c>
      <c r="M720" s="9" t="inlineStr">
        <is>
          <t>18</t>
        </is>
      </c>
      <c r="N720" s="9" t="n">
        <v>1</v>
      </c>
      <c r="O720" s="9" t="n">
        <v>1</v>
      </c>
      <c r="P720" s="9" t="n"/>
      <c r="Q720" s="9" t="n"/>
      <c r="R720" s="9" t="n"/>
      <c r="S720" s="9" t="inlineStr">
        <is>
          <t>Tray</t>
        </is>
      </c>
      <c r="T720" s="10" t="n">
        <v>1158</v>
      </c>
      <c r="U720" s="10" t="n">
        <v>118</v>
      </c>
      <c r="V720" s="10">
        <f>ROUNDUP((T720+U720+2*'Read Me'!$B$13)*(1+'Read Me'!$B$12),-1)</f>
        <v/>
      </c>
      <c r="W720" s="10">
        <f>V720*N720*O720</f>
        <v/>
      </c>
      <c r="X720" s="9">
        <f>IF(LEFT(I720,2)="MV",2*N720*IF(L720="1/C",O720,1),0)</f>
        <v/>
      </c>
      <c r="Y720" s="9">
        <f>IF(OR(LEFT(K720,4)="LVAX",LEFT(K720,6)="MV15AX",LEFT(K720,4)="CTAX",LEFT(K720,2)="W|"),2*N720*O720,0)</f>
        <v/>
      </c>
      <c r="Z720" s="9" t="inlineStr"/>
    </row>
    <row r="721">
      <c r="A721" s="9" t="inlineStr">
        <is>
          <t>A-I-0258</t>
        </is>
      </c>
      <c r="B721" s="9" t="inlineStr">
        <is>
          <t>A</t>
        </is>
      </c>
      <c r="C721" s="9" t="inlineStr">
        <is>
          <t>Power block</t>
        </is>
      </c>
      <c r="D721" s="9" t="inlineStr">
        <is>
          <t>Instrumentation</t>
        </is>
      </c>
      <c r="E721" s="9" t="inlineStr">
        <is>
          <t>R2C</t>
        </is>
      </c>
      <c r="F721" s="9" t="inlineStr">
        <is>
          <t>R2C: unit / HRSG electrical e-house (32 x 40 ft)</t>
        </is>
      </c>
      <c r="G721" s="9" t="inlineStr">
        <is>
          <t>SOS-3</t>
        </is>
      </c>
      <c r="H721" s="9" t="inlineStr">
        <is>
          <t>SOS-3: GTG-3 seal-oil and H2 / CO2 gas-control skid</t>
        </is>
      </c>
      <c r="I721" s="9" t="inlineStr">
        <is>
          <t>Instrumentation</t>
        </is>
      </c>
      <c r="J721" s="9" t="inlineStr">
        <is>
          <t>Instrumentation ITC / PLTC, IS, #18 shielded pairs, blue jacket</t>
        </is>
      </c>
      <c r="K721" s="9" t="inlineStr">
        <is>
          <t>ITC|12 pr|18</t>
        </is>
      </c>
      <c r="L721" s="9" t="inlineStr">
        <is>
          <t>12 pr</t>
        </is>
      </c>
      <c r="M721" s="9" t="inlineStr">
        <is>
          <t>18</t>
        </is>
      </c>
      <c r="N721" s="9" t="n">
        <v>1</v>
      </c>
      <c r="O721" s="9" t="n">
        <v>1</v>
      </c>
      <c r="P721" s="9" t="n"/>
      <c r="Q721" s="9" t="n"/>
      <c r="R721" s="9" t="n"/>
      <c r="S721" s="9" t="inlineStr">
        <is>
          <t>Tray</t>
        </is>
      </c>
      <c r="T721" s="10" t="n">
        <v>1158</v>
      </c>
      <c r="U721" s="10" t="n">
        <v>118</v>
      </c>
      <c r="V721" s="10">
        <f>ROUNDUP((T721+U721+2*'Read Me'!$B$13)*(1+'Read Me'!$B$12),-1)</f>
        <v/>
      </c>
      <c r="W721" s="10">
        <f>V721*N721*O721</f>
        <v/>
      </c>
      <c r="X721" s="9">
        <f>IF(LEFT(I721,2)="MV",2*N721*IF(L721="1/C",O721,1),0)</f>
        <v/>
      </c>
      <c r="Y721" s="9">
        <f>IF(OR(LEFT(K721,4)="LVAX",LEFT(K721,6)="MV15AX",LEFT(K721,4)="CTAX",LEFT(K721,2)="W|"),2*N721*O721,0)</f>
        <v/>
      </c>
      <c r="Z721" s="9" t="inlineStr"/>
    </row>
    <row r="722">
      <c r="A722" s="9" t="inlineStr">
        <is>
          <t>A-I-0259</t>
        </is>
      </c>
      <c r="B722" s="9" t="inlineStr">
        <is>
          <t>A</t>
        </is>
      </c>
      <c r="C722" s="9" t="inlineStr">
        <is>
          <t>Power block</t>
        </is>
      </c>
      <c r="D722" s="9" t="inlineStr">
        <is>
          <t>Instrumentation</t>
        </is>
      </c>
      <c r="E722" s="9" t="inlineStr">
        <is>
          <t>R2C</t>
        </is>
      </c>
      <c r="F722" s="9" t="inlineStr">
        <is>
          <t>R2C: unit / HRSG electrical e-house (32 x 40 ft)</t>
        </is>
      </c>
      <c r="G722" s="9" t="inlineStr">
        <is>
          <t>SOS-3</t>
        </is>
      </c>
      <c r="H722" s="9" t="inlineStr">
        <is>
          <t>SOS-3: GTG-3 seal-oil and H2 / CO2 gas-control skid</t>
        </is>
      </c>
      <c r="I722" s="9" t="inlineStr">
        <is>
          <t>Instrumentation</t>
        </is>
      </c>
      <c r="J722" s="9" t="inlineStr">
        <is>
          <t>Instrumentation ITC / PLTC, IS, #18 shielded pairs, blue jacket</t>
        </is>
      </c>
      <c r="K722" s="9" t="inlineStr">
        <is>
          <t>ITC|12 pr|18</t>
        </is>
      </c>
      <c r="L722" s="9" t="inlineStr">
        <is>
          <t>12 pr</t>
        </is>
      </c>
      <c r="M722" s="9" t="inlineStr">
        <is>
          <t>18</t>
        </is>
      </c>
      <c r="N722" s="9" t="n">
        <v>1</v>
      </c>
      <c r="O722" s="9" t="n">
        <v>1</v>
      </c>
      <c r="P722" s="9" t="n"/>
      <c r="Q722" s="9" t="n"/>
      <c r="R722" s="9" t="n"/>
      <c r="S722" s="9" t="inlineStr">
        <is>
          <t>Tray</t>
        </is>
      </c>
      <c r="T722" s="10" t="n">
        <v>1158</v>
      </c>
      <c r="U722" s="10" t="n">
        <v>118</v>
      </c>
      <c r="V722" s="10">
        <f>ROUNDUP((T722+U722+2*'Read Me'!$B$13)*(1+'Read Me'!$B$12),-1)</f>
        <v/>
      </c>
      <c r="W722" s="10">
        <f>V722*N722*O722</f>
        <v/>
      </c>
      <c r="X722" s="9">
        <f>IF(LEFT(I722,2)="MV",2*N722*IF(L722="1/C",O722,1),0)</f>
        <v/>
      </c>
      <c r="Y722" s="9">
        <f>IF(OR(LEFT(K722,4)="LVAX",LEFT(K722,6)="MV15AX",LEFT(K722,4)="CTAX",LEFT(K722,2)="W|"),2*N722*O722,0)</f>
        <v/>
      </c>
      <c r="Z722" s="9" t="inlineStr"/>
    </row>
    <row r="723">
      <c r="A723" s="9" t="inlineStr">
        <is>
          <t>A-I-0260</t>
        </is>
      </c>
      <c r="B723" s="9" t="inlineStr">
        <is>
          <t>A</t>
        </is>
      </c>
      <c r="C723" s="9" t="inlineStr">
        <is>
          <t>Power block</t>
        </is>
      </c>
      <c r="D723" s="9" t="inlineStr">
        <is>
          <t>Instrumentation</t>
        </is>
      </c>
      <c r="E723" s="9" t="inlineStr">
        <is>
          <t>R2C</t>
        </is>
      </c>
      <c r="F723" s="9" t="inlineStr">
        <is>
          <t>R2C: unit / HRSG electrical e-house (32 x 40 ft)</t>
        </is>
      </c>
      <c r="G723" s="9" t="inlineStr">
        <is>
          <t>SOS-3</t>
        </is>
      </c>
      <c r="H723" s="9" t="inlineStr">
        <is>
          <t>SOS-3: GTG-3 seal-oil and H2 / CO2 gas-control skid</t>
        </is>
      </c>
      <c r="I723" s="9" t="inlineStr">
        <is>
          <t>Instrumentation</t>
        </is>
      </c>
      <c r="J723" s="9" t="inlineStr">
        <is>
          <t>Instrumentation ITC / PLTC, IS, #18 shielded pairs, blue jacket</t>
        </is>
      </c>
      <c r="K723" s="9" t="inlineStr">
        <is>
          <t>ITC|12 pr|18</t>
        </is>
      </c>
      <c r="L723" s="9" t="inlineStr">
        <is>
          <t>12 pr</t>
        </is>
      </c>
      <c r="M723" s="9" t="inlineStr">
        <is>
          <t>18</t>
        </is>
      </c>
      <c r="N723" s="9" t="n">
        <v>1</v>
      </c>
      <c r="O723" s="9" t="n">
        <v>1</v>
      </c>
      <c r="P723" s="9" t="n"/>
      <c r="Q723" s="9" t="n"/>
      <c r="R723" s="9" t="n"/>
      <c r="S723" s="9" t="inlineStr">
        <is>
          <t>Tray</t>
        </is>
      </c>
      <c r="T723" s="10" t="n">
        <v>1158</v>
      </c>
      <c r="U723" s="10" t="n">
        <v>118</v>
      </c>
      <c r="V723" s="10">
        <f>ROUNDUP((T723+U723+2*'Read Me'!$B$13)*(1+'Read Me'!$B$12),-1)</f>
        <v/>
      </c>
      <c r="W723" s="10">
        <f>V723*N723*O723</f>
        <v/>
      </c>
      <c r="X723" s="9">
        <f>IF(LEFT(I723,2)="MV",2*N723*IF(L723="1/C",O723,1),0)</f>
        <v/>
      </c>
      <c r="Y723" s="9">
        <f>IF(OR(LEFT(K723,4)="LVAX",LEFT(K723,6)="MV15AX",LEFT(K723,4)="CTAX",LEFT(K723,2)="W|"),2*N723*O723,0)</f>
        <v/>
      </c>
      <c r="Z723" s="9" t="inlineStr"/>
    </row>
    <row r="724">
      <c r="A724" s="9" t="inlineStr">
        <is>
          <t>A-I-0261</t>
        </is>
      </c>
      <c r="B724" s="9" t="inlineStr">
        <is>
          <t>A</t>
        </is>
      </c>
      <c r="C724" s="9" t="inlineStr">
        <is>
          <t>Power block</t>
        </is>
      </c>
      <c r="D724" s="9" t="inlineStr">
        <is>
          <t>Instrumentation</t>
        </is>
      </c>
      <c r="E724" s="9" t="inlineStr">
        <is>
          <t>R3</t>
        </is>
      </c>
      <c r="F724" s="9" t="inlineStr">
        <is>
          <t>R3: ST auxiliary electrical e-house (40 x 65 ft)</t>
        </is>
      </c>
      <c r="G724" s="9" t="inlineStr">
        <is>
          <t>ST aux</t>
        </is>
      </c>
      <c r="H724" s="9" t="inlineStr">
        <is>
          <t>ST aux: lube oil, turning gear, EHC</t>
        </is>
      </c>
      <c r="I724" s="9" t="inlineStr">
        <is>
          <t>Instrumentation</t>
        </is>
      </c>
      <c r="J724" s="9" t="inlineStr">
        <is>
          <t>Instrumentation PLTC / TC-ER 300 V, #18 twisted shielded pairs, overall shield</t>
        </is>
      </c>
      <c r="K724" s="9" t="inlineStr">
        <is>
          <t>PLTC|4 pr|18</t>
        </is>
      </c>
      <c r="L724" s="9" t="inlineStr">
        <is>
          <t>4 pr</t>
        </is>
      </c>
      <c r="M724" s="9" t="inlineStr">
        <is>
          <t>18</t>
        </is>
      </c>
      <c r="N724" s="9" t="n">
        <v>1</v>
      </c>
      <c r="O724" s="9" t="n">
        <v>1</v>
      </c>
      <c r="P724" s="9" t="n"/>
      <c r="Q724" s="9" t="n"/>
      <c r="R724" s="9" t="n"/>
      <c r="S724" s="9" t="inlineStr">
        <is>
          <t>Tray</t>
        </is>
      </c>
      <c r="T724" s="10" t="n">
        <v>91</v>
      </c>
      <c r="U724" s="10" t="n">
        <v>70</v>
      </c>
      <c r="V724" s="10">
        <f>ROUNDUP((T724+U724+2*'Read Me'!$B$13)*(1+'Read Me'!$B$12),-1)</f>
        <v/>
      </c>
      <c r="W724" s="10">
        <f>V724*N724*O724</f>
        <v/>
      </c>
      <c r="X724" s="9">
        <f>IF(LEFT(I724,2)="MV",2*N724*IF(L724="1/C",O724,1),0)</f>
        <v/>
      </c>
      <c r="Y724" s="9">
        <f>IF(OR(LEFT(K724,4)="LVAX",LEFT(K724,6)="MV15AX",LEFT(K724,4)="CTAX",LEFT(K724,2)="W|"),2*N724*O724,0)</f>
        <v/>
      </c>
      <c r="Z724" s="9" t="inlineStr"/>
    </row>
    <row r="725">
      <c r="A725" s="9" t="inlineStr">
        <is>
          <t>A-I-0262</t>
        </is>
      </c>
      <c r="B725" s="9" t="inlineStr">
        <is>
          <t>A</t>
        </is>
      </c>
      <c r="C725" s="9" t="inlineStr">
        <is>
          <t>Power block</t>
        </is>
      </c>
      <c r="D725" s="9" t="inlineStr">
        <is>
          <t>Instrumentation</t>
        </is>
      </c>
      <c r="E725" s="9" t="inlineStr">
        <is>
          <t>R3</t>
        </is>
      </c>
      <c r="F725" s="9" t="inlineStr">
        <is>
          <t>R3: ST auxiliary electrical e-house (40 x 65 ft)</t>
        </is>
      </c>
      <c r="G725" s="9" t="inlineStr">
        <is>
          <t>ST</t>
        </is>
      </c>
      <c r="H725" s="9" t="inlineStr">
        <is>
          <t>ST: steam turbine (HP/IP + LP), ACC plant</t>
        </is>
      </c>
      <c r="I725" s="9" t="inlineStr">
        <is>
          <t>Instrumentation</t>
        </is>
      </c>
      <c r="J725" s="9" t="inlineStr">
        <is>
          <t>Instrumentation PLTC / TC-ER 300 V, #18 twisted shielded pairs, overall shield</t>
        </is>
      </c>
      <c r="K725" s="9" t="inlineStr">
        <is>
          <t>PLTC|4 pr|18</t>
        </is>
      </c>
      <c r="L725" s="9" t="inlineStr">
        <is>
          <t>4 pr</t>
        </is>
      </c>
      <c r="M725" s="9" t="inlineStr">
        <is>
          <t>18</t>
        </is>
      </c>
      <c r="N725" s="9" t="n">
        <v>1</v>
      </c>
      <c r="O725" s="9" t="n">
        <v>1</v>
      </c>
      <c r="P725" s="9" t="n"/>
      <c r="Q725" s="9" t="n"/>
      <c r="R725" s="9" t="n"/>
      <c r="S725" s="9" t="inlineStr">
        <is>
          <t>Tray</t>
        </is>
      </c>
      <c r="T725" s="10" t="n">
        <v>14</v>
      </c>
      <c r="U725" s="10" t="n">
        <v>78</v>
      </c>
      <c r="V725" s="10">
        <f>ROUNDUP((T725+U725+2*'Read Me'!$B$13)*(1+'Read Me'!$B$12),-1)</f>
        <v/>
      </c>
      <c r="W725" s="10">
        <f>V725*N725*O725</f>
        <v/>
      </c>
      <c r="X725" s="9">
        <f>IF(LEFT(I725,2)="MV",2*N725*IF(L725="1/C",O725,1),0)</f>
        <v/>
      </c>
      <c r="Y725" s="9">
        <f>IF(OR(LEFT(K725,4)="LVAX",LEFT(K725,6)="MV15AX",LEFT(K725,4)="CTAX",LEFT(K725,2)="W|"),2*N725*O725,0)</f>
        <v/>
      </c>
      <c r="Z725" s="9" t="inlineStr"/>
    </row>
    <row r="726">
      <c r="A726" s="9" t="inlineStr">
        <is>
          <t>A-I-0263</t>
        </is>
      </c>
      <c r="B726" s="9" t="inlineStr">
        <is>
          <t>A</t>
        </is>
      </c>
      <c r="C726" s="9" t="inlineStr">
        <is>
          <t>Power block</t>
        </is>
      </c>
      <c r="D726" s="9" t="inlineStr">
        <is>
          <t>Instrumentation</t>
        </is>
      </c>
      <c r="E726" s="9" t="inlineStr">
        <is>
          <t>R3</t>
        </is>
      </c>
      <c r="F726" s="9" t="inlineStr">
        <is>
          <t>R3: ST auxiliary electrical e-house (40 x 65 ft)</t>
        </is>
      </c>
      <c r="G726" s="9" t="inlineStr">
        <is>
          <t>ST</t>
        </is>
      </c>
      <c r="H726" s="9" t="inlineStr">
        <is>
          <t>ST: steam turbine (HP/IP + LP), ACC plant</t>
        </is>
      </c>
      <c r="I726" s="9" t="inlineStr">
        <is>
          <t>Instrumentation</t>
        </is>
      </c>
      <c r="J726" s="9" t="inlineStr">
        <is>
          <t>Instrumentation PLTC / TC-ER 300 V, #18 twisted shielded pairs, overall shield</t>
        </is>
      </c>
      <c r="K726" s="9" t="inlineStr">
        <is>
          <t>PLTC|4 pr|18</t>
        </is>
      </c>
      <c r="L726" s="9" t="inlineStr">
        <is>
          <t>4 pr</t>
        </is>
      </c>
      <c r="M726" s="9" t="inlineStr">
        <is>
          <t>18</t>
        </is>
      </c>
      <c r="N726" s="9" t="n">
        <v>1</v>
      </c>
      <c r="O726" s="9" t="n">
        <v>1</v>
      </c>
      <c r="P726" s="9" t="n"/>
      <c r="Q726" s="9" t="n"/>
      <c r="R726" s="9" t="n"/>
      <c r="S726" s="9" t="inlineStr">
        <is>
          <t>Tray</t>
        </is>
      </c>
      <c r="T726" s="10" t="n">
        <v>14</v>
      </c>
      <c r="U726" s="10" t="n">
        <v>78</v>
      </c>
      <c r="V726" s="10">
        <f>ROUNDUP((T726+U726+2*'Read Me'!$B$13)*(1+'Read Me'!$B$12),-1)</f>
        <v/>
      </c>
      <c r="W726" s="10">
        <f>V726*N726*O726</f>
        <v/>
      </c>
      <c r="X726" s="9">
        <f>IF(LEFT(I726,2)="MV",2*N726*IF(L726="1/C",O726,1),0)</f>
        <v/>
      </c>
      <c r="Y726" s="9">
        <f>IF(OR(LEFT(K726,4)="LVAX",LEFT(K726,6)="MV15AX",LEFT(K726,4)="CTAX",LEFT(K726,2)="W|"),2*N726*O726,0)</f>
        <v/>
      </c>
      <c r="Z726" s="9" t="inlineStr"/>
    </row>
    <row r="727">
      <c r="A727" s="9" t="inlineStr">
        <is>
          <t>A-I-0264</t>
        </is>
      </c>
      <c r="B727" s="9" t="inlineStr">
        <is>
          <t>A</t>
        </is>
      </c>
      <c r="C727" s="9" t="inlineStr">
        <is>
          <t>Power block</t>
        </is>
      </c>
      <c r="D727" s="9" t="inlineStr">
        <is>
          <t>Instrumentation</t>
        </is>
      </c>
      <c r="E727" s="9" t="inlineStr">
        <is>
          <t>R3</t>
        </is>
      </c>
      <c r="F727" s="9" t="inlineStr">
        <is>
          <t>R3: ST auxiliary electrical e-house (40 x 65 ft)</t>
        </is>
      </c>
      <c r="G727" s="9" t="inlineStr">
        <is>
          <t>ST</t>
        </is>
      </c>
      <c r="H727" s="9" t="inlineStr">
        <is>
          <t>ST: steam turbine (HP/IP + LP), ACC plant</t>
        </is>
      </c>
      <c r="I727" s="9" t="inlineStr">
        <is>
          <t>Instrumentation</t>
        </is>
      </c>
      <c r="J727" s="9" t="inlineStr">
        <is>
          <t>Instrumentation PLTC / TC-ER 300 V, #18 twisted shielded pairs, overall shield</t>
        </is>
      </c>
      <c r="K727" s="9" t="inlineStr">
        <is>
          <t>PLTC|12 pr|18</t>
        </is>
      </c>
      <c r="L727" s="9" t="inlineStr">
        <is>
          <t>12 pr</t>
        </is>
      </c>
      <c r="M727" s="9" t="inlineStr">
        <is>
          <t>18</t>
        </is>
      </c>
      <c r="N727" s="9" t="n">
        <v>1</v>
      </c>
      <c r="O727" s="9" t="n">
        <v>1</v>
      </c>
      <c r="P727" s="9" t="n"/>
      <c r="Q727" s="9" t="n"/>
      <c r="R727" s="9" t="n"/>
      <c r="S727" s="9" t="inlineStr">
        <is>
          <t>Tray</t>
        </is>
      </c>
      <c r="T727" s="10" t="n">
        <v>14</v>
      </c>
      <c r="U727" s="10" t="n">
        <v>78</v>
      </c>
      <c r="V727" s="10">
        <f>ROUNDUP((T727+U727+2*'Read Me'!$B$13)*(1+'Read Me'!$B$12),-1)</f>
        <v/>
      </c>
      <c r="W727" s="10">
        <f>V727*N727*O727</f>
        <v/>
      </c>
      <c r="X727" s="9">
        <f>IF(LEFT(I727,2)="MV",2*N727*IF(L727="1/C",O727,1),0)</f>
        <v/>
      </c>
      <c r="Y727" s="9">
        <f>IF(OR(LEFT(K727,4)="LVAX",LEFT(K727,6)="MV15AX",LEFT(K727,4)="CTAX",LEFT(K727,2)="W|"),2*N727*O727,0)</f>
        <v/>
      </c>
      <c r="Z727" s="9" t="inlineStr"/>
    </row>
    <row r="728">
      <c r="A728" s="9" t="inlineStr">
        <is>
          <t>A-I-0265</t>
        </is>
      </c>
      <c r="B728" s="9" t="inlineStr">
        <is>
          <t>A</t>
        </is>
      </c>
      <c r="C728" s="9" t="inlineStr">
        <is>
          <t>Power block</t>
        </is>
      </c>
      <c r="D728" s="9" t="inlineStr">
        <is>
          <t>Instrumentation</t>
        </is>
      </c>
      <c r="E728" s="9" t="inlineStr">
        <is>
          <t>R3</t>
        </is>
      </c>
      <c r="F728" s="9" t="inlineStr">
        <is>
          <t>R3: ST auxiliary electrical e-house (40 x 65 ft)</t>
        </is>
      </c>
      <c r="G728" s="9" t="inlineStr">
        <is>
          <t>ST</t>
        </is>
      </c>
      <c r="H728" s="9" t="inlineStr">
        <is>
          <t>ST: steam turbine (HP/IP + LP), ACC plant</t>
        </is>
      </c>
      <c r="I728" s="9" t="inlineStr">
        <is>
          <t>Instrumentation</t>
        </is>
      </c>
      <c r="J728" s="9" t="inlineStr">
        <is>
          <t>Instrumentation PLTC / TC-ER 300 V, #18 twisted shielded pairs, overall shield</t>
        </is>
      </c>
      <c r="K728" s="9" t="inlineStr">
        <is>
          <t>PLTC|12 pr|18</t>
        </is>
      </c>
      <c r="L728" s="9" t="inlineStr">
        <is>
          <t>12 pr</t>
        </is>
      </c>
      <c r="M728" s="9" t="inlineStr">
        <is>
          <t>18</t>
        </is>
      </c>
      <c r="N728" s="9" t="n">
        <v>1</v>
      </c>
      <c r="O728" s="9" t="n">
        <v>1</v>
      </c>
      <c r="P728" s="9" t="n"/>
      <c r="Q728" s="9" t="n"/>
      <c r="R728" s="9" t="n"/>
      <c r="S728" s="9" t="inlineStr">
        <is>
          <t>Tray</t>
        </is>
      </c>
      <c r="T728" s="10" t="n">
        <v>14</v>
      </c>
      <c r="U728" s="10" t="n">
        <v>78</v>
      </c>
      <c r="V728" s="10">
        <f>ROUNDUP((T728+U728+2*'Read Me'!$B$13)*(1+'Read Me'!$B$12),-1)</f>
        <v/>
      </c>
      <c r="W728" s="10">
        <f>V728*N728*O728</f>
        <v/>
      </c>
      <c r="X728" s="9">
        <f>IF(LEFT(I728,2)="MV",2*N728*IF(L728="1/C",O728,1),0)</f>
        <v/>
      </c>
      <c r="Y728" s="9">
        <f>IF(OR(LEFT(K728,4)="LVAX",LEFT(K728,6)="MV15AX",LEFT(K728,4)="CTAX",LEFT(K728,2)="W|"),2*N728*O728,0)</f>
        <v/>
      </c>
      <c r="Z728" s="9" t="inlineStr"/>
    </row>
    <row r="729">
      <c r="A729" s="9" t="inlineStr">
        <is>
          <t>A-I-0266</t>
        </is>
      </c>
      <c r="B729" s="9" t="inlineStr">
        <is>
          <t>A</t>
        </is>
      </c>
      <c r="C729" s="9" t="inlineStr">
        <is>
          <t>Power block</t>
        </is>
      </c>
      <c r="D729" s="9" t="inlineStr">
        <is>
          <t>Instrumentation</t>
        </is>
      </c>
      <c r="E729" s="9" t="inlineStr">
        <is>
          <t>R3</t>
        </is>
      </c>
      <c r="F729" s="9" t="inlineStr">
        <is>
          <t>R3: ST auxiliary electrical e-house (40 x 65 ft)</t>
        </is>
      </c>
      <c r="G729" s="9" t="inlineStr">
        <is>
          <t>ST</t>
        </is>
      </c>
      <c r="H729" s="9" t="inlineStr">
        <is>
          <t>ST: steam turbine (HP/IP + LP), ACC plant</t>
        </is>
      </c>
      <c r="I729" s="9" t="inlineStr">
        <is>
          <t>Instrumentation</t>
        </is>
      </c>
      <c r="J729" s="9" t="inlineStr">
        <is>
          <t>Instrumentation PLTC / TC-ER 300 V, #18 twisted shielded pairs, overall shield</t>
        </is>
      </c>
      <c r="K729" s="9" t="inlineStr">
        <is>
          <t>PLTC|12 pr|18</t>
        </is>
      </c>
      <c r="L729" s="9" t="inlineStr">
        <is>
          <t>12 pr</t>
        </is>
      </c>
      <c r="M729" s="9" t="inlineStr">
        <is>
          <t>18</t>
        </is>
      </c>
      <c r="N729" s="9" t="n">
        <v>1</v>
      </c>
      <c r="O729" s="9" t="n">
        <v>1</v>
      </c>
      <c r="P729" s="9" t="n"/>
      <c r="Q729" s="9" t="n"/>
      <c r="R729" s="9" t="n"/>
      <c r="S729" s="9" t="inlineStr">
        <is>
          <t>Tray</t>
        </is>
      </c>
      <c r="T729" s="10" t="n">
        <v>14</v>
      </c>
      <c r="U729" s="10" t="n">
        <v>78</v>
      </c>
      <c r="V729" s="10">
        <f>ROUNDUP((T729+U729+2*'Read Me'!$B$13)*(1+'Read Me'!$B$12),-1)</f>
        <v/>
      </c>
      <c r="W729" s="10">
        <f>V729*N729*O729</f>
        <v/>
      </c>
      <c r="X729" s="9">
        <f>IF(LEFT(I729,2)="MV",2*N729*IF(L729="1/C",O729,1),0)</f>
        <v/>
      </c>
      <c r="Y729" s="9">
        <f>IF(OR(LEFT(K729,4)="LVAX",LEFT(K729,6)="MV15AX",LEFT(K729,4)="CTAX",LEFT(K729,2)="W|"),2*N729*O729,0)</f>
        <v/>
      </c>
      <c r="Z729" s="9" t="inlineStr"/>
    </row>
    <row r="730">
      <c r="A730" s="9" t="inlineStr">
        <is>
          <t>A-I-0267</t>
        </is>
      </c>
      <c r="B730" s="9" t="inlineStr">
        <is>
          <t>A</t>
        </is>
      </c>
      <c r="C730" s="9" t="inlineStr">
        <is>
          <t>Power block</t>
        </is>
      </c>
      <c r="D730" s="9" t="inlineStr">
        <is>
          <t>Instrumentation</t>
        </is>
      </c>
      <c r="E730" s="9" t="inlineStr">
        <is>
          <t>R3</t>
        </is>
      </c>
      <c r="F730" s="9" t="inlineStr">
        <is>
          <t>R3: ST auxiliary electrical e-house (40 x 65 ft)</t>
        </is>
      </c>
      <c r="G730" s="9" t="inlineStr">
        <is>
          <t>ST</t>
        </is>
      </c>
      <c r="H730" s="9" t="inlineStr">
        <is>
          <t>ST: steam turbine (HP/IP + LP), ACC plant</t>
        </is>
      </c>
      <c r="I730" s="9" t="inlineStr">
        <is>
          <t>Instrumentation</t>
        </is>
      </c>
      <c r="J730" s="9" t="inlineStr">
        <is>
          <t>Instrumentation PLTC / TC-ER 300 V, #18 twisted shielded pairs, overall shield</t>
        </is>
      </c>
      <c r="K730" s="9" t="inlineStr">
        <is>
          <t>PLTC|12 pr|18</t>
        </is>
      </c>
      <c r="L730" s="9" t="inlineStr">
        <is>
          <t>12 pr</t>
        </is>
      </c>
      <c r="M730" s="9" t="inlineStr">
        <is>
          <t>18</t>
        </is>
      </c>
      <c r="N730" s="9" t="n">
        <v>1</v>
      </c>
      <c r="O730" s="9" t="n">
        <v>1</v>
      </c>
      <c r="P730" s="9" t="n"/>
      <c r="Q730" s="9" t="n"/>
      <c r="R730" s="9" t="n"/>
      <c r="S730" s="9" t="inlineStr">
        <is>
          <t>Tray</t>
        </is>
      </c>
      <c r="T730" s="10" t="n">
        <v>14</v>
      </c>
      <c r="U730" s="10" t="n">
        <v>78</v>
      </c>
      <c r="V730" s="10">
        <f>ROUNDUP((T730+U730+2*'Read Me'!$B$13)*(1+'Read Me'!$B$12),-1)</f>
        <v/>
      </c>
      <c r="W730" s="10">
        <f>V730*N730*O730</f>
        <v/>
      </c>
      <c r="X730" s="9">
        <f>IF(LEFT(I730,2)="MV",2*N730*IF(L730="1/C",O730,1),0)</f>
        <v/>
      </c>
      <c r="Y730" s="9">
        <f>IF(OR(LEFT(K730,4)="LVAX",LEFT(K730,6)="MV15AX",LEFT(K730,4)="CTAX",LEFT(K730,2)="W|"),2*N730*O730,0)</f>
        <v/>
      </c>
      <c r="Z730" s="9" t="inlineStr"/>
    </row>
    <row r="731">
      <c r="A731" s="9" t="inlineStr">
        <is>
          <t>A-I-0268</t>
        </is>
      </c>
      <c r="B731" s="9" t="inlineStr">
        <is>
          <t>A</t>
        </is>
      </c>
      <c r="C731" s="9" t="inlineStr">
        <is>
          <t>Power block</t>
        </is>
      </c>
      <c r="D731" s="9" t="inlineStr">
        <is>
          <t>Instrumentation</t>
        </is>
      </c>
      <c r="E731" s="9" t="inlineStr">
        <is>
          <t>R3</t>
        </is>
      </c>
      <c r="F731" s="9" t="inlineStr">
        <is>
          <t>R3: ST auxiliary electrical e-house (40 x 65 ft)</t>
        </is>
      </c>
      <c r="G731" s="9" t="inlineStr">
        <is>
          <t>ST</t>
        </is>
      </c>
      <c r="H731" s="9" t="inlineStr">
        <is>
          <t>ST: steam turbine (HP/IP + LP), ACC plant</t>
        </is>
      </c>
      <c r="I731" s="9" t="inlineStr">
        <is>
          <t>Instrumentation</t>
        </is>
      </c>
      <c r="J731" s="9" t="inlineStr">
        <is>
          <t>Instrumentation PLTC / TC-ER 300 V, #18 twisted shielded pairs, overall shield</t>
        </is>
      </c>
      <c r="K731" s="9" t="inlineStr">
        <is>
          <t>PLTC|12 pr|18</t>
        </is>
      </c>
      <c r="L731" s="9" t="inlineStr">
        <is>
          <t>12 pr</t>
        </is>
      </c>
      <c r="M731" s="9" t="inlineStr">
        <is>
          <t>18</t>
        </is>
      </c>
      <c r="N731" s="9" t="n">
        <v>1</v>
      </c>
      <c r="O731" s="9" t="n">
        <v>1</v>
      </c>
      <c r="P731" s="9" t="n"/>
      <c r="Q731" s="9" t="n"/>
      <c r="R731" s="9" t="n"/>
      <c r="S731" s="9" t="inlineStr">
        <is>
          <t>Tray</t>
        </is>
      </c>
      <c r="T731" s="10" t="n">
        <v>14</v>
      </c>
      <c r="U731" s="10" t="n">
        <v>78</v>
      </c>
      <c r="V731" s="10">
        <f>ROUNDUP((T731+U731+2*'Read Me'!$B$13)*(1+'Read Me'!$B$12),-1)</f>
        <v/>
      </c>
      <c r="W731" s="10">
        <f>V731*N731*O731</f>
        <v/>
      </c>
      <c r="X731" s="9">
        <f>IF(LEFT(I731,2)="MV",2*N731*IF(L731="1/C",O731,1),0)</f>
        <v/>
      </c>
      <c r="Y731" s="9">
        <f>IF(OR(LEFT(K731,4)="LVAX",LEFT(K731,6)="MV15AX",LEFT(K731,4)="CTAX",LEFT(K731,2)="W|"),2*N731*O731,0)</f>
        <v/>
      </c>
      <c r="Z731" s="9" t="inlineStr"/>
    </row>
    <row r="732">
      <c r="A732" s="9" t="inlineStr">
        <is>
          <t>A-I-0269</t>
        </is>
      </c>
      <c r="B732" s="9" t="inlineStr">
        <is>
          <t>A</t>
        </is>
      </c>
      <c r="C732" s="9" t="inlineStr">
        <is>
          <t>Power block</t>
        </is>
      </c>
      <c r="D732" s="9" t="inlineStr">
        <is>
          <t>Instrumentation</t>
        </is>
      </c>
      <c r="E732" s="9" t="inlineStr">
        <is>
          <t>R3</t>
        </is>
      </c>
      <c r="F732" s="9" t="inlineStr">
        <is>
          <t>R3: ST auxiliary electrical e-house (40 x 65 ft)</t>
        </is>
      </c>
      <c r="G732" s="9" t="inlineStr">
        <is>
          <t>ST</t>
        </is>
      </c>
      <c r="H732" s="9" t="inlineStr">
        <is>
          <t>ST: steam turbine (HP/IP + LP), ACC plant</t>
        </is>
      </c>
      <c r="I732" s="9" t="inlineStr">
        <is>
          <t>Instrumentation</t>
        </is>
      </c>
      <c r="J732" s="9" t="inlineStr">
        <is>
          <t>Instrumentation PLTC / TC-ER 300 V, #18 twisted shielded pairs, overall shield</t>
        </is>
      </c>
      <c r="K732" s="9" t="inlineStr">
        <is>
          <t>PLTC|12 pr|18</t>
        </is>
      </c>
      <c r="L732" s="9" t="inlineStr">
        <is>
          <t>12 pr</t>
        </is>
      </c>
      <c r="M732" s="9" t="inlineStr">
        <is>
          <t>18</t>
        </is>
      </c>
      <c r="N732" s="9" t="n">
        <v>1</v>
      </c>
      <c r="O732" s="9" t="n">
        <v>1</v>
      </c>
      <c r="P732" s="9" t="n"/>
      <c r="Q732" s="9" t="n"/>
      <c r="R732" s="9" t="n"/>
      <c r="S732" s="9" t="inlineStr">
        <is>
          <t>Tray</t>
        </is>
      </c>
      <c r="T732" s="10" t="n">
        <v>14</v>
      </c>
      <c r="U732" s="10" t="n">
        <v>78</v>
      </c>
      <c r="V732" s="10">
        <f>ROUNDUP((T732+U732+2*'Read Me'!$B$13)*(1+'Read Me'!$B$12),-1)</f>
        <v/>
      </c>
      <c r="W732" s="10">
        <f>V732*N732*O732</f>
        <v/>
      </c>
      <c r="X732" s="9">
        <f>IF(LEFT(I732,2)="MV",2*N732*IF(L732="1/C",O732,1),0)</f>
        <v/>
      </c>
      <c r="Y732" s="9">
        <f>IF(OR(LEFT(K732,4)="LVAX",LEFT(K732,6)="MV15AX",LEFT(K732,4)="CTAX",LEFT(K732,2)="W|"),2*N732*O732,0)</f>
        <v/>
      </c>
      <c r="Z732" s="9" t="inlineStr"/>
    </row>
    <row r="733">
      <c r="A733" s="9" t="inlineStr">
        <is>
          <t>A-I-0270</t>
        </is>
      </c>
      <c r="B733" s="9" t="inlineStr">
        <is>
          <t>A</t>
        </is>
      </c>
      <c r="C733" s="9" t="inlineStr">
        <is>
          <t>Power block</t>
        </is>
      </c>
      <c r="D733" s="9" t="inlineStr">
        <is>
          <t>Instrumentation</t>
        </is>
      </c>
      <c r="E733" s="9" t="inlineStr">
        <is>
          <t>R3</t>
        </is>
      </c>
      <c r="F733" s="9" t="inlineStr">
        <is>
          <t>R3: ST auxiliary electrical e-house (40 x 65 ft)</t>
        </is>
      </c>
      <c r="G733" s="9" t="inlineStr">
        <is>
          <t>ST</t>
        </is>
      </c>
      <c r="H733" s="9" t="inlineStr">
        <is>
          <t>ST: steam turbine (HP/IP + LP), ACC plant</t>
        </is>
      </c>
      <c r="I733" s="9" t="inlineStr">
        <is>
          <t>Instrumentation</t>
        </is>
      </c>
      <c r="J733" s="9" t="inlineStr">
        <is>
          <t>Instrumentation PLTC / TC-ER 300 V, #18 twisted shielded pairs, overall shield</t>
        </is>
      </c>
      <c r="K733" s="9" t="inlineStr">
        <is>
          <t>PLTC|12 pr|18</t>
        </is>
      </c>
      <c r="L733" s="9" t="inlineStr">
        <is>
          <t>12 pr</t>
        </is>
      </c>
      <c r="M733" s="9" t="inlineStr">
        <is>
          <t>18</t>
        </is>
      </c>
      <c r="N733" s="9" t="n">
        <v>1</v>
      </c>
      <c r="O733" s="9" t="n">
        <v>1</v>
      </c>
      <c r="P733" s="9" t="n"/>
      <c r="Q733" s="9" t="n"/>
      <c r="R733" s="9" t="n"/>
      <c r="S733" s="9" t="inlineStr">
        <is>
          <t>Tray</t>
        </is>
      </c>
      <c r="T733" s="10" t="n">
        <v>14</v>
      </c>
      <c r="U733" s="10" t="n">
        <v>78</v>
      </c>
      <c r="V733" s="10">
        <f>ROUNDUP((T733+U733+2*'Read Me'!$B$13)*(1+'Read Me'!$B$12),-1)</f>
        <v/>
      </c>
      <c r="W733" s="10">
        <f>V733*N733*O733</f>
        <v/>
      </c>
      <c r="X733" s="9">
        <f>IF(LEFT(I733,2)="MV",2*N733*IF(L733="1/C",O733,1),0)</f>
        <v/>
      </c>
      <c r="Y733" s="9">
        <f>IF(OR(LEFT(K733,4)="LVAX",LEFT(K733,6)="MV15AX",LEFT(K733,4)="CTAX",LEFT(K733,2)="W|"),2*N733*O733,0)</f>
        <v/>
      </c>
      <c r="Z733" s="9" t="inlineStr"/>
    </row>
    <row r="734">
      <c r="A734" s="9" t="inlineStr">
        <is>
          <t>A-I-0271</t>
        </is>
      </c>
      <c r="B734" s="9" t="inlineStr">
        <is>
          <t>A</t>
        </is>
      </c>
      <c r="C734" s="9" t="inlineStr">
        <is>
          <t>Power block</t>
        </is>
      </c>
      <c r="D734" s="9" t="inlineStr">
        <is>
          <t>Instrumentation</t>
        </is>
      </c>
      <c r="E734" s="9" t="inlineStr">
        <is>
          <t>R3</t>
        </is>
      </c>
      <c r="F734" s="9" t="inlineStr">
        <is>
          <t>R3: ST auxiliary electrical e-house (40 x 65 ft)</t>
        </is>
      </c>
      <c r="G734" s="9" t="inlineStr">
        <is>
          <t>ST</t>
        </is>
      </c>
      <c r="H734" s="9" t="inlineStr">
        <is>
          <t>ST: steam turbine (HP/IP + LP), ACC plant</t>
        </is>
      </c>
      <c r="I734" s="9" t="inlineStr">
        <is>
          <t>Instrumentation</t>
        </is>
      </c>
      <c r="J734" s="9" t="inlineStr">
        <is>
          <t>Instrumentation PLTC / TC-ER 300 V, #18 twisted shielded pairs, overall shield</t>
        </is>
      </c>
      <c r="K734" s="9" t="inlineStr">
        <is>
          <t>PLTC|12 pr|18</t>
        </is>
      </c>
      <c r="L734" s="9" t="inlineStr">
        <is>
          <t>12 pr</t>
        </is>
      </c>
      <c r="M734" s="9" t="inlineStr">
        <is>
          <t>18</t>
        </is>
      </c>
      <c r="N734" s="9" t="n">
        <v>1</v>
      </c>
      <c r="O734" s="9" t="n">
        <v>1</v>
      </c>
      <c r="P734" s="9" t="n"/>
      <c r="Q734" s="9" t="n"/>
      <c r="R734" s="9" t="n"/>
      <c r="S734" s="9" t="inlineStr">
        <is>
          <t>Tray</t>
        </is>
      </c>
      <c r="T734" s="10" t="n">
        <v>14</v>
      </c>
      <c r="U734" s="10" t="n">
        <v>78</v>
      </c>
      <c r="V734" s="10">
        <f>ROUNDUP((T734+U734+2*'Read Me'!$B$13)*(1+'Read Me'!$B$12),-1)</f>
        <v/>
      </c>
      <c r="W734" s="10">
        <f>V734*N734*O734</f>
        <v/>
      </c>
      <c r="X734" s="9">
        <f>IF(LEFT(I734,2)="MV",2*N734*IF(L734="1/C",O734,1),0)</f>
        <v/>
      </c>
      <c r="Y734" s="9">
        <f>IF(OR(LEFT(K734,4)="LVAX",LEFT(K734,6)="MV15AX",LEFT(K734,4)="CTAX",LEFT(K734,2)="W|"),2*N734*O734,0)</f>
        <v/>
      </c>
      <c r="Z734" s="9" t="inlineStr"/>
    </row>
    <row r="735">
      <c r="A735" s="9" t="inlineStr">
        <is>
          <t>A-I-0272</t>
        </is>
      </c>
      <c r="B735" s="9" t="inlineStr">
        <is>
          <t>A</t>
        </is>
      </c>
      <c r="C735" s="9" t="inlineStr">
        <is>
          <t>Power block</t>
        </is>
      </c>
      <c r="D735" s="9" t="inlineStr">
        <is>
          <t>Thermocouples</t>
        </is>
      </c>
      <c r="E735" s="9" t="inlineStr">
        <is>
          <t>R3</t>
        </is>
      </c>
      <c r="F735" s="9" t="inlineStr">
        <is>
          <t>R3: ST auxiliary electrical e-house (40 x 65 ft)</t>
        </is>
      </c>
      <c r="G735" s="9" t="inlineStr">
        <is>
          <t>ST</t>
        </is>
      </c>
      <c r="H735" s="9" t="inlineStr">
        <is>
          <t>ST: steam turbine (HP/IP + LP), ACC plant</t>
        </is>
      </c>
      <c r="I735" s="9" t="inlineStr">
        <is>
          <t>Instrumentation</t>
        </is>
      </c>
      <c r="J735" s="9" t="inlineStr">
        <is>
          <t>Thermocouple extension KX, #16 shielded pairs, PLTC</t>
        </is>
      </c>
      <c r="K735" s="9" t="inlineStr">
        <is>
          <t>TCX|12 pr|16</t>
        </is>
      </c>
      <c r="L735" s="9" t="inlineStr">
        <is>
          <t>12 pr</t>
        </is>
      </c>
      <c r="M735" s="9" t="inlineStr">
        <is>
          <t>16</t>
        </is>
      </c>
      <c r="N735" s="9" t="n">
        <v>1</v>
      </c>
      <c r="O735" s="9" t="n">
        <v>1</v>
      </c>
      <c r="P735" s="9" t="n"/>
      <c r="Q735" s="9" t="n"/>
      <c r="R735" s="9" t="n"/>
      <c r="S735" s="9" t="inlineStr">
        <is>
          <t>Tray</t>
        </is>
      </c>
      <c r="T735" s="10" t="n">
        <v>14</v>
      </c>
      <c r="U735" s="10" t="n">
        <v>78</v>
      </c>
      <c r="V735" s="10">
        <f>ROUNDUP((T735+U735+2*'Read Me'!$B$13)*(1+'Read Me'!$B$12),-1)</f>
        <v/>
      </c>
      <c r="W735" s="10">
        <f>V735*N735*O735</f>
        <v/>
      </c>
      <c r="X735" s="9">
        <f>IF(LEFT(I735,2)="MV",2*N735*IF(L735="1/C",O735,1),0)</f>
        <v/>
      </c>
      <c r="Y735" s="9">
        <f>IF(OR(LEFT(K735,4)="LVAX",LEFT(K735,6)="MV15AX",LEFT(K735,4)="CTAX",LEFT(K735,2)="W|"),2*N735*O735,0)</f>
        <v/>
      </c>
      <c r="Z735" s="9" t="inlineStr"/>
    </row>
    <row r="736">
      <c r="A736" s="9" t="inlineStr">
        <is>
          <t>A-I-0273</t>
        </is>
      </c>
      <c r="B736" s="9" t="inlineStr">
        <is>
          <t>A</t>
        </is>
      </c>
      <c r="C736" s="9" t="inlineStr">
        <is>
          <t>Power block</t>
        </is>
      </c>
      <c r="D736" s="9" t="inlineStr">
        <is>
          <t>Thermocouples</t>
        </is>
      </c>
      <c r="E736" s="9" t="inlineStr">
        <is>
          <t>R3</t>
        </is>
      </c>
      <c r="F736" s="9" t="inlineStr">
        <is>
          <t>R3: ST auxiliary electrical e-house (40 x 65 ft)</t>
        </is>
      </c>
      <c r="G736" s="9" t="inlineStr">
        <is>
          <t>ST</t>
        </is>
      </c>
      <c r="H736" s="9" t="inlineStr">
        <is>
          <t>ST: steam turbine (HP/IP + LP), ACC plant</t>
        </is>
      </c>
      <c r="I736" s="9" t="inlineStr">
        <is>
          <t>Instrumentation</t>
        </is>
      </c>
      <c r="J736" s="9" t="inlineStr">
        <is>
          <t>Thermocouple extension KX, #16 shielded pairs, PLTC</t>
        </is>
      </c>
      <c r="K736" s="9" t="inlineStr">
        <is>
          <t>TCX|12 pr|16</t>
        </is>
      </c>
      <c r="L736" s="9" t="inlineStr">
        <is>
          <t>12 pr</t>
        </is>
      </c>
      <c r="M736" s="9" t="inlineStr">
        <is>
          <t>16</t>
        </is>
      </c>
      <c r="N736" s="9" t="n">
        <v>1</v>
      </c>
      <c r="O736" s="9" t="n">
        <v>1</v>
      </c>
      <c r="P736" s="9" t="n"/>
      <c r="Q736" s="9" t="n"/>
      <c r="R736" s="9" t="n"/>
      <c r="S736" s="9" t="inlineStr">
        <is>
          <t>Tray</t>
        </is>
      </c>
      <c r="T736" s="10" t="n">
        <v>14</v>
      </c>
      <c r="U736" s="10" t="n">
        <v>78</v>
      </c>
      <c r="V736" s="10">
        <f>ROUNDUP((T736+U736+2*'Read Me'!$B$13)*(1+'Read Me'!$B$12),-1)</f>
        <v/>
      </c>
      <c r="W736" s="10">
        <f>V736*N736*O736</f>
        <v/>
      </c>
      <c r="X736" s="9">
        <f>IF(LEFT(I736,2)="MV",2*N736*IF(L736="1/C",O736,1),0)</f>
        <v/>
      </c>
      <c r="Y736" s="9">
        <f>IF(OR(LEFT(K736,4)="LVAX",LEFT(K736,6)="MV15AX",LEFT(K736,4)="CTAX",LEFT(K736,2)="W|"),2*N736*O736,0)</f>
        <v/>
      </c>
      <c r="Z736" s="9" t="inlineStr"/>
    </row>
    <row r="737">
      <c r="A737" s="9" t="inlineStr">
        <is>
          <t>A-I-0274</t>
        </is>
      </c>
      <c r="B737" s="9" t="inlineStr">
        <is>
          <t>A</t>
        </is>
      </c>
      <c r="C737" s="9" t="inlineStr">
        <is>
          <t>Power block</t>
        </is>
      </c>
      <c r="D737" s="9" t="inlineStr">
        <is>
          <t>Thermocouples</t>
        </is>
      </c>
      <c r="E737" s="9" t="inlineStr">
        <is>
          <t>R3</t>
        </is>
      </c>
      <c r="F737" s="9" t="inlineStr">
        <is>
          <t>R3: ST auxiliary electrical e-house (40 x 65 ft)</t>
        </is>
      </c>
      <c r="G737" s="9" t="inlineStr">
        <is>
          <t>ST</t>
        </is>
      </c>
      <c r="H737" s="9" t="inlineStr">
        <is>
          <t>ST: steam turbine (HP/IP + LP), ACC plant</t>
        </is>
      </c>
      <c r="I737" s="9" t="inlineStr">
        <is>
          <t>Instrumentation</t>
        </is>
      </c>
      <c r="J737" s="9" t="inlineStr">
        <is>
          <t>Thermocouple extension KX, #16 shielded pairs, PLTC</t>
        </is>
      </c>
      <c r="K737" s="9" t="inlineStr">
        <is>
          <t>TCX|12 pr|16</t>
        </is>
      </c>
      <c r="L737" s="9" t="inlineStr">
        <is>
          <t>12 pr</t>
        </is>
      </c>
      <c r="M737" s="9" t="inlineStr">
        <is>
          <t>16</t>
        </is>
      </c>
      <c r="N737" s="9" t="n">
        <v>1</v>
      </c>
      <c r="O737" s="9" t="n">
        <v>1</v>
      </c>
      <c r="P737" s="9" t="n"/>
      <c r="Q737" s="9" t="n"/>
      <c r="R737" s="9" t="n"/>
      <c r="S737" s="9" t="inlineStr">
        <is>
          <t>Tray</t>
        </is>
      </c>
      <c r="T737" s="10" t="n">
        <v>14</v>
      </c>
      <c r="U737" s="10" t="n">
        <v>78</v>
      </c>
      <c r="V737" s="10">
        <f>ROUNDUP((T737+U737+2*'Read Me'!$B$13)*(1+'Read Me'!$B$12),-1)</f>
        <v/>
      </c>
      <c r="W737" s="10">
        <f>V737*N737*O737</f>
        <v/>
      </c>
      <c r="X737" s="9">
        <f>IF(LEFT(I737,2)="MV",2*N737*IF(L737="1/C",O737,1),0)</f>
        <v/>
      </c>
      <c r="Y737" s="9">
        <f>IF(OR(LEFT(K737,4)="LVAX",LEFT(K737,6)="MV15AX",LEFT(K737,4)="CTAX",LEFT(K737,2)="W|"),2*N737*O737,0)</f>
        <v/>
      </c>
      <c r="Z737" s="9" t="inlineStr"/>
    </row>
    <row r="738">
      <c r="A738" s="9" t="inlineStr">
        <is>
          <t>A-I-0275</t>
        </is>
      </c>
      <c r="B738" s="9" t="inlineStr">
        <is>
          <t>A</t>
        </is>
      </c>
      <c r="C738" s="9" t="inlineStr">
        <is>
          <t>Power block</t>
        </is>
      </c>
      <c r="D738" s="9" t="inlineStr">
        <is>
          <t>Thermocouples</t>
        </is>
      </c>
      <c r="E738" s="9" t="inlineStr">
        <is>
          <t>R3</t>
        </is>
      </c>
      <c r="F738" s="9" t="inlineStr">
        <is>
          <t>R3: ST auxiliary electrical e-house (40 x 65 ft)</t>
        </is>
      </c>
      <c r="G738" s="9" t="inlineStr">
        <is>
          <t>ST</t>
        </is>
      </c>
      <c r="H738" s="9" t="inlineStr">
        <is>
          <t>ST: steam turbine (HP/IP + LP), ACC plant</t>
        </is>
      </c>
      <c r="I738" s="9" t="inlineStr">
        <is>
          <t>Instrumentation</t>
        </is>
      </c>
      <c r="J738" s="9" t="inlineStr">
        <is>
          <t>Thermocouple extension KX, #16 shielded pairs, PLTC</t>
        </is>
      </c>
      <c r="K738" s="9" t="inlineStr">
        <is>
          <t>TCX|12 pr|16</t>
        </is>
      </c>
      <c r="L738" s="9" t="inlineStr">
        <is>
          <t>12 pr</t>
        </is>
      </c>
      <c r="M738" s="9" t="inlineStr">
        <is>
          <t>16</t>
        </is>
      </c>
      <c r="N738" s="9" t="n">
        <v>1</v>
      </c>
      <c r="O738" s="9" t="n">
        <v>1</v>
      </c>
      <c r="P738" s="9" t="n"/>
      <c r="Q738" s="9" t="n"/>
      <c r="R738" s="9" t="n"/>
      <c r="S738" s="9" t="inlineStr">
        <is>
          <t>Tray</t>
        </is>
      </c>
      <c r="T738" s="10" t="n">
        <v>14</v>
      </c>
      <c r="U738" s="10" t="n">
        <v>78</v>
      </c>
      <c r="V738" s="10">
        <f>ROUNDUP((T738+U738+2*'Read Me'!$B$13)*(1+'Read Me'!$B$12),-1)</f>
        <v/>
      </c>
      <c r="W738" s="10">
        <f>V738*N738*O738</f>
        <v/>
      </c>
      <c r="X738" s="9">
        <f>IF(LEFT(I738,2)="MV",2*N738*IF(L738="1/C",O738,1),0)</f>
        <v/>
      </c>
      <c r="Y738" s="9">
        <f>IF(OR(LEFT(K738,4)="LVAX",LEFT(K738,6)="MV15AX",LEFT(K738,4)="CTAX",LEFT(K738,2)="W|"),2*N738*O738,0)</f>
        <v/>
      </c>
      <c r="Z738" s="9" t="inlineStr"/>
    </row>
    <row r="739">
      <c r="A739" s="9" t="inlineStr">
        <is>
          <t>A-I-0276</t>
        </is>
      </c>
      <c r="B739" s="9" t="inlineStr">
        <is>
          <t>A</t>
        </is>
      </c>
      <c r="C739" s="9" t="inlineStr">
        <is>
          <t>Power block</t>
        </is>
      </c>
      <c r="D739" s="9" t="inlineStr">
        <is>
          <t>Thermocouples</t>
        </is>
      </c>
      <c r="E739" s="9" t="inlineStr">
        <is>
          <t>R3</t>
        </is>
      </c>
      <c r="F739" s="9" t="inlineStr">
        <is>
          <t>R3: ST auxiliary electrical e-house (40 x 65 ft)</t>
        </is>
      </c>
      <c r="G739" s="9" t="inlineStr">
        <is>
          <t>ST</t>
        </is>
      </c>
      <c r="H739" s="9" t="inlineStr">
        <is>
          <t>ST: steam turbine (HP/IP + LP), ACC plant</t>
        </is>
      </c>
      <c r="I739" s="9" t="inlineStr">
        <is>
          <t>Instrumentation</t>
        </is>
      </c>
      <c r="J739" s="9" t="inlineStr">
        <is>
          <t>Thermocouple extension KX, #16 shielded pairs, PLTC</t>
        </is>
      </c>
      <c r="K739" s="9" t="inlineStr">
        <is>
          <t>TCX|12 pr|16</t>
        </is>
      </c>
      <c r="L739" s="9" t="inlineStr">
        <is>
          <t>12 pr</t>
        </is>
      </c>
      <c r="M739" s="9" t="inlineStr">
        <is>
          <t>16</t>
        </is>
      </c>
      <c r="N739" s="9" t="n">
        <v>1</v>
      </c>
      <c r="O739" s="9" t="n">
        <v>1</v>
      </c>
      <c r="P739" s="9" t="n"/>
      <c r="Q739" s="9" t="n"/>
      <c r="R739" s="9" t="n"/>
      <c r="S739" s="9" t="inlineStr">
        <is>
          <t>Tray</t>
        </is>
      </c>
      <c r="T739" s="10" t="n">
        <v>14</v>
      </c>
      <c r="U739" s="10" t="n">
        <v>78</v>
      </c>
      <c r="V739" s="10">
        <f>ROUNDUP((T739+U739+2*'Read Me'!$B$13)*(1+'Read Me'!$B$12),-1)</f>
        <v/>
      </c>
      <c r="W739" s="10">
        <f>V739*N739*O739</f>
        <v/>
      </c>
      <c r="X739" s="9">
        <f>IF(LEFT(I739,2)="MV",2*N739*IF(L739="1/C",O739,1),0)</f>
        <v/>
      </c>
      <c r="Y739" s="9">
        <f>IF(OR(LEFT(K739,4)="LVAX",LEFT(K739,6)="MV15AX",LEFT(K739,4)="CTAX",LEFT(K739,2)="W|"),2*N739*O739,0)</f>
        <v/>
      </c>
      <c r="Z739" s="9" t="inlineStr"/>
    </row>
    <row r="740">
      <c r="A740" s="9" t="inlineStr">
        <is>
          <t>A-I-0277</t>
        </is>
      </c>
      <c r="B740" s="9" t="inlineStr">
        <is>
          <t>A</t>
        </is>
      </c>
      <c r="C740" s="9" t="inlineStr">
        <is>
          <t>Power block</t>
        </is>
      </c>
      <c r="D740" s="9" t="inlineStr">
        <is>
          <t>Thermocouples</t>
        </is>
      </c>
      <c r="E740" s="9" t="inlineStr">
        <is>
          <t>R3</t>
        </is>
      </c>
      <c r="F740" s="9" t="inlineStr">
        <is>
          <t>R3: ST auxiliary electrical e-house (40 x 65 ft)</t>
        </is>
      </c>
      <c r="G740" s="9" t="inlineStr">
        <is>
          <t>ST</t>
        </is>
      </c>
      <c r="H740" s="9" t="inlineStr">
        <is>
          <t>ST: steam turbine (HP/IP + LP), ACC plant</t>
        </is>
      </c>
      <c r="I740" s="9" t="inlineStr">
        <is>
          <t>Instrumentation</t>
        </is>
      </c>
      <c r="J740" s="9" t="inlineStr">
        <is>
          <t>Thermocouple extension KX, #16 shielded pairs, PLTC</t>
        </is>
      </c>
      <c r="K740" s="9" t="inlineStr">
        <is>
          <t>TCX|12 pr|16</t>
        </is>
      </c>
      <c r="L740" s="9" t="inlineStr">
        <is>
          <t>12 pr</t>
        </is>
      </c>
      <c r="M740" s="9" t="inlineStr">
        <is>
          <t>16</t>
        </is>
      </c>
      <c r="N740" s="9" t="n">
        <v>1</v>
      </c>
      <c r="O740" s="9" t="n">
        <v>1</v>
      </c>
      <c r="P740" s="9" t="n"/>
      <c r="Q740" s="9" t="n"/>
      <c r="R740" s="9" t="n"/>
      <c r="S740" s="9" t="inlineStr">
        <is>
          <t>Tray</t>
        </is>
      </c>
      <c r="T740" s="10" t="n">
        <v>14</v>
      </c>
      <c r="U740" s="10" t="n">
        <v>78</v>
      </c>
      <c r="V740" s="10">
        <f>ROUNDUP((T740+U740+2*'Read Me'!$B$13)*(1+'Read Me'!$B$12),-1)</f>
        <v/>
      </c>
      <c r="W740" s="10">
        <f>V740*N740*O740</f>
        <v/>
      </c>
      <c r="X740" s="9">
        <f>IF(LEFT(I740,2)="MV",2*N740*IF(L740="1/C",O740,1),0)</f>
        <v/>
      </c>
      <c r="Y740" s="9">
        <f>IF(OR(LEFT(K740,4)="LVAX",LEFT(K740,6)="MV15AX",LEFT(K740,4)="CTAX",LEFT(K740,2)="W|"),2*N740*O740,0)</f>
        <v/>
      </c>
      <c r="Z740" s="9" t="inlineStr"/>
    </row>
    <row r="741">
      <c r="A741" s="9" t="inlineStr">
        <is>
          <t>A-I-0278</t>
        </is>
      </c>
      <c r="B741" s="9" t="inlineStr">
        <is>
          <t>A</t>
        </is>
      </c>
      <c r="C741" s="9" t="inlineStr">
        <is>
          <t>Power block</t>
        </is>
      </c>
      <c r="D741" s="9" t="inlineStr">
        <is>
          <t>Vibration monitoring</t>
        </is>
      </c>
      <c r="E741" s="9" t="inlineStr">
        <is>
          <t>R3</t>
        </is>
      </c>
      <c r="F741" s="9" t="inlineStr">
        <is>
          <t>R3: ST auxiliary electrical e-house (40 x 65 ft)</t>
        </is>
      </c>
      <c r="G741" s="9" t="inlineStr">
        <is>
          <t>ST</t>
        </is>
      </c>
      <c r="H741" s="9" t="inlineStr">
        <is>
          <t>ST: steam turbine (HP/IP + LP), ACC plant</t>
        </is>
      </c>
      <c r="I741" s="9" t="inlineStr">
        <is>
          <t>Instrumentation</t>
        </is>
      </c>
      <c r="J741" s="9" t="inlineStr">
        <is>
          <t>Instrumentation PLTC / TC-ER 300 V, #18 twisted shielded pairs, overall shield</t>
        </is>
      </c>
      <c r="K741" s="9" t="inlineStr">
        <is>
          <t>PLTC|4 pr|18</t>
        </is>
      </c>
      <c r="L741" s="9" t="inlineStr">
        <is>
          <t>4 pr</t>
        </is>
      </c>
      <c r="M741" s="9" t="inlineStr">
        <is>
          <t>18</t>
        </is>
      </c>
      <c r="N741" s="9" t="n">
        <v>1</v>
      </c>
      <c r="O741" s="9" t="n">
        <v>1</v>
      </c>
      <c r="P741" s="9" t="n"/>
      <c r="Q741" s="9" t="n"/>
      <c r="R741" s="9" t="n"/>
      <c r="S741" s="9" t="inlineStr">
        <is>
          <t>Tray</t>
        </is>
      </c>
      <c r="T741" s="10" t="n">
        <v>14</v>
      </c>
      <c r="U741" s="10" t="n">
        <v>78</v>
      </c>
      <c r="V741" s="10">
        <f>ROUNDUP((T741+U741+2*'Read Me'!$B$13)*(1+'Read Me'!$B$12),-1)</f>
        <v/>
      </c>
      <c r="W741" s="10">
        <f>V741*N741*O741</f>
        <v/>
      </c>
      <c r="X741" s="9">
        <f>IF(LEFT(I741,2)="MV",2*N741*IF(L741="1/C",O741,1),0)</f>
        <v/>
      </c>
      <c r="Y741" s="9">
        <f>IF(OR(LEFT(K741,4)="LVAX",LEFT(K741,6)="MV15AX",LEFT(K741,4)="CTAX",LEFT(K741,2)="W|"),2*N741*O741,0)</f>
        <v/>
      </c>
      <c r="Z741" s="9" t="inlineStr"/>
    </row>
    <row r="742">
      <c r="A742" s="9" t="inlineStr">
        <is>
          <t>A-I-0279</t>
        </is>
      </c>
      <c r="B742" s="9" t="inlineStr">
        <is>
          <t>A</t>
        </is>
      </c>
      <c r="C742" s="9" t="inlineStr">
        <is>
          <t>Power block</t>
        </is>
      </c>
      <c r="D742" s="9" t="inlineStr">
        <is>
          <t>RTDs</t>
        </is>
      </c>
      <c r="E742" s="9" t="inlineStr">
        <is>
          <t>R3</t>
        </is>
      </c>
      <c r="F742" s="9" t="inlineStr">
        <is>
          <t>R3: ST auxiliary electrical e-house (40 x 65 ft)</t>
        </is>
      </c>
      <c r="G742" s="9" t="inlineStr">
        <is>
          <t>STG</t>
        </is>
      </c>
      <c r="H742" s="9" t="inlineStr">
        <is>
          <t>STG: steam-turbine generator</t>
        </is>
      </c>
      <c r="I742" s="9" t="inlineStr">
        <is>
          <t>Instrumentation</t>
        </is>
      </c>
      <c r="J742" s="9" t="inlineStr">
        <is>
          <t>RTD cable, #18 shielded triads, PLTC</t>
        </is>
      </c>
      <c r="K742" s="9" t="inlineStr">
        <is>
          <t>RTD|8 tri|18</t>
        </is>
      </c>
      <c r="L742" s="9" t="inlineStr">
        <is>
          <t>8 tri</t>
        </is>
      </c>
      <c r="M742" s="9" t="inlineStr">
        <is>
          <t>18</t>
        </is>
      </c>
      <c r="N742" s="9" t="n">
        <v>1</v>
      </c>
      <c r="O742" s="9" t="n">
        <v>1</v>
      </c>
      <c r="P742" s="9" t="n"/>
      <c r="Q742" s="9" t="n"/>
      <c r="R742" s="9" t="n"/>
      <c r="S742" s="9" t="inlineStr">
        <is>
          <t>Tray</t>
        </is>
      </c>
      <c r="T742" s="10" t="n">
        <v>588</v>
      </c>
      <c r="U742" s="10" t="n">
        <v>103</v>
      </c>
      <c r="V742" s="10">
        <f>ROUNDUP((T742+U742+2*'Read Me'!$B$13)*(1+'Read Me'!$B$12),-1)</f>
        <v/>
      </c>
      <c r="W742" s="10">
        <f>V742*N742*O742</f>
        <v/>
      </c>
      <c r="X742" s="9">
        <f>IF(LEFT(I742,2)="MV",2*N742*IF(L742="1/C",O742,1),0)</f>
        <v/>
      </c>
      <c r="Y742" s="9">
        <f>IF(OR(LEFT(K742,4)="LVAX",LEFT(K742,6)="MV15AX",LEFT(K742,4)="CTAX",LEFT(K742,2)="W|"),2*N742*O742,0)</f>
        <v/>
      </c>
      <c r="Z742" s="9" t="inlineStr"/>
    </row>
    <row r="743">
      <c r="A743" s="9" t="inlineStr">
        <is>
          <t>A-I-0280</t>
        </is>
      </c>
      <c r="B743" s="9" t="inlineStr">
        <is>
          <t>A</t>
        </is>
      </c>
      <c r="C743" s="9" t="inlineStr">
        <is>
          <t>Power block</t>
        </is>
      </c>
      <c r="D743" s="9" t="inlineStr">
        <is>
          <t>RTDs</t>
        </is>
      </c>
      <c r="E743" s="9" t="inlineStr">
        <is>
          <t>R3</t>
        </is>
      </c>
      <c r="F743" s="9" t="inlineStr">
        <is>
          <t>R3: ST auxiliary electrical e-house (40 x 65 ft)</t>
        </is>
      </c>
      <c r="G743" s="9" t="inlineStr">
        <is>
          <t>STG</t>
        </is>
      </c>
      <c r="H743" s="9" t="inlineStr">
        <is>
          <t>STG: steam-turbine generator</t>
        </is>
      </c>
      <c r="I743" s="9" t="inlineStr">
        <is>
          <t>Instrumentation</t>
        </is>
      </c>
      <c r="J743" s="9" t="inlineStr">
        <is>
          <t>RTD cable, #18 shielded triads, PLTC</t>
        </is>
      </c>
      <c r="K743" s="9" t="inlineStr">
        <is>
          <t>RTD|8 tri|18</t>
        </is>
      </c>
      <c r="L743" s="9" t="inlineStr">
        <is>
          <t>8 tri</t>
        </is>
      </c>
      <c r="M743" s="9" t="inlineStr">
        <is>
          <t>18</t>
        </is>
      </c>
      <c r="N743" s="9" t="n">
        <v>1</v>
      </c>
      <c r="O743" s="9" t="n">
        <v>1</v>
      </c>
      <c r="P743" s="9" t="n"/>
      <c r="Q743" s="9" t="n"/>
      <c r="R743" s="9" t="n"/>
      <c r="S743" s="9" t="inlineStr">
        <is>
          <t>Tray</t>
        </is>
      </c>
      <c r="T743" s="10" t="n">
        <v>588</v>
      </c>
      <c r="U743" s="10" t="n">
        <v>103</v>
      </c>
      <c r="V743" s="10">
        <f>ROUNDUP((T743+U743+2*'Read Me'!$B$13)*(1+'Read Me'!$B$12),-1)</f>
        <v/>
      </c>
      <c r="W743" s="10">
        <f>V743*N743*O743</f>
        <v/>
      </c>
      <c r="X743" s="9">
        <f>IF(LEFT(I743,2)="MV",2*N743*IF(L743="1/C",O743,1),0)</f>
        <v/>
      </c>
      <c r="Y743" s="9">
        <f>IF(OR(LEFT(K743,4)="LVAX",LEFT(K743,6)="MV15AX",LEFT(K743,4)="CTAX",LEFT(K743,2)="W|"),2*N743*O743,0)</f>
        <v/>
      </c>
      <c r="Z743" s="9" t="inlineStr"/>
    </row>
    <row r="744">
      <c r="A744" s="9" t="inlineStr">
        <is>
          <t>A-I-0281</t>
        </is>
      </c>
      <c r="B744" s="9" t="inlineStr">
        <is>
          <t>A</t>
        </is>
      </c>
      <c r="C744" s="9" t="inlineStr">
        <is>
          <t>Power block</t>
        </is>
      </c>
      <c r="D744" s="9" t="inlineStr">
        <is>
          <t>RTDs</t>
        </is>
      </c>
      <c r="E744" s="9" t="inlineStr">
        <is>
          <t>R3</t>
        </is>
      </c>
      <c r="F744" s="9" t="inlineStr">
        <is>
          <t>R3: ST auxiliary electrical e-house (40 x 65 ft)</t>
        </is>
      </c>
      <c r="G744" s="9" t="inlineStr">
        <is>
          <t>STG</t>
        </is>
      </c>
      <c r="H744" s="9" t="inlineStr">
        <is>
          <t>STG: steam-turbine generator</t>
        </is>
      </c>
      <c r="I744" s="9" t="inlineStr">
        <is>
          <t>Instrumentation</t>
        </is>
      </c>
      <c r="J744" s="9" t="inlineStr">
        <is>
          <t>RTD cable, #18 shielded triads, PLTC</t>
        </is>
      </c>
      <c r="K744" s="9" t="inlineStr">
        <is>
          <t>RTD|8 tri|18</t>
        </is>
      </c>
      <c r="L744" s="9" t="inlineStr">
        <is>
          <t>8 tri</t>
        </is>
      </c>
      <c r="M744" s="9" t="inlineStr">
        <is>
          <t>18</t>
        </is>
      </c>
      <c r="N744" s="9" t="n">
        <v>1</v>
      </c>
      <c r="O744" s="9" t="n">
        <v>1</v>
      </c>
      <c r="P744" s="9" t="n"/>
      <c r="Q744" s="9" t="n"/>
      <c r="R744" s="9" t="n"/>
      <c r="S744" s="9" t="inlineStr">
        <is>
          <t>Tray</t>
        </is>
      </c>
      <c r="T744" s="10" t="n">
        <v>588</v>
      </c>
      <c r="U744" s="10" t="n">
        <v>103</v>
      </c>
      <c r="V744" s="10">
        <f>ROUNDUP((T744+U744+2*'Read Me'!$B$13)*(1+'Read Me'!$B$12),-1)</f>
        <v/>
      </c>
      <c r="W744" s="10">
        <f>V744*N744*O744</f>
        <v/>
      </c>
      <c r="X744" s="9">
        <f>IF(LEFT(I744,2)="MV",2*N744*IF(L744="1/C",O744,1),0)</f>
        <v/>
      </c>
      <c r="Y744" s="9">
        <f>IF(OR(LEFT(K744,4)="LVAX",LEFT(K744,6)="MV15AX",LEFT(K744,4)="CTAX",LEFT(K744,2)="W|"),2*N744*O744,0)</f>
        <v/>
      </c>
      <c r="Z744" s="9" t="inlineStr"/>
    </row>
    <row r="745">
      <c r="A745" s="9" t="inlineStr">
        <is>
          <t>A-I-0282</t>
        </is>
      </c>
      <c r="B745" s="9" t="inlineStr">
        <is>
          <t>A</t>
        </is>
      </c>
      <c r="C745" s="9" t="inlineStr">
        <is>
          <t>Power block</t>
        </is>
      </c>
      <c r="D745" s="9" t="inlineStr">
        <is>
          <t>RTDs</t>
        </is>
      </c>
      <c r="E745" s="9" t="inlineStr">
        <is>
          <t>R3</t>
        </is>
      </c>
      <c r="F745" s="9" t="inlineStr">
        <is>
          <t>R3: ST auxiliary electrical e-house (40 x 65 ft)</t>
        </is>
      </c>
      <c r="G745" s="9" t="inlineStr">
        <is>
          <t>STG</t>
        </is>
      </c>
      <c r="H745" s="9" t="inlineStr">
        <is>
          <t>STG: steam-turbine generator</t>
        </is>
      </c>
      <c r="I745" s="9" t="inlineStr">
        <is>
          <t>Instrumentation</t>
        </is>
      </c>
      <c r="J745" s="9" t="inlineStr">
        <is>
          <t>RTD cable, #18 shielded triads, PLTC</t>
        </is>
      </c>
      <c r="K745" s="9" t="inlineStr">
        <is>
          <t>RTD|8 tri|18</t>
        </is>
      </c>
      <c r="L745" s="9" t="inlineStr">
        <is>
          <t>8 tri</t>
        </is>
      </c>
      <c r="M745" s="9" t="inlineStr">
        <is>
          <t>18</t>
        </is>
      </c>
      <c r="N745" s="9" t="n">
        <v>1</v>
      </c>
      <c r="O745" s="9" t="n">
        <v>1</v>
      </c>
      <c r="P745" s="9" t="n"/>
      <c r="Q745" s="9" t="n"/>
      <c r="R745" s="9" t="n"/>
      <c r="S745" s="9" t="inlineStr">
        <is>
          <t>Tray</t>
        </is>
      </c>
      <c r="T745" s="10" t="n">
        <v>588</v>
      </c>
      <c r="U745" s="10" t="n">
        <v>103</v>
      </c>
      <c r="V745" s="10">
        <f>ROUNDUP((T745+U745+2*'Read Me'!$B$13)*(1+'Read Me'!$B$12),-1)</f>
        <v/>
      </c>
      <c r="W745" s="10">
        <f>V745*N745*O745</f>
        <v/>
      </c>
      <c r="X745" s="9">
        <f>IF(LEFT(I745,2)="MV",2*N745*IF(L745="1/C",O745,1),0)</f>
        <v/>
      </c>
      <c r="Y745" s="9">
        <f>IF(OR(LEFT(K745,4)="LVAX",LEFT(K745,6)="MV15AX",LEFT(K745,4)="CTAX",LEFT(K745,2)="W|"),2*N745*O745,0)</f>
        <v/>
      </c>
      <c r="Z745" s="9" t="inlineStr"/>
    </row>
    <row r="746">
      <c r="A746" s="9" t="inlineStr">
        <is>
          <t>A-I-0283</t>
        </is>
      </c>
      <c r="B746" s="9" t="inlineStr">
        <is>
          <t>A</t>
        </is>
      </c>
      <c r="C746" s="9" t="inlineStr">
        <is>
          <t>Power block</t>
        </is>
      </c>
      <c r="D746" s="9" t="inlineStr">
        <is>
          <t>Vibration monitoring</t>
        </is>
      </c>
      <c r="E746" s="9" t="inlineStr">
        <is>
          <t>R3</t>
        </is>
      </c>
      <c r="F746" s="9" t="inlineStr">
        <is>
          <t>R3: ST auxiliary electrical e-house (40 x 65 ft)</t>
        </is>
      </c>
      <c r="G746" s="9" t="inlineStr">
        <is>
          <t>STG</t>
        </is>
      </c>
      <c r="H746" s="9" t="inlineStr">
        <is>
          <t>STG: steam-turbine generator</t>
        </is>
      </c>
      <c r="I746" s="9" t="inlineStr">
        <is>
          <t>Instrumentation</t>
        </is>
      </c>
      <c r="J746" s="9" t="inlineStr">
        <is>
          <t>Instrumentation PLTC / TC-ER 300 V, #18 twisted shielded pairs, overall shield</t>
        </is>
      </c>
      <c r="K746" s="9" t="inlineStr">
        <is>
          <t>PLTC|4 pr|18</t>
        </is>
      </c>
      <c r="L746" s="9" t="inlineStr">
        <is>
          <t>4 pr</t>
        </is>
      </c>
      <c r="M746" s="9" t="inlineStr">
        <is>
          <t>18</t>
        </is>
      </c>
      <c r="N746" s="9" t="n">
        <v>1</v>
      </c>
      <c r="O746" s="9" t="n">
        <v>1</v>
      </c>
      <c r="P746" s="9" t="n"/>
      <c r="Q746" s="9" t="n"/>
      <c r="R746" s="9" t="n"/>
      <c r="S746" s="9" t="inlineStr">
        <is>
          <t>Tray</t>
        </is>
      </c>
      <c r="T746" s="10" t="n">
        <v>588</v>
      </c>
      <c r="U746" s="10" t="n">
        <v>103</v>
      </c>
      <c r="V746" s="10">
        <f>ROUNDUP((T746+U746+2*'Read Me'!$B$13)*(1+'Read Me'!$B$12),-1)</f>
        <v/>
      </c>
      <c r="W746" s="10">
        <f>V746*N746*O746</f>
        <v/>
      </c>
      <c r="X746" s="9">
        <f>IF(LEFT(I746,2)="MV",2*N746*IF(L746="1/C",O746,1),0)</f>
        <v/>
      </c>
      <c r="Y746" s="9">
        <f>IF(OR(LEFT(K746,4)="LVAX",LEFT(K746,6)="MV15AX",LEFT(K746,4)="CTAX",LEFT(K746,2)="W|"),2*N746*O746,0)</f>
        <v/>
      </c>
      <c r="Z746" s="9" t="inlineStr"/>
    </row>
    <row r="747">
      <c r="A747" s="9" t="inlineStr">
        <is>
          <t>A-I-0284</t>
        </is>
      </c>
      <c r="B747" s="9" t="inlineStr">
        <is>
          <t>A</t>
        </is>
      </c>
      <c r="C747" s="9" t="inlineStr">
        <is>
          <t>Power block</t>
        </is>
      </c>
      <c r="D747" s="9" t="inlineStr">
        <is>
          <t>Instrumentation</t>
        </is>
      </c>
      <c r="E747" s="9" t="inlineStr">
        <is>
          <t>R3</t>
        </is>
      </c>
      <c r="F747" s="9" t="inlineStr">
        <is>
          <t>R3: ST auxiliary electrical e-house (40 x 65 ft)</t>
        </is>
      </c>
      <c r="G747" s="9" t="inlineStr">
        <is>
          <t>SWAS</t>
        </is>
      </c>
      <c r="H747" s="9" t="inlineStr">
        <is>
          <t>SWAS: steam and water analysis</t>
        </is>
      </c>
      <c r="I747" s="9" t="inlineStr">
        <is>
          <t>Instrumentation</t>
        </is>
      </c>
      <c r="J747" s="9" t="inlineStr">
        <is>
          <t>Instrumentation PLTC / TC-ER 300 V, #18 twisted shielded pairs, overall shield</t>
        </is>
      </c>
      <c r="K747" s="9" t="inlineStr">
        <is>
          <t>PLTC|4 pr|18</t>
        </is>
      </c>
      <c r="L747" s="9" t="inlineStr">
        <is>
          <t>4 pr</t>
        </is>
      </c>
      <c r="M747" s="9" t="inlineStr">
        <is>
          <t>18</t>
        </is>
      </c>
      <c r="N747" s="9" t="n">
        <v>1</v>
      </c>
      <c r="O747" s="9" t="n">
        <v>1</v>
      </c>
      <c r="P747" s="9" t="n"/>
      <c r="Q747" s="9" t="n"/>
      <c r="R747" s="9" t="n"/>
      <c r="S747" s="9" t="inlineStr">
        <is>
          <t>Duct bank</t>
        </is>
      </c>
      <c r="T747" s="10" t="n">
        <v>230</v>
      </c>
      <c r="U747" s="10" t="n">
        <v>50</v>
      </c>
      <c r="V747" s="10">
        <f>ROUNDUP((T747+U747+2*'Read Me'!$B$13)*(1+'Read Me'!$B$12),-1)</f>
        <v/>
      </c>
      <c r="W747" s="10">
        <f>V747*N747*O747</f>
        <v/>
      </c>
      <c r="X747" s="9">
        <f>IF(LEFT(I747,2)="MV",2*N747*IF(L747="1/C",O747,1),0)</f>
        <v/>
      </c>
      <c r="Y747" s="9">
        <f>IF(OR(LEFT(K747,4)="LVAX",LEFT(K747,6)="MV15AX",LEFT(K747,4)="CTAX",LEFT(K747,2)="W|"),2*N747*O747,0)</f>
        <v/>
      </c>
      <c r="Z747" s="9" t="inlineStr"/>
    </row>
    <row r="748">
      <c r="A748" s="9" t="inlineStr">
        <is>
          <t>A-I-0285</t>
        </is>
      </c>
      <c r="B748" s="9" t="inlineStr">
        <is>
          <t>A</t>
        </is>
      </c>
      <c r="C748" s="9" t="inlineStr">
        <is>
          <t>Power block</t>
        </is>
      </c>
      <c r="D748" s="9" t="inlineStr">
        <is>
          <t>Instrumentation</t>
        </is>
      </c>
      <c r="E748" s="9" t="inlineStr">
        <is>
          <t>R2A</t>
        </is>
      </c>
      <c r="F748" s="9" t="inlineStr">
        <is>
          <t>R2A: unit / HRSG electrical e-house (32 x 40 ft)</t>
        </is>
      </c>
      <c r="G748" s="9" t="inlineStr"/>
      <c r="H748" s="9" t="inlineStr">
        <is>
          <t>T-R2A: 13.8/0.48 kV</t>
        </is>
      </c>
      <c r="I748" s="9" t="inlineStr">
        <is>
          <t>Instrumentation</t>
        </is>
      </c>
      <c r="J748" s="9" t="inlineStr">
        <is>
          <t>Instrumentation PLTC / TC-ER 300 V, #18 twisted shielded pairs, overall shield</t>
        </is>
      </c>
      <c r="K748" s="9" t="inlineStr">
        <is>
          <t>PLTC|4 pr|18</t>
        </is>
      </c>
      <c r="L748" s="9" t="inlineStr">
        <is>
          <t>4 pr</t>
        </is>
      </c>
      <c r="M748" s="9" t="inlineStr">
        <is>
          <t>18</t>
        </is>
      </c>
      <c r="N748" s="9" t="n">
        <v>1</v>
      </c>
      <c r="O748" s="9" t="n">
        <v>1</v>
      </c>
      <c r="P748" s="9" t="n"/>
      <c r="Q748" s="9" t="n"/>
      <c r="R748" s="9" t="n"/>
      <c r="S748" s="9" t="inlineStr">
        <is>
          <t>Tray</t>
        </is>
      </c>
      <c r="T748" s="10" t="n">
        <v>0</v>
      </c>
      <c r="U748" s="10" t="n">
        <v>86</v>
      </c>
      <c r="V748" s="10">
        <f>ROUNDUP((T748+U748+2*'Read Me'!$B$13)*(1+'Read Me'!$B$12),-1)</f>
        <v/>
      </c>
      <c r="W748" s="10">
        <f>V748*N748*O748</f>
        <v/>
      </c>
      <c r="X748" s="9">
        <f>IF(LEFT(I748,2)="MV",2*N748*IF(L748="1/C",O748,1),0)</f>
        <v/>
      </c>
      <c r="Y748" s="9">
        <f>IF(OR(LEFT(K748,4)="LVAX",LEFT(K748,6)="MV15AX",LEFT(K748,4)="CTAX",LEFT(K748,2)="W|"),2*N748*O748,0)</f>
        <v/>
      </c>
      <c r="Z748" s="9" t="inlineStr"/>
    </row>
    <row r="749">
      <c r="A749" s="9" t="inlineStr">
        <is>
          <t>A-I-0286</t>
        </is>
      </c>
      <c r="B749" s="9" t="inlineStr">
        <is>
          <t>A</t>
        </is>
      </c>
      <c r="C749" s="9" t="inlineStr">
        <is>
          <t>Power block</t>
        </is>
      </c>
      <c r="D749" s="9" t="inlineStr">
        <is>
          <t>Instrumentation</t>
        </is>
      </c>
      <c r="E749" s="9" t="inlineStr">
        <is>
          <t>R2B</t>
        </is>
      </c>
      <c r="F749" s="9" t="inlineStr">
        <is>
          <t>R2B: unit / HRSG electrical e-house (32 x 40 ft)</t>
        </is>
      </c>
      <c r="G749" s="9" t="inlineStr"/>
      <c r="H749" s="9" t="inlineStr">
        <is>
          <t>T-R2B: 13.8/0.48 kV</t>
        </is>
      </c>
      <c r="I749" s="9" t="inlineStr">
        <is>
          <t>Instrumentation</t>
        </is>
      </c>
      <c r="J749" s="9" t="inlineStr">
        <is>
          <t>Instrumentation PLTC / TC-ER 300 V, #18 twisted shielded pairs, overall shield</t>
        </is>
      </c>
      <c r="K749" s="9" t="inlineStr">
        <is>
          <t>PLTC|4 pr|18</t>
        </is>
      </c>
      <c r="L749" s="9" t="inlineStr">
        <is>
          <t>4 pr</t>
        </is>
      </c>
      <c r="M749" s="9" t="inlineStr">
        <is>
          <t>18</t>
        </is>
      </c>
      <c r="N749" s="9" t="n">
        <v>1</v>
      </c>
      <c r="O749" s="9" t="n">
        <v>1</v>
      </c>
      <c r="P749" s="9" t="n"/>
      <c r="Q749" s="9" t="n"/>
      <c r="R749" s="9" t="n"/>
      <c r="S749" s="9" t="inlineStr">
        <is>
          <t>Tray</t>
        </is>
      </c>
      <c r="T749" s="10" t="n">
        <v>0</v>
      </c>
      <c r="U749" s="10" t="n">
        <v>97</v>
      </c>
      <c r="V749" s="10">
        <f>ROUNDUP((T749+U749+2*'Read Me'!$B$13)*(1+'Read Me'!$B$12),-1)</f>
        <v/>
      </c>
      <c r="W749" s="10">
        <f>V749*N749*O749</f>
        <v/>
      </c>
      <c r="X749" s="9">
        <f>IF(LEFT(I749,2)="MV",2*N749*IF(L749="1/C",O749,1),0)</f>
        <v/>
      </c>
      <c r="Y749" s="9">
        <f>IF(OR(LEFT(K749,4)="LVAX",LEFT(K749,6)="MV15AX",LEFT(K749,4)="CTAX",LEFT(K749,2)="W|"),2*N749*O749,0)</f>
        <v/>
      </c>
      <c r="Z749" s="9" t="inlineStr"/>
    </row>
    <row r="750">
      <c r="A750" s="9" t="inlineStr">
        <is>
          <t>A-I-0287</t>
        </is>
      </c>
      <c r="B750" s="9" t="inlineStr">
        <is>
          <t>A</t>
        </is>
      </c>
      <c r="C750" s="9" t="inlineStr">
        <is>
          <t>Power block</t>
        </is>
      </c>
      <c r="D750" s="9" t="inlineStr">
        <is>
          <t>Instrumentation</t>
        </is>
      </c>
      <c r="E750" s="9" t="inlineStr">
        <is>
          <t>R2C</t>
        </is>
      </c>
      <c r="F750" s="9" t="inlineStr">
        <is>
          <t>R2C: unit / HRSG electrical e-house (32 x 40 ft)</t>
        </is>
      </c>
      <c r="G750" s="9" t="inlineStr"/>
      <c r="H750" s="9" t="inlineStr">
        <is>
          <t>T-R2C: 13.8/0.48 kV</t>
        </is>
      </c>
      <c r="I750" s="9" t="inlineStr">
        <is>
          <t>Instrumentation</t>
        </is>
      </c>
      <c r="J750" s="9" t="inlineStr">
        <is>
          <t>Instrumentation PLTC / TC-ER 300 V, #18 twisted shielded pairs, overall shield</t>
        </is>
      </c>
      <c r="K750" s="9" t="inlineStr">
        <is>
          <t>PLTC|4 pr|18</t>
        </is>
      </c>
      <c r="L750" s="9" t="inlineStr">
        <is>
          <t>4 pr</t>
        </is>
      </c>
      <c r="M750" s="9" t="inlineStr">
        <is>
          <t>18</t>
        </is>
      </c>
      <c r="N750" s="9" t="n">
        <v>1</v>
      </c>
      <c r="O750" s="9" t="n">
        <v>1</v>
      </c>
      <c r="P750" s="9" t="n"/>
      <c r="Q750" s="9" t="n"/>
      <c r="R750" s="9" t="n"/>
      <c r="S750" s="9" t="inlineStr">
        <is>
          <t>Tray</t>
        </is>
      </c>
      <c r="T750" s="10" t="n">
        <v>0</v>
      </c>
      <c r="U750" s="10" t="n">
        <v>97</v>
      </c>
      <c r="V750" s="10">
        <f>ROUNDUP((T750+U750+2*'Read Me'!$B$13)*(1+'Read Me'!$B$12),-1)</f>
        <v/>
      </c>
      <c r="W750" s="10">
        <f>V750*N750*O750</f>
        <v/>
      </c>
      <c r="X750" s="9">
        <f>IF(LEFT(I750,2)="MV",2*N750*IF(L750="1/C",O750,1),0)</f>
        <v/>
      </c>
      <c r="Y750" s="9">
        <f>IF(OR(LEFT(K750,4)="LVAX",LEFT(K750,6)="MV15AX",LEFT(K750,4)="CTAX",LEFT(K750,2)="W|"),2*N750*O750,0)</f>
        <v/>
      </c>
      <c r="Z750" s="9" t="inlineStr"/>
    </row>
    <row r="751">
      <c r="A751" s="9" t="inlineStr">
        <is>
          <t>A-I-0288</t>
        </is>
      </c>
      <c r="B751" s="9" t="inlineStr">
        <is>
          <t>A</t>
        </is>
      </c>
      <c r="C751" s="9" t="inlineStr">
        <is>
          <t>Power block</t>
        </is>
      </c>
      <c r="D751" s="9" t="inlineStr">
        <is>
          <t>Instrumentation</t>
        </is>
      </c>
      <c r="E751" s="9" t="inlineStr">
        <is>
          <t>R3</t>
        </is>
      </c>
      <c r="F751" s="9" t="inlineStr">
        <is>
          <t>R3: ST auxiliary electrical e-house (40 x 65 ft)</t>
        </is>
      </c>
      <c r="G751" s="9" t="inlineStr"/>
      <c r="H751" s="9" t="inlineStr">
        <is>
          <t>T-R3: 13.8/0.48 kV</t>
        </is>
      </c>
      <c r="I751" s="9" t="inlineStr">
        <is>
          <t>Instrumentation</t>
        </is>
      </c>
      <c r="J751" s="9" t="inlineStr">
        <is>
          <t>Instrumentation PLTC / TC-ER 300 V, #18 twisted shielded pairs, overall shield</t>
        </is>
      </c>
      <c r="K751" s="9" t="inlineStr">
        <is>
          <t>PLTC|4 pr|18</t>
        </is>
      </c>
      <c r="L751" s="9" t="inlineStr">
        <is>
          <t>4 pr</t>
        </is>
      </c>
      <c r="M751" s="9" t="inlineStr">
        <is>
          <t>18</t>
        </is>
      </c>
      <c r="N751" s="9" t="n">
        <v>1</v>
      </c>
      <c r="O751" s="9" t="n">
        <v>1</v>
      </c>
      <c r="P751" s="9" t="n"/>
      <c r="Q751" s="9" t="n"/>
      <c r="R751" s="9" t="n"/>
      <c r="S751" s="9" t="inlineStr">
        <is>
          <t>Tray</t>
        </is>
      </c>
      <c r="T751" s="10" t="n">
        <v>2</v>
      </c>
      <c r="U751" s="10" t="n">
        <v>109</v>
      </c>
      <c r="V751" s="10">
        <f>ROUNDUP((T751+U751+2*'Read Me'!$B$13)*(1+'Read Me'!$B$12),-1)</f>
        <v/>
      </c>
      <c r="W751" s="10">
        <f>V751*N751*O751</f>
        <v/>
      </c>
      <c r="X751" s="9">
        <f>IF(LEFT(I751,2)="MV",2*N751*IF(L751="1/C",O751,1),0)</f>
        <v/>
      </c>
      <c r="Y751" s="9">
        <f>IF(OR(LEFT(K751,4)="LVAX",LEFT(K751,6)="MV15AX",LEFT(K751,4)="CTAX",LEFT(K751,2)="W|"),2*N751*O751,0)</f>
        <v/>
      </c>
      <c r="Z751" s="9" t="inlineStr"/>
    </row>
    <row r="752">
      <c r="A752" s="9" t="inlineStr">
        <is>
          <t>A-I-0289</t>
        </is>
      </c>
      <c r="B752" s="9" t="inlineStr">
        <is>
          <t>A</t>
        </is>
      </c>
      <c r="C752" s="9" t="inlineStr">
        <is>
          <t>Power block</t>
        </is>
      </c>
      <c r="D752" s="9" t="inlineStr">
        <is>
          <t>Instrumentation</t>
        </is>
      </c>
      <c r="E752" s="9" t="inlineStr">
        <is>
          <t>R1</t>
        </is>
      </c>
      <c r="F752" s="9" t="inlineStr">
        <is>
          <t>R1: main electrical building (64 x 180 ft)</t>
        </is>
      </c>
      <c r="G752" s="9" t="inlineStr">
        <is>
          <t>T4-A</t>
        </is>
      </c>
      <c r="H752" s="9" t="inlineStr">
        <is>
          <t>T4-A: 13.8/4.16 kV station transformer</t>
        </is>
      </c>
      <c r="I752" s="9" t="inlineStr">
        <is>
          <t>Instrumentation</t>
        </is>
      </c>
      <c r="J752" s="9" t="inlineStr">
        <is>
          <t>Instrumentation PLTC / TC-ER 300 V, #18 twisted shielded pairs, overall shield</t>
        </is>
      </c>
      <c r="K752" s="9" t="inlineStr">
        <is>
          <t>PLTC|4 pr|18</t>
        </is>
      </c>
      <c r="L752" s="9" t="inlineStr">
        <is>
          <t>4 pr</t>
        </is>
      </c>
      <c r="M752" s="9" t="inlineStr">
        <is>
          <t>18</t>
        </is>
      </c>
      <c r="N752" s="9" t="n">
        <v>1</v>
      </c>
      <c r="O752" s="9" t="n">
        <v>1</v>
      </c>
      <c r="P752" s="9" t="n"/>
      <c r="Q752" s="9" t="n"/>
      <c r="R752" s="9" t="n"/>
      <c r="S752" s="9" t="inlineStr">
        <is>
          <t>Duct bank</t>
        </is>
      </c>
      <c r="T752" s="10" t="n">
        <v>1367</v>
      </c>
      <c r="U752" s="10" t="n">
        <v>46</v>
      </c>
      <c r="V752" s="10">
        <f>ROUNDUP((T752+U752+2*'Read Me'!$B$13)*(1+'Read Me'!$B$12),-1)</f>
        <v/>
      </c>
      <c r="W752" s="10">
        <f>V752*N752*O752</f>
        <v/>
      </c>
      <c r="X752" s="9">
        <f>IF(LEFT(I752,2)="MV",2*N752*IF(L752="1/C",O752,1),0)</f>
        <v/>
      </c>
      <c r="Y752" s="9">
        <f>IF(OR(LEFT(K752,4)="LVAX",LEFT(K752,6)="MV15AX",LEFT(K752,4)="CTAX",LEFT(K752,2)="W|"),2*N752*O752,0)</f>
        <v/>
      </c>
      <c r="Z752" s="9" t="inlineStr"/>
    </row>
    <row r="753">
      <c r="A753" s="9" t="inlineStr">
        <is>
          <t>A-I-0290</t>
        </is>
      </c>
      <c r="B753" s="9" t="inlineStr">
        <is>
          <t>A</t>
        </is>
      </c>
      <c r="C753" s="9" t="inlineStr">
        <is>
          <t>Power block</t>
        </is>
      </c>
      <c r="D753" s="9" t="inlineStr">
        <is>
          <t>Instrumentation</t>
        </is>
      </c>
      <c r="E753" s="9" t="inlineStr">
        <is>
          <t>R1</t>
        </is>
      </c>
      <c r="F753" s="9" t="inlineStr">
        <is>
          <t>R1: main electrical building (64 x 180 ft)</t>
        </is>
      </c>
      <c r="G753" s="9" t="inlineStr">
        <is>
          <t>T4-B</t>
        </is>
      </c>
      <c r="H753" s="9" t="inlineStr">
        <is>
          <t>T4-B: 13.8/4.16 kV station transformer</t>
        </is>
      </c>
      <c r="I753" s="9" t="inlineStr">
        <is>
          <t>Instrumentation</t>
        </is>
      </c>
      <c r="J753" s="9" t="inlineStr">
        <is>
          <t>Instrumentation PLTC / TC-ER 300 V, #18 twisted shielded pairs, overall shield</t>
        </is>
      </c>
      <c r="K753" s="9" t="inlineStr">
        <is>
          <t>PLTC|4 pr|18</t>
        </is>
      </c>
      <c r="L753" s="9" t="inlineStr">
        <is>
          <t>4 pr</t>
        </is>
      </c>
      <c r="M753" s="9" t="inlineStr">
        <is>
          <t>18</t>
        </is>
      </c>
      <c r="N753" s="9" t="n">
        <v>1</v>
      </c>
      <c r="O753" s="9" t="n">
        <v>1</v>
      </c>
      <c r="P753" s="9" t="n"/>
      <c r="Q753" s="9" t="n"/>
      <c r="R753" s="9" t="n"/>
      <c r="S753" s="9" t="inlineStr">
        <is>
          <t>Duct bank</t>
        </is>
      </c>
      <c r="T753" s="10" t="n">
        <v>1389</v>
      </c>
      <c r="U753" s="10" t="n">
        <v>46</v>
      </c>
      <c r="V753" s="10">
        <f>ROUNDUP((T753+U753+2*'Read Me'!$B$13)*(1+'Read Me'!$B$12),-1)</f>
        <v/>
      </c>
      <c r="W753" s="10">
        <f>V753*N753*O753</f>
        <v/>
      </c>
      <c r="X753" s="9">
        <f>IF(LEFT(I753,2)="MV",2*N753*IF(L753="1/C",O753,1),0)</f>
        <v/>
      </c>
      <c r="Y753" s="9">
        <f>IF(OR(LEFT(K753,4)="LVAX",LEFT(K753,6)="MV15AX",LEFT(K753,4)="CTAX",LEFT(K753,2)="W|"),2*N753*O753,0)</f>
        <v/>
      </c>
      <c r="Z753" s="9" t="inlineStr"/>
    </row>
    <row r="754">
      <c r="A754" s="9" t="inlineStr">
        <is>
          <t>A-I-0291</t>
        </is>
      </c>
      <c r="B754" s="9" t="inlineStr">
        <is>
          <t>A</t>
        </is>
      </c>
      <c r="C754" s="9" t="inlineStr">
        <is>
          <t>Power block</t>
        </is>
      </c>
      <c r="D754" s="9" t="inlineStr">
        <is>
          <t>Instrumentation</t>
        </is>
      </c>
      <c r="E754" s="9" t="inlineStr">
        <is>
          <t>R2A</t>
        </is>
      </c>
      <c r="F754" s="9" t="inlineStr">
        <is>
          <t>R2A: unit / HRSG electrical e-house (32 x 40 ft)</t>
        </is>
      </c>
      <c r="G754" s="9" t="inlineStr">
        <is>
          <t>TCP-1</t>
        </is>
      </c>
      <c r="H754" s="9" t="inlineStr">
        <is>
          <t>TCP-1: GT1 turbine control and protection cabinets</t>
        </is>
      </c>
      <c r="I754" s="9" t="inlineStr">
        <is>
          <t>Instrumentation</t>
        </is>
      </c>
      <c r="J754" s="9" t="inlineStr">
        <is>
          <t>Instrumentation PLTC / TC-ER 300 V, #18 twisted shielded pairs, overall shield</t>
        </is>
      </c>
      <c r="K754" s="9" t="inlineStr">
        <is>
          <t>PLTC|4 pr|18</t>
        </is>
      </c>
      <c r="L754" s="9" t="inlineStr">
        <is>
          <t>4 pr</t>
        </is>
      </c>
      <c r="M754" s="9" t="inlineStr">
        <is>
          <t>18</t>
        </is>
      </c>
      <c r="N754" s="9" t="n">
        <v>1</v>
      </c>
      <c r="O754" s="9" t="n">
        <v>1</v>
      </c>
      <c r="P754" s="9" t="n"/>
      <c r="Q754" s="9" t="n"/>
      <c r="R754" s="9" t="n"/>
      <c r="S754" s="9" t="inlineStr">
        <is>
          <t>Tray</t>
        </is>
      </c>
      <c r="T754" s="10" t="n">
        <v>178</v>
      </c>
      <c r="U754" s="10" t="n">
        <v>94</v>
      </c>
      <c r="V754" s="10">
        <f>ROUNDUP((T754+U754+2*'Read Me'!$B$13)*(1+'Read Me'!$B$12),-1)</f>
        <v/>
      </c>
      <c r="W754" s="10">
        <f>V754*N754*O754</f>
        <v/>
      </c>
      <c r="X754" s="9">
        <f>IF(LEFT(I754,2)="MV",2*N754*IF(L754="1/C",O754,1),0)</f>
        <v/>
      </c>
      <c r="Y754" s="9">
        <f>IF(OR(LEFT(K754,4)="LVAX",LEFT(K754,6)="MV15AX",LEFT(K754,4)="CTAX",LEFT(K754,2)="W|"),2*N754*O754,0)</f>
        <v/>
      </c>
      <c r="Z754" s="9" t="inlineStr"/>
    </row>
    <row r="755">
      <c r="A755" s="9" t="inlineStr">
        <is>
          <t>A-I-0292</t>
        </is>
      </c>
      <c r="B755" s="9" t="inlineStr">
        <is>
          <t>A</t>
        </is>
      </c>
      <c r="C755" s="9" t="inlineStr">
        <is>
          <t>Power block</t>
        </is>
      </c>
      <c r="D755" s="9" t="inlineStr">
        <is>
          <t>Instrumentation</t>
        </is>
      </c>
      <c r="E755" s="9" t="inlineStr">
        <is>
          <t>R2B</t>
        </is>
      </c>
      <c r="F755" s="9" t="inlineStr">
        <is>
          <t>R2B: unit / HRSG electrical e-house (32 x 40 ft)</t>
        </is>
      </c>
      <c r="G755" s="9" t="inlineStr">
        <is>
          <t>TCP-2</t>
        </is>
      </c>
      <c r="H755" s="9" t="inlineStr">
        <is>
          <t>TCP-2: GT2 turbine control and protection cabinets</t>
        </is>
      </c>
      <c r="I755" s="9" t="inlineStr">
        <is>
          <t>Instrumentation</t>
        </is>
      </c>
      <c r="J755" s="9" t="inlineStr">
        <is>
          <t>Instrumentation PLTC / TC-ER 300 V, #18 twisted shielded pairs, overall shield</t>
        </is>
      </c>
      <c r="K755" s="9" t="inlineStr">
        <is>
          <t>PLTC|4 pr|18</t>
        </is>
      </c>
      <c r="L755" s="9" t="inlineStr">
        <is>
          <t>4 pr</t>
        </is>
      </c>
      <c r="M755" s="9" t="inlineStr">
        <is>
          <t>18</t>
        </is>
      </c>
      <c r="N755" s="9" t="n">
        <v>1</v>
      </c>
      <c r="O755" s="9" t="n">
        <v>1</v>
      </c>
      <c r="P755" s="9" t="n"/>
      <c r="Q755" s="9" t="n"/>
      <c r="R755" s="9" t="n"/>
      <c r="S755" s="9" t="inlineStr">
        <is>
          <t>Tray</t>
        </is>
      </c>
      <c r="T755" s="10" t="n">
        <v>917</v>
      </c>
      <c r="U755" s="10" t="n">
        <v>96</v>
      </c>
      <c r="V755" s="10">
        <f>ROUNDUP((T755+U755+2*'Read Me'!$B$13)*(1+'Read Me'!$B$12),-1)</f>
        <v/>
      </c>
      <c r="W755" s="10">
        <f>V755*N755*O755</f>
        <v/>
      </c>
      <c r="X755" s="9">
        <f>IF(LEFT(I755,2)="MV",2*N755*IF(L755="1/C",O755,1),0)</f>
        <v/>
      </c>
      <c r="Y755" s="9">
        <f>IF(OR(LEFT(K755,4)="LVAX",LEFT(K755,6)="MV15AX",LEFT(K755,4)="CTAX",LEFT(K755,2)="W|"),2*N755*O755,0)</f>
        <v/>
      </c>
      <c r="Z755" s="9" t="inlineStr"/>
    </row>
    <row r="756">
      <c r="A756" s="9" t="inlineStr">
        <is>
          <t>A-I-0293</t>
        </is>
      </c>
      <c r="B756" s="9" t="inlineStr">
        <is>
          <t>A</t>
        </is>
      </c>
      <c r="C756" s="9" t="inlineStr">
        <is>
          <t>Power block</t>
        </is>
      </c>
      <c r="D756" s="9" t="inlineStr">
        <is>
          <t>Instrumentation</t>
        </is>
      </c>
      <c r="E756" s="9" t="inlineStr">
        <is>
          <t>R2C</t>
        </is>
      </c>
      <c r="F756" s="9" t="inlineStr">
        <is>
          <t>R2C: unit / HRSG electrical e-house (32 x 40 ft)</t>
        </is>
      </c>
      <c r="G756" s="9" t="inlineStr">
        <is>
          <t>TCP-3</t>
        </is>
      </c>
      <c r="H756" s="9" t="inlineStr">
        <is>
          <t>TCP-3: GT3 turbine control and protection cabinets</t>
        </is>
      </c>
      <c r="I756" s="9" t="inlineStr">
        <is>
          <t>Instrumentation</t>
        </is>
      </c>
      <c r="J756" s="9" t="inlineStr">
        <is>
          <t>Instrumentation PLTC / TC-ER 300 V, #18 twisted shielded pairs, overall shield</t>
        </is>
      </c>
      <c r="K756" s="9" t="inlineStr">
        <is>
          <t>PLTC|4 pr|18</t>
        </is>
      </c>
      <c r="L756" s="9" t="inlineStr">
        <is>
          <t>4 pr</t>
        </is>
      </c>
      <c r="M756" s="9" t="inlineStr">
        <is>
          <t>18</t>
        </is>
      </c>
      <c r="N756" s="9" t="n">
        <v>1</v>
      </c>
      <c r="O756" s="9" t="n">
        <v>1</v>
      </c>
      <c r="P756" s="9" t="n"/>
      <c r="Q756" s="9" t="n"/>
      <c r="R756" s="9" t="n"/>
      <c r="S756" s="9" t="inlineStr">
        <is>
          <t>Tray</t>
        </is>
      </c>
      <c r="T756" s="10" t="n">
        <v>1092</v>
      </c>
      <c r="U756" s="10" t="n">
        <v>112</v>
      </c>
      <c r="V756" s="10">
        <f>ROUNDUP((T756+U756+2*'Read Me'!$B$13)*(1+'Read Me'!$B$12),-1)</f>
        <v/>
      </c>
      <c r="W756" s="10">
        <f>V756*N756*O756</f>
        <v/>
      </c>
      <c r="X756" s="9">
        <f>IF(LEFT(I756,2)="MV",2*N756*IF(L756="1/C",O756,1),0)</f>
        <v/>
      </c>
      <c r="Y756" s="9">
        <f>IF(OR(LEFT(K756,4)="LVAX",LEFT(K756,6)="MV15AX",LEFT(K756,4)="CTAX",LEFT(K756,2)="W|"),2*N756*O756,0)</f>
        <v/>
      </c>
      <c r="Z756" s="9" t="inlineStr"/>
    </row>
    <row r="757">
      <c r="A757" s="9" t="inlineStr">
        <is>
          <t>A-I-0294</t>
        </is>
      </c>
      <c r="B757" s="9" t="inlineStr">
        <is>
          <t>A</t>
        </is>
      </c>
      <c r="C757" s="9" t="inlineStr">
        <is>
          <t>Power block</t>
        </is>
      </c>
      <c r="D757" s="9" t="inlineStr">
        <is>
          <t>Instrumentation</t>
        </is>
      </c>
      <c r="E757" s="9" t="inlineStr">
        <is>
          <t>R3</t>
        </is>
      </c>
      <c r="F757" s="9" t="inlineStr">
        <is>
          <t>R3: ST auxiliary electrical e-house (40 x 65 ft)</t>
        </is>
      </c>
      <c r="G757" s="9" t="inlineStr">
        <is>
          <t>TCP-ST</t>
        </is>
      </c>
      <c r="H757" s="9" t="inlineStr">
        <is>
          <t>TCP-ST: ST turbine control and protection cabinets</t>
        </is>
      </c>
      <c r="I757" s="9" t="inlineStr">
        <is>
          <t>Instrumentation</t>
        </is>
      </c>
      <c r="J757" s="9" t="inlineStr">
        <is>
          <t>Instrumentation PLTC / TC-ER 300 V, #18 twisted shielded pairs, overall shield</t>
        </is>
      </c>
      <c r="K757" s="9" t="inlineStr">
        <is>
          <t>PLTC|4 pr|18</t>
        </is>
      </c>
      <c r="L757" s="9" t="inlineStr">
        <is>
          <t>4 pr</t>
        </is>
      </c>
      <c r="M757" s="9" t="inlineStr">
        <is>
          <t>18</t>
        </is>
      </c>
      <c r="N757" s="9" t="n">
        <v>1</v>
      </c>
      <c r="O757" s="9" t="n">
        <v>1</v>
      </c>
      <c r="P757" s="9" t="n"/>
      <c r="Q757" s="9" t="n"/>
      <c r="R757" s="9" t="n"/>
      <c r="S757" s="9" t="inlineStr">
        <is>
          <t>Tray</t>
        </is>
      </c>
      <c r="T757" s="10" t="n">
        <v>606</v>
      </c>
      <c r="U757" s="10" t="n">
        <v>98</v>
      </c>
      <c r="V757" s="10">
        <f>ROUNDUP((T757+U757+2*'Read Me'!$B$13)*(1+'Read Me'!$B$12),-1)</f>
        <v/>
      </c>
      <c r="W757" s="10">
        <f>V757*N757*O757</f>
        <v/>
      </c>
      <c r="X757" s="9">
        <f>IF(LEFT(I757,2)="MV",2*N757*IF(L757="1/C",O757,1),0)</f>
        <v/>
      </c>
      <c r="Y757" s="9">
        <f>IF(OR(LEFT(K757,4)="LVAX",LEFT(K757,6)="MV15AX",LEFT(K757,4)="CTAX",LEFT(K757,2)="W|"),2*N757*O757,0)</f>
        <v/>
      </c>
      <c r="Z757" s="9" t="inlineStr"/>
    </row>
    <row r="758">
      <c r="A758" s="9" t="inlineStr">
        <is>
          <t>A-I-0295</t>
        </is>
      </c>
      <c r="B758" s="9" t="inlineStr">
        <is>
          <t>A</t>
        </is>
      </c>
      <c r="C758" s="9" t="inlineStr">
        <is>
          <t>Power block</t>
        </is>
      </c>
      <c r="D758" s="9" t="inlineStr">
        <is>
          <t>Instrumentation</t>
        </is>
      </c>
      <c r="E758" s="9" t="inlineStr">
        <is>
          <t>R2B</t>
        </is>
      </c>
      <c r="F758" s="9" t="inlineStr">
        <is>
          <t>R2B: unit / HRSG electrical e-house (32 x 40 ft)</t>
        </is>
      </c>
      <c r="G758" s="9" t="inlineStr">
        <is>
          <t>UAT-1</t>
        </is>
      </c>
      <c r="H758" s="9" t="inlineStr">
        <is>
          <t>UAT-1: 21/13.8 kV unit auxiliary transformer</t>
        </is>
      </c>
      <c r="I758" s="9" t="inlineStr">
        <is>
          <t>Instrumentation</t>
        </is>
      </c>
      <c r="J758" s="9" t="inlineStr">
        <is>
          <t>Instrumentation PLTC / TC-ER 300 V, #18 twisted shielded pairs, overall shield</t>
        </is>
      </c>
      <c r="K758" s="9" t="inlineStr">
        <is>
          <t>PLTC|4 pr|18</t>
        </is>
      </c>
      <c r="L758" s="9" t="inlineStr">
        <is>
          <t>4 pr</t>
        </is>
      </c>
      <c r="M758" s="9" t="inlineStr">
        <is>
          <t>18</t>
        </is>
      </c>
      <c r="N758" s="9" t="n">
        <v>1</v>
      </c>
      <c r="O758" s="9" t="n">
        <v>1</v>
      </c>
      <c r="P758" s="9" t="n"/>
      <c r="Q758" s="9" t="n"/>
      <c r="R758" s="9" t="n"/>
      <c r="S758" s="9" t="inlineStr">
        <is>
          <t>Tray</t>
        </is>
      </c>
      <c r="T758" s="10" t="n">
        <v>1217</v>
      </c>
      <c r="U758" s="10" t="n">
        <v>78</v>
      </c>
      <c r="V758" s="10">
        <f>ROUNDUP((T758+U758+2*'Read Me'!$B$13)*(1+'Read Me'!$B$12),-1)</f>
        <v/>
      </c>
      <c r="W758" s="10">
        <f>V758*N758*O758</f>
        <v/>
      </c>
      <c r="X758" s="9">
        <f>IF(LEFT(I758,2)="MV",2*N758*IF(L758="1/C",O758,1),0)</f>
        <v/>
      </c>
      <c r="Y758" s="9">
        <f>IF(OR(LEFT(K758,4)="LVAX",LEFT(K758,6)="MV15AX",LEFT(K758,4)="CTAX",LEFT(K758,2)="W|"),2*N758*O758,0)</f>
        <v/>
      </c>
      <c r="Z758" s="9" t="inlineStr"/>
    </row>
    <row r="759">
      <c r="A759" s="9" t="inlineStr">
        <is>
          <t>A-I-0296</t>
        </is>
      </c>
      <c r="B759" s="9" t="inlineStr">
        <is>
          <t>A</t>
        </is>
      </c>
      <c r="C759" s="9" t="inlineStr">
        <is>
          <t>Power block</t>
        </is>
      </c>
      <c r="D759" s="9" t="inlineStr">
        <is>
          <t>Instrumentation</t>
        </is>
      </c>
      <c r="E759" s="9" t="inlineStr">
        <is>
          <t>R2C</t>
        </is>
      </c>
      <c r="F759" s="9" t="inlineStr">
        <is>
          <t>R2C: unit / HRSG electrical e-house (32 x 40 ft)</t>
        </is>
      </c>
      <c r="G759" s="9" t="inlineStr">
        <is>
          <t>UAT-2</t>
        </is>
      </c>
      <c r="H759" s="9" t="inlineStr">
        <is>
          <t>UAT-2: 21/13.8 kV unit auxiliary transformer</t>
        </is>
      </c>
      <c r="I759" s="9" t="inlineStr">
        <is>
          <t>Instrumentation</t>
        </is>
      </c>
      <c r="J759" s="9" t="inlineStr">
        <is>
          <t>Instrumentation PLTC / TC-ER 300 V, #18 twisted shielded pairs, overall shield</t>
        </is>
      </c>
      <c r="K759" s="9" t="inlineStr">
        <is>
          <t>PLTC|4 pr|18</t>
        </is>
      </c>
      <c r="L759" s="9" t="inlineStr">
        <is>
          <t>4 pr</t>
        </is>
      </c>
      <c r="M759" s="9" t="inlineStr">
        <is>
          <t>18</t>
        </is>
      </c>
      <c r="N759" s="9" t="n">
        <v>1</v>
      </c>
      <c r="O759" s="9" t="n">
        <v>1</v>
      </c>
      <c r="P759" s="9" t="n"/>
      <c r="Q759" s="9" t="n"/>
      <c r="R759" s="9" t="n"/>
      <c r="S759" s="9" t="inlineStr">
        <is>
          <t>Tray</t>
        </is>
      </c>
      <c r="T759" s="10" t="n">
        <v>1537</v>
      </c>
      <c r="U759" s="10" t="n">
        <v>78</v>
      </c>
      <c r="V759" s="10">
        <f>ROUNDUP((T759+U759+2*'Read Me'!$B$13)*(1+'Read Me'!$B$12),-1)</f>
        <v/>
      </c>
      <c r="W759" s="10">
        <f>V759*N759*O759</f>
        <v/>
      </c>
      <c r="X759" s="9">
        <f>IF(LEFT(I759,2)="MV",2*N759*IF(L759="1/C",O759,1),0)</f>
        <v/>
      </c>
      <c r="Y759" s="9">
        <f>IF(OR(LEFT(K759,4)="LVAX",LEFT(K759,6)="MV15AX",LEFT(K759,4)="CTAX",LEFT(K759,2)="W|"),2*N759*O759,0)</f>
        <v/>
      </c>
      <c r="Z759" s="9" t="inlineStr"/>
    </row>
    <row r="760">
      <c r="A760" s="9" t="inlineStr">
        <is>
          <t>A-I-0297</t>
        </is>
      </c>
      <c r="B760" s="9" t="inlineStr">
        <is>
          <t>A</t>
        </is>
      </c>
      <c r="C760" s="9" t="inlineStr">
        <is>
          <t>Power block</t>
        </is>
      </c>
      <c r="D760" s="9" t="inlineStr">
        <is>
          <t>Instrumentation</t>
        </is>
      </c>
      <c r="E760" s="9" t="inlineStr">
        <is>
          <t>R3</t>
        </is>
      </c>
      <c r="F760" s="9" t="inlineStr">
        <is>
          <t>R3: ST auxiliary electrical e-house (40 x 65 ft)</t>
        </is>
      </c>
      <c r="G760" s="9" t="inlineStr">
        <is>
          <t>UAT-3</t>
        </is>
      </c>
      <c r="H760" s="9" t="inlineStr">
        <is>
          <t>UAT-3: 21/13.8 kV unit auxiliary transformer</t>
        </is>
      </c>
      <c r="I760" s="9" t="inlineStr">
        <is>
          <t>Instrumentation</t>
        </is>
      </c>
      <c r="J760" s="9" t="inlineStr">
        <is>
          <t>Instrumentation PLTC / TC-ER 300 V, #18 twisted shielded pairs, overall shield</t>
        </is>
      </c>
      <c r="K760" s="9" t="inlineStr">
        <is>
          <t>PLTC|4 pr|18</t>
        </is>
      </c>
      <c r="L760" s="9" t="inlineStr">
        <is>
          <t>4 pr</t>
        </is>
      </c>
      <c r="M760" s="9" t="inlineStr">
        <is>
          <t>18</t>
        </is>
      </c>
      <c r="N760" s="9" t="n">
        <v>1</v>
      </c>
      <c r="O760" s="9" t="n">
        <v>1</v>
      </c>
      <c r="P760" s="9" t="n"/>
      <c r="Q760" s="9" t="n"/>
      <c r="R760" s="9" t="n"/>
      <c r="S760" s="9" t="inlineStr">
        <is>
          <t>Tray</t>
        </is>
      </c>
      <c r="T760" s="10" t="n">
        <v>667</v>
      </c>
      <c r="U760" s="10" t="n">
        <v>131</v>
      </c>
      <c r="V760" s="10">
        <f>ROUNDUP((T760+U760+2*'Read Me'!$B$13)*(1+'Read Me'!$B$12),-1)</f>
        <v/>
      </c>
      <c r="W760" s="10">
        <f>V760*N760*O760</f>
        <v/>
      </c>
      <c r="X760" s="9">
        <f>IF(LEFT(I760,2)="MV",2*N760*IF(L760="1/C",O760,1),0)</f>
        <v/>
      </c>
      <c r="Y760" s="9">
        <f>IF(OR(LEFT(K760,4)="LVAX",LEFT(K760,6)="MV15AX",LEFT(K760,4)="CTAX",LEFT(K760,2)="W|"),2*N760*O760,0)</f>
        <v/>
      </c>
      <c r="Z760" s="9" t="inlineStr"/>
    </row>
    <row r="761">
      <c r="A761" s="9" t="inlineStr">
        <is>
          <t>A-I-0298</t>
        </is>
      </c>
      <c r="B761" s="9" t="inlineStr">
        <is>
          <t>A</t>
        </is>
      </c>
      <c r="C761" s="9" t="inlineStr">
        <is>
          <t>Power block</t>
        </is>
      </c>
      <c r="D761" s="9" t="inlineStr">
        <is>
          <t>Instrumentation</t>
        </is>
      </c>
      <c r="E761" s="9" t="inlineStr">
        <is>
          <t>R2A</t>
        </is>
      </c>
      <c r="F761" s="9" t="inlineStr">
        <is>
          <t>R2A: unit / HRSG electrical e-house (32 x 40 ft)</t>
        </is>
      </c>
      <c r="G761" s="9" t="inlineStr">
        <is>
          <t>WASH-GT1</t>
        </is>
      </c>
      <c r="H761" s="9" t="inlineStr">
        <is>
          <t>WASH-GT1: compressor water-wash skid</t>
        </is>
      </c>
      <c r="I761" s="9" t="inlineStr">
        <is>
          <t>Instrumentation</t>
        </is>
      </c>
      <c r="J761" s="9" t="inlineStr">
        <is>
          <t>Instrumentation ITC / PLTC, IS, #18 shielded pairs, blue jacket</t>
        </is>
      </c>
      <c r="K761" s="9" t="inlineStr">
        <is>
          <t>ITC|4 pr|18</t>
        </is>
      </c>
      <c r="L761" s="9" t="inlineStr">
        <is>
          <t>4 pr</t>
        </is>
      </c>
      <c r="M761" s="9" t="inlineStr">
        <is>
          <t>18</t>
        </is>
      </c>
      <c r="N761" s="9" t="n">
        <v>1</v>
      </c>
      <c r="O761" s="9" t="n">
        <v>1</v>
      </c>
      <c r="P761" s="9" t="n"/>
      <c r="Q761" s="9" t="n"/>
      <c r="R761" s="9" t="n"/>
      <c r="S761" s="9" t="inlineStr">
        <is>
          <t>Tray</t>
        </is>
      </c>
      <c r="T761" s="10" t="n">
        <v>183</v>
      </c>
      <c r="U761" s="10" t="n">
        <v>94</v>
      </c>
      <c r="V761" s="10">
        <f>ROUNDUP((T761+U761+2*'Read Me'!$B$13)*(1+'Read Me'!$B$12),-1)</f>
        <v/>
      </c>
      <c r="W761" s="10">
        <f>V761*N761*O761</f>
        <v/>
      </c>
      <c r="X761" s="9">
        <f>IF(LEFT(I761,2)="MV",2*N761*IF(L761="1/C",O761,1),0)</f>
        <v/>
      </c>
      <c r="Y761" s="9">
        <f>IF(OR(LEFT(K761,4)="LVAX",LEFT(K761,6)="MV15AX",LEFT(K761,4)="CTAX",LEFT(K761,2)="W|"),2*N761*O761,0)</f>
        <v/>
      </c>
      <c r="Z761" s="9" t="inlineStr"/>
    </row>
    <row r="762">
      <c r="A762" s="9" t="inlineStr">
        <is>
          <t>A-I-0299</t>
        </is>
      </c>
      <c r="B762" s="9" t="inlineStr">
        <is>
          <t>A</t>
        </is>
      </c>
      <c r="C762" s="9" t="inlineStr">
        <is>
          <t>Power block</t>
        </is>
      </c>
      <c r="D762" s="9" t="inlineStr">
        <is>
          <t>Instrumentation</t>
        </is>
      </c>
      <c r="E762" s="9" t="inlineStr">
        <is>
          <t>R2A</t>
        </is>
      </c>
      <c r="F762" s="9" t="inlineStr">
        <is>
          <t>R2A: unit / HRSG electrical e-house (32 x 40 ft)</t>
        </is>
      </c>
      <c r="G762" s="9" t="inlineStr">
        <is>
          <t>WASH-GT1</t>
        </is>
      </c>
      <c r="H762" s="9" t="inlineStr">
        <is>
          <t>WASH-GT1: compressor water-wash skid</t>
        </is>
      </c>
      <c r="I762" s="9" t="inlineStr">
        <is>
          <t>Instrumentation</t>
        </is>
      </c>
      <c r="J762" s="9" t="inlineStr">
        <is>
          <t>Instrumentation ITC / PLTC, IS, #18 shielded pairs, blue jacket</t>
        </is>
      </c>
      <c r="K762" s="9" t="inlineStr">
        <is>
          <t>ITC|4 pr|18</t>
        </is>
      </c>
      <c r="L762" s="9" t="inlineStr">
        <is>
          <t>4 pr</t>
        </is>
      </c>
      <c r="M762" s="9" t="inlineStr">
        <is>
          <t>18</t>
        </is>
      </c>
      <c r="N762" s="9" t="n">
        <v>1</v>
      </c>
      <c r="O762" s="9" t="n">
        <v>1</v>
      </c>
      <c r="P762" s="9" t="n"/>
      <c r="Q762" s="9" t="n"/>
      <c r="R762" s="9" t="n"/>
      <c r="S762" s="9" t="inlineStr">
        <is>
          <t>Tray</t>
        </is>
      </c>
      <c r="T762" s="10" t="n">
        <v>183</v>
      </c>
      <c r="U762" s="10" t="n">
        <v>94</v>
      </c>
      <c r="V762" s="10">
        <f>ROUNDUP((T762+U762+2*'Read Me'!$B$13)*(1+'Read Me'!$B$12),-1)</f>
        <v/>
      </c>
      <c r="W762" s="10">
        <f>V762*N762*O762</f>
        <v/>
      </c>
      <c r="X762" s="9">
        <f>IF(LEFT(I762,2)="MV",2*N762*IF(L762="1/C",O762,1),0)</f>
        <v/>
      </c>
      <c r="Y762" s="9">
        <f>IF(OR(LEFT(K762,4)="LVAX",LEFT(K762,6)="MV15AX",LEFT(K762,4)="CTAX",LEFT(K762,2)="W|"),2*N762*O762,0)</f>
        <v/>
      </c>
      <c r="Z762" s="9" t="inlineStr"/>
    </row>
    <row r="763">
      <c r="A763" s="9" t="inlineStr">
        <is>
          <t>A-I-0300</t>
        </is>
      </c>
      <c r="B763" s="9" t="inlineStr">
        <is>
          <t>A</t>
        </is>
      </c>
      <c r="C763" s="9" t="inlineStr">
        <is>
          <t>Power block</t>
        </is>
      </c>
      <c r="D763" s="9" t="inlineStr">
        <is>
          <t>Instrumentation</t>
        </is>
      </c>
      <c r="E763" s="9" t="inlineStr">
        <is>
          <t>R2A</t>
        </is>
      </c>
      <c r="F763" s="9" t="inlineStr">
        <is>
          <t>R2A: unit / HRSG electrical e-house (32 x 40 ft)</t>
        </is>
      </c>
      <c r="G763" s="9" t="inlineStr">
        <is>
          <t>WASH-GT1</t>
        </is>
      </c>
      <c r="H763" s="9" t="inlineStr">
        <is>
          <t>WASH-GT1: compressor water-wash skid</t>
        </is>
      </c>
      <c r="I763" s="9" t="inlineStr">
        <is>
          <t>Instrumentation</t>
        </is>
      </c>
      <c r="J763" s="9" t="inlineStr">
        <is>
          <t>Instrumentation ITC / PLTC, IS, #18 shielded pairs, blue jacket</t>
        </is>
      </c>
      <c r="K763" s="9" t="inlineStr">
        <is>
          <t>ITC|12 pr|18</t>
        </is>
      </c>
      <c r="L763" s="9" t="inlineStr">
        <is>
          <t>12 pr</t>
        </is>
      </c>
      <c r="M763" s="9" t="inlineStr">
        <is>
          <t>18</t>
        </is>
      </c>
      <c r="N763" s="9" t="n">
        <v>1</v>
      </c>
      <c r="O763" s="9" t="n">
        <v>1</v>
      </c>
      <c r="P763" s="9" t="n"/>
      <c r="Q763" s="9" t="n"/>
      <c r="R763" s="9" t="n"/>
      <c r="S763" s="9" t="inlineStr">
        <is>
          <t>Tray</t>
        </is>
      </c>
      <c r="T763" s="10" t="n">
        <v>183</v>
      </c>
      <c r="U763" s="10" t="n">
        <v>94</v>
      </c>
      <c r="V763" s="10">
        <f>ROUNDUP((T763+U763+2*'Read Me'!$B$13)*(1+'Read Me'!$B$12),-1)</f>
        <v/>
      </c>
      <c r="W763" s="10">
        <f>V763*N763*O763</f>
        <v/>
      </c>
      <c r="X763" s="9">
        <f>IF(LEFT(I763,2)="MV",2*N763*IF(L763="1/C",O763,1),0)</f>
        <v/>
      </c>
      <c r="Y763" s="9">
        <f>IF(OR(LEFT(K763,4)="LVAX",LEFT(K763,6)="MV15AX",LEFT(K763,4)="CTAX",LEFT(K763,2)="W|"),2*N763*O763,0)</f>
        <v/>
      </c>
      <c r="Z763" s="9" t="inlineStr"/>
    </row>
    <row r="764">
      <c r="A764" s="9" t="inlineStr">
        <is>
          <t>A-I-0301</t>
        </is>
      </c>
      <c r="B764" s="9" t="inlineStr">
        <is>
          <t>A</t>
        </is>
      </c>
      <c r="C764" s="9" t="inlineStr">
        <is>
          <t>Power block</t>
        </is>
      </c>
      <c r="D764" s="9" t="inlineStr">
        <is>
          <t>Instrumentation</t>
        </is>
      </c>
      <c r="E764" s="9" t="inlineStr">
        <is>
          <t>R2A</t>
        </is>
      </c>
      <c r="F764" s="9" t="inlineStr">
        <is>
          <t>R2A: unit / HRSG electrical e-house (32 x 40 ft)</t>
        </is>
      </c>
      <c r="G764" s="9" t="inlineStr">
        <is>
          <t>WASH-GT1</t>
        </is>
      </c>
      <c r="H764" s="9" t="inlineStr">
        <is>
          <t>WASH-GT1: compressor water-wash skid</t>
        </is>
      </c>
      <c r="I764" s="9" t="inlineStr">
        <is>
          <t>Instrumentation</t>
        </is>
      </c>
      <c r="J764" s="9" t="inlineStr">
        <is>
          <t>Instrumentation ITC / PLTC, IS, #18 shielded pairs, blue jacket</t>
        </is>
      </c>
      <c r="K764" s="9" t="inlineStr">
        <is>
          <t>ITC|12 pr|18</t>
        </is>
      </c>
      <c r="L764" s="9" t="inlineStr">
        <is>
          <t>12 pr</t>
        </is>
      </c>
      <c r="M764" s="9" t="inlineStr">
        <is>
          <t>18</t>
        </is>
      </c>
      <c r="N764" s="9" t="n">
        <v>1</v>
      </c>
      <c r="O764" s="9" t="n">
        <v>1</v>
      </c>
      <c r="P764" s="9" t="n"/>
      <c r="Q764" s="9" t="n"/>
      <c r="R764" s="9" t="n"/>
      <c r="S764" s="9" t="inlineStr">
        <is>
          <t>Tray</t>
        </is>
      </c>
      <c r="T764" s="10" t="n">
        <v>183</v>
      </c>
      <c r="U764" s="10" t="n">
        <v>94</v>
      </c>
      <c r="V764" s="10">
        <f>ROUNDUP((T764+U764+2*'Read Me'!$B$13)*(1+'Read Me'!$B$12),-1)</f>
        <v/>
      </c>
      <c r="W764" s="10">
        <f>V764*N764*O764</f>
        <v/>
      </c>
      <c r="X764" s="9">
        <f>IF(LEFT(I764,2)="MV",2*N764*IF(L764="1/C",O764,1),0)</f>
        <v/>
      </c>
      <c r="Y764" s="9">
        <f>IF(OR(LEFT(K764,4)="LVAX",LEFT(K764,6)="MV15AX",LEFT(K764,4)="CTAX",LEFT(K764,2)="W|"),2*N764*O764,0)</f>
        <v/>
      </c>
      <c r="Z764" s="9" t="inlineStr"/>
    </row>
    <row r="765">
      <c r="A765" s="9" t="inlineStr">
        <is>
          <t>A-I-0302</t>
        </is>
      </c>
      <c r="B765" s="9" t="inlineStr">
        <is>
          <t>A</t>
        </is>
      </c>
      <c r="C765" s="9" t="inlineStr">
        <is>
          <t>Power block</t>
        </is>
      </c>
      <c r="D765" s="9" t="inlineStr">
        <is>
          <t>Instrumentation</t>
        </is>
      </c>
      <c r="E765" s="9" t="inlineStr">
        <is>
          <t>R2A</t>
        </is>
      </c>
      <c r="F765" s="9" t="inlineStr">
        <is>
          <t>R2A: unit / HRSG electrical e-house (32 x 40 ft)</t>
        </is>
      </c>
      <c r="G765" s="9" t="inlineStr">
        <is>
          <t>WASH-GT1</t>
        </is>
      </c>
      <c r="H765" s="9" t="inlineStr">
        <is>
          <t>WASH-GT1: compressor water-wash skid</t>
        </is>
      </c>
      <c r="I765" s="9" t="inlineStr">
        <is>
          <t>Instrumentation</t>
        </is>
      </c>
      <c r="J765" s="9" t="inlineStr">
        <is>
          <t>Instrumentation ITC / PLTC, IS, #18 shielded pairs, blue jacket</t>
        </is>
      </c>
      <c r="K765" s="9" t="inlineStr">
        <is>
          <t>ITC|12 pr|18</t>
        </is>
      </c>
      <c r="L765" s="9" t="inlineStr">
        <is>
          <t>12 pr</t>
        </is>
      </c>
      <c r="M765" s="9" t="inlineStr">
        <is>
          <t>18</t>
        </is>
      </c>
      <c r="N765" s="9" t="n">
        <v>1</v>
      </c>
      <c r="O765" s="9" t="n">
        <v>1</v>
      </c>
      <c r="P765" s="9" t="n"/>
      <c r="Q765" s="9" t="n"/>
      <c r="R765" s="9" t="n"/>
      <c r="S765" s="9" t="inlineStr">
        <is>
          <t>Tray</t>
        </is>
      </c>
      <c r="T765" s="10" t="n">
        <v>183</v>
      </c>
      <c r="U765" s="10" t="n">
        <v>94</v>
      </c>
      <c r="V765" s="10">
        <f>ROUNDUP((T765+U765+2*'Read Me'!$B$13)*(1+'Read Me'!$B$12),-1)</f>
        <v/>
      </c>
      <c r="W765" s="10">
        <f>V765*N765*O765</f>
        <v/>
      </c>
      <c r="X765" s="9">
        <f>IF(LEFT(I765,2)="MV",2*N765*IF(L765="1/C",O765,1),0)</f>
        <v/>
      </c>
      <c r="Y765" s="9">
        <f>IF(OR(LEFT(K765,4)="LVAX",LEFT(K765,6)="MV15AX",LEFT(K765,4)="CTAX",LEFT(K765,2)="W|"),2*N765*O765,0)</f>
        <v/>
      </c>
      <c r="Z765" s="9" t="inlineStr"/>
    </row>
    <row r="766">
      <c r="A766" s="9" t="inlineStr">
        <is>
          <t>A-I-0303</t>
        </is>
      </c>
      <c r="B766" s="9" t="inlineStr">
        <is>
          <t>A</t>
        </is>
      </c>
      <c r="C766" s="9" t="inlineStr">
        <is>
          <t>Power block</t>
        </is>
      </c>
      <c r="D766" s="9" t="inlineStr">
        <is>
          <t>Instrumentation</t>
        </is>
      </c>
      <c r="E766" s="9" t="inlineStr">
        <is>
          <t>R2A</t>
        </is>
      </c>
      <c r="F766" s="9" t="inlineStr">
        <is>
          <t>R2A: unit / HRSG electrical e-house (32 x 40 ft)</t>
        </is>
      </c>
      <c r="G766" s="9" t="inlineStr">
        <is>
          <t>WASH-GT1</t>
        </is>
      </c>
      <c r="H766" s="9" t="inlineStr">
        <is>
          <t>WASH-GT1: compressor water-wash skid</t>
        </is>
      </c>
      <c r="I766" s="9" t="inlineStr">
        <is>
          <t>Instrumentation</t>
        </is>
      </c>
      <c r="J766" s="9" t="inlineStr">
        <is>
          <t>Instrumentation ITC / PLTC, IS, #18 shielded pairs, blue jacket</t>
        </is>
      </c>
      <c r="K766" s="9" t="inlineStr">
        <is>
          <t>ITC|12 pr|18</t>
        </is>
      </c>
      <c r="L766" s="9" t="inlineStr">
        <is>
          <t>12 pr</t>
        </is>
      </c>
      <c r="M766" s="9" t="inlineStr">
        <is>
          <t>18</t>
        </is>
      </c>
      <c r="N766" s="9" t="n">
        <v>1</v>
      </c>
      <c r="O766" s="9" t="n">
        <v>1</v>
      </c>
      <c r="P766" s="9" t="n"/>
      <c r="Q766" s="9" t="n"/>
      <c r="R766" s="9" t="n"/>
      <c r="S766" s="9" t="inlineStr">
        <is>
          <t>Tray</t>
        </is>
      </c>
      <c r="T766" s="10" t="n">
        <v>183</v>
      </c>
      <c r="U766" s="10" t="n">
        <v>94</v>
      </c>
      <c r="V766" s="10">
        <f>ROUNDUP((T766+U766+2*'Read Me'!$B$13)*(1+'Read Me'!$B$12),-1)</f>
        <v/>
      </c>
      <c r="W766" s="10">
        <f>V766*N766*O766</f>
        <v/>
      </c>
      <c r="X766" s="9">
        <f>IF(LEFT(I766,2)="MV",2*N766*IF(L766="1/C",O766,1),0)</f>
        <v/>
      </c>
      <c r="Y766" s="9">
        <f>IF(OR(LEFT(K766,4)="LVAX",LEFT(K766,6)="MV15AX",LEFT(K766,4)="CTAX",LEFT(K766,2)="W|"),2*N766*O766,0)</f>
        <v/>
      </c>
      <c r="Z766" s="9" t="inlineStr"/>
    </row>
    <row r="767">
      <c r="A767" s="9" t="inlineStr">
        <is>
          <t>A-I-0304</t>
        </is>
      </c>
      <c r="B767" s="9" t="inlineStr">
        <is>
          <t>A</t>
        </is>
      </c>
      <c r="C767" s="9" t="inlineStr">
        <is>
          <t>Power block</t>
        </is>
      </c>
      <c r="D767" s="9" t="inlineStr">
        <is>
          <t>Instrumentation</t>
        </is>
      </c>
      <c r="E767" s="9" t="inlineStr">
        <is>
          <t>R2A</t>
        </is>
      </c>
      <c r="F767" s="9" t="inlineStr">
        <is>
          <t>R2A: unit / HRSG electrical e-house (32 x 40 ft)</t>
        </is>
      </c>
      <c r="G767" s="9" t="inlineStr">
        <is>
          <t>WASH-GT1</t>
        </is>
      </c>
      <c r="H767" s="9" t="inlineStr">
        <is>
          <t>WASH-GT1: compressor water-wash skid</t>
        </is>
      </c>
      <c r="I767" s="9" t="inlineStr">
        <is>
          <t>Instrumentation</t>
        </is>
      </c>
      <c r="J767" s="9" t="inlineStr">
        <is>
          <t>Instrumentation ITC / PLTC, IS, #18 shielded pairs, blue jacket</t>
        </is>
      </c>
      <c r="K767" s="9" t="inlineStr">
        <is>
          <t>ITC|12 pr|18</t>
        </is>
      </c>
      <c r="L767" s="9" t="inlineStr">
        <is>
          <t>12 pr</t>
        </is>
      </c>
      <c r="M767" s="9" t="inlineStr">
        <is>
          <t>18</t>
        </is>
      </c>
      <c r="N767" s="9" t="n">
        <v>1</v>
      </c>
      <c r="O767" s="9" t="n">
        <v>1</v>
      </c>
      <c r="P767" s="9" t="n"/>
      <c r="Q767" s="9" t="n"/>
      <c r="R767" s="9" t="n"/>
      <c r="S767" s="9" t="inlineStr">
        <is>
          <t>Tray</t>
        </is>
      </c>
      <c r="T767" s="10" t="n">
        <v>183</v>
      </c>
      <c r="U767" s="10" t="n">
        <v>94</v>
      </c>
      <c r="V767" s="10">
        <f>ROUNDUP((T767+U767+2*'Read Me'!$B$13)*(1+'Read Me'!$B$12),-1)</f>
        <v/>
      </c>
      <c r="W767" s="10">
        <f>V767*N767*O767</f>
        <v/>
      </c>
      <c r="X767" s="9">
        <f>IF(LEFT(I767,2)="MV",2*N767*IF(L767="1/C",O767,1),0)</f>
        <v/>
      </c>
      <c r="Y767" s="9">
        <f>IF(OR(LEFT(K767,4)="LVAX",LEFT(K767,6)="MV15AX",LEFT(K767,4)="CTAX",LEFT(K767,2)="W|"),2*N767*O767,0)</f>
        <v/>
      </c>
      <c r="Z767" s="9" t="inlineStr"/>
    </row>
    <row r="768">
      <c r="A768" s="9" t="inlineStr">
        <is>
          <t>A-I-0305</t>
        </is>
      </c>
      <c r="B768" s="9" t="inlineStr">
        <is>
          <t>A</t>
        </is>
      </c>
      <c r="C768" s="9" t="inlineStr">
        <is>
          <t>Power block</t>
        </is>
      </c>
      <c r="D768" s="9" t="inlineStr">
        <is>
          <t>Instrumentation</t>
        </is>
      </c>
      <c r="E768" s="9" t="inlineStr">
        <is>
          <t>R2A</t>
        </is>
      </c>
      <c r="F768" s="9" t="inlineStr">
        <is>
          <t>R2A: unit / HRSG electrical e-house (32 x 40 ft)</t>
        </is>
      </c>
      <c r="G768" s="9" t="inlineStr">
        <is>
          <t>WASH-GT1</t>
        </is>
      </c>
      <c r="H768" s="9" t="inlineStr">
        <is>
          <t>WASH-GT1: compressor water-wash skid</t>
        </is>
      </c>
      <c r="I768" s="9" t="inlineStr">
        <is>
          <t>Instrumentation</t>
        </is>
      </c>
      <c r="J768" s="9" t="inlineStr">
        <is>
          <t>Instrumentation ITC / PLTC, IS, #18 shielded pairs, blue jacket</t>
        </is>
      </c>
      <c r="K768" s="9" t="inlineStr">
        <is>
          <t>ITC|12 pr|18</t>
        </is>
      </c>
      <c r="L768" s="9" t="inlineStr">
        <is>
          <t>12 pr</t>
        </is>
      </c>
      <c r="M768" s="9" t="inlineStr">
        <is>
          <t>18</t>
        </is>
      </c>
      <c r="N768" s="9" t="n">
        <v>1</v>
      </c>
      <c r="O768" s="9" t="n">
        <v>1</v>
      </c>
      <c r="P768" s="9" t="n"/>
      <c r="Q768" s="9" t="n"/>
      <c r="R768" s="9" t="n"/>
      <c r="S768" s="9" t="inlineStr">
        <is>
          <t>Tray</t>
        </is>
      </c>
      <c r="T768" s="10" t="n">
        <v>183</v>
      </c>
      <c r="U768" s="10" t="n">
        <v>94</v>
      </c>
      <c r="V768" s="10">
        <f>ROUNDUP((T768+U768+2*'Read Me'!$B$13)*(1+'Read Me'!$B$12),-1)</f>
        <v/>
      </c>
      <c r="W768" s="10">
        <f>V768*N768*O768</f>
        <v/>
      </c>
      <c r="X768" s="9">
        <f>IF(LEFT(I768,2)="MV",2*N768*IF(L768="1/C",O768,1),0)</f>
        <v/>
      </c>
      <c r="Y768" s="9">
        <f>IF(OR(LEFT(K768,4)="LVAX",LEFT(K768,6)="MV15AX",LEFT(K768,4)="CTAX",LEFT(K768,2)="W|"),2*N768*O768,0)</f>
        <v/>
      </c>
      <c r="Z768" s="9" t="inlineStr"/>
    </row>
    <row r="769">
      <c r="A769" s="9" t="inlineStr">
        <is>
          <t>A-I-0306</t>
        </is>
      </c>
      <c r="B769" s="9" t="inlineStr">
        <is>
          <t>A</t>
        </is>
      </c>
      <c r="C769" s="9" t="inlineStr">
        <is>
          <t>Power block</t>
        </is>
      </c>
      <c r="D769" s="9" t="inlineStr">
        <is>
          <t>Instrumentation</t>
        </is>
      </c>
      <c r="E769" s="9" t="inlineStr">
        <is>
          <t>R2A</t>
        </is>
      </c>
      <c r="F769" s="9" t="inlineStr">
        <is>
          <t>R2A: unit / HRSG electrical e-house (32 x 40 ft)</t>
        </is>
      </c>
      <c r="G769" s="9" t="inlineStr">
        <is>
          <t>WASH-GT1</t>
        </is>
      </c>
      <c r="H769" s="9" t="inlineStr">
        <is>
          <t>WASH-GT1: compressor water-wash skid</t>
        </is>
      </c>
      <c r="I769" s="9" t="inlineStr">
        <is>
          <t>Instrumentation</t>
        </is>
      </c>
      <c r="J769" s="9" t="inlineStr">
        <is>
          <t>Instrumentation ITC / PLTC, IS, #18 shielded pairs, blue jacket</t>
        </is>
      </c>
      <c r="K769" s="9" t="inlineStr">
        <is>
          <t>ITC|12 pr|18</t>
        </is>
      </c>
      <c r="L769" s="9" t="inlineStr">
        <is>
          <t>12 pr</t>
        </is>
      </c>
      <c r="M769" s="9" t="inlineStr">
        <is>
          <t>18</t>
        </is>
      </c>
      <c r="N769" s="9" t="n">
        <v>1</v>
      </c>
      <c r="O769" s="9" t="n">
        <v>1</v>
      </c>
      <c r="P769" s="9" t="n"/>
      <c r="Q769" s="9" t="n"/>
      <c r="R769" s="9" t="n"/>
      <c r="S769" s="9" t="inlineStr">
        <is>
          <t>Tray</t>
        </is>
      </c>
      <c r="T769" s="10" t="n">
        <v>183</v>
      </c>
      <c r="U769" s="10" t="n">
        <v>94</v>
      </c>
      <c r="V769" s="10">
        <f>ROUNDUP((T769+U769+2*'Read Me'!$B$13)*(1+'Read Me'!$B$12),-1)</f>
        <v/>
      </c>
      <c r="W769" s="10">
        <f>V769*N769*O769</f>
        <v/>
      </c>
      <c r="X769" s="9">
        <f>IF(LEFT(I769,2)="MV",2*N769*IF(L769="1/C",O769,1),0)</f>
        <v/>
      </c>
      <c r="Y769" s="9">
        <f>IF(OR(LEFT(K769,4)="LVAX",LEFT(K769,6)="MV15AX",LEFT(K769,4)="CTAX",LEFT(K769,2)="W|"),2*N769*O769,0)</f>
        <v/>
      </c>
      <c r="Z769" s="9" t="inlineStr"/>
    </row>
    <row r="770">
      <c r="A770" s="9" t="inlineStr">
        <is>
          <t>A-I-0307</t>
        </is>
      </c>
      <c r="B770" s="9" t="inlineStr">
        <is>
          <t>A</t>
        </is>
      </c>
      <c r="C770" s="9" t="inlineStr">
        <is>
          <t>Power block</t>
        </is>
      </c>
      <c r="D770" s="9" t="inlineStr">
        <is>
          <t>Instrumentation</t>
        </is>
      </c>
      <c r="E770" s="9" t="inlineStr">
        <is>
          <t>R2A</t>
        </is>
      </c>
      <c r="F770" s="9" t="inlineStr">
        <is>
          <t>R2A: unit / HRSG electrical e-house (32 x 40 ft)</t>
        </is>
      </c>
      <c r="G770" s="9" t="inlineStr">
        <is>
          <t>WASH-GT1</t>
        </is>
      </c>
      <c r="H770" s="9" t="inlineStr">
        <is>
          <t>WASH-GT1: compressor water-wash skid</t>
        </is>
      </c>
      <c r="I770" s="9" t="inlineStr">
        <is>
          <t>Instrumentation</t>
        </is>
      </c>
      <c r="J770" s="9" t="inlineStr">
        <is>
          <t>Instrumentation ITC / PLTC, IS, #18 shielded pairs, blue jacket</t>
        </is>
      </c>
      <c r="K770" s="9" t="inlineStr">
        <is>
          <t>ITC|12 pr|18</t>
        </is>
      </c>
      <c r="L770" s="9" t="inlineStr">
        <is>
          <t>12 pr</t>
        </is>
      </c>
      <c r="M770" s="9" t="inlineStr">
        <is>
          <t>18</t>
        </is>
      </c>
      <c r="N770" s="9" t="n">
        <v>1</v>
      </c>
      <c r="O770" s="9" t="n">
        <v>1</v>
      </c>
      <c r="P770" s="9" t="n"/>
      <c r="Q770" s="9" t="n"/>
      <c r="R770" s="9" t="n"/>
      <c r="S770" s="9" t="inlineStr">
        <is>
          <t>Tray</t>
        </is>
      </c>
      <c r="T770" s="10" t="n">
        <v>183</v>
      </c>
      <c r="U770" s="10" t="n">
        <v>94</v>
      </c>
      <c r="V770" s="10">
        <f>ROUNDUP((T770+U770+2*'Read Me'!$B$13)*(1+'Read Me'!$B$12),-1)</f>
        <v/>
      </c>
      <c r="W770" s="10">
        <f>V770*N770*O770</f>
        <v/>
      </c>
      <c r="X770" s="9">
        <f>IF(LEFT(I770,2)="MV",2*N770*IF(L770="1/C",O770,1),0)</f>
        <v/>
      </c>
      <c r="Y770" s="9">
        <f>IF(OR(LEFT(K770,4)="LVAX",LEFT(K770,6)="MV15AX",LEFT(K770,4)="CTAX",LEFT(K770,2)="W|"),2*N770*O770,0)</f>
        <v/>
      </c>
      <c r="Z770" s="9" t="inlineStr"/>
    </row>
    <row r="771">
      <c r="A771" s="9" t="inlineStr">
        <is>
          <t>A-I-0308</t>
        </is>
      </c>
      <c r="B771" s="9" t="inlineStr">
        <is>
          <t>A</t>
        </is>
      </c>
      <c r="C771" s="9" t="inlineStr">
        <is>
          <t>Power block</t>
        </is>
      </c>
      <c r="D771" s="9" t="inlineStr">
        <is>
          <t>Instrumentation</t>
        </is>
      </c>
      <c r="E771" s="9" t="inlineStr">
        <is>
          <t>R2B</t>
        </is>
      </c>
      <c r="F771" s="9" t="inlineStr">
        <is>
          <t>R2B: unit / HRSG electrical e-house (32 x 40 ft)</t>
        </is>
      </c>
      <c r="G771" s="9" t="inlineStr">
        <is>
          <t>WASH-GT2</t>
        </is>
      </c>
      <c r="H771" s="9" t="inlineStr">
        <is>
          <t>WASH-GT2: compressor water-wash skid</t>
        </is>
      </c>
      <c r="I771" s="9" t="inlineStr">
        <is>
          <t>Instrumentation</t>
        </is>
      </c>
      <c r="J771" s="9" t="inlineStr">
        <is>
          <t>Instrumentation ITC / PLTC, IS, #18 shielded pairs, blue jacket</t>
        </is>
      </c>
      <c r="K771" s="9" t="inlineStr">
        <is>
          <t>ITC|4 pr|18</t>
        </is>
      </c>
      <c r="L771" s="9" t="inlineStr">
        <is>
          <t>4 pr</t>
        </is>
      </c>
      <c r="M771" s="9" t="inlineStr">
        <is>
          <t>18</t>
        </is>
      </c>
      <c r="N771" s="9" t="n">
        <v>1</v>
      </c>
      <c r="O771" s="9" t="n">
        <v>1</v>
      </c>
      <c r="P771" s="9" t="n"/>
      <c r="Q771" s="9" t="n"/>
      <c r="R771" s="9" t="n"/>
      <c r="S771" s="9" t="inlineStr">
        <is>
          <t>Tray</t>
        </is>
      </c>
      <c r="T771" s="10" t="n">
        <v>922</v>
      </c>
      <c r="U771" s="10" t="n">
        <v>96</v>
      </c>
      <c r="V771" s="10">
        <f>ROUNDUP((T771+U771+2*'Read Me'!$B$13)*(1+'Read Me'!$B$12),-1)</f>
        <v/>
      </c>
      <c r="W771" s="10">
        <f>V771*N771*O771</f>
        <v/>
      </c>
      <c r="X771" s="9">
        <f>IF(LEFT(I771,2)="MV",2*N771*IF(L771="1/C",O771,1),0)</f>
        <v/>
      </c>
      <c r="Y771" s="9">
        <f>IF(OR(LEFT(K771,4)="LVAX",LEFT(K771,6)="MV15AX",LEFT(K771,4)="CTAX",LEFT(K771,2)="W|"),2*N771*O771,0)</f>
        <v/>
      </c>
      <c r="Z771" s="9" t="inlineStr"/>
    </row>
    <row r="772">
      <c r="A772" s="9" t="inlineStr">
        <is>
          <t>A-I-0309</t>
        </is>
      </c>
      <c r="B772" s="9" t="inlineStr">
        <is>
          <t>A</t>
        </is>
      </c>
      <c r="C772" s="9" t="inlineStr">
        <is>
          <t>Power block</t>
        </is>
      </c>
      <c r="D772" s="9" t="inlineStr">
        <is>
          <t>Instrumentation</t>
        </is>
      </c>
      <c r="E772" s="9" t="inlineStr">
        <is>
          <t>R2B</t>
        </is>
      </c>
      <c r="F772" s="9" t="inlineStr">
        <is>
          <t>R2B: unit / HRSG electrical e-house (32 x 40 ft)</t>
        </is>
      </c>
      <c r="G772" s="9" t="inlineStr">
        <is>
          <t>WASH-GT2</t>
        </is>
      </c>
      <c r="H772" s="9" t="inlineStr">
        <is>
          <t>WASH-GT2: compressor water-wash skid</t>
        </is>
      </c>
      <c r="I772" s="9" t="inlineStr">
        <is>
          <t>Instrumentation</t>
        </is>
      </c>
      <c r="J772" s="9" t="inlineStr">
        <is>
          <t>Instrumentation ITC / PLTC, IS, #18 shielded pairs, blue jacket</t>
        </is>
      </c>
      <c r="K772" s="9" t="inlineStr">
        <is>
          <t>ITC|4 pr|18</t>
        </is>
      </c>
      <c r="L772" s="9" t="inlineStr">
        <is>
          <t>4 pr</t>
        </is>
      </c>
      <c r="M772" s="9" t="inlineStr">
        <is>
          <t>18</t>
        </is>
      </c>
      <c r="N772" s="9" t="n">
        <v>1</v>
      </c>
      <c r="O772" s="9" t="n">
        <v>1</v>
      </c>
      <c r="P772" s="9" t="n"/>
      <c r="Q772" s="9" t="n"/>
      <c r="R772" s="9" t="n"/>
      <c r="S772" s="9" t="inlineStr">
        <is>
          <t>Tray</t>
        </is>
      </c>
      <c r="T772" s="10" t="n">
        <v>922</v>
      </c>
      <c r="U772" s="10" t="n">
        <v>96</v>
      </c>
      <c r="V772" s="10">
        <f>ROUNDUP((T772+U772+2*'Read Me'!$B$13)*(1+'Read Me'!$B$12),-1)</f>
        <v/>
      </c>
      <c r="W772" s="10">
        <f>V772*N772*O772</f>
        <v/>
      </c>
      <c r="X772" s="9">
        <f>IF(LEFT(I772,2)="MV",2*N772*IF(L772="1/C",O772,1),0)</f>
        <v/>
      </c>
      <c r="Y772" s="9">
        <f>IF(OR(LEFT(K772,4)="LVAX",LEFT(K772,6)="MV15AX",LEFT(K772,4)="CTAX",LEFT(K772,2)="W|"),2*N772*O772,0)</f>
        <v/>
      </c>
      <c r="Z772" s="9" t="inlineStr"/>
    </row>
    <row r="773">
      <c r="A773" s="9" t="inlineStr">
        <is>
          <t>A-I-0310</t>
        </is>
      </c>
      <c r="B773" s="9" t="inlineStr">
        <is>
          <t>A</t>
        </is>
      </c>
      <c r="C773" s="9" t="inlineStr">
        <is>
          <t>Power block</t>
        </is>
      </c>
      <c r="D773" s="9" t="inlineStr">
        <is>
          <t>Instrumentation</t>
        </is>
      </c>
      <c r="E773" s="9" t="inlineStr">
        <is>
          <t>R2B</t>
        </is>
      </c>
      <c r="F773" s="9" t="inlineStr">
        <is>
          <t>R2B: unit / HRSG electrical e-house (32 x 40 ft)</t>
        </is>
      </c>
      <c r="G773" s="9" t="inlineStr">
        <is>
          <t>WASH-GT2</t>
        </is>
      </c>
      <c r="H773" s="9" t="inlineStr">
        <is>
          <t>WASH-GT2: compressor water-wash skid</t>
        </is>
      </c>
      <c r="I773" s="9" t="inlineStr">
        <is>
          <t>Instrumentation</t>
        </is>
      </c>
      <c r="J773" s="9" t="inlineStr">
        <is>
          <t>Instrumentation ITC / PLTC, IS, #18 shielded pairs, blue jacket</t>
        </is>
      </c>
      <c r="K773" s="9" t="inlineStr">
        <is>
          <t>ITC|12 pr|18</t>
        </is>
      </c>
      <c r="L773" s="9" t="inlineStr">
        <is>
          <t>12 pr</t>
        </is>
      </c>
      <c r="M773" s="9" t="inlineStr">
        <is>
          <t>18</t>
        </is>
      </c>
      <c r="N773" s="9" t="n">
        <v>1</v>
      </c>
      <c r="O773" s="9" t="n">
        <v>1</v>
      </c>
      <c r="P773" s="9" t="n"/>
      <c r="Q773" s="9" t="n"/>
      <c r="R773" s="9" t="n"/>
      <c r="S773" s="9" t="inlineStr">
        <is>
          <t>Tray</t>
        </is>
      </c>
      <c r="T773" s="10" t="n">
        <v>922</v>
      </c>
      <c r="U773" s="10" t="n">
        <v>96</v>
      </c>
      <c r="V773" s="10">
        <f>ROUNDUP((T773+U773+2*'Read Me'!$B$13)*(1+'Read Me'!$B$12),-1)</f>
        <v/>
      </c>
      <c r="W773" s="10">
        <f>V773*N773*O773</f>
        <v/>
      </c>
      <c r="X773" s="9">
        <f>IF(LEFT(I773,2)="MV",2*N773*IF(L773="1/C",O773,1),0)</f>
        <v/>
      </c>
      <c r="Y773" s="9">
        <f>IF(OR(LEFT(K773,4)="LVAX",LEFT(K773,6)="MV15AX",LEFT(K773,4)="CTAX",LEFT(K773,2)="W|"),2*N773*O773,0)</f>
        <v/>
      </c>
      <c r="Z773" s="9" t="inlineStr"/>
    </row>
    <row r="774">
      <c r="A774" s="9" t="inlineStr">
        <is>
          <t>A-I-0311</t>
        </is>
      </c>
      <c r="B774" s="9" t="inlineStr">
        <is>
          <t>A</t>
        </is>
      </c>
      <c r="C774" s="9" t="inlineStr">
        <is>
          <t>Power block</t>
        </is>
      </c>
      <c r="D774" s="9" t="inlineStr">
        <is>
          <t>Instrumentation</t>
        </is>
      </c>
      <c r="E774" s="9" t="inlineStr">
        <is>
          <t>R2B</t>
        </is>
      </c>
      <c r="F774" s="9" t="inlineStr">
        <is>
          <t>R2B: unit / HRSG electrical e-house (32 x 40 ft)</t>
        </is>
      </c>
      <c r="G774" s="9" t="inlineStr">
        <is>
          <t>WASH-GT2</t>
        </is>
      </c>
      <c r="H774" s="9" t="inlineStr">
        <is>
          <t>WASH-GT2: compressor water-wash skid</t>
        </is>
      </c>
      <c r="I774" s="9" t="inlineStr">
        <is>
          <t>Instrumentation</t>
        </is>
      </c>
      <c r="J774" s="9" t="inlineStr">
        <is>
          <t>Instrumentation ITC / PLTC, IS, #18 shielded pairs, blue jacket</t>
        </is>
      </c>
      <c r="K774" s="9" t="inlineStr">
        <is>
          <t>ITC|12 pr|18</t>
        </is>
      </c>
      <c r="L774" s="9" t="inlineStr">
        <is>
          <t>12 pr</t>
        </is>
      </c>
      <c r="M774" s="9" t="inlineStr">
        <is>
          <t>18</t>
        </is>
      </c>
      <c r="N774" s="9" t="n">
        <v>1</v>
      </c>
      <c r="O774" s="9" t="n">
        <v>1</v>
      </c>
      <c r="P774" s="9" t="n"/>
      <c r="Q774" s="9" t="n"/>
      <c r="R774" s="9" t="n"/>
      <c r="S774" s="9" t="inlineStr">
        <is>
          <t>Tray</t>
        </is>
      </c>
      <c r="T774" s="10" t="n">
        <v>922</v>
      </c>
      <c r="U774" s="10" t="n">
        <v>96</v>
      </c>
      <c r="V774" s="10">
        <f>ROUNDUP((T774+U774+2*'Read Me'!$B$13)*(1+'Read Me'!$B$12),-1)</f>
        <v/>
      </c>
      <c r="W774" s="10">
        <f>V774*N774*O774</f>
        <v/>
      </c>
      <c r="X774" s="9">
        <f>IF(LEFT(I774,2)="MV",2*N774*IF(L774="1/C",O774,1),0)</f>
        <v/>
      </c>
      <c r="Y774" s="9">
        <f>IF(OR(LEFT(K774,4)="LVAX",LEFT(K774,6)="MV15AX",LEFT(K774,4)="CTAX",LEFT(K774,2)="W|"),2*N774*O774,0)</f>
        <v/>
      </c>
      <c r="Z774" s="9" t="inlineStr"/>
    </row>
    <row r="775">
      <c r="A775" s="9" t="inlineStr">
        <is>
          <t>A-I-0312</t>
        </is>
      </c>
      <c r="B775" s="9" t="inlineStr">
        <is>
          <t>A</t>
        </is>
      </c>
      <c r="C775" s="9" t="inlineStr">
        <is>
          <t>Power block</t>
        </is>
      </c>
      <c r="D775" s="9" t="inlineStr">
        <is>
          <t>Instrumentation</t>
        </is>
      </c>
      <c r="E775" s="9" t="inlineStr">
        <is>
          <t>R2B</t>
        </is>
      </c>
      <c r="F775" s="9" t="inlineStr">
        <is>
          <t>R2B: unit / HRSG electrical e-house (32 x 40 ft)</t>
        </is>
      </c>
      <c r="G775" s="9" t="inlineStr">
        <is>
          <t>WASH-GT2</t>
        </is>
      </c>
      <c r="H775" s="9" t="inlineStr">
        <is>
          <t>WASH-GT2: compressor water-wash skid</t>
        </is>
      </c>
      <c r="I775" s="9" t="inlineStr">
        <is>
          <t>Instrumentation</t>
        </is>
      </c>
      <c r="J775" s="9" t="inlineStr">
        <is>
          <t>Instrumentation ITC / PLTC, IS, #18 shielded pairs, blue jacket</t>
        </is>
      </c>
      <c r="K775" s="9" t="inlineStr">
        <is>
          <t>ITC|12 pr|18</t>
        </is>
      </c>
      <c r="L775" s="9" t="inlineStr">
        <is>
          <t>12 pr</t>
        </is>
      </c>
      <c r="M775" s="9" t="inlineStr">
        <is>
          <t>18</t>
        </is>
      </c>
      <c r="N775" s="9" t="n">
        <v>1</v>
      </c>
      <c r="O775" s="9" t="n">
        <v>1</v>
      </c>
      <c r="P775" s="9" t="n"/>
      <c r="Q775" s="9" t="n"/>
      <c r="R775" s="9" t="n"/>
      <c r="S775" s="9" t="inlineStr">
        <is>
          <t>Tray</t>
        </is>
      </c>
      <c r="T775" s="10" t="n">
        <v>922</v>
      </c>
      <c r="U775" s="10" t="n">
        <v>96</v>
      </c>
      <c r="V775" s="10">
        <f>ROUNDUP((T775+U775+2*'Read Me'!$B$13)*(1+'Read Me'!$B$12),-1)</f>
        <v/>
      </c>
      <c r="W775" s="10">
        <f>V775*N775*O775</f>
        <v/>
      </c>
      <c r="X775" s="9">
        <f>IF(LEFT(I775,2)="MV",2*N775*IF(L775="1/C",O775,1),0)</f>
        <v/>
      </c>
      <c r="Y775" s="9">
        <f>IF(OR(LEFT(K775,4)="LVAX",LEFT(K775,6)="MV15AX",LEFT(K775,4)="CTAX",LEFT(K775,2)="W|"),2*N775*O775,0)</f>
        <v/>
      </c>
      <c r="Z775" s="9" t="inlineStr"/>
    </row>
    <row r="776">
      <c r="A776" s="9" t="inlineStr">
        <is>
          <t>A-I-0313</t>
        </is>
      </c>
      <c r="B776" s="9" t="inlineStr">
        <is>
          <t>A</t>
        </is>
      </c>
      <c r="C776" s="9" t="inlineStr">
        <is>
          <t>Power block</t>
        </is>
      </c>
      <c r="D776" s="9" t="inlineStr">
        <is>
          <t>Instrumentation</t>
        </is>
      </c>
      <c r="E776" s="9" t="inlineStr">
        <is>
          <t>R2B</t>
        </is>
      </c>
      <c r="F776" s="9" t="inlineStr">
        <is>
          <t>R2B: unit / HRSG electrical e-house (32 x 40 ft)</t>
        </is>
      </c>
      <c r="G776" s="9" t="inlineStr">
        <is>
          <t>WASH-GT2</t>
        </is>
      </c>
      <c r="H776" s="9" t="inlineStr">
        <is>
          <t>WASH-GT2: compressor water-wash skid</t>
        </is>
      </c>
      <c r="I776" s="9" t="inlineStr">
        <is>
          <t>Instrumentation</t>
        </is>
      </c>
      <c r="J776" s="9" t="inlineStr">
        <is>
          <t>Instrumentation ITC / PLTC, IS, #18 shielded pairs, blue jacket</t>
        </is>
      </c>
      <c r="K776" s="9" t="inlineStr">
        <is>
          <t>ITC|12 pr|18</t>
        </is>
      </c>
      <c r="L776" s="9" t="inlineStr">
        <is>
          <t>12 pr</t>
        </is>
      </c>
      <c r="M776" s="9" t="inlineStr">
        <is>
          <t>18</t>
        </is>
      </c>
      <c r="N776" s="9" t="n">
        <v>1</v>
      </c>
      <c r="O776" s="9" t="n">
        <v>1</v>
      </c>
      <c r="P776" s="9" t="n"/>
      <c r="Q776" s="9" t="n"/>
      <c r="R776" s="9" t="n"/>
      <c r="S776" s="9" t="inlineStr">
        <is>
          <t>Tray</t>
        </is>
      </c>
      <c r="T776" s="10" t="n">
        <v>922</v>
      </c>
      <c r="U776" s="10" t="n">
        <v>96</v>
      </c>
      <c r="V776" s="10">
        <f>ROUNDUP((T776+U776+2*'Read Me'!$B$13)*(1+'Read Me'!$B$12),-1)</f>
        <v/>
      </c>
      <c r="W776" s="10">
        <f>V776*N776*O776</f>
        <v/>
      </c>
      <c r="X776" s="9">
        <f>IF(LEFT(I776,2)="MV",2*N776*IF(L776="1/C",O776,1),0)</f>
        <v/>
      </c>
      <c r="Y776" s="9">
        <f>IF(OR(LEFT(K776,4)="LVAX",LEFT(K776,6)="MV15AX",LEFT(K776,4)="CTAX",LEFT(K776,2)="W|"),2*N776*O776,0)</f>
        <v/>
      </c>
      <c r="Z776" s="9" t="inlineStr"/>
    </row>
    <row r="777">
      <c r="A777" s="9" t="inlineStr">
        <is>
          <t>A-I-0314</t>
        </is>
      </c>
      <c r="B777" s="9" t="inlineStr">
        <is>
          <t>A</t>
        </is>
      </c>
      <c r="C777" s="9" t="inlineStr">
        <is>
          <t>Power block</t>
        </is>
      </c>
      <c r="D777" s="9" t="inlineStr">
        <is>
          <t>Instrumentation</t>
        </is>
      </c>
      <c r="E777" s="9" t="inlineStr">
        <is>
          <t>R2B</t>
        </is>
      </c>
      <c r="F777" s="9" t="inlineStr">
        <is>
          <t>R2B: unit / HRSG electrical e-house (32 x 40 ft)</t>
        </is>
      </c>
      <c r="G777" s="9" t="inlineStr">
        <is>
          <t>WASH-GT2</t>
        </is>
      </c>
      <c r="H777" s="9" t="inlineStr">
        <is>
          <t>WASH-GT2: compressor water-wash skid</t>
        </is>
      </c>
      <c r="I777" s="9" t="inlineStr">
        <is>
          <t>Instrumentation</t>
        </is>
      </c>
      <c r="J777" s="9" t="inlineStr">
        <is>
          <t>Instrumentation ITC / PLTC, IS, #18 shielded pairs, blue jacket</t>
        </is>
      </c>
      <c r="K777" s="9" t="inlineStr">
        <is>
          <t>ITC|12 pr|18</t>
        </is>
      </c>
      <c r="L777" s="9" t="inlineStr">
        <is>
          <t>12 pr</t>
        </is>
      </c>
      <c r="M777" s="9" t="inlineStr">
        <is>
          <t>18</t>
        </is>
      </c>
      <c r="N777" s="9" t="n">
        <v>1</v>
      </c>
      <c r="O777" s="9" t="n">
        <v>1</v>
      </c>
      <c r="P777" s="9" t="n"/>
      <c r="Q777" s="9" t="n"/>
      <c r="R777" s="9" t="n"/>
      <c r="S777" s="9" t="inlineStr">
        <is>
          <t>Tray</t>
        </is>
      </c>
      <c r="T777" s="10" t="n">
        <v>922</v>
      </c>
      <c r="U777" s="10" t="n">
        <v>96</v>
      </c>
      <c r="V777" s="10">
        <f>ROUNDUP((T777+U777+2*'Read Me'!$B$13)*(1+'Read Me'!$B$12),-1)</f>
        <v/>
      </c>
      <c r="W777" s="10">
        <f>V777*N777*O777</f>
        <v/>
      </c>
      <c r="X777" s="9">
        <f>IF(LEFT(I777,2)="MV",2*N777*IF(L777="1/C",O777,1),0)</f>
        <v/>
      </c>
      <c r="Y777" s="9">
        <f>IF(OR(LEFT(K777,4)="LVAX",LEFT(K777,6)="MV15AX",LEFT(K777,4)="CTAX",LEFT(K777,2)="W|"),2*N777*O777,0)</f>
        <v/>
      </c>
      <c r="Z777" s="9" t="inlineStr"/>
    </row>
    <row r="778">
      <c r="A778" s="9" t="inlineStr">
        <is>
          <t>A-I-0315</t>
        </is>
      </c>
      <c r="B778" s="9" t="inlineStr">
        <is>
          <t>A</t>
        </is>
      </c>
      <c r="C778" s="9" t="inlineStr">
        <is>
          <t>Power block</t>
        </is>
      </c>
      <c r="D778" s="9" t="inlineStr">
        <is>
          <t>Instrumentation</t>
        </is>
      </c>
      <c r="E778" s="9" t="inlineStr">
        <is>
          <t>R2B</t>
        </is>
      </c>
      <c r="F778" s="9" t="inlineStr">
        <is>
          <t>R2B: unit / HRSG electrical e-house (32 x 40 ft)</t>
        </is>
      </c>
      <c r="G778" s="9" t="inlineStr">
        <is>
          <t>WASH-GT2</t>
        </is>
      </c>
      <c r="H778" s="9" t="inlineStr">
        <is>
          <t>WASH-GT2: compressor water-wash skid</t>
        </is>
      </c>
      <c r="I778" s="9" t="inlineStr">
        <is>
          <t>Instrumentation</t>
        </is>
      </c>
      <c r="J778" s="9" t="inlineStr">
        <is>
          <t>Instrumentation ITC / PLTC, IS, #18 shielded pairs, blue jacket</t>
        </is>
      </c>
      <c r="K778" s="9" t="inlineStr">
        <is>
          <t>ITC|12 pr|18</t>
        </is>
      </c>
      <c r="L778" s="9" t="inlineStr">
        <is>
          <t>12 pr</t>
        </is>
      </c>
      <c r="M778" s="9" t="inlineStr">
        <is>
          <t>18</t>
        </is>
      </c>
      <c r="N778" s="9" t="n">
        <v>1</v>
      </c>
      <c r="O778" s="9" t="n">
        <v>1</v>
      </c>
      <c r="P778" s="9" t="n"/>
      <c r="Q778" s="9" t="n"/>
      <c r="R778" s="9" t="n"/>
      <c r="S778" s="9" t="inlineStr">
        <is>
          <t>Tray</t>
        </is>
      </c>
      <c r="T778" s="10" t="n">
        <v>922</v>
      </c>
      <c r="U778" s="10" t="n">
        <v>96</v>
      </c>
      <c r="V778" s="10">
        <f>ROUNDUP((T778+U778+2*'Read Me'!$B$13)*(1+'Read Me'!$B$12),-1)</f>
        <v/>
      </c>
      <c r="W778" s="10">
        <f>V778*N778*O778</f>
        <v/>
      </c>
      <c r="X778" s="9">
        <f>IF(LEFT(I778,2)="MV",2*N778*IF(L778="1/C",O778,1),0)</f>
        <v/>
      </c>
      <c r="Y778" s="9">
        <f>IF(OR(LEFT(K778,4)="LVAX",LEFT(K778,6)="MV15AX",LEFT(K778,4)="CTAX",LEFT(K778,2)="W|"),2*N778*O778,0)</f>
        <v/>
      </c>
      <c r="Z778" s="9" t="inlineStr"/>
    </row>
    <row r="779">
      <c r="A779" s="9" t="inlineStr">
        <is>
          <t>A-I-0316</t>
        </is>
      </c>
      <c r="B779" s="9" t="inlineStr">
        <is>
          <t>A</t>
        </is>
      </c>
      <c r="C779" s="9" t="inlineStr">
        <is>
          <t>Power block</t>
        </is>
      </c>
      <c r="D779" s="9" t="inlineStr">
        <is>
          <t>Instrumentation</t>
        </is>
      </c>
      <c r="E779" s="9" t="inlineStr">
        <is>
          <t>R2B</t>
        </is>
      </c>
      <c r="F779" s="9" t="inlineStr">
        <is>
          <t>R2B: unit / HRSG electrical e-house (32 x 40 ft)</t>
        </is>
      </c>
      <c r="G779" s="9" t="inlineStr">
        <is>
          <t>WASH-GT2</t>
        </is>
      </c>
      <c r="H779" s="9" t="inlineStr">
        <is>
          <t>WASH-GT2: compressor water-wash skid</t>
        </is>
      </c>
      <c r="I779" s="9" t="inlineStr">
        <is>
          <t>Instrumentation</t>
        </is>
      </c>
      <c r="J779" s="9" t="inlineStr">
        <is>
          <t>Instrumentation ITC / PLTC, IS, #18 shielded pairs, blue jacket</t>
        </is>
      </c>
      <c r="K779" s="9" t="inlineStr">
        <is>
          <t>ITC|12 pr|18</t>
        </is>
      </c>
      <c r="L779" s="9" t="inlineStr">
        <is>
          <t>12 pr</t>
        </is>
      </c>
      <c r="M779" s="9" t="inlineStr">
        <is>
          <t>18</t>
        </is>
      </c>
      <c r="N779" s="9" t="n">
        <v>1</v>
      </c>
      <c r="O779" s="9" t="n">
        <v>1</v>
      </c>
      <c r="P779" s="9" t="n"/>
      <c r="Q779" s="9" t="n"/>
      <c r="R779" s="9" t="n"/>
      <c r="S779" s="9" t="inlineStr">
        <is>
          <t>Tray</t>
        </is>
      </c>
      <c r="T779" s="10" t="n">
        <v>922</v>
      </c>
      <c r="U779" s="10" t="n">
        <v>96</v>
      </c>
      <c r="V779" s="10">
        <f>ROUNDUP((T779+U779+2*'Read Me'!$B$13)*(1+'Read Me'!$B$12),-1)</f>
        <v/>
      </c>
      <c r="W779" s="10">
        <f>V779*N779*O779</f>
        <v/>
      </c>
      <c r="X779" s="9">
        <f>IF(LEFT(I779,2)="MV",2*N779*IF(L779="1/C",O779,1),0)</f>
        <v/>
      </c>
      <c r="Y779" s="9">
        <f>IF(OR(LEFT(K779,4)="LVAX",LEFT(K779,6)="MV15AX",LEFT(K779,4)="CTAX",LEFT(K779,2)="W|"),2*N779*O779,0)</f>
        <v/>
      </c>
      <c r="Z779" s="9" t="inlineStr"/>
    </row>
    <row r="780">
      <c r="A780" s="9" t="inlineStr">
        <is>
          <t>A-I-0317</t>
        </is>
      </c>
      <c r="B780" s="9" t="inlineStr">
        <is>
          <t>A</t>
        </is>
      </c>
      <c r="C780" s="9" t="inlineStr">
        <is>
          <t>Power block</t>
        </is>
      </c>
      <c r="D780" s="9" t="inlineStr">
        <is>
          <t>Instrumentation</t>
        </is>
      </c>
      <c r="E780" s="9" t="inlineStr">
        <is>
          <t>R2B</t>
        </is>
      </c>
      <c r="F780" s="9" t="inlineStr">
        <is>
          <t>R2B: unit / HRSG electrical e-house (32 x 40 ft)</t>
        </is>
      </c>
      <c r="G780" s="9" t="inlineStr">
        <is>
          <t>WASH-GT2</t>
        </is>
      </c>
      <c r="H780" s="9" t="inlineStr">
        <is>
          <t>WASH-GT2: compressor water-wash skid</t>
        </is>
      </c>
      <c r="I780" s="9" t="inlineStr">
        <is>
          <t>Instrumentation</t>
        </is>
      </c>
      <c r="J780" s="9" t="inlineStr">
        <is>
          <t>Instrumentation ITC / PLTC, IS, #18 shielded pairs, blue jacket</t>
        </is>
      </c>
      <c r="K780" s="9" t="inlineStr">
        <is>
          <t>ITC|12 pr|18</t>
        </is>
      </c>
      <c r="L780" s="9" t="inlineStr">
        <is>
          <t>12 pr</t>
        </is>
      </c>
      <c r="M780" s="9" t="inlineStr">
        <is>
          <t>18</t>
        </is>
      </c>
      <c r="N780" s="9" t="n">
        <v>1</v>
      </c>
      <c r="O780" s="9" t="n">
        <v>1</v>
      </c>
      <c r="P780" s="9" t="n"/>
      <c r="Q780" s="9" t="n"/>
      <c r="R780" s="9" t="n"/>
      <c r="S780" s="9" t="inlineStr">
        <is>
          <t>Tray</t>
        </is>
      </c>
      <c r="T780" s="10" t="n">
        <v>922</v>
      </c>
      <c r="U780" s="10" t="n">
        <v>96</v>
      </c>
      <c r="V780" s="10">
        <f>ROUNDUP((T780+U780+2*'Read Me'!$B$13)*(1+'Read Me'!$B$12),-1)</f>
        <v/>
      </c>
      <c r="W780" s="10">
        <f>V780*N780*O780</f>
        <v/>
      </c>
      <c r="X780" s="9">
        <f>IF(LEFT(I780,2)="MV",2*N780*IF(L780="1/C",O780,1),0)</f>
        <v/>
      </c>
      <c r="Y780" s="9">
        <f>IF(OR(LEFT(K780,4)="LVAX",LEFT(K780,6)="MV15AX",LEFT(K780,4)="CTAX",LEFT(K780,2)="W|"),2*N780*O780,0)</f>
        <v/>
      </c>
      <c r="Z780" s="9" t="inlineStr"/>
    </row>
    <row r="781">
      <c r="A781" s="9" t="inlineStr">
        <is>
          <t>A-I-0318</t>
        </is>
      </c>
      <c r="B781" s="9" t="inlineStr">
        <is>
          <t>A</t>
        </is>
      </c>
      <c r="C781" s="9" t="inlineStr">
        <is>
          <t>Power block</t>
        </is>
      </c>
      <c r="D781" s="9" t="inlineStr">
        <is>
          <t>Instrumentation</t>
        </is>
      </c>
      <c r="E781" s="9" t="inlineStr">
        <is>
          <t>R2C</t>
        </is>
      </c>
      <c r="F781" s="9" t="inlineStr">
        <is>
          <t>R2C: unit / HRSG electrical e-house (32 x 40 ft)</t>
        </is>
      </c>
      <c r="G781" s="9" t="inlineStr">
        <is>
          <t>WASH-GT3</t>
        </is>
      </c>
      <c r="H781" s="9" t="inlineStr">
        <is>
          <t>WASH-GT3: compressor water-wash skid</t>
        </is>
      </c>
      <c r="I781" s="9" t="inlineStr">
        <is>
          <t>Instrumentation</t>
        </is>
      </c>
      <c r="J781" s="9" t="inlineStr">
        <is>
          <t>Instrumentation ITC / PLTC, IS, #18 shielded pairs, blue jacket</t>
        </is>
      </c>
      <c r="K781" s="9" t="inlineStr">
        <is>
          <t>ITC|4 pr|18</t>
        </is>
      </c>
      <c r="L781" s="9" t="inlineStr">
        <is>
          <t>4 pr</t>
        </is>
      </c>
      <c r="M781" s="9" t="inlineStr">
        <is>
          <t>18</t>
        </is>
      </c>
      <c r="N781" s="9" t="n">
        <v>1</v>
      </c>
      <c r="O781" s="9" t="n">
        <v>1</v>
      </c>
      <c r="P781" s="9" t="n"/>
      <c r="Q781" s="9" t="n"/>
      <c r="R781" s="9" t="n"/>
      <c r="S781" s="9" t="inlineStr">
        <is>
          <t>Tray</t>
        </is>
      </c>
      <c r="T781" s="10" t="n">
        <v>1092</v>
      </c>
      <c r="U781" s="10" t="n">
        <v>139</v>
      </c>
      <c r="V781" s="10">
        <f>ROUNDUP((T781+U781+2*'Read Me'!$B$13)*(1+'Read Me'!$B$12),-1)</f>
        <v/>
      </c>
      <c r="W781" s="10">
        <f>V781*N781*O781</f>
        <v/>
      </c>
      <c r="X781" s="9">
        <f>IF(LEFT(I781,2)="MV",2*N781*IF(L781="1/C",O781,1),0)</f>
        <v/>
      </c>
      <c r="Y781" s="9">
        <f>IF(OR(LEFT(K781,4)="LVAX",LEFT(K781,6)="MV15AX",LEFT(K781,4)="CTAX",LEFT(K781,2)="W|"),2*N781*O781,0)</f>
        <v/>
      </c>
      <c r="Z781" s="9" t="inlineStr"/>
    </row>
    <row r="782">
      <c r="A782" s="9" t="inlineStr">
        <is>
          <t>A-I-0319</t>
        </is>
      </c>
      <c r="B782" s="9" t="inlineStr">
        <is>
          <t>A</t>
        </is>
      </c>
      <c r="C782" s="9" t="inlineStr">
        <is>
          <t>Power block</t>
        </is>
      </c>
      <c r="D782" s="9" t="inlineStr">
        <is>
          <t>Instrumentation</t>
        </is>
      </c>
      <c r="E782" s="9" t="inlineStr">
        <is>
          <t>R2C</t>
        </is>
      </c>
      <c r="F782" s="9" t="inlineStr">
        <is>
          <t>R2C: unit / HRSG electrical e-house (32 x 40 ft)</t>
        </is>
      </c>
      <c r="G782" s="9" t="inlineStr">
        <is>
          <t>WASH-GT3</t>
        </is>
      </c>
      <c r="H782" s="9" t="inlineStr">
        <is>
          <t>WASH-GT3: compressor water-wash skid</t>
        </is>
      </c>
      <c r="I782" s="9" t="inlineStr">
        <is>
          <t>Instrumentation</t>
        </is>
      </c>
      <c r="J782" s="9" t="inlineStr">
        <is>
          <t>Instrumentation ITC / PLTC, IS, #18 shielded pairs, blue jacket</t>
        </is>
      </c>
      <c r="K782" s="9" t="inlineStr">
        <is>
          <t>ITC|4 pr|18</t>
        </is>
      </c>
      <c r="L782" s="9" t="inlineStr">
        <is>
          <t>4 pr</t>
        </is>
      </c>
      <c r="M782" s="9" t="inlineStr">
        <is>
          <t>18</t>
        </is>
      </c>
      <c r="N782" s="9" t="n">
        <v>1</v>
      </c>
      <c r="O782" s="9" t="n">
        <v>1</v>
      </c>
      <c r="P782" s="9" t="n"/>
      <c r="Q782" s="9" t="n"/>
      <c r="R782" s="9" t="n"/>
      <c r="S782" s="9" t="inlineStr">
        <is>
          <t>Tray</t>
        </is>
      </c>
      <c r="T782" s="10" t="n">
        <v>1092</v>
      </c>
      <c r="U782" s="10" t="n">
        <v>139</v>
      </c>
      <c r="V782" s="10">
        <f>ROUNDUP((T782+U782+2*'Read Me'!$B$13)*(1+'Read Me'!$B$12),-1)</f>
        <v/>
      </c>
      <c r="W782" s="10">
        <f>V782*N782*O782</f>
        <v/>
      </c>
      <c r="X782" s="9">
        <f>IF(LEFT(I782,2)="MV",2*N782*IF(L782="1/C",O782,1),0)</f>
        <v/>
      </c>
      <c r="Y782" s="9">
        <f>IF(OR(LEFT(K782,4)="LVAX",LEFT(K782,6)="MV15AX",LEFT(K782,4)="CTAX",LEFT(K782,2)="W|"),2*N782*O782,0)</f>
        <v/>
      </c>
      <c r="Z782" s="9" t="inlineStr"/>
    </row>
    <row r="783">
      <c r="A783" s="9" t="inlineStr">
        <is>
          <t>A-I-0320</t>
        </is>
      </c>
      <c r="B783" s="9" t="inlineStr">
        <is>
          <t>A</t>
        </is>
      </c>
      <c r="C783" s="9" t="inlineStr">
        <is>
          <t>Power block</t>
        </is>
      </c>
      <c r="D783" s="9" t="inlineStr">
        <is>
          <t>Instrumentation</t>
        </is>
      </c>
      <c r="E783" s="9" t="inlineStr">
        <is>
          <t>R2C</t>
        </is>
      </c>
      <c r="F783" s="9" t="inlineStr">
        <is>
          <t>R2C: unit / HRSG electrical e-house (32 x 40 ft)</t>
        </is>
      </c>
      <c r="G783" s="9" t="inlineStr">
        <is>
          <t>WASH-GT3</t>
        </is>
      </c>
      <c r="H783" s="9" t="inlineStr">
        <is>
          <t>WASH-GT3: compressor water-wash skid</t>
        </is>
      </c>
      <c r="I783" s="9" t="inlineStr">
        <is>
          <t>Instrumentation</t>
        </is>
      </c>
      <c r="J783" s="9" t="inlineStr">
        <is>
          <t>Instrumentation ITC / PLTC, IS, #18 shielded pairs, blue jacket</t>
        </is>
      </c>
      <c r="K783" s="9" t="inlineStr">
        <is>
          <t>ITC|12 pr|18</t>
        </is>
      </c>
      <c r="L783" s="9" t="inlineStr">
        <is>
          <t>12 pr</t>
        </is>
      </c>
      <c r="M783" s="9" t="inlineStr">
        <is>
          <t>18</t>
        </is>
      </c>
      <c r="N783" s="9" t="n">
        <v>1</v>
      </c>
      <c r="O783" s="9" t="n">
        <v>1</v>
      </c>
      <c r="P783" s="9" t="n"/>
      <c r="Q783" s="9" t="n"/>
      <c r="R783" s="9" t="n"/>
      <c r="S783" s="9" t="inlineStr">
        <is>
          <t>Tray</t>
        </is>
      </c>
      <c r="T783" s="10" t="n">
        <v>1092</v>
      </c>
      <c r="U783" s="10" t="n">
        <v>139</v>
      </c>
      <c r="V783" s="10">
        <f>ROUNDUP((T783+U783+2*'Read Me'!$B$13)*(1+'Read Me'!$B$12),-1)</f>
        <v/>
      </c>
      <c r="W783" s="10">
        <f>V783*N783*O783</f>
        <v/>
      </c>
      <c r="X783" s="9">
        <f>IF(LEFT(I783,2)="MV",2*N783*IF(L783="1/C",O783,1),0)</f>
        <v/>
      </c>
      <c r="Y783" s="9">
        <f>IF(OR(LEFT(K783,4)="LVAX",LEFT(K783,6)="MV15AX",LEFT(K783,4)="CTAX",LEFT(K783,2)="W|"),2*N783*O783,0)</f>
        <v/>
      </c>
      <c r="Z783" s="9" t="inlineStr"/>
    </row>
    <row r="784">
      <c r="A784" s="9" t="inlineStr">
        <is>
          <t>A-I-0321</t>
        </is>
      </c>
      <c r="B784" s="9" t="inlineStr">
        <is>
          <t>A</t>
        </is>
      </c>
      <c r="C784" s="9" t="inlineStr">
        <is>
          <t>Power block</t>
        </is>
      </c>
      <c r="D784" s="9" t="inlineStr">
        <is>
          <t>Instrumentation</t>
        </is>
      </c>
      <c r="E784" s="9" t="inlineStr">
        <is>
          <t>R2C</t>
        </is>
      </c>
      <c r="F784" s="9" t="inlineStr">
        <is>
          <t>R2C: unit / HRSG electrical e-house (32 x 40 ft)</t>
        </is>
      </c>
      <c r="G784" s="9" t="inlineStr">
        <is>
          <t>WASH-GT3</t>
        </is>
      </c>
      <c r="H784" s="9" t="inlineStr">
        <is>
          <t>WASH-GT3: compressor water-wash skid</t>
        </is>
      </c>
      <c r="I784" s="9" t="inlineStr">
        <is>
          <t>Instrumentation</t>
        </is>
      </c>
      <c r="J784" s="9" t="inlineStr">
        <is>
          <t>Instrumentation ITC / PLTC, IS, #18 shielded pairs, blue jacket</t>
        </is>
      </c>
      <c r="K784" s="9" t="inlineStr">
        <is>
          <t>ITC|12 pr|18</t>
        </is>
      </c>
      <c r="L784" s="9" t="inlineStr">
        <is>
          <t>12 pr</t>
        </is>
      </c>
      <c r="M784" s="9" t="inlineStr">
        <is>
          <t>18</t>
        </is>
      </c>
      <c r="N784" s="9" t="n">
        <v>1</v>
      </c>
      <c r="O784" s="9" t="n">
        <v>1</v>
      </c>
      <c r="P784" s="9" t="n"/>
      <c r="Q784" s="9" t="n"/>
      <c r="R784" s="9" t="n"/>
      <c r="S784" s="9" t="inlineStr">
        <is>
          <t>Tray</t>
        </is>
      </c>
      <c r="T784" s="10" t="n">
        <v>1092</v>
      </c>
      <c r="U784" s="10" t="n">
        <v>139</v>
      </c>
      <c r="V784" s="10">
        <f>ROUNDUP((T784+U784+2*'Read Me'!$B$13)*(1+'Read Me'!$B$12),-1)</f>
        <v/>
      </c>
      <c r="W784" s="10">
        <f>V784*N784*O784</f>
        <v/>
      </c>
      <c r="X784" s="9">
        <f>IF(LEFT(I784,2)="MV",2*N784*IF(L784="1/C",O784,1),0)</f>
        <v/>
      </c>
      <c r="Y784" s="9">
        <f>IF(OR(LEFT(K784,4)="LVAX",LEFT(K784,6)="MV15AX",LEFT(K784,4)="CTAX",LEFT(K784,2)="W|"),2*N784*O784,0)</f>
        <v/>
      </c>
      <c r="Z784" s="9" t="inlineStr"/>
    </row>
    <row r="785">
      <c r="A785" s="9" t="inlineStr">
        <is>
          <t>A-I-0322</t>
        </is>
      </c>
      <c r="B785" s="9" t="inlineStr">
        <is>
          <t>A</t>
        </is>
      </c>
      <c r="C785" s="9" t="inlineStr">
        <is>
          <t>Power block</t>
        </is>
      </c>
      <c r="D785" s="9" t="inlineStr">
        <is>
          <t>Instrumentation</t>
        </is>
      </c>
      <c r="E785" s="9" t="inlineStr">
        <is>
          <t>R2C</t>
        </is>
      </c>
      <c r="F785" s="9" t="inlineStr">
        <is>
          <t>R2C: unit / HRSG electrical e-house (32 x 40 ft)</t>
        </is>
      </c>
      <c r="G785" s="9" t="inlineStr">
        <is>
          <t>WASH-GT3</t>
        </is>
      </c>
      <c r="H785" s="9" t="inlineStr">
        <is>
          <t>WASH-GT3: compressor water-wash skid</t>
        </is>
      </c>
      <c r="I785" s="9" t="inlineStr">
        <is>
          <t>Instrumentation</t>
        </is>
      </c>
      <c r="J785" s="9" t="inlineStr">
        <is>
          <t>Instrumentation ITC / PLTC, IS, #18 shielded pairs, blue jacket</t>
        </is>
      </c>
      <c r="K785" s="9" t="inlineStr">
        <is>
          <t>ITC|12 pr|18</t>
        </is>
      </c>
      <c r="L785" s="9" t="inlineStr">
        <is>
          <t>12 pr</t>
        </is>
      </c>
      <c r="M785" s="9" t="inlineStr">
        <is>
          <t>18</t>
        </is>
      </c>
      <c r="N785" s="9" t="n">
        <v>1</v>
      </c>
      <c r="O785" s="9" t="n">
        <v>1</v>
      </c>
      <c r="P785" s="9" t="n"/>
      <c r="Q785" s="9" t="n"/>
      <c r="R785" s="9" t="n"/>
      <c r="S785" s="9" t="inlineStr">
        <is>
          <t>Tray</t>
        </is>
      </c>
      <c r="T785" s="10" t="n">
        <v>1092</v>
      </c>
      <c r="U785" s="10" t="n">
        <v>139</v>
      </c>
      <c r="V785" s="10">
        <f>ROUNDUP((T785+U785+2*'Read Me'!$B$13)*(1+'Read Me'!$B$12),-1)</f>
        <v/>
      </c>
      <c r="W785" s="10">
        <f>V785*N785*O785</f>
        <v/>
      </c>
      <c r="X785" s="9">
        <f>IF(LEFT(I785,2)="MV",2*N785*IF(L785="1/C",O785,1),0)</f>
        <v/>
      </c>
      <c r="Y785" s="9">
        <f>IF(OR(LEFT(K785,4)="LVAX",LEFT(K785,6)="MV15AX",LEFT(K785,4)="CTAX",LEFT(K785,2)="W|"),2*N785*O785,0)</f>
        <v/>
      </c>
      <c r="Z785" s="9" t="inlineStr"/>
    </row>
    <row r="786">
      <c r="A786" s="9" t="inlineStr">
        <is>
          <t>A-I-0323</t>
        </is>
      </c>
      <c r="B786" s="9" t="inlineStr">
        <is>
          <t>A</t>
        </is>
      </c>
      <c r="C786" s="9" t="inlineStr">
        <is>
          <t>Power block</t>
        </is>
      </c>
      <c r="D786" s="9" t="inlineStr">
        <is>
          <t>Instrumentation</t>
        </is>
      </c>
      <c r="E786" s="9" t="inlineStr">
        <is>
          <t>R2C</t>
        </is>
      </c>
      <c r="F786" s="9" t="inlineStr">
        <is>
          <t>R2C: unit / HRSG electrical e-house (32 x 40 ft)</t>
        </is>
      </c>
      <c r="G786" s="9" t="inlineStr">
        <is>
          <t>WASH-GT3</t>
        </is>
      </c>
      <c r="H786" s="9" t="inlineStr">
        <is>
          <t>WASH-GT3: compressor water-wash skid</t>
        </is>
      </c>
      <c r="I786" s="9" t="inlineStr">
        <is>
          <t>Instrumentation</t>
        </is>
      </c>
      <c r="J786" s="9" t="inlineStr">
        <is>
          <t>Instrumentation ITC / PLTC, IS, #18 shielded pairs, blue jacket</t>
        </is>
      </c>
      <c r="K786" s="9" t="inlineStr">
        <is>
          <t>ITC|12 pr|18</t>
        </is>
      </c>
      <c r="L786" s="9" t="inlineStr">
        <is>
          <t>12 pr</t>
        </is>
      </c>
      <c r="M786" s="9" t="inlineStr">
        <is>
          <t>18</t>
        </is>
      </c>
      <c r="N786" s="9" t="n">
        <v>1</v>
      </c>
      <c r="O786" s="9" t="n">
        <v>1</v>
      </c>
      <c r="P786" s="9" t="n"/>
      <c r="Q786" s="9" t="n"/>
      <c r="R786" s="9" t="n"/>
      <c r="S786" s="9" t="inlineStr">
        <is>
          <t>Tray</t>
        </is>
      </c>
      <c r="T786" s="10" t="n">
        <v>1092</v>
      </c>
      <c r="U786" s="10" t="n">
        <v>139</v>
      </c>
      <c r="V786" s="10">
        <f>ROUNDUP((T786+U786+2*'Read Me'!$B$13)*(1+'Read Me'!$B$12),-1)</f>
        <v/>
      </c>
      <c r="W786" s="10">
        <f>V786*N786*O786</f>
        <v/>
      </c>
      <c r="X786" s="9">
        <f>IF(LEFT(I786,2)="MV",2*N786*IF(L786="1/C",O786,1),0)</f>
        <v/>
      </c>
      <c r="Y786" s="9">
        <f>IF(OR(LEFT(K786,4)="LVAX",LEFT(K786,6)="MV15AX",LEFT(K786,4)="CTAX",LEFT(K786,2)="W|"),2*N786*O786,0)</f>
        <v/>
      </c>
      <c r="Z786" s="9" t="inlineStr"/>
    </row>
    <row r="787">
      <c r="A787" s="9" t="inlineStr">
        <is>
          <t>A-I-0324</t>
        </is>
      </c>
      <c r="B787" s="9" t="inlineStr">
        <is>
          <t>A</t>
        </is>
      </c>
      <c r="C787" s="9" t="inlineStr">
        <is>
          <t>Power block</t>
        </is>
      </c>
      <c r="D787" s="9" t="inlineStr">
        <is>
          <t>Instrumentation</t>
        </is>
      </c>
      <c r="E787" s="9" t="inlineStr">
        <is>
          <t>R2C</t>
        </is>
      </c>
      <c r="F787" s="9" t="inlineStr">
        <is>
          <t>R2C: unit / HRSG electrical e-house (32 x 40 ft)</t>
        </is>
      </c>
      <c r="G787" s="9" t="inlineStr">
        <is>
          <t>WASH-GT3</t>
        </is>
      </c>
      <c r="H787" s="9" t="inlineStr">
        <is>
          <t>WASH-GT3: compressor water-wash skid</t>
        </is>
      </c>
      <c r="I787" s="9" t="inlineStr">
        <is>
          <t>Instrumentation</t>
        </is>
      </c>
      <c r="J787" s="9" t="inlineStr">
        <is>
          <t>Instrumentation ITC / PLTC, IS, #18 shielded pairs, blue jacket</t>
        </is>
      </c>
      <c r="K787" s="9" t="inlineStr">
        <is>
          <t>ITC|12 pr|18</t>
        </is>
      </c>
      <c r="L787" s="9" t="inlineStr">
        <is>
          <t>12 pr</t>
        </is>
      </c>
      <c r="M787" s="9" t="inlineStr">
        <is>
          <t>18</t>
        </is>
      </c>
      <c r="N787" s="9" t="n">
        <v>1</v>
      </c>
      <c r="O787" s="9" t="n">
        <v>1</v>
      </c>
      <c r="P787" s="9" t="n"/>
      <c r="Q787" s="9" t="n"/>
      <c r="R787" s="9" t="n"/>
      <c r="S787" s="9" t="inlineStr">
        <is>
          <t>Tray</t>
        </is>
      </c>
      <c r="T787" s="10" t="n">
        <v>1092</v>
      </c>
      <c r="U787" s="10" t="n">
        <v>139</v>
      </c>
      <c r="V787" s="10">
        <f>ROUNDUP((T787+U787+2*'Read Me'!$B$13)*(1+'Read Me'!$B$12),-1)</f>
        <v/>
      </c>
      <c r="W787" s="10">
        <f>V787*N787*O787</f>
        <v/>
      </c>
      <c r="X787" s="9">
        <f>IF(LEFT(I787,2)="MV",2*N787*IF(L787="1/C",O787,1),0)</f>
        <v/>
      </c>
      <c r="Y787" s="9">
        <f>IF(OR(LEFT(K787,4)="LVAX",LEFT(K787,6)="MV15AX",LEFT(K787,4)="CTAX",LEFT(K787,2)="W|"),2*N787*O787,0)</f>
        <v/>
      </c>
      <c r="Z787" s="9" t="inlineStr"/>
    </row>
    <row r="788">
      <c r="A788" s="9" t="inlineStr">
        <is>
          <t>A-I-0325</t>
        </is>
      </c>
      <c r="B788" s="9" t="inlineStr">
        <is>
          <t>A</t>
        </is>
      </c>
      <c r="C788" s="9" t="inlineStr">
        <is>
          <t>Power block</t>
        </is>
      </c>
      <c r="D788" s="9" t="inlineStr">
        <is>
          <t>Instrumentation</t>
        </is>
      </c>
      <c r="E788" s="9" t="inlineStr">
        <is>
          <t>R2C</t>
        </is>
      </c>
      <c r="F788" s="9" t="inlineStr">
        <is>
          <t>R2C: unit / HRSG electrical e-house (32 x 40 ft)</t>
        </is>
      </c>
      <c r="G788" s="9" t="inlineStr">
        <is>
          <t>WASH-GT3</t>
        </is>
      </c>
      <c r="H788" s="9" t="inlineStr">
        <is>
          <t>WASH-GT3: compressor water-wash skid</t>
        </is>
      </c>
      <c r="I788" s="9" t="inlineStr">
        <is>
          <t>Instrumentation</t>
        </is>
      </c>
      <c r="J788" s="9" t="inlineStr">
        <is>
          <t>Instrumentation ITC / PLTC, IS, #18 shielded pairs, blue jacket</t>
        </is>
      </c>
      <c r="K788" s="9" t="inlineStr">
        <is>
          <t>ITC|12 pr|18</t>
        </is>
      </c>
      <c r="L788" s="9" t="inlineStr">
        <is>
          <t>12 pr</t>
        </is>
      </c>
      <c r="M788" s="9" t="inlineStr">
        <is>
          <t>18</t>
        </is>
      </c>
      <c r="N788" s="9" t="n">
        <v>1</v>
      </c>
      <c r="O788" s="9" t="n">
        <v>1</v>
      </c>
      <c r="P788" s="9" t="n"/>
      <c r="Q788" s="9" t="n"/>
      <c r="R788" s="9" t="n"/>
      <c r="S788" s="9" t="inlineStr">
        <is>
          <t>Tray</t>
        </is>
      </c>
      <c r="T788" s="10" t="n">
        <v>1092</v>
      </c>
      <c r="U788" s="10" t="n">
        <v>139</v>
      </c>
      <c r="V788" s="10">
        <f>ROUNDUP((T788+U788+2*'Read Me'!$B$13)*(1+'Read Me'!$B$12),-1)</f>
        <v/>
      </c>
      <c r="W788" s="10">
        <f>V788*N788*O788</f>
        <v/>
      </c>
      <c r="X788" s="9">
        <f>IF(LEFT(I788,2)="MV",2*N788*IF(L788="1/C",O788,1),0)</f>
        <v/>
      </c>
      <c r="Y788" s="9">
        <f>IF(OR(LEFT(K788,4)="LVAX",LEFT(K788,6)="MV15AX",LEFT(K788,4)="CTAX",LEFT(K788,2)="W|"),2*N788*O788,0)</f>
        <v/>
      </c>
      <c r="Z788" s="9" t="inlineStr"/>
    </row>
    <row r="789">
      <c r="A789" s="9" t="inlineStr">
        <is>
          <t>A-I-0326</t>
        </is>
      </c>
      <c r="B789" s="9" t="inlineStr">
        <is>
          <t>A</t>
        </is>
      </c>
      <c r="C789" s="9" t="inlineStr">
        <is>
          <t>Power block</t>
        </is>
      </c>
      <c r="D789" s="9" t="inlineStr">
        <is>
          <t>Instrumentation</t>
        </is>
      </c>
      <c r="E789" s="9" t="inlineStr">
        <is>
          <t>R2C</t>
        </is>
      </c>
      <c r="F789" s="9" t="inlineStr">
        <is>
          <t>R2C: unit / HRSG electrical e-house (32 x 40 ft)</t>
        </is>
      </c>
      <c r="G789" s="9" t="inlineStr">
        <is>
          <t>WASH-GT3</t>
        </is>
      </c>
      <c r="H789" s="9" t="inlineStr">
        <is>
          <t>WASH-GT3: compressor water-wash skid</t>
        </is>
      </c>
      <c r="I789" s="9" t="inlineStr">
        <is>
          <t>Instrumentation</t>
        </is>
      </c>
      <c r="J789" s="9" t="inlineStr">
        <is>
          <t>Instrumentation ITC / PLTC, IS, #18 shielded pairs, blue jacket</t>
        </is>
      </c>
      <c r="K789" s="9" t="inlineStr">
        <is>
          <t>ITC|12 pr|18</t>
        </is>
      </c>
      <c r="L789" s="9" t="inlineStr">
        <is>
          <t>12 pr</t>
        </is>
      </c>
      <c r="M789" s="9" t="inlineStr">
        <is>
          <t>18</t>
        </is>
      </c>
      <c r="N789" s="9" t="n">
        <v>1</v>
      </c>
      <c r="O789" s="9" t="n">
        <v>1</v>
      </c>
      <c r="P789" s="9" t="n"/>
      <c r="Q789" s="9" t="n"/>
      <c r="R789" s="9" t="n"/>
      <c r="S789" s="9" t="inlineStr">
        <is>
          <t>Tray</t>
        </is>
      </c>
      <c r="T789" s="10" t="n">
        <v>1092</v>
      </c>
      <c r="U789" s="10" t="n">
        <v>139</v>
      </c>
      <c r="V789" s="10">
        <f>ROUNDUP((T789+U789+2*'Read Me'!$B$13)*(1+'Read Me'!$B$12),-1)</f>
        <v/>
      </c>
      <c r="W789" s="10">
        <f>V789*N789*O789</f>
        <v/>
      </c>
      <c r="X789" s="9">
        <f>IF(LEFT(I789,2)="MV",2*N789*IF(L789="1/C",O789,1),0)</f>
        <v/>
      </c>
      <c r="Y789" s="9">
        <f>IF(OR(LEFT(K789,4)="LVAX",LEFT(K789,6)="MV15AX",LEFT(K789,4)="CTAX",LEFT(K789,2)="W|"),2*N789*O789,0)</f>
        <v/>
      </c>
      <c r="Z789" s="9" t="inlineStr"/>
    </row>
    <row r="790">
      <c r="A790" s="9" t="inlineStr">
        <is>
          <t>A-I-0327</t>
        </is>
      </c>
      <c r="B790" s="9" t="inlineStr">
        <is>
          <t>A</t>
        </is>
      </c>
      <c r="C790" s="9" t="inlineStr">
        <is>
          <t>Power block</t>
        </is>
      </c>
      <c r="D790" s="9" t="inlineStr">
        <is>
          <t>Instrumentation</t>
        </is>
      </c>
      <c r="E790" s="9" t="inlineStr">
        <is>
          <t>R2C</t>
        </is>
      </c>
      <c r="F790" s="9" t="inlineStr">
        <is>
          <t>R2C: unit / HRSG electrical e-house (32 x 40 ft)</t>
        </is>
      </c>
      <c r="G790" s="9" t="inlineStr">
        <is>
          <t>WASH-GT3</t>
        </is>
      </c>
      <c r="H790" s="9" t="inlineStr">
        <is>
          <t>WASH-GT3: compressor water-wash skid</t>
        </is>
      </c>
      <c r="I790" s="9" t="inlineStr">
        <is>
          <t>Instrumentation</t>
        </is>
      </c>
      <c r="J790" s="9" t="inlineStr">
        <is>
          <t>Instrumentation ITC / PLTC, IS, #18 shielded pairs, blue jacket</t>
        </is>
      </c>
      <c r="K790" s="9" t="inlineStr">
        <is>
          <t>ITC|12 pr|18</t>
        </is>
      </c>
      <c r="L790" s="9" t="inlineStr">
        <is>
          <t>12 pr</t>
        </is>
      </c>
      <c r="M790" s="9" t="inlineStr">
        <is>
          <t>18</t>
        </is>
      </c>
      <c r="N790" s="9" t="n">
        <v>1</v>
      </c>
      <c r="O790" s="9" t="n">
        <v>1</v>
      </c>
      <c r="P790" s="9" t="n"/>
      <c r="Q790" s="9" t="n"/>
      <c r="R790" s="9" t="n"/>
      <c r="S790" s="9" t="inlineStr">
        <is>
          <t>Tray</t>
        </is>
      </c>
      <c r="T790" s="10" t="n">
        <v>1092</v>
      </c>
      <c r="U790" s="10" t="n">
        <v>139</v>
      </c>
      <c r="V790" s="10">
        <f>ROUNDUP((T790+U790+2*'Read Me'!$B$13)*(1+'Read Me'!$B$12),-1)</f>
        <v/>
      </c>
      <c r="W790" s="10">
        <f>V790*N790*O790</f>
        <v/>
      </c>
      <c r="X790" s="9">
        <f>IF(LEFT(I790,2)="MV",2*N790*IF(L790="1/C",O790,1),0)</f>
        <v/>
      </c>
      <c r="Y790" s="9">
        <f>IF(OR(LEFT(K790,4)="LVAX",LEFT(K790,6)="MV15AX",LEFT(K790,4)="CTAX",LEFT(K790,2)="W|"),2*N790*O790,0)</f>
        <v/>
      </c>
      <c r="Z790" s="9" t="inlineStr"/>
    </row>
    <row r="791">
      <c r="A791" s="9" t="inlineStr">
        <is>
          <t>A-P-0001</t>
        </is>
      </c>
      <c r="B791" s="9" t="inlineStr">
        <is>
          <t>A</t>
        </is>
      </c>
      <c r="C791" s="9" t="inlineStr">
        <is>
          <t>Power block</t>
        </is>
      </c>
      <c r="D791" s="9" t="inlineStr">
        <is>
          <t>LV power feeder</t>
        </is>
      </c>
      <c r="E791" s="9" t="inlineStr">
        <is>
          <t>R3</t>
        </is>
      </c>
      <c r="F791" s="9" t="inlineStr">
        <is>
          <t>R3: ST auxiliary electrical e-house (40 x 65 ft)</t>
        </is>
      </c>
      <c r="G791" s="9" t="inlineStr">
        <is>
          <t>AC-A/B/C</t>
        </is>
      </c>
      <c r="H791" s="9" t="inlineStr">
        <is>
          <t>Air compressors AC-A/B/C</t>
        </is>
      </c>
      <c r="I791" s="9" t="inlineStr">
        <is>
          <t>LV 600 V</t>
        </is>
      </c>
      <c r="J791" s="9" t="inlineStr">
        <is>
          <t>ARMOR-X MC-HL 600 V 3/C Cu XHHW-2 + ground, CWA, black PVC (Class I Div 2)</t>
        </is>
      </c>
      <c r="K791" s="9" t="inlineStr">
        <is>
          <t>LVAX|3/C+G|500</t>
        </is>
      </c>
      <c r="L791" s="9" t="inlineStr">
        <is>
          <t>3/C+G</t>
        </is>
      </c>
      <c r="M791" s="9" t="inlineStr">
        <is>
          <t>500 kcmil</t>
        </is>
      </c>
      <c r="N791" s="9" t="n">
        <v>4</v>
      </c>
      <c r="O791" s="9" t="n">
        <v>1</v>
      </c>
      <c r="P791" s="9" t="n">
        <v>480</v>
      </c>
      <c r="Q791" s="9" t="n">
        <v>750</v>
      </c>
      <c r="R791" s="9" t="n">
        <v>1061</v>
      </c>
      <c r="S791" s="9" t="inlineStr">
        <is>
          <t>Tray</t>
        </is>
      </c>
      <c r="T791" s="10" t="n">
        <v>90</v>
      </c>
      <c r="U791" s="10" t="n">
        <v>70</v>
      </c>
      <c r="V791" s="10">
        <f>ROUNDUP((T791+U791+2*'Read Me'!$B$13)*(1+'Read Me'!$B$12),-1)</f>
        <v/>
      </c>
      <c r="W791" s="10">
        <f>V791*N791*O791</f>
        <v/>
      </c>
      <c r="X791" s="9">
        <f>IF(LEFT(I791,2)="MV",2*N791*IF(L791="1/C",O791,1),0)</f>
        <v/>
      </c>
      <c r="Y791" s="9">
        <f>IF(OR(LEFT(K791,4)="LVAX",LEFT(K791,6)="MV15AX",LEFT(K791,4)="CTAX",LEFT(K791,2)="W|"),2*N791*O791,0)</f>
        <v/>
      </c>
      <c r="Z791" s="9" t="inlineStr">
        <is>
          <t>VD 0.4 %</t>
        </is>
      </c>
    </row>
    <row r="792">
      <c r="A792" s="9" t="inlineStr">
        <is>
          <t>A-P-0002</t>
        </is>
      </c>
      <c r="B792" s="9" t="inlineStr">
        <is>
          <t>A</t>
        </is>
      </c>
      <c r="C792" s="9" t="inlineStr">
        <is>
          <t>Power block</t>
        </is>
      </c>
      <c r="D792" s="9" t="inlineStr">
        <is>
          <t>LV panel / distribution feeder</t>
        </is>
      </c>
      <c r="E792" s="9" t="inlineStr">
        <is>
          <t>R2B</t>
        </is>
      </c>
      <c r="F792" s="9" t="inlineStr">
        <is>
          <t>R2B: unit / HRSG electrical e-house (32 x 40 ft)</t>
        </is>
      </c>
      <c r="G792" s="9" t="inlineStr">
        <is>
          <t>CEMS-1</t>
        </is>
      </c>
      <c r="H792" s="9" t="inlineStr">
        <is>
          <t>CEMS shelter, HRSG 1</t>
        </is>
      </c>
      <c r="I792" s="9" t="inlineStr">
        <is>
          <t>LV 600 V</t>
        </is>
      </c>
      <c r="J792" s="9" t="inlineStr">
        <is>
          <t>Type TC-ER 600 V 3/C Cu XHHW-2 + ground, PVC jacket</t>
        </is>
      </c>
      <c r="K792" s="9" t="inlineStr">
        <is>
          <t>LV|3/C+G|6</t>
        </is>
      </c>
      <c r="L792" s="9" t="inlineStr">
        <is>
          <t>3/C+G</t>
        </is>
      </c>
      <c r="M792" s="9" t="inlineStr">
        <is>
          <t>6</t>
        </is>
      </c>
      <c r="N792" s="9" t="n">
        <v>1</v>
      </c>
      <c r="O792" s="9" t="n">
        <v>1</v>
      </c>
      <c r="P792" s="9" t="n">
        <v>480</v>
      </c>
      <c r="Q792" s="9" t="n">
        <v>30</v>
      </c>
      <c r="R792" s="9" t="n">
        <v>42</v>
      </c>
      <c r="S792" s="9" t="inlineStr">
        <is>
          <t>Tray</t>
        </is>
      </c>
      <c r="T792" s="10" t="n">
        <v>242</v>
      </c>
      <c r="U792" s="10" t="n">
        <v>103</v>
      </c>
      <c r="V792" s="10">
        <f>ROUNDUP((T792+U792+2*'Read Me'!$B$13)*(1+'Read Me'!$B$12),-1)</f>
        <v/>
      </c>
      <c r="W792" s="10">
        <f>V792*N792*O792</f>
        <v/>
      </c>
      <c r="X792" s="9">
        <f>IF(LEFT(I792,2)="MV",2*N792*IF(L792="1/C",O792,1),0)</f>
        <v/>
      </c>
      <c r="Y792" s="9">
        <f>IF(OR(LEFT(K792,4)="LVAX",LEFT(K792,6)="MV15AX",LEFT(K792,4)="CTAX",LEFT(K792,2)="W|"),2*N792*O792,0)</f>
        <v/>
      </c>
      <c r="Z792" s="9" t="inlineStr">
        <is>
          <t>VD 2.9 %</t>
        </is>
      </c>
    </row>
    <row r="793">
      <c r="A793" s="9" t="inlineStr">
        <is>
          <t>A-P-0003</t>
        </is>
      </c>
      <c r="B793" s="9" t="inlineStr">
        <is>
          <t>A</t>
        </is>
      </c>
      <c r="C793" s="9" t="inlineStr">
        <is>
          <t>Power block</t>
        </is>
      </c>
      <c r="D793" s="9" t="inlineStr">
        <is>
          <t>LV panel / distribution feeder</t>
        </is>
      </c>
      <c r="E793" s="9" t="inlineStr">
        <is>
          <t>R2C</t>
        </is>
      </c>
      <c r="F793" s="9" t="inlineStr">
        <is>
          <t>R2C: unit / HRSG electrical e-house (32 x 40 ft)</t>
        </is>
      </c>
      <c r="G793" s="9" t="inlineStr">
        <is>
          <t>CEMS-2</t>
        </is>
      </c>
      <c r="H793" s="9" t="inlineStr">
        <is>
          <t>CEMS shelter, HRSG 2</t>
        </is>
      </c>
      <c r="I793" s="9" t="inlineStr">
        <is>
          <t>LV 600 V</t>
        </is>
      </c>
      <c r="J793" s="9" t="inlineStr">
        <is>
          <t>Type TC-ER 600 V 3/C Cu XHHW-2 + ground, PVC jacket</t>
        </is>
      </c>
      <c r="K793" s="9" t="inlineStr">
        <is>
          <t>LV|3/C+G|6</t>
        </is>
      </c>
      <c r="L793" s="9" t="inlineStr">
        <is>
          <t>3/C+G</t>
        </is>
      </c>
      <c r="M793" s="9" t="inlineStr">
        <is>
          <t>6</t>
        </is>
      </c>
      <c r="N793" s="9" t="n">
        <v>1</v>
      </c>
      <c r="O793" s="9" t="n">
        <v>1</v>
      </c>
      <c r="P793" s="9" t="n">
        <v>480</v>
      </c>
      <c r="Q793" s="9" t="n">
        <v>30</v>
      </c>
      <c r="R793" s="9" t="n">
        <v>42</v>
      </c>
      <c r="S793" s="9" t="inlineStr">
        <is>
          <t>Tray</t>
        </is>
      </c>
      <c r="T793" s="10" t="n">
        <v>246</v>
      </c>
      <c r="U793" s="10" t="n">
        <v>99</v>
      </c>
      <c r="V793" s="10">
        <f>ROUNDUP((T793+U793+2*'Read Me'!$B$13)*(1+'Read Me'!$B$12),-1)</f>
        <v/>
      </c>
      <c r="W793" s="10">
        <f>V793*N793*O793</f>
        <v/>
      </c>
      <c r="X793" s="9">
        <f>IF(LEFT(I793,2)="MV",2*N793*IF(L793="1/C",O793,1),0)</f>
        <v/>
      </c>
      <c r="Y793" s="9">
        <f>IF(OR(LEFT(K793,4)="LVAX",LEFT(K793,6)="MV15AX",LEFT(K793,4)="CTAX",LEFT(K793,2)="W|"),2*N793*O793,0)</f>
        <v/>
      </c>
      <c r="Z793" s="9" t="inlineStr">
        <is>
          <t>VD 2.9 %</t>
        </is>
      </c>
    </row>
    <row r="794">
      <c r="A794" s="9" t="inlineStr">
        <is>
          <t>A-P-0004</t>
        </is>
      </c>
      <c r="B794" s="9" t="inlineStr">
        <is>
          <t>A</t>
        </is>
      </c>
      <c r="C794" s="9" t="inlineStr">
        <is>
          <t>Power block</t>
        </is>
      </c>
      <c r="D794" s="9" t="inlineStr">
        <is>
          <t>LV panel / distribution feeder</t>
        </is>
      </c>
      <c r="E794" s="9" t="inlineStr">
        <is>
          <t>R2C</t>
        </is>
      </c>
      <c r="F794" s="9" t="inlineStr">
        <is>
          <t>R2C: unit / HRSG electrical e-house (32 x 40 ft)</t>
        </is>
      </c>
      <c r="G794" s="9" t="inlineStr">
        <is>
          <t>CEMS-3</t>
        </is>
      </c>
      <c r="H794" s="9" t="inlineStr">
        <is>
          <t>CEMS shelter, HRSG 3</t>
        </is>
      </c>
      <c r="I794" s="9" t="inlineStr">
        <is>
          <t>LV 600 V</t>
        </is>
      </c>
      <c r="J794" s="9" t="inlineStr">
        <is>
          <t>Type TC-ER 600 V 3/C Cu XHHW-2 + ground, PVC jacket</t>
        </is>
      </c>
      <c r="K794" s="9" t="inlineStr">
        <is>
          <t>LV|3/C+G|4</t>
        </is>
      </c>
      <c r="L794" s="9" t="inlineStr">
        <is>
          <t>3/C+G</t>
        </is>
      </c>
      <c r="M794" s="9" t="inlineStr">
        <is>
          <t>4</t>
        </is>
      </c>
      <c r="N794" s="9" t="n">
        <v>1</v>
      </c>
      <c r="O794" s="9" t="n">
        <v>1</v>
      </c>
      <c r="P794" s="9" t="n">
        <v>480</v>
      </c>
      <c r="Q794" s="9" t="n">
        <v>30</v>
      </c>
      <c r="R794" s="9" t="n">
        <v>42</v>
      </c>
      <c r="S794" s="9" t="inlineStr">
        <is>
          <t>Tray</t>
        </is>
      </c>
      <c r="T794" s="10" t="n">
        <v>277</v>
      </c>
      <c r="U794" s="10" t="n">
        <v>97</v>
      </c>
      <c r="V794" s="10">
        <f>ROUNDUP((T794+U794+2*'Read Me'!$B$13)*(1+'Read Me'!$B$12),-1)</f>
        <v/>
      </c>
      <c r="W794" s="10">
        <f>V794*N794*O794</f>
        <v/>
      </c>
      <c r="X794" s="9">
        <f>IF(LEFT(I794,2)="MV",2*N794*IF(L794="1/C",O794,1),0)</f>
        <v/>
      </c>
      <c r="Y794" s="9">
        <f>IF(OR(LEFT(K794,4)="LVAX",LEFT(K794,6)="MV15AX",LEFT(K794,4)="CTAX",LEFT(K794,2)="W|"),2*N794*O794,0)</f>
        <v/>
      </c>
      <c r="Z794" s="9" t="inlineStr">
        <is>
          <t>VD 1.9 %</t>
        </is>
      </c>
    </row>
    <row r="795">
      <c r="A795" s="9" t="inlineStr">
        <is>
          <t>A-P-0005</t>
        </is>
      </c>
      <c r="B795" s="9" t="inlineStr">
        <is>
          <t>A</t>
        </is>
      </c>
      <c r="C795" s="9" t="inlineStr">
        <is>
          <t>Power block</t>
        </is>
      </c>
      <c r="D795" s="9" t="inlineStr">
        <is>
          <t>LV power feeder</t>
        </is>
      </c>
      <c r="E795" s="9" t="inlineStr">
        <is>
          <t>R3</t>
        </is>
      </c>
      <c r="F795" s="9" t="inlineStr">
        <is>
          <t>R3: ST auxiliary electrical e-house (40 x 65 ft)</t>
        </is>
      </c>
      <c r="G795" s="9" t="inlineStr">
        <is>
          <t>Chem feed</t>
        </is>
      </c>
      <c r="H795" s="9" t="inlineStr">
        <is>
          <t>Chemical feed</t>
        </is>
      </c>
      <c r="I795" s="9" t="inlineStr">
        <is>
          <t>LV 600 V</t>
        </is>
      </c>
      <c r="J795" s="9" t="inlineStr">
        <is>
          <t>Type TC-ER 600 V 3/C Cu XHHW-2 + ground, PVC jacket</t>
        </is>
      </c>
      <c r="K795" s="9" t="inlineStr">
        <is>
          <t>LV|3/C+G|10</t>
        </is>
      </c>
      <c r="L795" s="9" t="inlineStr">
        <is>
          <t>3/C+G</t>
        </is>
      </c>
      <c r="M795" s="9" t="inlineStr">
        <is>
          <t>10</t>
        </is>
      </c>
      <c r="N795" s="9" t="n">
        <v>1</v>
      </c>
      <c r="O795" s="9" t="n">
        <v>1</v>
      </c>
      <c r="P795" s="9" t="n">
        <v>480</v>
      </c>
      <c r="Q795" s="9" t="n">
        <v>15</v>
      </c>
      <c r="R795" s="9" t="n">
        <v>21</v>
      </c>
      <c r="S795" s="9" t="inlineStr">
        <is>
          <t>Duct bank</t>
        </is>
      </c>
      <c r="T795" s="10" t="n">
        <v>230</v>
      </c>
      <c r="U795" s="10" t="n">
        <v>53</v>
      </c>
      <c r="V795" s="10">
        <f>ROUNDUP((T795+U795+2*'Read Me'!$B$13)*(1+'Read Me'!$B$12),-1)</f>
        <v/>
      </c>
      <c r="W795" s="10">
        <f>V795*N795*O795</f>
        <v/>
      </c>
      <c r="X795" s="9">
        <f>IF(LEFT(I795,2)="MV",2*N795*IF(L795="1/C",O795,1),0)</f>
        <v/>
      </c>
      <c r="Y795" s="9">
        <f>IF(OR(LEFT(K795,4)="LVAX",LEFT(K795,6)="MV15AX",LEFT(K795,4)="CTAX",LEFT(K795,2)="W|"),2*N795*O795,0)</f>
        <v/>
      </c>
      <c r="Z795" s="9" t="inlineStr">
        <is>
          <t>VD 2.9 %</t>
        </is>
      </c>
    </row>
    <row r="796">
      <c r="A796" s="9" t="inlineStr">
        <is>
          <t>A-P-0006</t>
        </is>
      </c>
      <c r="B796" s="9" t="inlineStr">
        <is>
          <t>A</t>
        </is>
      </c>
      <c r="C796" s="9" t="inlineStr">
        <is>
          <t>Power block</t>
        </is>
      </c>
      <c r="D796" s="9" t="inlineStr">
        <is>
          <t>LV power feeder</t>
        </is>
      </c>
      <c r="E796" s="9" t="inlineStr">
        <is>
          <t>R2B</t>
        </is>
      </c>
      <c r="F796" s="9" t="inlineStr">
        <is>
          <t>R2B: unit / HRSG electrical e-house (32 x 40 ft)</t>
        </is>
      </c>
      <c r="G796" s="9" t="inlineStr">
        <is>
          <t>HALL</t>
        </is>
      </c>
      <c r="H796" s="9" t="inlineStr">
        <is>
          <t>Common turbine hall</t>
        </is>
      </c>
      <c r="I796" s="9" t="inlineStr">
        <is>
          <t>LV 600 V</t>
        </is>
      </c>
      <c r="J796" s="9" t="inlineStr">
        <is>
          <t>Type TC-ER 600 V 3/C Cu XHHW-2 + ground, PVC jacket</t>
        </is>
      </c>
      <c r="K796" s="9" t="inlineStr">
        <is>
          <t>LV|3/C+G|4</t>
        </is>
      </c>
      <c r="L796" s="9" t="inlineStr">
        <is>
          <t>3/C+G</t>
        </is>
      </c>
      <c r="M796" s="9" t="inlineStr">
        <is>
          <t>4</t>
        </is>
      </c>
      <c r="N796" s="9" t="n">
        <v>1</v>
      </c>
      <c r="O796" s="9" t="n">
        <v>1</v>
      </c>
      <c r="P796" s="9" t="n">
        <v>480</v>
      </c>
      <c r="Q796" s="9" t="n">
        <v>15</v>
      </c>
      <c r="R796" s="9" t="n">
        <v>21</v>
      </c>
      <c r="S796" s="9" t="inlineStr">
        <is>
          <t>Tray</t>
        </is>
      </c>
      <c r="T796" s="10" t="n">
        <v>918</v>
      </c>
      <c r="U796" s="10" t="n">
        <v>96</v>
      </c>
      <c r="V796" s="10">
        <f>ROUNDUP((T796+U796+2*'Read Me'!$B$13)*(1+'Read Me'!$B$12),-1)</f>
        <v/>
      </c>
      <c r="W796" s="10">
        <f>V796*N796*O796</f>
        <v/>
      </c>
      <c r="X796" s="9">
        <f>IF(LEFT(I796,2)="MV",2*N796*IF(L796="1/C",O796,1),0)</f>
        <v/>
      </c>
      <c r="Y796" s="9">
        <f>IF(OR(LEFT(K796,4)="LVAX",LEFT(K796,6)="MV15AX",LEFT(K796,4)="CTAX",LEFT(K796,2)="W|"),2*N796*O796,0)</f>
        <v/>
      </c>
      <c r="Z796" s="9" t="inlineStr">
        <is>
          <t>VD 2.6 %</t>
        </is>
      </c>
    </row>
    <row r="797">
      <c r="A797" s="9" t="inlineStr">
        <is>
          <t>A-P-0007</t>
        </is>
      </c>
      <c r="B797" s="9" t="inlineStr">
        <is>
          <t>A</t>
        </is>
      </c>
      <c r="C797" s="9" t="inlineStr">
        <is>
          <t>Power block</t>
        </is>
      </c>
      <c r="D797" s="9" t="inlineStr">
        <is>
          <t>LV power feeder</t>
        </is>
      </c>
      <c r="E797" s="9" t="inlineStr">
        <is>
          <t>R3</t>
        </is>
      </c>
      <c r="F797" s="9" t="inlineStr">
        <is>
          <t>R3: ST auxiliary electrical e-house (40 x 65 ft)</t>
        </is>
      </c>
      <c r="G797" s="9" t="inlineStr">
        <is>
          <t>EHC-ST</t>
        </is>
      </c>
      <c r="H797" s="9" t="inlineStr">
        <is>
          <t>EHC-ST: ST electro-hydraulic control power unit</t>
        </is>
      </c>
      <c r="I797" s="9" t="inlineStr">
        <is>
          <t>LV 600 V</t>
        </is>
      </c>
      <c r="J797" s="9" t="inlineStr">
        <is>
          <t>Type TC-ER 600 V 3/C Cu XHHW-2 + ground, PVC jacket</t>
        </is>
      </c>
      <c r="K797" s="9" t="inlineStr">
        <is>
          <t>LV|3/C+G|4</t>
        </is>
      </c>
      <c r="L797" s="9" t="inlineStr">
        <is>
          <t>3/C+G</t>
        </is>
      </c>
      <c r="M797" s="9" t="inlineStr">
        <is>
          <t>4</t>
        </is>
      </c>
      <c r="N797" s="9" t="n">
        <v>1</v>
      </c>
      <c r="O797" s="9" t="n">
        <v>1</v>
      </c>
      <c r="P797" s="9" t="n">
        <v>480</v>
      </c>
      <c r="Q797" s="9" t="n">
        <v>45</v>
      </c>
      <c r="R797" s="9" t="n">
        <v>64</v>
      </c>
      <c r="S797" s="9" t="inlineStr">
        <is>
          <t>Tray</t>
        </is>
      </c>
      <c r="T797" s="10" t="n">
        <v>36</v>
      </c>
      <c r="U797" s="10" t="n">
        <v>102</v>
      </c>
      <c r="V797" s="10">
        <f>ROUNDUP((T797+U797+2*'Read Me'!$B$13)*(1+'Read Me'!$B$12),-1)</f>
        <v/>
      </c>
      <c r="W797" s="10">
        <f>V797*N797*O797</f>
        <v/>
      </c>
      <c r="X797" s="9">
        <f>IF(LEFT(I797,2)="MV",2*N797*IF(L797="1/C",O797,1),0)</f>
        <v/>
      </c>
      <c r="Y797" s="9">
        <f>IF(OR(LEFT(K797,4)="LVAX",LEFT(K797,6)="MV15AX",LEFT(K797,4)="CTAX",LEFT(K797,2)="W|"),2*N797*O797,0)</f>
        <v/>
      </c>
      <c r="Z797" s="9" t="inlineStr">
        <is>
          <t>VD 1.1 %</t>
        </is>
      </c>
    </row>
    <row r="798">
      <c r="A798" s="9" t="inlineStr">
        <is>
          <t>A-P-0008</t>
        </is>
      </c>
      <c r="B798" s="9" t="inlineStr">
        <is>
          <t>A</t>
        </is>
      </c>
      <c r="C798" s="9" t="inlineStr">
        <is>
          <t>Power block</t>
        </is>
      </c>
      <c r="D798" s="9" t="inlineStr">
        <is>
          <t>LV panel / distribution feeder</t>
        </is>
      </c>
      <c r="E798" s="9" t="inlineStr">
        <is>
          <t>MCC-GT1</t>
        </is>
      </c>
      <c r="F798" s="9" t="inlineStr">
        <is>
          <t>R1 MCC-GT1</t>
        </is>
      </c>
      <c r="G798" s="9" t="inlineStr">
        <is>
          <t>FH-1</t>
        </is>
      </c>
      <c r="H798" s="9" t="inlineStr">
        <is>
          <t>FH-1: GT inlet filter house on its own frame</t>
        </is>
      </c>
      <c r="I798" s="9" t="inlineStr">
        <is>
          <t>LV 600 V</t>
        </is>
      </c>
      <c r="J798" s="9" t="inlineStr">
        <is>
          <t>Type TC-ER 600 V 3/C Cu XHHW-2 + ground, PVC jacket</t>
        </is>
      </c>
      <c r="K798" s="9" t="inlineStr">
        <is>
          <t>LV|3/C+G|1</t>
        </is>
      </c>
      <c r="L798" s="9" t="inlineStr">
        <is>
          <t>3/C+G</t>
        </is>
      </c>
      <c r="M798" s="9" t="inlineStr">
        <is>
          <t>1</t>
        </is>
      </c>
      <c r="N798" s="9" t="n">
        <v>1</v>
      </c>
      <c r="O798" s="9" t="n">
        <v>1</v>
      </c>
      <c r="P798" s="9" t="n">
        <v>480</v>
      </c>
      <c r="Q798" s="9" t="n">
        <v>40</v>
      </c>
      <c r="R798" s="9" t="n">
        <v>57</v>
      </c>
      <c r="S798" s="9" t="inlineStr">
        <is>
          <t>Duct bank</t>
        </is>
      </c>
      <c r="T798" s="10" t="n">
        <v>638</v>
      </c>
      <c r="U798" s="10" t="n">
        <v>93</v>
      </c>
      <c r="V798" s="10">
        <f>ROUNDUP((T798+U798+2*'Read Me'!$B$13)*(1+'Read Me'!$B$12),-1)</f>
        <v/>
      </c>
      <c r="W798" s="10">
        <f>V798*N798*O798</f>
        <v/>
      </c>
      <c r="X798" s="9">
        <f>IF(LEFT(I798,2)="MV",2*N798*IF(L798="1/C",O798,1),0)</f>
        <v/>
      </c>
      <c r="Y798" s="9">
        <f>IF(OR(LEFT(K798,4)="LVAX",LEFT(K798,6)="MV15AX",LEFT(K798,4)="CTAX",LEFT(K798,2)="W|"),2*N798*O798,0)</f>
        <v/>
      </c>
      <c r="Z798" s="9" t="inlineStr">
        <is>
          <t>VD 2.5 %</t>
        </is>
      </c>
    </row>
    <row r="799">
      <c r="A799" s="9" t="inlineStr">
        <is>
          <t>A-P-0009</t>
        </is>
      </c>
      <c r="B799" s="9" t="inlineStr">
        <is>
          <t>A</t>
        </is>
      </c>
      <c r="C799" s="9" t="inlineStr">
        <is>
          <t>Power block</t>
        </is>
      </c>
      <c r="D799" s="9" t="inlineStr">
        <is>
          <t>LV panel / distribution feeder</t>
        </is>
      </c>
      <c r="E799" s="9" t="inlineStr">
        <is>
          <t>MCC-GT2</t>
        </is>
      </c>
      <c r="F799" s="9" t="inlineStr">
        <is>
          <t>R1 MCC-GT2</t>
        </is>
      </c>
      <c r="G799" s="9" t="inlineStr">
        <is>
          <t>FH-2</t>
        </is>
      </c>
      <c r="H799" s="9" t="inlineStr">
        <is>
          <t>FH-2: GT inlet filter house on its own frame</t>
        </is>
      </c>
      <c r="I799" s="9" t="inlineStr">
        <is>
          <t>LV 600 V</t>
        </is>
      </c>
      <c r="J799" s="9" t="inlineStr">
        <is>
          <t>Type TC-ER 600 V 3/C Cu XHHW-2 + ground, PVC jacket</t>
        </is>
      </c>
      <c r="K799" s="9" t="inlineStr">
        <is>
          <t>LV|3/C+G|1</t>
        </is>
      </c>
      <c r="L799" s="9" t="inlineStr">
        <is>
          <t>3/C+G</t>
        </is>
      </c>
      <c r="M799" s="9" t="inlineStr">
        <is>
          <t>1</t>
        </is>
      </c>
      <c r="N799" s="9" t="n">
        <v>1</v>
      </c>
      <c r="O799" s="9" t="n">
        <v>1</v>
      </c>
      <c r="P799" s="9" t="n">
        <v>480</v>
      </c>
      <c r="Q799" s="9" t="n">
        <v>40</v>
      </c>
      <c r="R799" s="9" t="n">
        <v>57</v>
      </c>
      <c r="S799" s="9" t="inlineStr">
        <is>
          <t>Tray</t>
        </is>
      </c>
      <c r="T799" s="10" t="n">
        <v>655</v>
      </c>
      <c r="U799" s="10" t="n">
        <v>104</v>
      </c>
      <c r="V799" s="10">
        <f>ROUNDUP((T799+U799+2*'Read Me'!$B$13)*(1+'Read Me'!$B$12),-1)</f>
        <v/>
      </c>
      <c r="W799" s="10">
        <f>V799*N799*O799</f>
        <v/>
      </c>
      <c r="X799" s="9">
        <f>IF(LEFT(I799,2)="MV",2*N799*IF(L799="1/C",O799,1),0)</f>
        <v/>
      </c>
      <c r="Y799" s="9">
        <f>IF(OR(LEFT(K799,4)="LVAX",LEFT(K799,6)="MV15AX",LEFT(K799,4)="CTAX",LEFT(K799,2)="W|"),2*N799*O799,0)</f>
        <v/>
      </c>
      <c r="Z799" s="9" t="inlineStr">
        <is>
          <t>VD 2.6 %</t>
        </is>
      </c>
    </row>
    <row r="800">
      <c r="A800" s="9" t="inlineStr">
        <is>
          <t>A-P-0010</t>
        </is>
      </c>
      <c r="B800" s="9" t="inlineStr">
        <is>
          <t>A</t>
        </is>
      </c>
      <c r="C800" s="9" t="inlineStr">
        <is>
          <t>Power block</t>
        </is>
      </c>
      <c r="D800" s="9" t="inlineStr">
        <is>
          <t>LV panel / distribution feeder</t>
        </is>
      </c>
      <c r="E800" s="9" t="inlineStr">
        <is>
          <t>MCC-GT3</t>
        </is>
      </c>
      <c r="F800" s="9" t="inlineStr">
        <is>
          <t>R1 MCC-GT3</t>
        </is>
      </c>
      <c r="G800" s="9" t="inlineStr">
        <is>
          <t>FH-3</t>
        </is>
      </c>
      <c r="H800" s="9" t="inlineStr">
        <is>
          <t>FH-3: GT inlet filter house on its own frame</t>
        </is>
      </c>
      <c r="I800" s="9" t="inlineStr">
        <is>
          <t>LV 600 V</t>
        </is>
      </c>
      <c r="J800" s="9" t="inlineStr">
        <is>
          <t>Type TC-ER 600 V 3/C Cu XHHW-2 + ground, PVC jacket</t>
        </is>
      </c>
      <c r="K800" s="9" t="inlineStr">
        <is>
          <t>LV|3/C+G|1/0</t>
        </is>
      </c>
      <c r="L800" s="9" t="inlineStr">
        <is>
          <t>3/C+G</t>
        </is>
      </c>
      <c r="M800" s="9" t="inlineStr">
        <is>
          <t>1/0</t>
        </is>
      </c>
      <c r="N800" s="9" t="n">
        <v>1</v>
      </c>
      <c r="O800" s="9" t="n">
        <v>1</v>
      </c>
      <c r="P800" s="9" t="n">
        <v>480</v>
      </c>
      <c r="Q800" s="9" t="n">
        <v>40</v>
      </c>
      <c r="R800" s="9" t="n">
        <v>57</v>
      </c>
      <c r="S800" s="9" t="inlineStr">
        <is>
          <t>Tray</t>
        </is>
      </c>
      <c r="T800" s="10" t="n">
        <v>833</v>
      </c>
      <c r="U800" s="10" t="n">
        <v>102</v>
      </c>
      <c r="V800" s="10">
        <f>ROUNDUP((T800+U800+2*'Read Me'!$B$13)*(1+'Read Me'!$B$12),-1)</f>
        <v/>
      </c>
      <c r="W800" s="10">
        <f>V800*N800*O800</f>
        <v/>
      </c>
      <c r="X800" s="9">
        <f>IF(LEFT(I800,2)="MV",2*N800*IF(L800="1/C",O800,1),0)</f>
        <v/>
      </c>
      <c r="Y800" s="9">
        <f>IF(OR(LEFT(K800,4)="LVAX",LEFT(K800,6)="MV15AX",LEFT(K800,4)="CTAX",LEFT(K800,2)="W|"),2*N800*O800,0)</f>
        <v/>
      </c>
      <c r="Z800" s="9" t="inlineStr">
        <is>
          <t>VD 2.6 %</t>
        </is>
      </c>
    </row>
    <row r="801">
      <c r="A801" s="9" t="inlineStr">
        <is>
          <t>A-P-0011</t>
        </is>
      </c>
      <c r="B801" s="9" t="inlineStr">
        <is>
          <t>A</t>
        </is>
      </c>
      <c r="C801" s="9" t="inlineStr">
        <is>
          <t>Power block</t>
        </is>
      </c>
      <c r="D801" s="9" t="inlineStr">
        <is>
          <t>LV power feeder</t>
        </is>
      </c>
      <c r="E801" s="9" t="inlineStr">
        <is>
          <t>MCC-GT1</t>
        </is>
      </c>
      <c r="F801" s="9" t="inlineStr">
        <is>
          <t>R1 MCC-GT1</t>
        </is>
      </c>
      <c r="G801" s="9" t="inlineStr">
        <is>
          <t>FS-GT1</t>
        </is>
      </c>
      <c r="H801" s="9" t="inlineStr">
        <is>
          <t>FS-GT1: CO2 fire-suppression skid</t>
        </is>
      </c>
      <c r="I801" s="9" t="inlineStr">
        <is>
          <t>LV 600 V</t>
        </is>
      </c>
      <c r="J801" s="9" t="inlineStr">
        <is>
          <t>Type TC-ER 600 V 3/C Cu XHHW-2 + ground, PVC jacket</t>
        </is>
      </c>
      <c r="K801" s="9" t="inlineStr">
        <is>
          <t>LV|3/C+G|500</t>
        </is>
      </c>
      <c r="L801" s="9" t="inlineStr">
        <is>
          <t>3/C+G</t>
        </is>
      </c>
      <c r="M801" s="9" t="inlineStr">
        <is>
          <t>500 kcmil</t>
        </is>
      </c>
      <c r="N801" s="9" t="n">
        <v>1</v>
      </c>
      <c r="O801" s="9" t="n">
        <v>1</v>
      </c>
      <c r="P801" s="9" t="n">
        <v>480</v>
      </c>
      <c r="Q801" s="9" t="n">
        <v>150</v>
      </c>
      <c r="R801" s="9" t="n">
        <v>212</v>
      </c>
      <c r="S801" s="9" t="inlineStr">
        <is>
          <t>Duct bank</t>
        </is>
      </c>
      <c r="T801" s="10" t="n">
        <v>1004</v>
      </c>
      <c r="U801" s="10" t="n">
        <v>138</v>
      </c>
      <c r="V801" s="10">
        <f>ROUNDUP((T801+U801+2*'Read Me'!$B$13)*(1+'Read Me'!$B$12),-1)</f>
        <v/>
      </c>
      <c r="W801" s="10">
        <f>V801*N801*O801</f>
        <v/>
      </c>
      <c r="X801" s="9">
        <f>IF(LEFT(I801,2)="MV",2*N801*IF(L801="1/C",O801,1),0)</f>
        <v/>
      </c>
      <c r="Y801" s="9">
        <f>IF(OR(LEFT(K801,4)="LVAX",LEFT(K801,6)="MV15AX",LEFT(K801,4)="CTAX",LEFT(K801,2)="W|"),2*N801*O801,0)</f>
        <v/>
      </c>
      <c r="Z801" s="9" t="inlineStr">
        <is>
          <t>VD 2.5 %</t>
        </is>
      </c>
    </row>
    <row r="802">
      <c r="A802" s="9" t="inlineStr">
        <is>
          <t>A-P-0012</t>
        </is>
      </c>
      <c r="B802" s="9" t="inlineStr">
        <is>
          <t>A</t>
        </is>
      </c>
      <c r="C802" s="9" t="inlineStr">
        <is>
          <t>Power block</t>
        </is>
      </c>
      <c r="D802" s="9" t="inlineStr">
        <is>
          <t>LV power feeder</t>
        </is>
      </c>
      <c r="E802" s="9" t="inlineStr">
        <is>
          <t>MCC-GT2</t>
        </is>
      </c>
      <c r="F802" s="9" t="inlineStr">
        <is>
          <t>R1 MCC-GT2</t>
        </is>
      </c>
      <c r="G802" s="9" t="inlineStr">
        <is>
          <t>FS-GT2</t>
        </is>
      </c>
      <c r="H802" s="9" t="inlineStr">
        <is>
          <t>FS-GT2: CO2 fire-suppression skid</t>
        </is>
      </c>
      <c r="I802" s="9" t="inlineStr">
        <is>
          <t>LV 600 V</t>
        </is>
      </c>
      <c r="J802" s="9" t="inlineStr">
        <is>
          <t>Type TC-ER 600 V 3/C Cu XHHW-2 + ground, PVC jacket</t>
        </is>
      </c>
      <c r="K802" s="9" t="inlineStr">
        <is>
          <t>LV|3/C+G|350</t>
        </is>
      </c>
      <c r="L802" s="9" t="inlineStr">
        <is>
          <t>3/C+G</t>
        </is>
      </c>
      <c r="M802" s="9" t="inlineStr">
        <is>
          <t>350 kcmil</t>
        </is>
      </c>
      <c r="N802" s="9" t="n">
        <v>1</v>
      </c>
      <c r="O802" s="9" t="n">
        <v>1</v>
      </c>
      <c r="P802" s="9" t="n">
        <v>480</v>
      </c>
      <c r="Q802" s="9" t="n">
        <v>150</v>
      </c>
      <c r="R802" s="9" t="n">
        <v>212</v>
      </c>
      <c r="S802" s="9" t="inlineStr">
        <is>
          <t>Tray</t>
        </is>
      </c>
      <c r="T802" s="10" t="n">
        <v>458</v>
      </c>
      <c r="U802" s="10" t="n">
        <v>145</v>
      </c>
      <c r="V802" s="10">
        <f>ROUNDUP((T802+U802+2*'Read Me'!$B$13)*(1+'Read Me'!$B$12),-1)</f>
        <v/>
      </c>
      <c r="W802" s="10">
        <f>V802*N802*O802</f>
        <v/>
      </c>
      <c r="X802" s="9">
        <f>IF(LEFT(I802,2)="MV",2*N802*IF(L802="1/C",O802,1),0)</f>
        <v/>
      </c>
      <c r="Y802" s="9">
        <f>IF(OR(LEFT(K802,4)="LVAX",LEFT(K802,6)="MV15AX",LEFT(K802,4)="CTAX",LEFT(K802,2)="W|"),2*N802*O802,0)</f>
        <v/>
      </c>
      <c r="Z802" s="9" t="inlineStr">
        <is>
          <t>VD 1.9 %</t>
        </is>
      </c>
    </row>
    <row r="803">
      <c r="A803" s="9" t="inlineStr">
        <is>
          <t>A-P-0013</t>
        </is>
      </c>
      <c r="B803" s="9" t="inlineStr">
        <is>
          <t>A</t>
        </is>
      </c>
      <c r="C803" s="9" t="inlineStr">
        <is>
          <t>Power block</t>
        </is>
      </c>
      <c r="D803" s="9" t="inlineStr">
        <is>
          <t>LV power feeder</t>
        </is>
      </c>
      <c r="E803" s="9" t="inlineStr">
        <is>
          <t>MCC-GT3</t>
        </is>
      </c>
      <c r="F803" s="9" t="inlineStr">
        <is>
          <t>R1 MCC-GT3</t>
        </is>
      </c>
      <c r="G803" s="9" t="inlineStr">
        <is>
          <t>FS-GT3</t>
        </is>
      </c>
      <c r="H803" s="9" t="inlineStr">
        <is>
          <t>FS-GT3: CO2 fire-suppression skid</t>
        </is>
      </c>
      <c r="I803" s="9" t="inlineStr">
        <is>
          <t>LV 600 V</t>
        </is>
      </c>
      <c r="J803" s="9" t="inlineStr">
        <is>
          <t>Type TC-ER 600 V 3/C Cu XHHW-2 + ground, PVC jacket</t>
        </is>
      </c>
      <c r="K803" s="9" t="inlineStr">
        <is>
          <t>LV|3/C+G|350</t>
        </is>
      </c>
      <c r="L803" s="9" t="inlineStr">
        <is>
          <t>3/C+G</t>
        </is>
      </c>
      <c r="M803" s="9" t="inlineStr">
        <is>
          <t>350 kcmil</t>
        </is>
      </c>
      <c r="N803" s="9" t="n">
        <v>1</v>
      </c>
      <c r="O803" s="9" t="n">
        <v>1</v>
      </c>
      <c r="P803" s="9" t="n">
        <v>480</v>
      </c>
      <c r="Q803" s="9" t="n">
        <v>150</v>
      </c>
      <c r="R803" s="9" t="n">
        <v>212</v>
      </c>
      <c r="S803" s="9" t="inlineStr">
        <is>
          <t>Tray</t>
        </is>
      </c>
      <c r="T803" s="10" t="n">
        <v>636</v>
      </c>
      <c r="U803" s="10" t="n">
        <v>143</v>
      </c>
      <c r="V803" s="10">
        <f>ROUNDUP((T803+U803+2*'Read Me'!$B$13)*(1+'Read Me'!$B$12),-1)</f>
        <v/>
      </c>
      <c r="W803" s="10">
        <f>V803*N803*O803</f>
        <v/>
      </c>
      <c r="X803" s="9">
        <f>IF(LEFT(I803,2)="MV",2*N803*IF(L803="1/C",O803,1),0)</f>
        <v/>
      </c>
      <c r="Y803" s="9">
        <f>IF(OR(LEFT(K803,4)="LVAX",LEFT(K803,6)="MV15AX",LEFT(K803,4)="CTAX",LEFT(K803,2)="W|"),2*N803*O803,0)</f>
        <v/>
      </c>
      <c r="Z803" s="9" t="inlineStr">
        <is>
          <t>VD 2.4 %</t>
        </is>
      </c>
    </row>
    <row r="804">
      <c r="A804" s="9" t="inlineStr">
        <is>
          <t>A-P-0014</t>
        </is>
      </c>
      <c r="B804" s="9" t="inlineStr">
        <is>
          <t>A</t>
        </is>
      </c>
      <c r="C804" s="9" t="inlineStr">
        <is>
          <t>Power block</t>
        </is>
      </c>
      <c r="D804" s="9" t="inlineStr">
        <is>
          <t>LV power feeder</t>
        </is>
      </c>
      <c r="E804" s="9" t="inlineStr">
        <is>
          <t>MCC-GT1</t>
        </is>
      </c>
      <c r="F804" s="9" t="inlineStr">
        <is>
          <t>R1 MCC-GT1</t>
        </is>
      </c>
      <c r="G804" s="9" t="inlineStr">
        <is>
          <t>GFM-1</t>
        </is>
      </c>
      <c r="H804" s="9" t="inlineStr">
        <is>
          <t>GFM-1: GT1 gas fuel module (stop / control valves, final strainer)</t>
        </is>
      </c>
      <c r="I804" s="9" t="inlineStr">
        <is>
          <t>LV 600 V</t>
        </is>
      </c>
      <c r="J804" s="9" t="inlineStr">
        <is>
          <t>ARMOR-X MC-HL 600 V 3/C Cu XHHW-2 + ground, CWA, black PVC (Class I Div 2)</t>
        </is>
      </c>
      <c r="K804" s="9" t="inlineStr">
        <is>
          <t>LVAX|3/C+G|4</t>
        </is>
      </c>
      <c r="L804" s="9" t="inlineStr">
        <is>
          <t>3/C+G</t>
        </is>
      </c>
      <c r="M804" s="9" t="inlineStr">
        <is>
          <t>4</t>
        </is>
      </c>
      <c r="N804" s="9" t="n">
        <v>1</v>
      </c>
      <c r="O804" s="9" t="n">
        <v>1</v>
      </c>
      <c r="P804" s="9" t="n">
        <v>480</v>
      </c>
      <c r="Q804" s="9" t="n">
        <v>15</v>
      </c>
      <c r="R804" s="9" t="n">
        <v>21</v>
      </c>
      <c r="S804" s="9" t="inlineStr">
        <is>
          <t>Duct bank</t>
        </is>
      </c>
      <c r="T804" s="10" t="n">
        <v>1026</v>
      </c>
      <c r="U804" s="10" t="n">
        <v>128</v>
      </c>
      <c r="V804" s="10">
        <f>ROUNDUP((T804+U804+2*'Read Me'!$B$13)*(1+'Read Me'!$B$12),-1)</f>
        <v/>
      </c>
      <c r="W804" s="10">
        <f>V804*N804*O804</f>
        <v/>
      </c>
      <c r="X804" s="9">
        <f>IF(LEFT(I804,2)="MV",2*N804*IF(L804="1/C",O804,1),0)</f>
        <v/>
      </c>
      <c r="Y804" s="9">
        <f>IF(OR(LEFT(K804,4)="LVAX",LEFT(K804,6)="MV15AX",LEFT(K804,4)="CTAX",LEFT(K804,2)="W|"),2*N804*O804,0)</f>
        <v/>
      </c>
      <c r="Z804" s="9" t="inlineStr">
        <is>
          <t>VD 3.0 %</t>
        </is>
      </c>
    </row>
    <row r="805">
      <c r="A805" s="9" t="inlineStr">
        <is>
          <t>A-P-0015</t>
        </is>
      </c>
      <c r="B805" s="9" t="inlineStr">
        <is>
          <t>A</t>
        </is>
      </c>
      <c r="C805" s="9" t="inlineStr">
        <is>
          <t>Power block</t>
        </is>
      </c>
      <c r="D805" s="9" t="inlineStr">
        <is>
          <t>LV power feeder</t>
        </is>
      </c>
      <c r="E805" s="9" t="inlineStr">
        <is>
          <t>MCC-GT2</t>
        </is>
      </c>
      <c r="F805" s="9" t="inlineStr">
        <is>
          <t>R1 MCC-GT2</t>
        </is>
      </c>
      <c r="G805" s="9" t="inlineStr">
        <is>
          <t>GFM-2</t>
        </is>
      </c>
      <c r="H805" s="9" t="inlineStr">
        <is>
          <t>GFM-2: GT2 gas fuel module (stop / control valves, final strainer)</t>
        </is>
      </c>
      <c r="I805" s="9" t="inlineStr">
        <is>
          <t>LV 600 V</t>
        </is>
      </c>
      <c r="J805" s="9" t="inlineStr">
        <is>
          <t>ARMOR-X MC-HL 600 V 3/C Cu XHHW-2 + ground, CWA, black PVC (Class I Div 2)</t>
        </is>
      </c>
      <c r="K805" s="9" t="inlineStr">
        <is>
          <t>LVAX|3/C+G|6</t>
        </is>
      </c>
      <c r="L805" s="9" t="inlineStr">
        <is>
          <t>3/C+G</t>
        </is>
      </c>
      <c r="M805" s="9" t="inlineStr">
        <is>
          <t>6</t>
        </is>
      </c>
      <c r="N805" s="9" t="n">
        <v>1</v>
      </c>
      <c r="O805" s="9" t="n">
        <v>1</v>
      </c>
      <c r="P805" s="9" t="n">
        <v>480</v>
      </c>
      <c r="Q805" s="9" t="n">
        <v>15</v>
      </c>
      <c r="R805" s="9" t="n">
        <v>21</v>
      </c>
      <c r="S805" s="9" t="inlineStr">
        <is>
          <t>Tray</t>
        </is>
      </c>
      <c r="T805" s="10" t="n">
        <v>468</v>
      </c>
      <c r="U805" s="10" t="n">
        <v>135</v>
      </c>
      <c r="V805" s="10">
        <f>ROUNDUP((T805+U805+2*'Read Me'!$B$13)*(1+'Read Me'!$B$12),-1)</f>
        <v/>
      </c>
      <c r="W805" s="10">
        <f>V805*N805*O805</f>
        <v/>
      </c>
      <c r="X805" s="9">
        <f>IF(LEFT(I805,2)="MV",2*N805*IF(L805="1/C",O805,1),0)</f>
        <v/>
      </c>
      <c r="Y805" s="9">
        <f>IF(OR(LEFT(K805,4)="LVAX",LEFT(K805,6)="MV15AX",LEFT(K805,4)="CTAX",LEFT(K805,2)="W|"),2*N805*O805,0)</f>
        <v/>
      </c>
      <c r="Z805" s="9" t="inlineStr">
        <is>
          <t>VD 2.5 %</t>
        </is>
      </c>
    </row>
    <row r="806">
      <c r="A806" s="9" t="inlineStr">
        <is>
          <t>A-P-0016</t>
        </is>
      </c>
      <c r="B806" s="9" t="inlineStr">
        <is>
          <t>A</t>
        </is>
      </c>
      <c r="C806" s="9" t="inlineStr">
        <is>
          <t>Power block</t>
        </is>
      </c>
      <c r="D806" s="9" t="inlineStr">
        <is>
          <t>LV power feeder</t>
        </is>
      </c>
      <c r="E806" s="9" t="inlineStr">
        <is>
          <t>MCC-GT3</t>
        </is>
      </c>
      <c r="F806" s="9" t="inlineStr">
        <is>
          <t>R1 MCC-GT3</t>
        </is>
      </c>
      <c r="G806" s="9" t="inlineStr">
        <is>
          <t>GFM-3</t>
        </is>
      </c>
      <c r="H806" s="9" t="inlineStr">
        <is>
          <t>GFM-3: GT3 gas fuel module (stop / control valves, final strainer)</t>
        </is>
      </c>
      <c r="I806" s="9" t="inlineStr">
        <is>
          <t>LV 600 V</t>
        </is>
      </c>
      <c r="J806" s="9" t="inlineStr">
        <is>
          <t>ARMOR-X MC-HL 600 V 3/C Cu XHHW-2 + ground, CWA, black PVC (Class I Div 2)</t>
        </is>
      </c>
      <c r="K806" s="9" t="inlineStr">
        <is>
          <t>LVAX|3/C+G|4</t>
        </is>
      </c>
      <c r="L806" s="9" t="inlineStr">
        <is>
          <t>3/C+G</t>
        </is>
      </c>
      <c r="M806" s="9" t="inlineStr">
        <is>
          <t>4</t>
        </is>
      </c>
      <c r="N806" s="9" t="n">
        <v>1</v>
      </c>
      <c r="O806" s="9" t="n">
        <v>1</v>
      </c>
      <c r="P806" s="9" t="n">
        <v>480</v>
      </c>
      <c r="Q806" s="9" t="n">
        <v>15</v>
      </c>
      <c r="R806" s="9" t="n">
        <v>21</v>
      </c>
      <c r="S806" s="9" t="inlineStr">
        <is>
          <t>Tray</t>
        </is>
      </c>
      <c r="T806" s="10" t="n">
        <v>646</v>
      </c>
      <c r="U806" s="10" t="n">
        <v>133</v>
      </c>
      <c r="V806" s="10">
        <f>ROUNDUP((T806+U806+2*'Read Me'!$B$13)*(1+'Read Me'!$B$12),-1)</f>
        <v/>
      </c>
      <c r="W806" s="10">
        <f>V806*N806*O806</f>
        <v/>
      </c>
      <c r="X806" s="9">
        <f>IF(LEFT(I806,2)="MV",2*N806*IF(L806="1/C",O806,1),0)</f>
        <v/>
      </c>
      <c r="Y806" s="9">
        <f>IF(OR(LEFT(K806,4)="LVAX",LEFT(K806,6)="MV15AX",LEFT(K806,4)="CTAX",LEFT(K806,2)="W|"),2*N806*O806,0)</f>
        <v/>
      </c>
      <c r="Z806" s="9" t="inlineStr">
        <is>
          <t>VD 2.0 %</t>
        </is>
      </c>
    </row>
    <row r="807">
      <c r="A807" s="9" t="inlineStr">
        <is>
          <t>A-P-0017</t>
        </is>
      </c>
      <c r="B807" s="9" t="inlineStr">
        <is>
          <t>A</t>
        </is>
      </c>
      <c r="C807" s="9" t="inlineStr">
        <is>
          <t>Power block</t>
        </is>
      </c>
      <c r="D807" s="9" t="inlineStr">
        <is>
          <t>LV power feeder</t>
        </is>
      </c>
      <c r="E807" s="9" t="inlineStr">
        <is>
          <t>R3</t>
        </is>
      </c>
      <c r="F807" s="9" t="inlineStr">
        <is>
          <t>R3: ST auxiliary electrical e-house (40 x 65 ft)</t>
        </is>
      </c>
      <c r="G807" s="9" t="inlineStr">
        <is>
          <t>GSC-ST</t>
        </is>
      </c>
      <c r="H807" s="9" t="inlineStr">
        <is>
          <t>GSC-ST: gland-steam condenser and exhausters</t>
        </is>
      </c>
      <c r="I807" s="9" t="inlineStr">
        <is>
          <t>LV 600 V</t>
        </is>
      </c>
      <c r="J807" s="9" t="inlineStr">
        <is>
          <t>Type TC-ER 600 V 3/C Cu XHHW-2 + ground, PVC jacket</t>
        </is>
      </c>
      <c r="K807" s="9" t="inlineStr">
        <is>
          <t>LV|3/C+G|4</t>
        </is>
      </c>
      <c r="L807" s="9" t="inlineStr">
        <is>
          <t>3/C+G</t>
        </is>
      </c>
      <c r="M807" s="9" t="inlineStr">
        <is>
          <t>4</t>
        </is>
      </c>
      <c r="N807" s="9" t="n">
        <v>1</v>
      </c>
      <c r="O807" s="9" t="n">
        <v>1</v>
      </c>
      <c r="P807" s="9" t="n">
        <v>480</v>
      </c>
      <c r="Q807" s="9" t="n">
        <v>45</v>
      </c>
      <c r="R807" s="9" t="n">
        <v>64</v>
      </c>
      <c r="S807" s="9" t="inlineStr">
        <is>
          <t>Tray</t>
        </is>
      </c>
      <c r="T807" s="10" t="n">
        <v>91</v>
      </c>
      <c r="U807" s="10" t="n">
        <v>113</v>
      </c>
      <c r="V807" s="10">
        <f>ROUNDUP((T807+U807+2*'Read Me'!$B$13)*(1+'Read Me'!$B$12),-1)</f>
        <v/>
      </c>
      <c r="W807" s="10">
        <f>V807*N807*O807</f>
        <v/>
      </c>
      <c r="X807" s="9">
        <f>IF(LEFT(I807,2)="MV",2*N807*IF(L807="1/C",O807,1),0)</f>
        <v/>
      </c>
      <c r="Y807" s="9">
        <f>IF(OR(LEFT(K807,4)="LVAX",LEFT(K807,6)="MV15AX",LEFT(K807,4)="CTAX",LEFT(K807,2)="W|"),2*N807*O807,0)</f>
        <v/>
      </c>
      <c r="Z807" s="9" t="inlineStr">
        <is>
          <t>VD 1.6 %</t>
        </is>
      </c>
    </row>
    <row r="808">
      <c r="A808" s="9" t="inlineStr">
        <is>
          <t>A-P-0018</t>
        </is>
      </c>
      <c r="B808" s="9" t="inlineStr">
        <is>
          <t>A</t>
        </is>
      </c>
      <c r="C808" s="9" t="inlineStr">
        <is>
          <t>Power block</t>
        </is>
      </c>
      <c r="D808" s="9" t="inlineStr">
        <is>
          <t>LV power feeder</t>
        </is>
      </c>
      <c r="E808" s="9" t="inlineStr">
        <is>
          <t>MCC-GT1</t>
        </is>
      </c>
      <c r="F808" s="9" t="inlineStr">
        <is>
          <t>R1 MCC-GT1</t>
        </is>
      </c>
      <c r="G808" s="9" t="inlineStr">
        <is>
          <t>GT1 aux</t>
        </is>
      </c>
      <c r="H808" s="9" t="inlineStr">
        <is>
          <t>GT1 aux: lube oil, hydraulics, enclosure fans</t>
        </is>
      </c>
      <c r="I808" s="9" t="inlineStr">
        <is>
          <t>LV 600 V</t>
        </is>
      </c>
      <c r="J808" s="9" t="inlineStr">
        <is>
          <t>ARMOR-X MC-HL 600 V 3/C Cu XHHW-2 + ground, CWA, black PVC (Class I Div 2)</t>
        </is>
      </c>
      <c r="K808" s="9" t="inlineStr">
        <is>
          <t>LVAX|3/C+G|500</t>
        </is>
      </c>
      <c r="L808" s="9" t="inlineStr">
        <is>
          <t>3/C+G</t>
        </is>
      </c>
      <c r="M808" s="9" t="inlineStr">
        <is>
          <t>500 kcmil</t>
        </is>
      </c>
      <c r="N808" s="9" t="n">
        <v>3</v>
      </c>
      <c r="O808" s="9" t="n">
        <v>1</v>
      </c>
      <c r="P808" s="9" t="n">
        <v>480</v>
      </c>
      <c r="Q808" s="9" t="n">
        <v>400</v>
      </c>
      <c r="R808" s="9" t="n">
        <v>566</v>
      </c>
      <c r="S808" s="9" t="inlineStr">
        <is>
          <t>Duct bank</t>
        </is>
      </c>
      <c r="T808" s="10" t="n">
        <v>965</v>
      </c>
      <c r="U808" s="10" t="n">
        <v>140</v>
      </c>
      <c r="V808" s="10">
        <f>ROUNDUP((T808+U808+2*'Read Me'!$B$13)*(1+'Read Me'!$B$12),-1)</f>
        <v/>
      </c>
      <c r="W808" s="10">
        <f>V808*N808*O808</f>
        <v/>
      </c>
      <c r="X808" s="9">
        <f>IF(LEFT(I808,2)="MV",2*N808*IF(L808="1/C",O808,1),0)</f>
        <v/>
      </c>
      <c r="Y808" s="9">
        <f>IF(OR(LEFT(K808,4)="LVAX",LEFT(K808,6)="MV15AX",LEFT(K808,4)="CTAX",LEFT(K808,2)="W|"),2*N808*O808,0)</f>
        <v/>
      </c>
      <c r="Z808" s="9" t="inlineStr">
        <is>
          <t>VD 2.1 %</t>
        </is>
      </c>
    </row>
    <row r="809">
      <c r="A809" s="9" t="inlineStr">
        <is>
          <t>A-P-0019</t>
        </is>
      </c>
      <c r="B809" s="9" t="inlineStr">
        <is>
          <t>A</t>
        </is>
      </c>
      <c r="C809" s="9" t="inlineStr">
        <is>
          <t>Power block</t>
        </is>
      </c>
      <c r="D809" s="9" t="inlineStr">
        <is>
          <t>LV power feeder</t>
        </is>
      </c>
      <c r="E809" s="9" t="inlineStr">
        <is>
          <t>MCC-GT1</t>
        </is>
      </c>
      <c r="F809" s="9" t="inlineStr">
        <is>
          <t>R1 MCC-GT1</t>
        </is>
      </c>
      <c r="G809" s="9" t="inlineStr">
        <is>
          <t>GT1</t>
        </is>
      </c>
      <c r="H809" s="9" t="inlineStr">
        <is>
          <t>GT1: H-class gas turbine (60 Hz)</t>
        </is>
      </c>
      <c r="I809" s="9" t="inlineStr">
        <is>
          <t>LV 600 V</t>
        </is>
      </c>
      <c r="J809" s="9" t="inlineStr">
        <is>
          <t>ARMOR-X MC-HL 600 V 3/C Cu XHHW-2 + ground, CWA, black PVC (Class I Div 2)</t>
        </is>
      </c>
      <c r="K809" s="9" t="inlineStr">
        <is>
          <t>LVAX|3/C+G|500</t>
        </is>
      </c>
      <c r="L809" s="9" t="inlineStr">
        <is>
          <t>3/C+G</t>
        </is>
      </c>
      <c r="M809" s="9" t="inlineStr">
        <is>
          <t>500 kcmil</t>
        </is>
      </c>
      <c r="N809" s="9" t="n">
        <v>1</v>
      </c>
      <c r="O809" s="9" t="n">
        <v>1</v>
      </c>
      <c r="P809" s="9" t="n">
        <v>480</v>
      </c>
      <c r="Q809" s="9" t="n">
        <v>150</v>
      </c>
      <c r="R809" s="9" t="n">
        <v>212</v>
      </c>
      <c r="S809" s="9" t="inlineStr">
        <is>
          <t>Duct bank</t>
        </is>
      </c>
      <c r="T809" s="10" t="n">
        <v>948</v>
      </c>
      <c r="U809" s="10" t="n">
        <v>138</v>
      </c>
      <c r="V809" s="10">
        <f>ROUNDUP((T809+U809+2*'Read Me'!$B$13)*(1+'Read Me'!$B$12),-1)</f>
        <v/>
      </c>
      <c r="W809" s="10">
        <f>V809*N809*O809</f>
        <v/>
      </c>
      <c r="X809" s="9">
        <f>IF(LEFT(I809,2)="MV",2*N809*IF(L809="1/C",O809,1),0)</f>
        <v/>
      </c>
      <c r="Y809" s="9">
        <f>IF(OR(LEFT(K809,4)="LVAX",LEFT(K809,6)="MV15AX",LEFT(K809,4)="CTAX",LEFT(K809,2)="W|"),2*N809*O809,0)</f>
        <v/>
      </c>
      <c r="Z809" s="9" t="inlineStr">
        <is>
          <t>VD 2.4 %</t>
        </is>
      </c>
    </row>
    <row r="810">
      <c r="A810" s="9" t="inlineStr">
        <is>
          <t>A-P-0020</t>
        </is>
      </c>
      <c r="B810" s="9" t="inlineStr">
        <is>
          <t>A</t>
        </is>
      </c>
      <c r="C810" s="9" t="inlineStr">
        <is>
          <t>Power block</t>
        </is>
      </c>
      <c r="D810" s="9" t="inlineStr">
        <is>
          <t>LV power feeder</t>
        </is>
      </c>
      <c r="E810" s="9" t="inlineStr">
        <is>
          <t>MCC-GT2</t>
        </is>
      </c>
      <c r="F810" s="9" t="inlineStr">
        <is>
          <t>R1 MCC-GT2</t>
        </is>
      </c>
      <c r="G810" s="9" t="inlineStr">
        <is>
          <t>GT2 aux</t>
        </is>
      </c>
      <c r="H810" s="9" t="inlineStr">
        <is>
          <t>GT2 aux: lube oil, hydraulics, enclosure fans</t>
        </is>
      </c>
      <c r="I810" s="9" t="inlineStr">
        <is>
          <t>LV 600 V</t>
        </is>
      </c>
      <c r="J810" s="9" t="inlineStr">
        <is>
          <t>ARMOR-X MC-HL 600 V 3/C Cu XHHW-2 + ground, CWA, black PVC (Class I Div 2)</t>
        </is>
      </c>
      <c r="K810" s="9" t="inlineStr">
        <is>
          <t>LVAX|3/C+G|500</t>
        </is>
      </c>
      <c r="L810" s="9" t="inlineStr">
        <is>
          <t>3/C+G</t>
        </is>
      </c>
      <c r="M810" s="9" t="inlineStr">
        <is>
          <t>500 kcmil</t>
        </is>
      </c>
      <c r="N810" s="9" t="n">
        <v>2</v>
      </c>
      <c r="O810" s="9" t="n">
        <v>1</v>
      </c>
      <c r="P810" s="9" t="n">
        <v>480</v>
      </c>
      <c r="Q810" s="9" t="n">
        <v>400</v>
      </c>
      <c r="R810" s="9" t="n">
        <v>566</v>
      </c>
      <c r="S810" s="9" t="inlineStr">
        <is>
          <t>Tray</t>
        </is>
      </c>
      <c r="T810" s="10" t="n">
        <v>472</v>
      </c>
      <c r="U810" s="10" t="n">
        <v>160</v>
      </c>
      <c r="V810" s="10">
        <f>ROUNDUP((T810+U810+2*'Read Me'!$B$13)*(1+'Read Me'!$B$12),-1)</f>
        <v/>
      </c>
      <c r="W810" s="10">
        <f>V810*N810*O810</f>
        <v/>
      </c>
      <c r="X810" s="9">
        <f>IF(LEFT(I810,2)="MV",2*N810*IF(L810="1/C",O810,1),0)</f>
        <v/>
      </c>
      <c r="Y810" s="9">
        <f>IF(OR(LEFT(K810,4)="LVAX",LEFT(K810,6)="MV15AX",LEFT(K810,4)="CTAX",LEFT(K810,2)="W|"),2*N810*O810,0)</f>
        <v/>
      </c>
      <c r="Z810" s="9" t="inlineStr">
        <is>
          <t>VD 1.8 %</t>
        </is>
      </c>
    </row>
    <row r="811">
      <c r="A811" s="9" t="inlineStr">
        <is>
          <t>A-P-0021</t>
        </is>
      </c>
      <c r="B811" s="9" t="inlineStr">
        <is>
          <t>A</t>
        </is>
      </c>
      <c r="C811" s="9" t="inlineStr">
        <is>
          <t>Power block</t>
        </is>
      </c>
      <c r="D811" s="9" t="inlineStr">
        <is>
          <t>LV power feeder</t>
        </is>
      </c>
      <c r="E811" s="9" t="inlineStr">
        <is>
          <t>MCC-GT2</t>
        </is>
      </c>
      <c r="F811" s="9" t="inlineStr">
        <is>
          <t>R1 MCC-GT2</t>
        </is>
      </c>
      <c r="G811" s="9" t="inlineStr">
        <is>
          <t>GT2</t>
        </is>
      </c>
      <c r="H811" s="9" t="inlineStr">
        <is>
          <t>GT2: H-class gas turbine (60 Hz)</t>
        </is>
      </c>
      <c r="I811" s="9" t="inlineStr">
        <is>
          <t>LV 600 V</t>
        </is>
      </c>
      <c r="J811" s="9" t="inlineStr">
        <is>
          <t>ARMOR-X MC-HL 600 V 3/C Cu XHHW-2 + ground, CWA, black PVC (Class I Div 2)</t>
        </is>
      </c>
      <c r="K811" s="9" t="inlineStr">
        <is>
          <t>LVAX|3/C+G|350</t>
        </is>
      </c>
      <c r="L811" s="9" t="inlineStr">
        <is>
          <t>3/C+G</t>
        </is>
      </c>
      <c r="M811" s="9" t="inlineStr">
        <is>
          <t>350 kcmil</t>
        </is>
      </c>
      <c r="N811" s="9" t="n">
        <v>1</v>
      </c>
      <c r="O811" s="9" t="n">
        <v>1</v>
      </c>
      <c r="P811" s="9" t="n">
        <v>480</v>
      </c>
      <c r="Q811" s="9" t="n">
        <v>150</v>
      </c>
      <c r="R811" s="9" t="n">
        <v>212</v>
      </c>
      <c r="S811" s="9" t="inlineStr">
        <is>
          <t>Tray</t>
        </is>
      </c>
      <c r="T811" s="10" t="n">
        <v>402</v>
      </c>
      <c r="U811" s="10" t="n">
        <v>144</v>
      </c>
      <c r="V811" s="10">
        <f>ROUNDUP((T811+U811+2*'Read Me'!$B$13)*(1+'Read Me'!$B$12),-1)</f>
        <v/>
      </c>
      <c r="W811" s="10">
        <f>V811*N811*O811</f>
        <v/>
      </c>
      <c r="X811" s="9">
        <f>IF(LEFT(I811,2)="MV",2*N811*IF(L811="1/C",O811,1),0)</f>
        <v/>
      </c>
      <c r="Y811" s="9">
        <f>IF(OR(LEFT(K811,4)="LVAX",LEFT(K811,6)="MV15AX",LEFT(K811,4)="CTAX",LEFT(K811,2)="W|"),2*N811*O811,0)</f>
        <v/>
      </c>
      <c r="Z811" s="9" t="inlineStr">
        <is>
          <t>VD 1.7 %</t>
        </is>
      </c>
    </row>
    <row r="812">
      <c r="A812" s="9" t="inlineStr">
        <is>
          <t>A-P-0022</t>
        </is>
      </c>
      <c r="B812" s="9" t="inlineStr">
        <is>
          <t>A</t>
        </is>
      </c>
      <c r="C812" s="9" t="inlineStr">
        <is>
          <t>Power block</t>
        </is>
      </c>
      <c r="D812" s="9" t="inlineStr">
        <is>
          <t>LV power feeder</t>
        </is>
      </c>
      <c r="E812" s="9" t="inlineStr">
        <is>
          <t>MCC-GT3</t>
        </is>
      </c>
      <c r="F812" s="9" t="inlineStr">
        <is>
          <t>R1 MCC-GT3</t>
        </is>
      </c>
      <c r="G812" s="9" t="inlineStr">
        <is>
          <t>GT3 aux</t>
        </is>
      </c>
      <c r="H812" s="9" t="inlineStr">
        <is>
          <t>GT3 aux: lube oil, hydraulics, enclosure fans</t>
        </is>
      </c>
      <c r="I812" s="9" t="inlineStr">
        <is>
          <t>LV 600 V</t>
        </is>
      </c>
      <c r="J812" s="9" t="inlineStr">
        <is>
          <t>ARMOR-X MC-HL 600 V 3/C Cu XHHW-2 + ground, CWA, black PVC (Class I Div 2)</t>
        </is>
      </c>
      <c r="K812" s="9" t="inlineStr">
        <is>
          <t>LVAX|3/C+G|500</t>
        </is>
      </c>
      <c r="L812" s="9" t="inlineStr">
        <is>
          <t>3/C+G</t>
        </is>
      </c>
      <c r="M812" s="9" t="inlineStr">
        <is>
          <t>500 kcmil</t>
        </is>
      </c>
      <c r="N812" s="9" t="n">
        <v>2</v>
      </c>
      <c r="O812" s="9" t="n">
        <v>1</v>
      </c>
      <c r="P812" s="9" t="n">
        <v>480</v>
      </c>
      <c r="Q812" s="9" t="n">
        <v>400</v>
      </c>
      <c r="R812" s="9" t="n">
        <v>566</v>
      </c>
      <c r="S812" s="9" t="inlineStr">
        <is>
          <t>Tray</t>
        </is>
      </c>
      <c r="T812" s="10" t="n">
        <v>693</v>
      </c>
      <c r="U812" s="10" t="n">
        <v>149</v>
      </c>
      <c r="V812" s="10">
        <f>ROUNDUP((T812+U812+2*'Read Me'!$B$13)*(1+'Read Me'!$B$12),-1)</f>
        <v/>
      </c>
      <c r="W812" s="10">
        <f>V812*N812*O812</f>
        <v/>
      </c>
      <c r="X812" s="9">
        <f>IF(LEFT(I812,2)="MV",2*N812*IF(L812="1/C",O812,1),0)</f>
        <v/>
      </c>
      <c r="Y812" s="9">
        <f>IF(OR(LEFT(K812,4)="LVAX",LEFT(K812,6)="MV15AX",LEFT(K812,4)="CTAX",LEFT(K812,2)="W|"),2*N812*O812,0)</f>
        <v/>
      </c>
      <c r="Z812" s="9" t="inlineStr">
        <is>
          <t>VD 2.4 %</t>
        </is>
      </c>
    </row>
    <row r="813">
      <c r="A813" s="9" t="inlineStr">
        <is>
          <t>A-P-0023</t>
        </is>
      </c>
      <c r="B813" s="9" t="inlineStr">
        <is>
          <t>A</t>
        </is>
      </c>
      <c r="C813" s="9" t="inlineStr">
        <is>
          <t>Power block</t>
        </is>
      </c>
      <c r="D813" s="9" t="inlineStr">
        <is>
          <t>LV power feeder</t>
        </is>
      </c>
      <c r="E813" s="9" t="inlineStr">
        <is>
          <t>MCC-GT3</t>
        </is>
      </c>
      <c r="F813" s="9" t="inlineStr">
        <is>
          <t>R1 MCC-GT3</t>
        </is>
      </c>
      <c r="G813" s="9" t="inlineStr">
        <is>
          <t>GT3</t>
        </is>
      </c>
      <c r="H813" s="9" t="inlineStr">
        <is>
          <t>GT3: H-class gas turbine (60 Hz)</t>
        </is>
      </c>
      <c r="I813" s="9" t="inlineStr">
        <is>
          <t>LV 600 V</t>
        </is>
      </c>
      <c r="J813" s="9" t="inlineStr">
        <is>
          <t>ARMOR-X MC-HL 600 V 3/C Cu XHHW-2 + ground, CWA, black PVC (Class I Div 2)</t>
        </is>
      </c>
      <c r="K813" s="9" t="inlineStr">
        <is>
          <t>LVAX|3/C+G|350</t>
        </is>
      </c>
      <c r="L813" s="9" t="inlineStr">
        <is>
          <t>3/C+G</t>
        </is>
      </c>
      <c r="M813" s="9" t="inlineStr">
        <is>
          <t>350 kcmil</t>
        </is>
      </c>
      <c r="N813" s="9" t="n">
        <v>1</v>
      </c>
      <c r="O813" s="9" t="n">
        <v>1</v>
      </c>
      <c r="P813" s="9" t="n">
        <v>480</v>
      </c>
      <c r="Q813" s="9" t="n">
        <v>150</v>
      </c>
      <c r="R813" s="9" t="n">
        <v>212</v>
      </c>
      <c r="S813" s="9" t="inlineStr">
        <is>
          <t>Tray</t>
        </is>
      </c>
      <c r="T813" s="10" t="n">
        <v>580</v>
      </c>
      <c r="U813" s="10" t="n">
        <v>142</v>
      </c>
      <c r="V813" s="10">
        <f>ROUNDUP((T813+U813+2*'Read Me'!$B$13)*(1+'Read Me'!$B$12),-1)</f>
        <v/>
      </c>
      <c r="W813" s="10">
        <f>V813*N813*O813</f>
        <v/>
      </c>
      <c r="X813" s="9">
        <f>IF(LEFT(I813,2)="MV",2*N813*IF(L813="1/C",O813,1),0)</f>
        <v/>
      </c>
      <c r="Y813" s="9">
        <f>IF(OR(LEFT(K813,4)="LVAX",LEFT(K813,6)="MV15AX",LEFT(K813,4)="CTAX",LEFT(K813,2)="W|"),2*N813*O813,0)</f>
        <v/>
      </c>
      <c r="Z813" s="9" t="inlineStr">
        <is>
          <t>VD 2.2 %</t>
        </is>
      </c>
    </row>
    <row r="814">
      <c r="A814" s="9" t="inlineStr">
        <is>
          <t>A-P-0024</t>
        </is>
      </c>
      <c r="B814" s="9" t="inlineStr">
        <is>
          <t>A</t>
        </is>
      </c>
      <c r="C814" s="9" t="inlineStr">
        <is>
          <t>Power block</t>
        </is>
      </c>
      <c r="D814" s="9" t="inlineStr">
        <is>
          <t>LV power feeder</t>
        </is>
      </c>
      <c r="E814" s="9" t="inlineStr">
        <is>
          <t>R2A</t>
        </is>
      </c>
      <c r="F814" s="9" t="inlineStr">
        <is>
          <t>R2A: unit / HRSG electrical e-house (32 x 40 ft)</t>
        </is>
      </c>
      <c r="G814" s="9" t="inlineStr">
        <is>
          <t>HRSG-1</t>
        </is>
      </c>
      <c r="H814" s="9" t="inlineStr">
        <is>
          <t>HRSG 1 + SCR (3P reheat, horizontal)</t>
        </is>
      </c>
      <c r="I814" s="9" t="inlineStr">
        <is>
          <t>LV 600 V</t>
        </is>
      </c>
      <c r="J814" s="9" t="inlineStr">
        <is>
          <t>Type TC-ER 600 V 3/C Cu XHHW-2 + ground, PVC jacket</t>
        </is>
      </c>
      <c r="K814" s="9" t="inlineStr">
        <is>
          <t>LV|3/C+G|350</t>
        </is>
      </c>
      <c r="L814" s="9" t="inlineStr">
        <is>
          <t>3/C+G</t>
        </is>
      </c>
      <c r="M814" s="9" t="inlineStr">
        <is>
          <t>350 kcmil</t>
        </is>
      </c>
      <c r="N814" s="9" t="n">
        <v>1</v>
      </c>
      <c r="O814" s="9" t="n">
        <v>1</v>
      </c>
      <c r="P814" s="9" t="n">
        <v>480</v>
      </c>
      <c r="Q814" s="9" t="n">
        <v>150</v>
      </c>
      <c r="R814" s="9" t="n">
        <v>212</v>
      </c>
      <c r="S814" s="9" t="inlineStr">
        <is>
          <t>Tray</t>
        </is>
      </c>
      <c r="T814" s="10" t="n">
        <v>0</v>
      </c>
      <c r="U814" s="10" t="n">
        <v>87</v>
      </c>
      <c r="V814" s="10">
        <f>ROUNDUP((T814+U814+2*'Read Me'!$B$13)*(1+'Read Me'!$B$12),-1)</f>
        <v/>
      </c>
      <c r="W814" s="10">
        <f>V814*N814*O814</f>
        <v/>
      </c>
      <c r="X814" s="9">
        <f>IF(LEFT(I814,2)="MV",2*N814*IF(L814="1/C",O814,1),0)</f>
        <v/>
      </c>
      <c r="Y814" s="9">
        <f>IF(OR(LEFT(K814,4)="LVAX",LEFT(K814,6)="MV15AX",LEFT(K814,4)="CTAX",LEFT(K814,2)="W|"),2*N814*O814,0)</f>
        <v/>
      </c>
      <c r="Z814" s="9" t="inlineStr">
        <is>
          <t>VD 0.3 %</t>
        </is>
      </c>
    </row>
    <row r="815">
      <c r="A815" s="9" t="inlineStr">
        <is>
          <t>A-P-0025</t>
        </is>
      </c>
      <c r="B815" s="9" t="inlineStr">
        <is>
          <t>A</t>
        </is>
      </c>
      <c r="C815" s="9" t="inlineStr">
        <is>
          <t>Power block</t>
        </is>
      </c>
      <c r="D815" s="9" t="inlineStr">
        <is>
          <t>LV power feeder</t>
        </is>
      </c>
      <c r="E815" s="9" t="inlineStr">
        <is>
          <t>R2A</t>
        </is>
      </c>
      <c r="F815" s="9" t="inlineStr">
        <is>
          <t>R2A: unit / HRSG electrical e-house (32 x 40 ft)</t>
        </is>
      </c>
      <c r="G815" s="9" t="inlineStr"/>
      <c r="H815" s="9" t="inlineStr">
        <is>
          <t>HRSG 1 blowdown tank (continuous / intermittent)</t>
        </is>
      </c>
      <c r="I815" s="9" t="inlineStr">
        <is>
          <t>LV 600 V</t>
        </is>
      </c>
      <c r="J815" s="9" t="inlineStr">
        <is>
          <t>Type TC-ER 600 V 3/C Cu XHHW-2 + ground, PVC jacket</t>
        </is>
      </c>
      <c r="K815" s="9" t="inlineStr">
        <is>
          <t>LV|3/C+G|10</t>
        </is>
      </c>
      <c r="L815" s="9" t="inlineStr">
        <is>
          <t>3/C+G</t>
        </is>
      </c>
      <c r="M815" s="9" t="inlineStr">
        <is>
          <t>10</t>
        </is>
      </c>
      <c r="N815" s="9" t="n">
        <v>1</v>
      </c>
      <c r="O815" s="9" t="n">
        <v>1</v>
      </c>
      <c r="P815" s="9" t="n">
        <v>480</v>
      </c>
      <c r="Q815" s="9" t="n">
        <v>10</v>
      </c>
      <c r="R815" s="9" t="n">
        <v>14</v>
      </c>
      <c r="S815" s="9" t="inlineStr">
        <is>
          <t>Tray</t>
        </is>
      </c>
      <c r="T815" s="10" t="n">
        <v>0</v>
      </c>
      <c r="U815" s="10" t="n">
        <v>124</v>
      </c>
      <c r="V815" s="10">
        <f>ROUNDUP((T815+U815+2*'Read Me'!$B$13)*(1+'Read Me'!$B$12),-1)</f>
        <v/>
      </c>
      <c r="W815" s="10">
        <f>V815*N815*O815</f>
        <v/>
      </c>
      <c r="X815" s="9">
        <f>IF(LEFT(I815,2)="MV",2*N815*IF(L815="1/C",O815,1),0)</f>
        <v/>
      </c>
      <c r="Y815" s="9">
        <f>IF(OR(LEFT(K815,4)="LVAX",LEFT(K815,6)="MV15AX",LEFT(K815,4)="CTAX",LEFT(K815,2)="W|"),2*N815*O815,0)</f>
        <v/>
      </c>
      <c r="Z815" s="9" t="inlineStr">
        <is>
          <t>VD 0.8 %</t>
        </is>
      </c>
    </row>
    <row r="816">
      <c r="A816" s="9" t="inlineStr">
        <is>
          <t>A-P-0026</t>
        </is>
      </c>
      <c r="B816" s="9" t="inlineStr">
        <is>
          <t>A</t>
        </is>
      </c>
      <c r="C816" s="9" t="inlineStr">
        <is>
          <t>Power block</t>
        </is>
      </c>
      <c r="D816" s="9" t="inlineStr">
        <is>
          <t>LV power feeder</t>
        </is>
      </c>
      <c r="E816" s="9" t="inlineStr">
        <is>
          <t>R2B</t>
        </is>
      </c>
      <c r="F816" s="9" t="inlineStr">
        <is>
          <t>R2B: unit / HRSG electrical e-house (32 x 40 ft)</t>
        </is>
      </c>
      <c r="G816" s="9" t="inlineStr"/>
      <c r="H816" s="9" t="inlineStr">
        <is>
          <t>HRSG 1 chemical feed skid (phosphate / amine)</t>
        </is>
      </c>
      <c r="I816" s="9" t="inlineStr">
        <is>
          <t>LV 600 V</t>
        </is>
      </c>
      <c r="J816" s="9" t="inlineStr">
        <is>
          <t>Type TC-ER 600 V 3/C Cu XHHW-2 + ground, PVC jacket</t>
        </is>
      </c>
      <c r="K816" s="9" t="inlineStr">
        <is>
          <t>LV|3/C+G|10</t>
        </is>
      </c>
      <c r="L816" s="9" t="inlineStr">
        <is>
          <t>3/C+G</t>
        </is>
      </c>
      <c r="M816" s="9" t="inlineStr">
        <is>
          <t>10</t>
        </is>
      </c>
      <c r="N816" s="9" t="n">
        <v>1</v>
      </c>
      <c r="O816" s="9" t="n">
        <v>1</v>
      </c>
      <c r="P816" s="9" t="n">
        <v>480</v>
      </c>
      <c r="Q816" s="9" t="n">
        <v>15</v>
      </c>
      <c r="R816" s="9" t="n">
        <v>21</v>
      </c>
      <c r="S816" s="9" t="inlineStr">
        <is>
          <t>Tray</t>
        </is>
      </c>
      <c r="T816" s="10" t="n">
        <v>30</v>
      </c>
      <c r="U816" s="10" t="n">
        <v>109</v>
      </c>
      <c r="V816" s="10">
        <f>ROUNDUP((T816+U816+2*'Read Me'!$B$13)*(1+'Read Me'!$B$12),-1)</f>
        <v/>
      </c>
      <c r="W816" s="10">
        <f>V816*N816*O816</f>
        <v/>
      </c>
      <c r="X816" s="9">
        <f>IF(LEFT(I816,2)="MV",2*N816*IF(L816="1/C",O816,1),0)</f>
        <v/>
      </c>
      <c r="Y816" s="9">
        <f>IF(OR(LEFT(K816,4)="LVAX",LEFT(K816,6)="MV15AX",LEFT(K816,4)="CTAX",LEFT(K816,2)="W|"),2*N816*O816,0)</f>
        <v/>
      </c>
      <c r="Z816" s="9" t="inlineStr">
        <is>
          <t>VD 1.4 %</t>
        </is>
      </c>
    </row>
    <row r="817">
      <c r="A817" s="9" t="inlineStr">
        <is>
          <t>A-P-0027</t>
        </is>
      </c>
      <c r="B817" s="9" t="inlineStr">
        <is>
          <t>A</t>
        </is>
      </c>
      <c r="C817" s="9" t="inlineStr">
        <is>
          <t>Power block</t>
        </is>
      </c>
      <c r="D817" s="9" t="inlineStr">
        <is>
          <t>LV power feeder</t>
        </is>
      </c>
      <c r="E817" s="9" t="inlineStr">
        <is>
          <t>R2B</t>
        </is>
      </c>
      <c r="F817" s="9" t="inlineStr">
        <is>
          <t>R2B: unit / HRSG electrical e-house (32 x 40 ft)</t>
        </is>
      </c>
      <c r="G817" s="9" t="inlineStr">
        <is>
          <t>HRSG-2</t>
        </is>
      </c>
      <c r="H817" s="9" t="inlineStr">
        <is>
          <t>HRSG 2 + SCR (3P reheat, horizontal)</t>
        </is>
      </c>
      <c r="I817" s="9" t="inlineStr">
        <is>
          <t>LV 600 V</t>
        </is>
      </c>
      <c r="J817" s="9" t="inlineStr">
        <is>
          <t>Type TC-ER 600 V 3/C Cu XHHW-2 + ground, PVC jacket</t>
        </is>
      </c>
      <c r="K817" s="9" t="inlineStr">
        <is>
          <t>LV|3/C+G|350</t>
        </is>
      </c>
      <c r="L817" s="9" t="inlineStr">
        <is>
          <t>3/C+G</t>
        </is>
      </c>
      <c r="M817" s="9" t="inlineStr">
        <is>
          <t>350 kcmil</t>
        </is>
      </c>
      <c r="N817" s="9" t="n">
        <v>1</v>
      </c>
      <c r="O817" s="9" t="n">
        <v>1</v>
      </c>
      <c r="P817" s="9" t="n">
        <v>480</v>
      </c>
      <c r="Q817" s="9" t="n">
        <v>150</v>
      </c>
      <c r="R817" s="9" t="n">
        <v>212</v>
      </c>
      <c r="S817" s="9" t="inlineStr">
        <is>
          <t>Tray</t>
        </is>
      </c>
      <c r="T817" s="10" t="n">
        <v>63</v>
      </c>
      <c r="U817" s="10" t="n">
        <v>84</v>
      </c>
      <c r="V817" s="10">
        <f>ROUNDUP((T817+U817+2*'Read Me'!$B$13)*(1+'Read Me'!$B$12),-1)</f>
        <v/>
      </c>
      <c r="W817" s="10">
        <f>V817*N817*O817</f>
        <v/>
      </c>
      <c r="X817" s="9">
        <f>IF(LEFT(I817,2)="MV",2*N817*IF(L817="1/C",O817,1),0)</f>
        <v/>
      </c>
      <c r="Y817" s="9">
        <f>IF(OR(LEFT(K817,4)="LVAX",LEFT(K817,6)="MV15AX",LEFT(K817,4)="CTAX",LEFT(K817,2)="W|"),2*N817*O817,0)</f>
        <v/>
      </c>
      <c r="Z817" s="9" t="inlineStr">
        <is>
          <t>VD 0.5 %</t>
        </is>
      </c>
    </row>
    <row r="818">
      <c r="A818" s="9" t="inlineStr">
        <is>
          <t>A-P-0028</t>
        </is>
      </c>
      <c r="B818" s="9" t="inlineStr">
        <is>
          <t>A</t>
        </is>
      </c>
      <c r="C818" s="9" t="inlineStr">
        <is>
          <t>Power block</t>
        </is>
      </c>
      <c r="D818" s="9" t="inlineStr">
        <is>
          <t>LV power feeder</t>
        </is>
      </c>
      <c r="E818" s="9" t="inlineStr">
        <is>
          <t>R2B</t>
        </is>
      </c>
      <c r="F818" s="9" t="inlineStr">
        <is>
          <t>R2B: unit / HRSG electrical e-house (32 x 40 ft)</t>
        </is>
      </c>
      <c r="G818" s="9" t="inlineStr"/>
      <c r="H818" s="9" t="inlineStr">
        <is>
          <t>HRSG 2 blowdown tank (continuous / intermittent)</t>
        </is>
      </c>
      <c r="I818" s="9" t="inlineStr">
        <is>
          <t>LV 600 V</t>
        </is>
      </c>
      <c r="J818" s="9" t="inlineStr">
        <is>
          <t>Type TC-ER 600 V 3/C Cu XHHW-2 + ground, PVC jacket</t>
        </is>
      </c>
      <c r="K818" s="9" t="inlineStr">
        <is>
          <t>LV|3/C+G|10</t>
        </is>
      </c>
      <c r="L818" s="9" t="inlineStr">
        <is>
          <t>3/C+G</t>
        </is>
      </c>
      <c r="M818" s="9" t="inlineStr">
        <is>
          <t>10</t>
        </is>
      </c>
      <c r="N818" s="9" t="n">
        <v>1</v>
      </c>
      <c r="O818" s="9" t="n">
        <v>1</v>
      </c>
      <c r="P818" s="9" t="n">
        <v>480</v>
      </c>
      <c r="Q818" s="9" t="n">
        <v>10</v>
      </c>
      <c r="R818" s="9" t="n">
        <v>14</v>
      </c>
      <c r="S818" s="9" t="inlineStr">
        <is>
          <t>Tray</t>
        </is>
      </c>
      <c r="T818" s="10" t="n">
        <v>0</v>
      </c>
      <c r="U818" s="10" t="n">
        <v>124</v>
      </c>
      <c r="V818" s="10">
        <f>ROUNDUP((T818+U818+2*'Read Me'!$B$13)*(1+'Read Me'!$B$12),-1)</f>
        <v/>
      </c>
      <c r="W818" s="10">
        <f>V818*N818*O818</f>
        <v/>
      </c>
      <c r="X818" s="9">
        <f>IF(LEFT(I818,2)="MV",2*N818*IF(L818="1/C",O818,1),0)</f>
        <v/>
      </c>
      <c r="Y818" s="9">
        <f>IF(OR(LEFT(K818,4)="LVAX",LEFT(K818,6)="MV15AX",LEFT(K818,4)="CTAX",LEFT(K818,2)="W|"),2*N818*O818,0)</f>
        <v/>
      </c>
      <c r="Z818" s="9" t="inlineStr">
        <is>
          <t>VD 0.8 %</t>
        </is>
      </c>
    </row>
    <row r="819">
      <c r="A819" s="9" t="inlineStr">
        <is>
          <t>A-P-0029</t>
        </is>
      </c>
      <c r="B819" s="9" t="inlineStr">
        <is>
          <t>A</t>
        </is>
      </c>
      <c r="C819" s="9" t="inlineStr">
        <is>
          <t>Power block</t>
        </is>
      </c>
      <c r="D819" s="9" t="inlineStr">
        <is>
          <t>LV power feeder</t>
        </is>
      </c>
      <c r="E819" s="9" t="inlineStr">
        <is>
          <t>R2C</t>
        </is>
      </c>
      <c r="F819" s="9" t="inlineStr">
        <is>
          <t>R2C: unit / HRSG electrical e-house (32 x 40 ft)</t>
        </is>
      </c>
      <c r="G819" s="9" t="inlineStr"/>
      <c r="H819" s="9" t="inlineStr">
        <is>
          <t>HRSG 2 chemical feed skid (phosphate / amine)</t>
        </is>
      </c>
      <c r="I819" s="9" t="inlineStr">
        <is>
          <t>LV 600 V</t>
        </is>
      </c>
      <c r="J819" s="9" t="inlineStr">
        <is>
          <t>Type TC-ER 600 V 3/C Cu XHHW-2 + ground, PVC jacket</t>
        </is>
      </c>
      <c r="K819" s="9" t="inlineStr">
        <is>
          <t>LV|3/C+G|10</t>
        </is>
      </c>
      <c r="L819" s="9" t="inlineStr">
        <is>
          <t>3/C+G</t>
        </is>
      </c>
      <c r="M819" s="9" t="inlineStr">
        <is>
          <t>10</t>
        </is>
      </c>
      <c r="N819" s="9" t="n">
        <v>1</v>
      </c>
      <c r="O819" s="9" t="n">
        <v>1</v>
      </c>
      <c r="P819" s="9" t="n">
        <v>480</v>
      </c>
      <c r="Q819" s="9" t="n">
        <v>15</v>
      </c>
      <c r="R819" s="9" t="n">
        <v>21</v>
      </c>
      <c r="S819" s="9" t="inlineStr">
        <is>
          <t>Tray</t>
        </is>
      </c>
      <c r="T819" s="10" t="n">
        <v>30</v>
      </c>
      <c r="U819" s="10" t="n">
        <v>109</v>
      </c>
      <c r="V819" s="10">
        <f>ROUNDUP((T819+U819+2*'Read Me'!$B$13)*(1+'Read Me'!$B$12),-1)</f>
        <v/>
      </c>
      <c r="W819" s="10">
        <f>V819*N819*O819</f>
        <v/>
      </c>
      <c r="X819" s="9">
        <f>IF(LEFT(I819,2)="MV",2*N819*IF(L819="1/C",O819,1),0)</f>
        <v/>
      </c>
      <c r="Y819" s="9">
        <f>IF(OR(LEFT(K819,4)="LVAX",LEFT(K819,6)="MV15AX",LEFT(K819,4)="CTAX",LEFT(K819,2)="W|"),2*N819*O819,0)</f>
        <v/>
      </c>
      <c r="Z819" s="9" t="inlineStr">
        <is>
          <t>VD 1.4 %</t>
        </is>
      </c>
    </row>
    <row r="820">
      <c r="A820" s="9" t="inlineStr">
        <is>
          <t>A-P-0030</t>
        </is>
      </c>
      <c r="B820" s="9" t="inlineStr">
        <is>
          <t>A</t>
        </is>
      </c>
      <c r="C820" s="9" t="inlineStr">
        <is>
          <t>Power block</t>
        </is>
      </c>
      <c r="D820" s="9" t="inlineStr">
        <is>
          <t>LV power feeder</t>
        </is>
      </c>
      <c r="E820" s="9" t="inlineStr">
        <is>
          <t>R2C</t>
        </is>
      </c>
      <c r="F820" s="9" t="inlineStr">
        <is>
          <t>R2C: unit / HRSG electrical e-house (32 x 40 ft)</t>
        </is>
      </c>
      <c r="G820" s="9" t="inlineStr">
        <is>
          <t>HRSG-3</t>
        </is>
      </c>
      <c r="H820" s="9" t="inlineStr">
        <is>
          <t>HRSG 3 + SCR (3P reheat, horizontal)</t>
        </is>
      </c>
      <c r="I820" s="9" t="inlineStr">
        <is>
          <t>LV 600 V</t>
        </is>
      </c>
      <c r="J820" s="9" t="inlineStr">
        <is>
          <t>Type TC-ER 600 V 3/C Cu XHHW-2 + ground, PVC jacket</t>
        </is>
      </c>
      <c r="K820" s="9" t="inlineStr">
        <is>
          <t>LV|3/C+G|350</t>
        </is>
      </c>
      <c r="L820" s="9" t="inlineStr">
        <is>
          <t>3/C+G</t>
        </is>
      </c>
      <c r="M820" s="9" t="inlineStr">
        <is>
          <t>350 kcmil</t>
        </is>
      </c>
      <c r="N820" s="9" t="n">
        <v>1</v>
      </c>
      <c r="O820" s="9" t="n">
        <v>1</v>
      </c>
      <c r="P820" s="9" t="n">
        <v>480</v>
      </c>
      <c r="Q820" s="9" t="n">
        <v>150</v>
      </c>
      <c r="R820" s="9" t="n">
        <v>212</v>
      </c>
      <c r="S820" s="9" t="inlineStr">
        <is>
          <t>Tray</t>
        </is>
      </c>
      <c r="T820" s="10" t="n">
        <v>0</v>
      </c>
      <c r="U820" s="10" t="n">
        <v>87</v>
      </c>
      <c r="V820" s="10">
        <f>ROUNDUP((T820+U820+2*'Read Me'!$B$13)*(1+'Read Me'!$B$12),-1)</f>
        <v/>
      </c>
      <c r="W820" s="10">
        <f>V820*N820*O820</f>
        <v/>
      </c>
      <c r="X820" s="9">
        <f>IF(LEFT(I820,2)="MV",2*N820*IF(L820="1/C",O820,1),0)</f>
        <v/>
      </c>
      <c r="Y820" s="9">
        <f>IF(OR(LEFT(K820,4)="LVAX",LEFT(K820,6)="MV15AX",LEFT(K820,4)="CTAX",LEFT(K820,2)="W|"),2*N820*O820,0)</f>
        <v/>
      </c>
      <c r="Z820" s="9" t="inlineStr">
        <is>
          <t>VD 0.3 %</t>
        </is>
      </c>
    </row>
    <row r="821">
      <c r="A821" s="9" t="inlineStr">
        <is>
          <t>A-P-0031</t>
        </is>
      </c>
      <c r="B821" s="9" t="inlineStr">
        <is>
          <t>A</t>
        </is>
      </c>
      <c r="C821" s="9" t="inlineStr">
        <is>
          <t>Power block</t>
        </is>
      </c>
      <c r="D821" s="9" t="inlineStr">
        <is>
          <t>LV power feeder</t>
        </is>
      </c>
      <c r="E821" s="9" t="inlineStr">
        <is>
          <t>R2C</t>
        </is>
      </c>
      <c r="F821" s="9" t="inlineStr">
        <is>
          <t>R2C: unit / HRSG electrical e-house (32 x 40 ft)</t>
        </is>
      </c>
      <c r="G821" s="9" t="inlineStr"/>
      <c r="H821" s="9" t="inlineStr">
        <is>
          <t>HRSG 3 blowdown tank (continuous / intermittent)</t>
        </is>
      </c>
      <c r="I821" s="9" t="inlineStr">
        <is>
          <t>LV 600 V</t>
        </is>
      </c>
      <c r="J821" s="9" t="inlineStr">
        <is>
          <t>Type TC-ER 600 V 3/C Cu XHHW-2 + ground, PVC jacket</t>
        </is>
      </c>
      <c r="K821" s="9" t="inlineStr">
        <is>
          <t>LV|3/C+G|10</t>
        </is>
      </c>
      <c r="L821" s="9" t="inlineStr">
        <is>
          <t>3/C+G</t>
        </is>
      </c>
      <c r="M821" s="9" t="inlineStr">
        <is>
          <t>10</t>
        </is>
      </c>
      <c r="N821" s="9" t="n">
        <v>1</v>
      </c>
      <c r="O821" s="9" t="n">
        <v>1</v>
      </c>
      <c r="P821" s="9" t="n">
        <v>480</v>
      </c>
      <c r="Q821" s="9" t="n">
        <v>10</v>
      </c>
      <c r="R821" s="9" t="n">
        <v>14</v>
      </c>
      <c r="S821" s="9" t="inlineStr">
        <is>
          <t>Tray</t>
        </is>
      </c>
      <c r="T821" s="10" t="n">
        <v>0</v>
      </c>
      <c r="U821" s="10" t="n">
        <v>124</v>
      </c>
      <c r="V821" s="10">
        <f>ROUNDUP((T821+U821+2*'Read Me'!$B$13)*(1+'Read Me'!$B$12),-1)</f>
        <v/>
      </c>
      <c r="W821" s="10">
        <f>V821*N821*O821</f>
        <v/>
      </c>
      <c r="X821" s="9">
        <f>IF(LEFT(I821,2)="MV",2*N821*IF(L821="1/C",O821,1),0)</f>
        <v/>
      </c>
      <c r="Y821" s="9">
        <f>IF(OR(LEFT(K821,4)="LVAX",LEFT(K821,6)="MV15AX",LEFT(K821,4)="CTAX",LEFT(K821,2)="W|"),2*N821*O821,0)</f>
        <v/>
      </c>
      <c r="Z821" s="9" t="inlineStr">
        <is>
          <t>VD 0.8 %</t>
        </is>
      </c>
    </row>
    <row r="822">
      <c r="A822" s="9" t="inlineStr">
        <is>
          <t>A-P-0032</t>
        </is>
      </c>
      <c r="B822" s="9" t="inlineStr">
        <is>
          <t>A</t>
        </is>
      </c>
      <c r="C822" s="9" t="inlineStr">
        <is>
          <t>Power block</t>
        </is>
      </c>
      <c r="D822" s="9" t="inlineStr">
        <is>
          <t>LV power feeder</t>
        </is>
      </c>
      <c r="E822" s="9" t="inlineStr">
        <is>
          <t>R3</t>
        </is>
      </c>
      <c r="F822" s="9" t="inlineStr">
        <is>
          <t>R3: ST auxiliary electrical e-house (40 x 65 ft)</t>
        </is>
      </c>
      <c r="G822" s="9" t="inlineStr"/>
      <c r="H822" s="9" t="inlineStr">
        <is>
          <t>HRSG 3 chemical feed skid (phosphate / amine)</t>
        </is>
      </c>
      <c r="I822" s="9" t="inlineStr">
        <is>
          <t>LV 600 V</t>
        </is>
      </c>
      <c r="J822" s="9" t="inlineStr">
        <is>
          <t>Type TC-ER 600 V 3/C Cu XHHW-2 + ground, PVC jacket</t>
        </is>
      </c>
      <c r="K822" s="9" t="inlineStr">
        <is>
          <t>LV|3/C+G|6</t>
        </is>
      </c>
      <c r="L822" s="9" t="inlineStr">
        <is>
          <t>3/C+G</t>
        </is>
      </c>
      <c r="M822" s="9" t="inlineStr">
        <is>
          <t>6</t>
        </is>
      </c>
      <c r="N822" s="9" t="n">
        <v>1</v>
      </c>
      <c r="O822" s="9" t="n">
        <v>1</v>
      </c>
      <c r="P822" s="9" t="n">
        <v>480</v>
      </c>
      <c r="Q822" s="9" t="n">
        <v>15</v>
      </c>
      <c r="R822" s="9" t="n">
        <v>21</v>
      </c>
      <c r="S822" s="9" t="inlineStr">
        <is>
          <t>Tray</t>
        </is>
      </c>
      <c r="T822" s="10" t="n">
        <v>512</v>
      </c>
      <c r="U822" s="10" t="n">
        <v>150</v>
      </c>
      <c r="V822" s="10">
        <f>ROUNDUP((T822+U822+2*'Read Me'!$B$13)*(1+'Read Me'!$B$12),-1)</f>
        <v/>
      </c>
      <c r="W822" s="10">
        <f>V822*N822*O822</f>
        <v/>
      </c>
      <c r="X822" s="9">
        <f>IF(LEFT(I822,2)="MV",2*N822*IF(L822="1/C",O822,1),0)</f>
        <v/>
      </c>
      <c r="Y822" s="9">
        <f>IF(OR(LEFT(K822,4)="LVAX",LEFT(K822,6)="MV15AX",LEFT(K822,4)="CTAX",LEFT(K822,2)="W|"),2*N822*O822,0)</f>
        <v/>
      </c>
      <c r="Z822" s="9" t="inlineStr">
        <is>
          <t>VD 2.7 %</t>
        </is>
      </c>
    </row>
    <row r="823">
      <c r="A823" s="9" t="inlineStr">
        <is>
          <t>A-P-0033</t>
        </is>
      </c>
      <c r="B823" s="9" t="inlineStr">
        <is>
          <t>A</t>
        </is>
      </c>
      <c r="C823" s="9" t="inlineStr">
        <is>
          <t>Power block</t>
        </is>
      </c>
      <c r="D823" s="9" t="inlineStr">
        <is>
          <t>LV power feeder</t>
        </is>
      </c>
      <c r="E823" s="9" t="inlineStr">
        <is>
          <t>LC-480-B</t>
        </is>
      </c>
      <c r="F823" s="9" t="inlineStr">
        <is>
          <t>R1 LC-480-B (480 V switchgear)</t>
        </is>
      </c>
      <c r="G823" s="9" t="inlineStr">
        <is>
          <t>HTP-1</t>
        </is>
      </c>
      <c r="H823" s="9" t="inlineStr">
        <is>
          <t>HTP-1: heat-trace panel (rack)</t>
        </is>
      </c>
      <c r="I823" s="9" t="inlineStr">
        <is>
          <t>LV 600 V</t>
        </is>
      </c>
      <c r="J823" s="9" t="inlineStr">
        <is>
          <t>Type TC-ER 600 V 3/C Cu XHHW-2 + ground, PVC jacket</t>
        </is>
      </c>
      <c r="K823" s="9" t="inlineStr">
        <is>
          <t>LV|3/C+G|4/0</t>
        </is>
      </c>
      <c r="L823" s="9" t="inlineStr">
        <is>
          <t>3/C+G</t>
        </is>
      </c>
      <c r="M823" s="9" t="inlineStr">
        <is>
          <t>4/0</t>
        </is>
      </c>
      <c r="N823" s="9" t="n">
        <v>1</v>
      </c>
      <c r="O823" s="9" t="n">
        <v>1</v>
      </c>
      <c r="P823" s="9" t="n">
        <v>480</v>
      </c>
      <c r="Q823" s="9" t="n">
        <v>120</v>
      </c>
      <c r="R823" s="9" t="n">
        <v>170</v>
      </c>
      <c r="S823" s="9" t="inlineStr">
        <is>
          <t>Tray</t>
        </is>
      </c>
      <c r="T823" s="10" t="n">
        <v>208</v>
      </c>
      <c r="U823" s="10" t="n">
        <v>135</v>
      </c>
      <c r="V823" s="10">
        <f>ROUNDUP((T823+U823+2*'Read Me'!$B$13)*(1+'Read Me'!$B$12),-1)</f>
        <v/>
      </c>
      <c r="W823" s="10">
        <f>V823*N823*O823</f>
        <v/>
      </c>
      <c r="X823" s="9">
        <f>IF(LEFT(I823,2)="MV",2*N823*IF(L823="1/C",O823,1),0)</f>
        <v/>
      </c>
      <c r="Y823" s="9">
        <f>IF(OR(LEFT(K823,4)="LVAX",LEFT(K823,6)="MV15AX",LEFT(K823,4)="CTAX",LEFT(K823,2)="W|"),2*N823*O823,0)</f>
        <v/>
      </c>
      <c r="Z823" s="9" t="inlineStr">
        <is>
          <t>VD 1.4 %</t>
        </is>
      </c>
    </row>
    <row r="824">
      <c r="A824" s="9" t="inlineStr">
        <is>
          <t>A-P-0034</t>
        </is>
      </c>
      <c r="B824" s="9" t="inlineStr">
        <is>
          <t>A</t>
        </is>
      </c>
      <c r="C824" s="9" t="inlineStr">
        <is>
          <t>Power block</t>
        </is>
      </c>
      <c r="D824" s="9" t="inlineStr">
        <is>
          <t>LV panel / distribution feeder</t>
        </is>
      </c>
      <c r="E824" s="9" t="inlineStr">
        <is>
          <t>LC-480-A</t>
        </is>
      </c>
      <c r="F824" s="9" t="inlineStr">
        <is>
          <t>R1 LC-480-A (480 V switchgear)</t>
        </is>
      </c>
      <c r="G824" s="9" t="inlineStr">
        <is>
          <t>R1</t>
        </is>
      </c>
      <c r="H824" s="9" t="inlineStr">
        <is>
          <t>R1: main electrical building (64 x 180 ft)</t>
        </is>
      </c>
      <c r="I824" s="9" t="inlineStr">
        <is>
          <t>LV 600 V</t>
        </is>
      </c>
      <c r="J824" s="9" t="inlineStr">
        <is>
          <t>Type TC-ER 600 V 3/C Cu XHHW-2 + ground, PVC jacket</t>
        </is>
      </c>
      <c r="K824" s="9" t="inlineStr">
        <is>
          <t>LV|3/C+G|500</t>
        </is>
      </c>
      <c r="L824" s="9" t="inlineStr">
        <is>
          <t>3/C+G</t>
        </is>
      </c>
      <c r="M824" s="9" t="inlineStr">
        <is>
          <t>500 kcmil</t>
        </is>
      </c>
      <c r="N824" s="9" t="n">
        <v>1</v>
      </c>
      <c r="O824" s="9" t="n">
        <v>1</v>
      </c>
      <c r="P824" s="9" t="n">
        <v>480</v>
      </c>
      <c r="Q824" s="9" t="n">
        <v>138</v>
      </c>
      <c r="R824" s="9" t="n">
        <v>195</v>
      </c>
      <c r="S824" s="9" t="inlineStr">
        <is>
          <t>Duct bank</t>
        </is>
      </c>
      <c r="T824" s="10" t="n">
        <v>1250</v>
      </c>
      <c r="U824" s="10" t="n">
        <v>74</v>
      </c>
      <c r="V824" s="10">
        <f>ROUNDUP((T824+U824+2*'Read Me'!$B$13)*(1+'Read Me'!$B$12),-1)</f>
        <v/>
      </c>
      <c r="W824" s="10">
        <f>V824*N824*O824</f>
        <v/>
      </c>
      <c r="X824" s="9">
        <f>IF(LEFT(I824,2)="MV",2*N824*IF(L824="1/C",O824,1),0)</f>
        <v/>
      </c>
      <c r="Y824" s="9">
        <f>IF(OR(LEFT(K824,4)="LVAX",LEFT(K824,6)="MV15AX",LEFT(K824,4)="CTAX",LEFT(K824,2)="W|"),2*N824*O824,0)</f>
        <v/>
      </c>
      <c r="Z824" s="9" t="inlineStr">
        <is>
          <t>VD 2.6 %</t>
        </is>
      </c>
    </row>
    <row r="825">
      <c r="A825" s="9" t="inlineStr">
        <is>
          <t>A-P-0035</t>
        </is>
      </c>
      <c r="B825" s="9" t="inlineStr">
        <is>
          <t>A</t>
        </is>
      </c>
      <c r="C825" s="9" t="inlineStr">
        <is>
          <t>Power block</t>
        </is>
      </c>
      <c r="D825" s="9" t="inlineStr">
        <is>
          <t>LV panel / distribution feeder</t>
        </is>
      </c>
      <c r="E825" s="9" t="inlineStr">
        <is>
          <t>R2A</t>
        </is>
      </c>
      <c r="F825" s="9" t="inlineStr">
        <is>
          <t>R2A: unit / HRSG electrical e-house (32 x 40 ft)</t>
        </is>
      </c>
      <c r="G825" s="9" t="inlineStr">
        <is>
          <t>R2A</t>
        </is>
      </c>
      <c r="H825" s="9" t="inlineStr">
        <is>
          <t>R2A: unit / HRSG electrical e-house (32 x 40 ft)</t>
        </is>
      </c>
      <c r="I825" s="9" t="inlineStr">
        <is>
          <t>LV 600 V</t>
        </is>
      </c>
      <c r="J825" s="9" t="inlineStr">
        <is>
          <t>Type TC-ER 600 V 3/C Cu XHHW-2 + ground, PVC jacket</t>
        </is>
      </c>
      <c r="K825" s="9" t="inlineStr">
        <is>
          <t>LV|3/C+G|6</t>
        </is>
      </c>
      <c r="L825" s="9" t="inlineStr">
        <is>
          <t>3/C+G</t>
        </is>
      </c>
      <c r="M825" s="9" t="inlineStr">
        <is>
          <t>6</t>
        </is>
      </c>
      <c r="N825" s="9" t="n">
        <v>1</v>
      </c>
      <c r="O825" s="9" t="n">
        <v>1</v>
      </c>
      <c r="P825" s="9" t="n">
        <v>480</v>
      </c>
      <c r="Q825" s="9" t="n">
        <v>30</v>
      </c>
      <c r="R825" s="9" t="n">
        <v>42</v>
      </c>
      <c r="S825" s="9" t="inlineStr">
        <is>
          <t>Tray</t>
        </is>
      </c>
      <c r="T825" s="10" t="n">
        <v>0</v>
      </c>
      <c r="U825" s="10" t="n">
        <v>72</v>
      </c>
      <c r="V825" s="10">
        <f>ROUNDUP((T825+U825+2*'Read Me'!$B$13)*(1+'Read Me'!$B$12),-1)</f>
        <v/>
      </c>
      <c r="W825" s="10">
        <f>V825*N825*O825</f>
        <v/>
      </c>
      <c r="X825" s="9">
        <f>IF(LEFT(I825,2)="MV",2*N825*IF(L825="1/C",O825,1),0)</f>
        <v/>
      </c>
      <c r="Y825" s="9">
        <f>IF(OR(LEFT(K825,4)="LVAX",LEFT(K825,6)="MV15AX",LEFT(K825,4)="CTAX",LEFT(K825,2)="W|"),2*N825*O825,0)</f>
        <v/>
      </c>
      <c r="Z825" s="9" t="inlineStr">
        <is>
          <t>VD 0.6 %</t>
        </is>
      </c>
    </row>
    <row r="826">
      <c r="A826" s="9" t="inlineStr">
        <is>
          <t>A-P-0036</t>
        </is>
      </c>
      <c r="B826" s="9" t="inlineStr">
        <is>
          <t>A</t>
        </is>
      </c>
      <c r="C826" s="9" t="inlineStr">
        <is>
          <t>Power block</t>
        </is>
      </c>
      <c r="D826" s="9" t="inlineStr">
        <is>
          <t>LV panel / distribution feeder</t>
        </is>
      </c>
      <c r="E826" s="9" t="inlineStr">
        <is>
          <t>R2B</t>
        </is>
      </c>
      <c r="F826" s="9" t="inlineStr">
        <is>
          <t>R2B: unit / HRSG electrical e-house (32 x 40 ft)</t>
        </is>
      </c>
      <c r="G826" s="9" t="inlineStr">
        <is>
          <t>R2B</t>
        </is>
      </c>
      <c r="H826" s="9" t="inlineStr">
        <is>
          <t>R2B: unit / HRSG electrical e-house (32 x 40 ft)</t>
        </is>
      </c>
      <c r="I826" s="9" t="inlineStr">
        <is>
          <t>LV 600 V</t>
        </is>
      </c>
      <c r="J826" s="9" t="inlineStr">
        <is>
          <t>Type TC-ER 600 V 3/C Cu XHHW-2 + ground, PVC jacket</t>
        </is>
      </c>
      <c r="K826" s="9" t="inlineStr">
        <is>
          <t>LV|3/C+G|6</t>
        </is>
      </c>
      <c r="L826" s="9" t="inlineStr">
        <is>
          <t>3/C+G</t>
        </is>
      </c>
      <c r="M826" s="9" t="inlineStr">
        <is>
          <t>6</t>
        </is>
      </c>
      <c r="N826" s="9" t="n">
        <v>1</v>
      </c>
      <c r="O826" s="9" t="n">
        <v>1</v>
      </c>
      <c r="P826" s="9" t="n">
        <v>480</v>
      </c>
      <c r="Q826" s="9" t="n">
        <v>30</v>
      </c>
      <c r="R826" s="9" t="n">
        <v>42</v>
      </c>
      <c r="S826" s="9" t="inlineStr">
        <is>
          <t>Tray</t>
        </is>
      </c>
      <c r="T826" s="10" t="n">
        <v>0</v>
      </c>
      <c r="U826" s="10" t="n">
        <v>72</v>
      </c>
      <c r="V826" s="10">
        <f>ROUNDUP((T826+U826+2*'Read Me'!$B$13)*(1+'Read Me'!$B$12),-1)</f>
        <v/>
      </c>
      <c r="W826" s="10">
        <f>V826*N826*O826</f>
        <v/>
      </c>
      <c r="X826" s="9">
        <f>IF(LEFT(I826,2)="MV",2*N826*IF(L826="1/C",O826,1),0)</f>
        <v/>
      </c>
      <c r="Y826" s="9">
        <f>IF(OR(LEFT(K826,4)="LVAX",LEFT(K826,6)="MV15AX",LEFT(K826,4)="CTAX",LEFT(K826,2)="W|"),2*N826*O826,0)</f>
        <v/>
      </c>
      <c r="Z826" s="9" t="inlineStr">
        <is>
          <t>VD 0.6 %</t>
        </is>
      </c>
    </row>
    <row r="827">
      <c r="A827" s="9" t="inlineStr">
        <is>
          <t>A-P-0037</t>
        </is>
      </c>
      <c r="B827" s="9" t="inlineStr">
        <is>
          <t>A</t>
        </is>
      </c>
      <c r="C827" s="9" t="inlineStr">
        <is>
          <t>Power block</t>
        </is>
      </c>
      <c r="D827" s="9" t="inlineStr">
        <is>
          <t>LV panel / distribution feeder</t>
        </is>
      </c>
      <c r="E827" s="9" t="inlineStr">
        <is>
          <t>R2C</t>
        </is>
      </c>
      <c r="F827" s="9" t="inlineStr">
        <is>
          <t>R2C: unit / HRSG electrical e-house (32 x 40 ft)</t>
        </is>
      </c>
      <c r="G827" s="9" t="inlineStr">
        <is>
          <t>R2C</t>
        </is>
      </c>
      <c r="H827" s="9" t="inlineStr">
        <is>
          <t>R2C: unit / HRSG electrical e-house (32 x 40 ft)</t>
        </is>
      </c>
      <c r="I827" s="9" t="inlineStr">
        <is>
          <t>LV 600 V</t>
        </is>
      </c>
      <c r="J827" s="9" t="inlineStr">
        <is>
          <t>Type TC-ER 600 V 3/C Cu XHHW-2 + ground, PVC jacket</t>
        </is>
      </c>
      <c r="K827" s="9" t="inlineStr">
        <is>
          <t>LV|3/C+G|6</t>
        </is>
      </c>
      <c r="L827" s="9" t="inlineStr">
        <is>
          <t>3/C+G</t>
        </is>
      </c>
      <c r="M827" s="9" t="inlineStr">
        <is>
          <t>6</t>
        </is>
      </c>
      <c r="N827" s="9" t="n">
        <v>1</v>
      </c>
      <c r="O827" s="9" t="n">
        <v>1</v>
      </c>
      <c r="P827" s="9" t="n">
        <v>480</v>
      </c>
      <c r="Q827" s="9" t="n">
        <v>30</v>
      </c>
      <c r="R827" s="9" t="n">
        <v>42</v>
      </c>
      <c r="S827" s="9" t="inlineStr">
        <is>
          <t>Tray</t>
        </is>
      </c>
      <c r="T827" s="10" t="n">
        <v>0</v>
      </c>
      <c r="U827" s="10" t="n">
        <v>72</v>
      </c>
      <c r="V827" s="10">
        <f>ROUNDUP((T827+U827+2*'Read Me'!$B$13)*(1+'Read Me'!$B$12),-1)</f>
        <v/>
      </c>
      <c r="W827" s="10">
        <f>V827*N827*O827</f>
        <v/>
      </c>
      <c r="X827" s="9">
        <f>IF(LEFT(I827,2)="MV",2*N827*IF(L827="1/C",O827,1),0)</f>
        <v/>
      </c>
      <c r="Y827" s="9">
        <f>IF(OR(LEFT(K827,4)="LVAX",LEFT(K827,6)="MV15AX",LEFT(K827,4)="CTAX",LEFT(K827,2)="W|"),2*N827*O827,0)</f>
        <v/>
      </c>
      <c r="Z827" s="9" t="inlineStr">
        <is>
          <t>VD 0.6 %</t>
        </is>
      </c>
    </row>
    <row r="828">
      <c r="A828" s="9" t="inlineStr">
        <is>
          <t>A-P-0038</t>
        </is>
      </c>
      <c r="B828" s="9" t="inlineStr">
        <is>
          <t>A</t>
        </is>
      </c>
      <c r="C828" s="9" t="inlineStr">
        <is>
          <t>Power block</t>
        </is>
      </c>
      <c r="D828" s="9" t="inlineStr">
        <is>
          <t>LV panel / distribution feeder</t>
        </is>
      </c>
      <c r="E828" s="9" t="inlineStr">
        <is>
          <t>R3</t>
        </is>
      </c>
      <c r="F828" s="9" t="inlineStr">
        <is>
          <t>R3: ST auxiliary electrical e-house (40 x 65 ft)</t>
        </is>
      </c>
      <c r="G828" s="9" t="inlineStr">
        <is>
          <t>R3</t>
        </is>
      </c>
      <c r="H828" s="9" t="inlineStr">
        <is>
          <t>R3: ST auxiliary electrical e-house (40 x 65 ft)</t>
        </is>
      </c>
      <c r="I828" s="9" t="inlineStr">
        <is>
          <t>LV 600 V</t>
        </is>
      </c>
      <c r="J828" s="9" t="inlineStr">
        <is>
          <t>Type TC-ER 600 V 3/C Cu XHHW-2 + ground, PVC jacket</t>
        </is>
      </c>
      <c r="K828" s="9" t="inlineStr">
        <is>
          <t>LV|3/C+G|4/0</t>
        </is>
      </c>
      <c r="L828" s="9" t="inlineStr">
        <is>
          <t>3/C+G</t>
        </is>
      </c>
      <c r="M828" s="9" t="inlineStr">
        <is>
          <t>4/0</t>
        </is>
      </c>
      <c r="N828" s="9" t="n">
        <v>2</v>
      </c>
      <c r="O828" s="9" t="n">
        <v>1</v>
      </c>
      <c r="P828" s="9" t="n">
        <v>480</v>
      </c>
      <c r="Q828" s="9" t="n">
        <v>250</v>
      </c>
      <c r="R828" s="9" t="n">
        <v>354</v>
      </c>
      <c r="S828" s="9" t="inlineStr">
        <is>
          <t>Tray</t>
        </is>
      </c>
      <c r="T828" s="10" t="n">
        <v>0</v>
      </c>
      <c r="U828" s="10" t="n">
        <v>68</v>
      </c>
      <c r="V828" s="10">
        <f>ROUNDUP((T828+U828+2*'Read Me'!$B$13)*(1+'Read Me'!$B$12),-1)</f>
        <v/>
      </c>
      <c r="W828" s="10">
        <f>V828*N828*O828</f>
        <v/>
      </c>
      <c r="X828" s="9">
        <f>IF(LEFT(I828,2)="MV",2*N828*IF(L828="1/C",O828,1),0)</f>
        <v/>
      </c>
      <c r="Y828" s="9">
        <f>IF(OR(LEFT(K828,4)="LVAX",LEFT(K828,6)="MV15AX",LEFT(K828,4)="CTAX",LEFT(K828,2)="W|"),2*N828*O828,0)</f>
        <v/>
      </c>
      <c r="Z828" s="9" t="inlineStr">
        <is>
          <t>VD 0.3 %</t>
        </is>
      </c>
    </row>
    <row r="829">
      <c r="A829" s="9" t="inlineStr">
        <is>
          <t>A-P-0039</t>
        </is>
      </c>
      <c r="B829" s="9" t="inlineStr">
        <is>
          <t>A</t>
        </is>
      </c>
      <c r="C829" s="9" t="inlineStr">
        <is>
          <t>Power block</t>
        </is>
      </c>
      <c r="D829" s="9" t="inlineStr">
        <is>
          <t>LV power feeder</t>
        </is>
      </c>
      <c r="E829" s="9" t="inlineStr">
        <is>
          <t>R2B</t>
        </is>
      </c>
      <c r="F829" s="9" t="inlineStr">
        <is>
          <t>R2B: unit / HRSG electrical e-house (32 x 40 ft)</t>
        </is>
      </c>
      <c r="G829" s="9" t="inlineStr">
        <is>
          <t>SCRB-1</t>
        </is>
      </c>
      <c r="H829" s="9" t="inlineStr">
        <is>
          <t>SCRB-1A/B: SCR dilution-air blowers</t>
        </is>
      </c>
      <c r="I829" s="9" t="inlineStr">
        <is>
          <t>LV 600 V</t>
        </is>
      </c>
      <c r="J829" s="9" t="inlineStr">
        <is>
          <t>Type TC-ER 600 V 3/C Cu XHHW-2 + ground, PVC jacket</t>
        </is>
      </c>
      <c r="K829" s="9" t="inlineStr">
        <is>
          <t>LV|3/C+G|3/0</t>
        </is>
      </c>
      <c r="L829" s="9" t="inlineStr">
        <is>
          <t>3/C+G</t>
        </is>
      </c>
      <c r="M829" s="9" t="inlineStr">
        <is>
          <t>3/0</t>
        </is>
      </c>
      <c r="N829" s="9" t="n">
        <v>2</v>
      </c>
      <c r="O829" s="9" t="n">
        <v>1</v>
      </c>
      <c r="P829" s="9" t="n">
        <v>480</v>
      </c>
      <c r="Q829" s="9" t="n">
        <v>220</v>
      </c>
      <c r="R829" s="9" t="n">
        <v>311</v>
      </c>
      <c r="S829" s="9" t="inlineStr">
        <is>
          <t>Tray</t>
        </is>
      </c>
      <c r="T829" s="10" t="n">
        <v>116</v>
      </c>
      <c r="U829" s="10" t="n">
        <v>78</v>
      </c>
      <c r="V829" s="10">
        <f>ROUNDUP((T829+U829+2*'Read Me'!$B$13)*(1+'Read Me'!$B$12),-1)</f>
        <v/>
      </c>
      <c r="W829" s="10">
        <f>V829*N829*O829</f>
        <v/>
      </c>
      <c r="X829" s="9">
        <f>IF(LEFT(I829,2)="MV",2*N829*IF(L829="1/C",O829,1),0)</f>
        <v/>
      </c>
      <c r="Y829" s="9">
        <f>IF(OR(LEFT(K829,4)="LVAX",LEFT(K829,6)="MV15AX",LEFT(K829,4)="CTAX",LEFT(K829,2)="W|"),2*N829*O829,0)</f>
        <v/>
      </c>
      <c r="Z829" s="9" t="inlineStr">
        <is>
          <t>VD 0.9 %</t>
        </is>
      </c>
    </row>
    <row r="830">
      <c r="A830" s="9" t="inlineStr">
        <is>
          <t>A-P-0040</t>
        </is>
      </c>
      <c r="B830" s="9" t="inlineStr">
        <is>
          <t>A</t>
        </is>
      </c>
      <c r="C830" s="9" t="inlineStr">
        <is>
          <t>Power block</t>
        </is>
      </c>
      <c r="D830" s="9" t="inlineStr">
        <is>
          <t>LV power feeder</t>
        </is>
      </c>
      <c r="E830" s="9" t="inlineStr">
        <is>
          <t>R2C</t>
        </is>
      </c>
      <c r="F830" s="9" t="inlineStr">
        <is>
          <t>R2C: unit / HRSG electrical e-house (32 x 40 ft)</t>
        </is>
      </c>
      <c r="G830" s="9" t="inlineStr">
        <is>
          <t>SCRB-2</t>
        </is>
      </c>
      <c r="H830" s="9" t="inlineStr">
        <is>
          <t>SCRB-2A/B: SCR dilution-air blowers</t>
        </is>
      </c>
      <c r="I830" s="9" t="inlineStr">
        <is>
          <t>LV 600 V</t>
        </is>
      </c>
      <c r="J830" s="9" t="inlineStr">
        <is>
          <t>Type TC-ER 600 V 3/C Cu XHHW-2 + ground, PVC jacket</t>
        </is>
      </c>
      <c r="K830" s="9" t="inlineStr">
        <is>
          <t>LV|3/C+G|3/0</t>
        </is>
      </c>
      <c r="L830" s="9" t="inlineStr">
        <is>
          <t>3/C+G</t>
        </is>
      </c>
      <c r="M830" s="9" t="inlineStr">
        <is>
          <t>3/0</t>
        </is>
      </c>
      <c r="N830" s="9" t="n">
        <v>2</v>
      </c>
      <c r="O830" s="9" t="n">
        <v>1</v>
      </c>
      <c r="P830" s="9" t="n">
        <v>480</v>
      </c>
      <c r="Q830" s="9" t="n">
        <v>220</v>
      </c>
      <c r="R830" s="9" t="n">
        <v>311</v>
      </c>
      <c r="S830" s="9" t="inlineStr">
        <is>
          <t>Tray</t>
        </is>
      </c>
      <c r="T830" s="10" t="n">
        <v>30</v>
      </c>
      <c r="U830" s="10" t="n">
        <v>128</v>
      </c>
      <c r="V830" s="10">
        <f>ROUNDUP((T830+U830+2*'Read Me'!$B$13)*(1+'Read Me'!$B$12),-1)</f>
        <v/>
      </c>
      <c r="W830" s="10">
        <f>V830*N830*O830</f>
        <v/>
      </c>
      <c r="X830" s="9">
        <f>IF(LEFT(I830,2)="MV",2*N830*IF(L830="1/C",O830,1),0)</f>
        <v/>
      </c>
      <c r="Y830" s="9">
        <f>IF(OR(LEFT(K830,4)="LVAX",LEFT(K830,6)="MV15AX",LEFT(K830,4)="CTAX",LEFT(K830,2)="W|"),2*N830*O830,0)</f>
        <v/>
      </c>
      <c r="Z830" s="9" t="inlineStr">
        <is>
          <t>VD 0.7 %</t>
        </is>
      </c>
    </row>
    <row r="831">
      <c r="A831" s="9" t="inlineStr">
        <is>
          <t>A-P-0041</t>
        </is>
      </c>
      <c r="B831" s="9" t="inlineStr">
        <is>
          <t>A</t>
        </is>
      </c>
      <c r="C831" s="9" t="inlineStr">
        <is>
          <t>Power block</t>
        </is>
      </c>
      <c r="D831" s="9" t="inlineStr">
        <is>
          <t>LV power feeder</t>
        </is>
      </c>
      <c r="E831" s="9" t="inlineStr">
        <is>
          <t>R3</t>
        </is>
      </c>
      <c r="F831" s="9" t="inlineStr">
        <is>
          <t>R3: ST auxiliary electrical e-house (40 x 65 ft)</t>
        </is>
      </c>
      <c r="G831" s="9" t="inlineStr">
        <is>
          <t>SCRB-3</t>
        </is>
      </c>
      <c r="H831" s="9" t="inlineStr">
        <is>
          <t>SCRB-3A/B: SCR dilution-air blowers</t>
        </is>
      </c>
      <c r="I831" s="9" t="inlineStr">
        <is>
          <t>LV 600 V</t>
        </is>
      </c>
      <c r="J831" s="9" t="inlineStr">
        <is>
          <t>Type TC-ER 600 V 3/C Cu XHHW-2 + ground, PVC jacket</t>
        </is>
      </c>
      <c r="K831" s="9" t="inlineStr">
        <is>
          <t>LV|3/C+G|3/0</t>
        </is>
      </c>
      <c r="L831" s="9" t="inlineStr">
        <is>
          <t>3/C+G</t>
        </is>
      </c>
      <c r="M831" s="9" t="inlineStr">
        <is>
          <t>3/0</t>
        </is>
      </c>
      <c r="N831" s="9" t="n">
        <v>2</v>
      </c>
      <c r="O831" s="9" t="n">
        <v>1</v>
      </c>
      <c r="P831" s="9" t="n">
        <v>480</v>
      </c>
      <c r="Q831" s="9" t="n">
        <v>220</v>
      </c>
      <c r="R831" s="9" t="n">
        <v>311</v>
      </c>
      <c r="S831" s="9" t="inlineStr">
        <is>
          <t>Tray</t>
        </is>
      </c>
      <c r="T831" s="10" t="n">
        <v>510</v>
      </c>
      <c r="U831" s="10" t="n">
        <v>114</v>
      </c>
      <c r="V831" s="10">
        <f>ROUNDUP((T831+U831+2*'Read Me'!$B$13)*(1+'Read Me'!$B$12),-1)</f>
        <v/>
      </c>
      <c r="W831" s="10">
        <f>V831*N831*O831</f>
        <v/>
      </c>
      <c r="X831" s="9">
        <f>IF(LEFT(I831,2)="MV",2*N831*IF(L831="1/C",O831,1),0)</f>
        <v/>
      </c>
      <c r="Y831" s="9">
        <f>IF(OR(LEFT(K831,4)="LVAX",LEFT(K831,6)="MV15AX",LEFT(K831,4)="CTAX",LEFT(K831,2)="W|"),2*N831*O831,0)</f>
        <v/>
      </c>
      <c r="Z831" s="9" t="inlineStr">
        <is>
          <t>VD 3.0 %</t>
        </is>
      </c>
    </row>
    <row r="832">
      <c r="A832" s="9" t="inlineStr">
        <is>
          <t>A-P-0042</t>
        </is>
      </c>
      <c r="B832" s="9" t="inlineStr">
        <is>
          <t>A</t>
        </is>
      </c>
      <c r="C832" s="9" t="inlineStr">
        <is>
          <t>Power block</t>
        </is>
      </c>
      <c r="D832" s="9" t="inlineStr">
        <is>
          <t>LV power feeder</t>
        </is>
      </c>
      <c r="E832" s="9" t="inlineStr">
        <is>
          <t>R3</t>
        </is>
      </c>
      <c r="F832" s="9" t="inlineStr">
        <is>
          <t>R3: ST auxiliary electrical e-house (40 x 65 ft)</t>
        </is>
      </c>
      <c r="G832" s="9" t="inlineStr">
        <is>
          <t>ST aux</t>
        </is>
      </c>
      <c r="H832" s="9" t="inlineStr">
        <is>
          <t>ST aux: lube oil, turning gear, EHC</t>
        </is>
      </c>
      <c r="I832" s="9" t="inlineStr">
        <is>
          <t>LV 600 V</t>
        </is>
      </c>
      <c r="J832" s="9" t="inlineStr">
        <is>
          <t>Type TC-ER 600 V 3/C Cu XHHW-2 + ground, PVC jacket</t>
        </is>
      </c>
      <c r="K832" s="9" t="inlineStr">
        <is>
          <t>LV|3/C+G|4/0</t>
        </is>
      </c>
      <c r="L832" s="9" t="inlineStr">
        <is>
          <t>3/C+G</t>
        </is>
      </c>
      <c r="M832" s="9" t="inlineStr">
        <is>
          <t>4/0</t>
        </is>
      </c>
      <c r="N832" s="9" t="n">
        <v>2</v>
      </c>
      <c r="O832" s="9" t="n">
        <v>1</v>
      </c>
      <c r="P832" s="9" t="n">
        <v>480</v>
      </c>
      <c r="Q832" s="9" t="n">
        <v>250</v>
      </c>
      <c r="R832" s="9" t="n">
        <v>354</v>
      </c>
      <c r="S832" s="9" t="inlineStr">
        <is>
          <t>Tray</t>
        </is>
      </c>
      <c r="T832" s="10" t="n">
        <v>91</v>
      </c>
      <c r="U832" s="10" t="n">
        <v>70</v>
      </c>
      <c r="V832" s="10">
        <f>ROUNDUP((T832+U832+2*'Read Me'!$B$13)*(1+'Read Me'!$B$12),-1)</f>
        <v/>
      </c>
      <c r="W832" s="10">
        <f>V832*N832*O832</f>
        <v/>
      </c>
      <c r="X832" s="9">
        <f>IF(LEFT(I832,2)="MV",2*N832*IF(L832="1/C",O832,1),0)</f>
        <v/>
      </c>
      <c r="Y832" s="9">
        <f>IF(OR(LEFT(K832,4)="LVAX",LEFT(K832,6)="MV15AX",LEFT(K832,4)="CTAX",LEFT(K832,2)="W|"),2*N832*O832,0)</f>
        <v/>
      </c>
      <c r="Z832" s="9" t="inlineStr">
        <is>
          <t>VD 0.7 %</t>
        </is>
      </c>
    </row>
    <row r="833">
      <c r="A833" s="9" t="inlineStr">
        <is>
          <t>A-P-0043</t>
        </is>
      </c>
      <c r="B833" s="9" t="inlineStr">
        <is>
          <t>A</t>
        </is>
      </c>
      <c r="C833" s="9" t="inlineStr">
        <is>
          <t>Power block</t>
        </is>
      </c>
      <c r="D833" s="9" t="inlineStr">
        <is>
          <t>LV power feeder</t>
        </is>
      </c>
      <c r="E833" s="9" t="inlineStr">
        <is>
          <t>R3</t>
        </is>
      </c>
      <c r="F833" s="9" t="inlineStr">
        <is>
          <t>R3: ST auxiliary electrical e-house (40 x 65 ft)</t>
        </is>
      </c>
      <c r="G833" s="9" t="inlineStr">
        <is>
          <t>ST</t>
        </is>
      </c>
      <c r="H833" s="9" t="inlineStr">
        <is>
          <t>ST: steam turbine (HP/IP + LP), ACC plant</t>
        </is>
      </c>
      <c r="I833" s="9" t="inlineStr">
        <is>
          <t>LV 600 V</t>
        </is>
      </c>
      <c r="J833" s="9" t="inlineStr">
        <is>
          <t>Type TC-ER 600 V 3/C Cu XHHW-2 + ground, PVC jacket</t>
        </is>
      </c>
      <c r="K833" s="9" t="inlineStr">
        <is>
          <t>LV|3/C+G|10</t>
        </is>
      </c>
      <c r="L833" s="9" t="inlineStr">
        <is>
          <t>3/C+G</t>
        </is>
      </c>
      <c r="M833" s="9" t="inlineStr">
        <is>
          <t>10</t>
        </is>
      </c>
      <c r="N833" s="9" t="n">
        <v>1</v>
      </c>
      <c r="O833" s="9" t="n">
        <v>1</v>
      </c>
      <c r="P833" s="9" t="n">
        <v>480</v>
      </c>
      <c r="Q833" s="9" t="n">
        <v>15</v>
      </c>
      <c r="R833" s="9" t="n">
        <v>21</v>
      </c>
      <c r="S833" s="9" t="inlineStr">
        <is>
          <t>Tray</t>
        </is>
      </c>
      <c r="T833" s="10" t="n">
        <v>14</v>
      </c>
      <c r="U833" s="10" t="n">
        <v>78</v>
      </c>
      <c r="V833" s="10">
        <f>ROUNDUP((T833+U833+2*'Read Me'!$B$13)*(1+'Read Me'!$B$12),-1)</f>
        <v/>
      </c>
      <c r="W833" s="10">
        <f>V833*N833*O833</f>
        <v/>
      </c>
      <c r="X833" s="9">
        <f>IF(LEFT(I833,2)="MV",2*N833*IF(L833="1/C",O833,1),0)</f>
        <v/>
      </c>
      <c r="Y833" s="9">
        <f>IF(OR(LEFT(K833,4)="LVAX",LEFT(K833,6)="MV15AX",LEFT(K833,4)="CTAX",LEFT(K833,2)="W|"),2*N833*O833,0)</f>
        <v/>
      </c>
      <c r="Z833" s="9" t="inlineStr">
        <is>
          <t>VD 0.9 %</t>
        </is>
      </c>
    </row>
    <row r="834">
      <c r="A834" s="9" t="inlineStr">
        <is>
          <t>A-P-0044</t>
        </is>
      </c>
      <c r="B834" s="9" t="inlineStr">
        <is>
          <t>A</t>
        </is>
      </c>
      <c r="C834" s="9" t="inlineStr">
        <is>
          <t>Power block</t>
        </is>
      </c>
      <c r="D834" s="9" t="inlineStr">
        <is>
          <t>LV power feeder</t>
        </is>
      </c>
      <c r="E834" s="9" t="inlineStr">
        <is>
          <t>R3</t>
        </is>
      </c>
      <c r="F834" s="9" t="inlineStr">
        <is>
          <t>R3: ST auxiliary electrical e-house (40 x 65 ft)</t>
        </is>
      </c>
      <c r="G834" s="9" t="inlineStr">
        <is>
          <t>SWAS</t>
        </is>
      </c>
      <c r="H834" s="9" t="inlineStr">
        <is>
          <t>SWAS: steam and water analysis</t>
        </is>
      </c>
      <c r="I834" s="9" t="inlineStr">
        <is>
          <t>LV 600 V</t>
        </is>
      </c>
      <c r="J834" s="9" t="inlineStr">
        <is>
          <t>Type TC-ER 600 V 3/C Cu XHHW-2 + ground, PVC jacket</t>
        </is>
      </c>
      <c r="K834" s="9" t="inlineStr">
        <is>
          <t>LV|3/C+G|10</t>
        </is>
      </c>
      <c r="L834" s="9" t="inlineStr">
        <is>
          <t>3/C+G</t>
        </is>
      </c>
      <c r="M834" s="9" t="inlineStr">
        <is>
          <t>10</t>
        </is>
      </c>
      <c r="N834" s="9" t="n">
        <v>1</v>
      </c>
      <c r="O834" s="9" t="n">
        <v>1</v>
      </c>
      <c r="P834" s="9" t="n">
        <v>480</v>
      </c>
      <c r="Q834" s="9" t="n">
        <v>15</v>
      </c>
      <c r="R834" s="9" t="n">
        <v>21</v>
      </c>
      <c r="S834" s="9" t="inlineStr">
        <is>
          <t>Duct bank</t>
        </is>
      </c>
      <c r="T834" s="10" t="n">
        <v>230</v>
      </c>
      <c r="U834" s="10" t="n">
        <v>50</v>
      </c>
      <c r="V834" s="10">
        <f>ROUNDUP((T834+U834+2*'Read Me'!$B$13)*(1+'Read Me'!$B$12),-1)</f>
        <v/>
      </c>
      <c r="W834" s="10">
        <f>V834*N834*O834</f>
        <v/>
      </c>
      <c r="X834" s="9">
        <f>IF(LEFT(I834,2)="MV",2*N834*IF(L834="1/C",O834,1),0)</f>
        <v/>
      </c>
      <c r="Y834" s="9">
        <f>IF(OR(LEFT(K834,4)="LVAX",LEFT(K834,6)="MV15AX",LEFT(K834,4)="CTAX",LEFT(K834,2)="W|"),2*N834*O834,0)</f>
        <v/>
      </c>
      <c r="Z834" s="9" t="inlineStr">
        <is>
          <t>VD 2.9 %</t>
        </is>
      </c>
    </row>
    <row r="835">
      <c r="A835" s="9" t="inlineStr">
        <is>
          <t>A-P-0045</t>
        </is>
      </c>
      <c r="B835" s="9" t="inlineStr">
        <is>
          <t>A</t>
        </is>
      </c>
      <c r="C835" s="9" t="inlineStr">
        <is>
          <t>Power block</t>
        </is>
      </c>
      <c r="D835" s="9" t="inlineStr">
        <is>
          <t>LV power feeder</t>
        </is>
      </c>
      <c r="E835" s="9" t="inlineStr">
        <is>
          <t>MCC-GT1</t>
        </is>
      </c>
      <c r="F835" s="9" t="inlineStr">
        <is>
          <t>R1 MCC-GT1</t>
        </is>
      </c>
      <c r="G835" s="9" t="inlineStr">
        <is>
          <t>TCP-1</t>
        </is>
      </c>
      <c r="H835" s="9" t="inlineStr">
        <is>
          <t>TCP-1: GT1 turbine control and protection cabinets</t>
        </is>
      </c>
      <c r="I835" s="9" t="inlineStr">
        <is>
          <t>LV 600 V</t>
        </is>
      </c>
      <c r="J835" s="9" t="inlineStr">
        <is>
          <t>Type TC-ER 600 V 3/C Cu XHHW-2 + ground, PVC jacket</t>
        </is>
      </c>
      <c r="K835" s="9" t="inlineStr">
        <is>
          <t>LV|3/C+G|4</t>
        </is>
      </c>
      <c r="L835" s="9" t="inlineStr">
        <is>
          <t>3/C+G</t>
        </is>
      </c>
      <c r="M835" s="9" t="inlineStr">
        <is>
          <t>4</t>
        </is>
      </c>
      <c r="N835" s="9" t="n">
        <v>1</v>
      </c>
      <c r="O835" s="9" t="n">
        <v>1</v>
      </c>
      <c r="P835" s="9" t="n">
        <v>480</v>
      </c>
      <c r="Q835" s="9" t="n">
        <v>15</v>
      </c>
      <c r="R835" s="9" t="n">
        <v>21</v>
      </c>
      <c r="S835" s="9" t="inlineStr">
        <is>
          <t>Duct bank</t>
        </is>
      </c>
      <c r="T835" s="10" t="n">
        <v>971</v>
      </c>
      <c r="U835" s="10" t="n">
        <v>124</v>
      </c>
      <c r="V835" s="10">
        <f>ROUNDUP((T835+U835+2*'Read Me'!$B$13)*(1+'Read Me'!$B$12),-1)</f>
        <v/>
      </c>
      <c r="W835" s="10">
        <f>V835*N835*O835</f>
        <v/>
      </c>
      <c r="X835" s="9">
        <f>IF(LEFT(I835,2)="MV",2*N835*IF(L835="1/C",O835,1),0)</f>
        <v/>
      </c>
      <c r="Y835" s="9">
        <f>IF(OR(LEFT(K835,4)="LVAX",LEFT(K835,6)="MV15AX",LEFT(K835,4)="CTAX",LEFT(K835,2)="W|"),2*N835*O835,0)</f>
        <v/>
      </c>
      <c r="Z835" s="9" t="inlineStr">
        <is>
          <t>VD 2.8 %</t>
        </is>
      </c>
    </row>
    <row r="836">
      <c r="A836" s="9" t="inlineStr">
        <is>
          <t>A-P-0046</t>
        </is>
      </c>
      <c r="B836" s="9" t="inlineStr">
        <is>
          <t>A</t>
        </is>
      </c>
      <c r="C836" s="9" t="inlineStr">
        <is>
          <t>Power block</t>
        </is>
      </c>
      <c r="D836" s="9" t="inlineStr">
        <is>
          <t>LV power feeder</t>
        </is>
      </c>
      <c r="E836" s="9" t="inlineStr">
        <is>
          <t>MCC-GT2</t>
        </is>
      </c>
      <c r="F836" s="9" t="inlineStr">
        <is>
          <t>R1 MCC-GT2</t>
        </is>
      </c>
      <c r="G836" s="9" t="inlineStr">
        <is>
          <t>TCP-2</t>
        </is>
      </c>
      <c r="H836" s="9" t="inlineStr">
        <is>
          <t>TCP-2: GT2 turbine control and protection cabinets</t>
        </is>
      </c>
      <c r="I836" s="9" t="inlineStr">
        <is>
          <t>LV 600 V</t>
        </is>
      </c>
      <c r="J836" s="9" t="inlineStr">
        <is>
          <t>Type TC-ER 600 V 3/C Cu XHHW-2 + ground, PVC jacket</t>
        </is>
      </c>
      <c r="K836" s="9" t="inlineStr">
        <is>
          <t>LV|3/C+G|6</t>
        </is>
      </c>
      <c r="L836" s="9" t="inlineStr">
        <is>
          <t>3/C+G</t>
        </is>
      </c>
      <c r="M836" s="9" t="inlineStr">
        <is>
          <t>6</t>
        </is>
      </c>
      <c r="N836" s="9" t="n">
        <v>1</v>
      </c>
      <c r="O836" s="9" t="n">
        <v>1</v>
      </c>
      <c r="P836" s="9" t="n">
        <v>480</v>
      </c>
      <c r="Q836" s="9" t="n">
        <v>15</v>
      </c>
      <c r="R836" s="9" t="n">
        <v>21</v>
      </c>
      <c r="S836" s="9" t="inlineStr">
        <is>
          <t>Tray</t>
        </is>
      </c>
      <c r="T836" s="10" t="n">
        <v>426</v>
      </c>
      <c r="U836" s="10" t="n">
        <v>135</v>
      </c>
      <c r="V836" s="10">
        <f>ROUNDUP((T836+U836+2*'Read Me'!$B$13)*(1+'Read Me'!$B$12),-1)</f>
        <v/>
      </c>
      <c r="W836" s="10">
        <f>V836*N836*O836</f>
        <v/>
      </c>
      <c r="X836" s="9">
        <f>IF(LEFT(I836,2)="MV",2*N836*IF(L836="1/C",O836,1),0)</f>
        <v/>
      </c>
      <c r="Y836" s="9">
        <f>IF(OR(LEFT(K836,4)="LVAX",LEFT(K836,6)="MV15AX",LEFT(K836,4)="CTAX",LEFT(K836,2)="W|"),2*N836*O836,0)</f>
        <v/>
      </c>
      <c r="Z836" s="9" t="inlineStr">
        <is>
          <t>VD 2.3 %</t>
        </is>
      </c>
    </row>
    <row r="837">
      <c r="A837" s="9" t="inlineStr">
        <is>
          <t>A-P-0047</t>
        </is>
      </c>
      <c r="B837" s="9" t="inlineStr">
        <is>
          <t>A</t>
        </is>
      </c>
      <c r="C837" s="9" t="inlineStr">
        <is>
          <t>Power block</t>
        </is>
      </c>
      <c r="D837" s="9" t="inlineStr">
        <is>
          <t>LV power feeder</t>
        </is>
      </c>
      <c r="E837" s="9" t="inlineStr">
        <is>
          <t>MCC-GT3</t>
        </is>
      </c>
      <c r="F837" s="9" t="inlineStr">
        <is>
          <t>R1 MCC-GT3</t>
        </is>
      </c>
      <c r="G837" s="9" t="inlineStr">
        <is>
          <t>TCP-3</t>
        </is>
      </c>
      <c r="H837" s="9" t="inlineStr">
        <is>
          <t>TCP-3: GT3 turbine control and protection cabinets</t>
        </is>
      </c>
      <c r="I837" s="9" t="inlineStr">
        <is>
          <t>LV 600 V</t>
        </is>
      </c>
      <c r="J837" s="9" t="inlineStr">
        <is>
          <t>Type TC-ER 600 V 3/C Cu XHHW-2 + ground, PVC jacket</t>
        </is>
      </c>
      <c r="K837" s="9" t="inlineStr">
        <is>
          <t>LV|3/C+G|4</t>
        </is>
      </c>
      <c r="L837" s="9" t="inlineStr">
        <is>
          <t>3/C+G</t>
        </is>
      </c>
      <c r="M837" s="9" t="inlineStr">
        <is>
          <t>4</t>
        </is>
      </c>
      <c r="N837" s="9" t="n">
        <v>1</v>
      </c>
      <c r="O837" s="9" t="n">
        <v>1</v>
      </c>
      <c r="P837" s="9" t="n">
        <v>480</v>
      </c>
      <c r="Q837" s="9" t="n">
        <v>15</v>
      </c>
      <c r="R837" s="9" t="n">
        <v>21</v>
      </c>
      <c r="S837" s="9" t="inlineStr">
        <is>
          <t>Tray</t>
        </is>
      </c>
      <c r="T837" s="10" t="n">
        <v>604</v>
      </c>
      <c r="U837" s="10" t="n">
        <v>133</v>
      </c>
      <c r="V837" s="10">
        <f>ROUNDUP((T837+U837+2*'Read Me'!$B$13)*(1+'Read Me'!$B$12),-1)</f>
        <v/>
      </c>
      <c r="W837" s="10">
        <f>V837*N837*O837</f>
        <v/>
      </c>
      <c r="X837" s="9">
        <f>IF(LEFT(I837,2)="MV",2*N837*IF(L837="1/C",O837,1),0)</f>
        <v/>
      </c>
      <c r="Y837" s="9">
        <f>IF(OR(LEFT(K837,4)="LVAX",LEFT(K837,6)="MV15AX",LEFT(K837,4)="CTAX",LEFT(K837,2)="W|"),2*N837*O837,0)</f>
        <v/>
      </c>
      <c r="Z837" s="9" t="inlineStr">
        <is>
          <t>VD 1.9 %</t>
        </is>
      </c>
    </row>
    <row r="838">
      <c r="A838" s="9" t="inlineStr">
        <is>
          <t>A-P-0048</t>
        </is>
      </c>
      <c r="B838" s="9" t="inlineStr">
        <is>
          <t>A</t>
        </is>
      </c>
      <c r="C838" s="9" t="inlineStr">
        <is>
          <t>Power block</t>
        </is>
      </c>
      <c r="D838" s="9" t="inlineStr">
        <is>
          <t>LV power feeder</t>
        </is>
      </c>
      <c r="E838" s="9" t="inlineStr">
        <is>
          <t>R3</t>
        </is>
      </c>
      <c r="F838" s="9" t="inlineStr">
        <is>
          <t>R3: ST auxiliary electrical e-house (40 x 65 ft)</t>
        </is>
      </c>
      <c r="G838" s="9" t="inlineStr">
        <is>
          <t>TCP-ST</t>
        </is>
      </c>
      <c r="H838" s="9" t="inlineStr">
        <is>
          <t>TCP-ST: ST turbine control and protection cabinets</t>
        </is>
      </c>
      <c r="I838" s="9" t="inlineStr">
        <is>
          <t>LV 600 V</t>
        </is>
      </c>
      <c r="J838" s="9" t="inlineStr">
        <is>
          <t>Type TC-ER 600 V 3/C Cu XHHW-2 + ground, PVC jacket</t>
        </is>
      </c>
      <c r="K838" s="9" t="inlineStr">
        <is>
          <t>LV|3/C+G|6</t>
        </is>
      </c>
      <c r="L838" s="9" t="inlineStr">
        <is>
          <t>3/C+G</t>
        </is>
      </c>
      <c r="M838" s="9" t="inlineStr">
        <is>
          <t>6</t>
        </is>
      </c>
      <c r="N838" s="9" t="n">
        <v>1</v>
      </c>
      <c r="O838" s="9" t="n">
        <v>1</v>
      </c>
      <c r="P838" s="9" t="n">
        <v>480</v>
      </c>
      <c r="Q838" s="9" t="n">
        <v>15</v>
      </c>
      <c r="R838" s="9" t="n">
        <v>21</v>
      </c>
      <c r="S838" s="9" t="inlineStr">
        <is>
          <t>Tray</t>
        </is>
      </c>
      <c r="T838" s="10" t="n">
        <v>606</v>
      </c>
      <c r="U838" s="10" t="n">
        <v>98</v>
      </c>
      <c r="V838" s="10">
        <f>ROUNDUP((T838+U838+2*'Read Me'!$B$13)*(1+'Read Me'!$B$12),-1)</f>
        <v/>
      </c>
      <c r="W838" s="10">
        <f>V838*N838*O838</f>
        <v/>
      </c>
      <c r="X838" s="9">
        <f>IF(LEFT(I838,2)="MV",2*N838*IF(L838="1/C",O838,1),0)</f>
        <v/>
      </c>
      <c r="Y838" s="9">
        <f>IF(OR(LEFT(K838,4)="LVAX",LEFT(K838,6)="MV15AX",LEFT(K838,4)="CTAX",LEFT(K838,2)="W|"),2*N838*O838,0)</f>
        <v/>
      </c>
      <c r="Z838" s="9" t="inlineStr">
        <is>
          <t>VD 2.9 %</t>
        </is>
      </c>
    </row>
    <row r="839">
      <c r="A839" s="9" t="inlineStr">
        <is>
          <t>A-P-0049</t>
        </is>
      </c>
      <c r="B839" s="9" t="inlineStr">
        <is>
          <t>A</t>
        </is>
      </c>
      <c r="C839" s="9" t="inlineStr">
        <is>
          <t>Power block</t>
        </is>
      </c>
      <c r="D839" s="9" t="inlineStr">
        <is>
          <t>LV power feeder</t>
        </is>
      </c>
      <c r="E839" s="9" t="inlineStr">
        <is>
          <t>MCC-GT1</t>
        </is>
      </c>
      <c r="F839" s="9" t="inlineStr">
        <is>
          <t>R1 MCC-GT1</t>
        </is>
      </c>
      <c r="G839" s="9" t="inlineStr">
        <is>
          <t>WASH-GT1</t>
        </is>
      </c>
      <c r="H839" s="9" t="inlineStr">
        <is>
          <t>WASH-GT1: compressor water-wash skid</t>
        </is>
      </c>
      <c r="I839" s="9" t="inlineStr">
        <is>
          <t>LV 600 V</t>
        </is>
      </c>
      <c r="J839" s="9" t="inlineStr">
        <is>
          <t>ARMOR-X MC-HL 600 V 3/C Cu XHHW-2 + ground, CWA, black PVC (Class I Div 2)</t>
        </is>
      </c>
      <c r="K839" s="9" t="inlineStr">
        <is>
          <t>LVAX|3/C+G|500</t>
        </is>
      </c>
      <c r="L839" s="9" t="inlineStr">
        <is>
          <t>3/C+G</t>
        </is>
      </c>
      <c r="M839" s="9" t="inlineStr">
        <is>
          <t>500 kcmil</t>
        </is>
      </c>
      <c r="N839" s="9" t="n">
        <v>1</v>
      </c>
      <c r="O839" s="9" t="n">
        <v>1</v>
      </c>
      <c r="P839" s="9" t="n">
        <v>480</v>
      </c>
      <c r="Q839" s="9" t="n">
        <v>150</v>
      </c>
      <c r="R839" s="9" t="n">
        <v>212</v>
      </c>
      <c r="S839" s="9" t="inlineStr">
        <is>
          <t>Duct bank</t>
        </is>
      </c>
      <c r="T839" s="10" t="n">
        <v>972</v>
      </c>
      <c r="U839" s="10" t="n">
        <v>152</v>
      </c>
      <c r="V839" s="10">
        <f>ROUNDUP((T839+U839+2*'Read Me'!$B$13)*(1+'Read Me'!$B$12),-1)</f>
        <v/>
      </c>
      <c r="W839" s="10">
        <f>V839*N839*O839</f>
        <v/>
      </c>
      <c r="X839" s="9">
        <f>IF(LEFT(I839,2)="MV",2*N839*IF(L839="1/C",O839,1),0)</f>
        <v/>
      </c>
      <c r="Y839" s="9">
        <f>IF(OR(LEFT(K839,4)="LVAX",LEFT(K839,6)="MV15AX",LEFT(K839,4)="CTAX",LEFT(K839,2)="W|"),2*N839*O839,0)</f>
        <v/>
      </c>
      <c r="Z839" s="9" t="inlineStr">
        <is>
          <t>VD 2.4 %</t>
        </is>
      </c>
    </row>
    <row r="840">
      <c r="A840" s="9" t="inlineStr">
        <is>
          <t>A-P-0050</t>
        </is>
      </c>
      <c r="B840" s="9" t="inlineStr">
        <is>
          <t>A</t>
        </is>
      </c>
      <c r="C840" s="9" t="inlineStr">
        <is>
          <t>Power block</t>
        </is>
      </c>
      <c r="D840" s="9" t="inlineStr">
        <is>
          <t>LV power feeder</t>
        </is>
      </c>
      <c r="E840" s="9" t="inlineStr">
        <is>
          <t>MCC-GT2</t>
        </is>
      </c>
      <c r="F840" s="9" t="inlineStr">
        <is>
          <t>R1 MCC-GT2</t>
        </is>
      </c>
      <c r="G840" s="9" t="inlineStr">
        <is>
          <t>WASH-GT2</t>
        </is>
      </c>
      <c r="H840" s="9" t="inlineStr">
        <is>
          <t>WASH-GT2: compressor water-wash skid</t>
        </is>
      </c>
      <c r="I840" s="9" t="inlineStr">
        <is>
          <t>LV 600 V</t>
        </is>
      </c>
      <c r="J840" s="9" t="inlineStr">
        <is>
          <t>ARMOR-X MC-HL 600 V 3/C Cu XHHW-2 + ground, CWA, black PVC (Class I Div 2)</t>
        </is>
      </c>
      <c r="K840" s="9" t="inlineStr">
        <is>
          <t>LVAX|3/C+G|350</t>
        </is>
      </c>
      <c r="L840" s="9" t="inlineStr">
        <is>
          <t>3/C+G</t>
        </is>
      </c>
      <c r="M840" s="9" t="inlineStr">
        <is>
          <t>350 kcmil</t>
        </is>
      </c>
      <c r="N840" s="9" t="n">
        <v>1</v>
      </c>
      <c r="O840" s="9" t="n">
        <v>1</v>
      </c>
      <c r="P840" s="9" t="n">
        <v>480</v>
      </c>
      <c r="Q840" s="9" t="n">
        <v>150</v>
      </c>
      <c r="R840" s="9" t="n">
        <v>212</v>
      </c>
      <c r="S840" s="9" t="inlineStr">
        <is>
          <t>Tray</t>
        </is>
      </c>
      <c r="T840" s="10" t="n">
        <v>431</v>
      </c>
      <c r="U840" s="10" t="n">
        <v>135</v>
      </c>
      <c r="V840" s="10">
        <f>ROUNDUP((T840+U840+2*'Read Me'!$B$13)*(1+'Read Me'!$B$12),-1)</f>
        <v/>
      </c>
      <c r="W840" s="10">
        <f>V840*N840*O840</f>
        <v/>
      </c>
      <c r="X840" s="9">
        <f>IF(LEFT(I840,2)="MV",2*N840*IF(L840="1/C",O840,1),0)</f>
        <v/>
      </c>
      <c r="Y840" s="9">
        <f>IF(OR(LEFT(K840,4)="LVAX",LEFT(K840,6)="MV15AX",LEFT(K840,4)="CTAX",LEFT(K840,2)="W|"),2*N840*O840,0)</f>
        <v/>
      </c>
      <c r="Z840" s="9" t="inlineStr">
        <is>
          <t>VD 1.8 %</t>
        </is>
      </c>
    </row>
    <row r="841">
      <c r="A841" s="9" t="inlineStr">
        <is>
          <t>A-P-0051</t>
        </is>
      </c>
      <c r="B841" s="9" t="inlineStr">
        <is>
          <t>A</t>
        </is>
      </c>
      <c r="C841" s="9" t="inlineStr">
        <is>
          <t>Power block</t>
        </is>
      </c>
      <c r="D841" s="9" t="inlineStr">
        <is>
          <t>LV power feeder</t>
        </is>
      </c>
      <c r="E841" s="9" t="inlineStr">
        <is>
          <t>MCC-GT3</t>
        </is>
      </c>
      <c r="F841" s="9" t="inlineStr">
        <is>
          <t>R1 MCC-GT3</t>
        </is>
      </c>
      <c r="G841" s="9" t="inlineStr">
        <is>
          <t>WASH-GT3</t>
        </is>
      </c>
      <c r="H841" s="9" t="inlineStr">
        <is>
          <t>WASH-GT3: compressor water-wash skid</t>
        </is>
      </c>
      <c r="I841" s="9" t="inlineStr">
        <is>
          <t>LV 600 V</t>
        </is>
      </c>
      <c r="J841" s="9" t="inlineStr">
        <is>
          <t>ARMOR-X MC-HL 600 V 3/C Cu XHHW-2 + ground, CWA, black PVC (Class I Div 2)</t>
        </is>
      </c>
      <c r="K841" s="9" t="inlineStr">
        <is>
          <t>LVAX|3/C+G|350</t>
        </is>
      </c>
      <c r="L841" s="9" t="inlineStr">
        <is>
          <t>3/C+G</t>
        </is>
      </c>
      <c r="M841" s="9" t="inlineStr">
        <is>
          <t>350 kcmil</t>
        </is>
      </c>
      <c r="N841" s="9" t="n">
        <v>1</v>
      </c>
      <c r="O841" s="9" t="n">
        <v>1</v>
      </c>
      <c r="P841" s="9" t="n">
        <v>480</v>
      </c>
      <c r="Q841" s="9" t="n">
        <v>150</v>
      </c>
      <c r="R841" s="9" t="n">
        <v>212</v>
      </c>
      <c r="S841" s="9" t="inlineStr">
        <is>
          <t>Tray</t>
        </is>
      </c>
      <c r="T841" s="10" t="n">
        <v>609</v>
      </c>
      <c r="U841" s="10" t="n">
        <v>133</v>
      </c>
      <c r="V841" s="10">
        <f>ROUNDUP((T841+U841+2*'Read Me'!$B$13)*(1+'Read Me'!$B$12),-1)</f>
        <v/>
      </c>
      <c r="W841" s="10">
        <f>V841*N841*O841</f>
        <v/>
      </c>
      <c r="X841" s="9">
        <f>IF(LEFT(I841,2)="MV",2*N841*IF(L841="1/C",O841,1),0)</f>
        <v/>
      </c>
      <c r="Y841" s="9">
        <f>IF(OR(LEFT(K841,4)="LVAX",LEFT(K841,6)="MV15AX",LEFT(K841,4)="CTAX",LEFT(K841,2)="W|"),2*N841*O841,0)</f>
        <v/>
      </c>
      <c r="Z841" s="9" t="inlineStr">
        <is>
          <t>VD 2.3 %</t>
        </is>
      </c>
    </row>
    <row r="842">
      <c r="A842" s="9" t="inlineStr">
        <is>
          <t>A-MV-0001</t>
        </is>
      </c>
      <c r="B842" s="9" t="inlineStr">
        <is>
          <t>A</t>
        </is>
      </c>
      <c r="C842" s="9" t="inlineStr">
        <is>
          <t>Power block</t>
        </is>
      </c>
      <c r="D842" s="9" t="inlineStr">
        <is>
          <t>Boiler feed pump BFP-1A / 1B</t>
        </is>
      </c>
      <c r="E842" s="9" t="inlineStr">
        <is>
          <t>SWGR-13.8-1</t>
        </is>
      </c>
      <c r="F842" s="9" t="inlineStr">
        <is>
          <t>R1 SWGR-13.8-1 (11 x 36 in cubicles, 15 kV metal-clad)</t>
        </is>
      </c>
      <c r="G842" s="9" t="inlineStr">
        <is>
          <t>BFP-1</t>
        </is>
      </c>
      <c r="H842" s="9" t="inlineStr">
        <is>
          <t>BFP-1A/B: boiler feed pumps (13.8 kV DOL)</t>
        </is>
      </c>
      <c r="I842" s="9" t="inlineStr">
        <is>
          <t>MV 15 kV</t>
        </is>
      </c>
      <c r="J842" s="9" t="inlineStr">
        <is>
          <t>MV-105 15 kV 1/C Cu, EPR 133%, Cu tape shield, PVC jacket (triplexed)</t>
        </is>
      </c>
      <c r="K842" s="9" t="inlineStr">
        <is>
          <t>MV15|1/C|250</t>
        </is>
      </c>
      <c r="L842" s="9" t="inlineStr">
        <is>
          <t>1/C</t>
        </is>
      </c>
      <c r="M842" s="9" t="inlineStr">
        <is>
          <t>250 kcmil</t>
        </is>
      </c>
      <c r="N842" s="9" t="n">
        <v>1</v>
      </c>
      <c r="O842" s="9" t="n">
        <v>3</v>
      </c>
      <c r="P842" s="9" t="n">
        <v>13800</v>
      </c>
      <c r="Q842" s="9" t="n">
        <v>5000</v>
      </c>
      <c r="R842" s="9" t="n">
        <v>232</v>
      </c>
      <c r="S842" s="9" t="inlineStr">
        <is>
          <t>Tray</t>
        </is>
      </c>
      <c r="T842" s="10" t="n">
        <v>637</v>
      </c>
      <c r="U842" s="10" t="n">
        <v>102</v>
      </c>
      <c r="V842" s="10">
        <f>ROUNDUP((T842+U842+2*'Read Me'!$B$13)*(1+'Read Me'!$B$12),-1)</f>
        <v/>
      </c>
      <c r="W842" s="10">
        <f>V842*N842*O842</f>
        <v/>
      </c>
      <c r="X842" s="9">
        <f>IF(LEFT(I842,2)="MV",2*N842*IF(L842="1/C",O842,1),0)</f>
        <v/>
      </c>
      <c r="Y842" s="9">
        <f>IF(OR(LEFT(K842,4)="LVAX",LEFT(K842,6)="MV15AX",LEFT(K842,4)="CTAX",LEFT(K842,2)="W|"),2*N842*O842,0)</f>
        <v/>
      </c>
      <c r="Z842" s="9" t="inlineStr">
        <is>
          <t>2 x 100 %, ~5 MW each (typ.)</t>
        </is>
      </c>
    </row>
    <row r="843">
      <c r="A843" s="9" t="inlineStr">
        <is>
          <t>A-MV-0002</t>
        </is>
      </c>
      <c r="B843" s="9" t="inlineStr">
        <is>
          <t>A</t>
        </is>
      </c>
      <c r="C843" s="9" t="inlineStr">
        <is>
          <t>Power block</t>
        </is>
      </c>
      <c r="D843" s="9" t="inlineStr">
        <is>
          <t>Boiler feed pump BFP-1A / 1B</t>
        </is>
      </c>
      <c r="E843" s="9" t="inlineStr">
        <is>
          <t>SWGR-13.8-1</t>
        </is>
      </c>
      <c r="F843" s="9" t="inlineStr">
        <is>
          <t>R1 SWGR-13.8-1 (11 x 36 in cubicles, 15 kV metal-clad)</t>
        </is>
      </c>
      <c r="G843" s="9" t="inlineStr">
        <is>
          <t>BFP-1</t>
        </is>
      </c>
      <c r="H843" s="9" t="inlineStr">
        <is>
          <t>BFP-1A/B: boiler feed pumps (13.8 kV DOL)</t>
        </is>
      </c>
      <c r="I843" s="9" t="inlineStr">
        <is>
          <t>MV 15 kV</t>
        </is>
      </c>
      <c r="J843" s="9" t="inlineStr">
        <is>
          <t>MV-105 15 kV 1/C Cu, EPR 133%, Cu tape shield, PVC jacket (triplexed)</t>
        </is>
      </c>
      <c r="K843" s="9" t="inlineStr">
        <is>
          <t>MV15|1/C|250</t>
        </is>
      </c>
      <c r="L843" s="9" t="inlineStr">
        <is>
          <t>1/C</t>
        </is>
      </c>
      <c r="M843" s="9" t="inlineStr">
        <is>
          <t>250 kcmil</t>
        </is>
      </c>
      <c r="N843" s="9" t="n">
        <v>1</v>
      </c>
      <c r="O843" s="9" t="n">
        <v>3</v>
      </c>
      <c r="P843" s="9" t="n">
        <v>13800</v>
      </c>
      <c r="Q843" s="9" t="n">
        <v>5000</v>
      </c>
      <c r="R843" s="9" t="n">
        <v>232</v>
      </c>
      <c r="S843" s="9" t="inlineStr">
        <is>
          <t>Tray</t>
        </is>
      </c>
      <c r="T843" s="10" t="n">
        <v>637</v>
      </c>
      <c r="U843" s="10" t="n">
        <v>102</v>
      </c>
      <c r="V843" s="10">
        <f>ROUNDUP((T843+U843+2*'Read Me'!$B$13)*(1+'Read Me'!$B$12),-1)</f>
        <v/>
      </c>
      <c r="W843" s="10">
        <f>V843*N843*O843</f>
        <v/>
      </c>
      <c r="X843" s="9">
        <f>IF(LEFT(I843,2)="MV",2*N843*IF(L843="1/C",O843,1),0)</f>
        <v/>
      </c>
      <c r="Y843" s="9">
        <f>IF(OR(LEFT(K843,4)="LVAX",LEFT(K843,6)="MV15AX",LEFT(K843,4)="CTAX",LEFT(K843,2)="W|"),2*N843*O843,0)</f>
        <v/>
      </c>
      <c r="Z843" s="9" t="inlineStr">
        <is>
          <t>2 x 100 %, ~5 MW each (typ.)</t>
        </is>
      </c>
    </row>
    <row r="844">
      <c r="A844" s="9" t="inlineStr">
        <is>
          <t>A-MV-0003</t>
        </is>
      </c>
      <c r="B844" s="9" t="inlineStr">
        <is>
          <t>A</t>
        </is>
      </c>
      <c r="C844" s="9" t="inlineStr">
        <is>
          <t>Power block</t>
        </is>
      </c>
      <c r="D844" s="9" t="inlineStr">
        <is>
          <t>Boiler feed pump BFP-2A / 2B</t>
        </is>
      </c>
      <c r="E844" s="9" t="inlineStr">
        <is>
          <t>SWGR-13.8-2</t>
        </is>
      </c>
      <c r="F844" s="9" t="inlineStr">
        <is>
          <t>R1 SWGR-13.8-2 (11 x 36 in cubicles, 15 kV metal-clad)</t>
        </is>
      </c>
      <c r="G844" s="9" t="inlineStr">
        <is>
          <t>BFP-2</t>
        </is>
      </c>
      <c r="H844" s="9" t="inlineStr">
        <is>
          <t>BFP-2A/B: boiler feed pumps (13.8 kV DOL)</t>
        </is>
      </c>
      <c r="I844" s="9" t="inlineStr">
        <is>
          <t>MV 15 kV</t>
        </is>
      </c>
      <c r="J844" s="9" t="inlineStr">
        <is>
          <t>MV-105 15 kV 1/C Cu, EPR 133%, Cu tape shield, PVC jacket (triplexed)</t>
        </is>
      </c>
      <c r="K844" s="9" t="inlineStr">
        <is>
          <t>MV15|1/C|250</t>
        </is>
      </c>
      <c r="L844" s="9" t="inlineStr">
        <is>
          <t>1/C</t>
        </is>
      </c>
      <c r="M844" s="9" t="inlineStr">
        <is>
          <t>250 kcmil</t>
        </is>
      </c>
      <c r="N844" s="9" t="n">
        <v>1</v>
      </c>
      <c r="O844" s="9" t="n">
        <v>3</v>
      </c>
      <c r="P844" s="9" t="n">
        <v>13800</v>
      </c>
      <c r="Q844" s="9" t="n">
        <v>5000</v>
      </c>
      <c r="R844" s="9" t="n">
        <v>232</v>
      </c>
      <c r="S844" s="9" t="inlineStr">
        <is>
          <t>Tray</t>
        </is>
      </c>
      <c r="T844" s="10" t="n">
        <v>662</v>
      </c>
      <c r="U844" s="10" t="n">
        <v>141</v>
      </c>
      <c r="V844" s="10">
        <f>ROUNDUP((T844+U844+2*'Read Me'!$B$13)*(1+'Read Me'!$B$12),-1)</f>
        <v/>
      </c>
      <c r="W844" s="10">
        <f>V844*N844*O844</f>
        <v/>
      </c>
      <c r="X844" s="9">
        <f>IF(LEFT(I844,2)="MV",2*N844*IF(L844="1/C",O844,1),0)</f>
        <v/>
      </c>
      <c r="Y844" s="9">
        <f>IF(OR(LEFT(K844,4)="LVAX",LEFT(K844,6)="MV15AX",LEFT(K844,4)="CTAX",LEFT(K844,2)="W|"),2*N844*O844,0)</f>
        <v/>
      </c>
      <c r="Z844" s="9" t="inlineStr">
        <is>
          <t>2 x 100 %, ~5 MW each (typ.)</t>
        </is>
      </c>
    </row>
    <row r="845">
      <c r="A845" s="9" t="inlineStr">
        <is>
          <t>A-MV-0004</t>
        </is>
      </c>
      <c r="B845" s="9" t="inlineStr">
        <is>
          <t>A</t>
        </is>
      </c>
      <c r="C845" s="9" t="inlineStr">
        <is>
          <t>Power block</t>
        </is>
      </c>
      <c r="D845" s="9" t="inlineStr">
        <is>
          <t>Boiler feed pump BFP-2A / 2B</t>
        </is>
      </c>
      <c r="E845" s="9" t="inlineStr">
        <is>
          <t>SWGR-13.8-2</t>
        </is>
      </c>
      <c r="F845" s="9" t="inlineStr">
        <is>
          <t>R1 SWGR-13.8-2 (11 x 36 in cubicles, 15 kV metal-clad)</t>
        </is>
      </c>
      <c r="G845" s="9" t="inlineStr">
        <is>
          <t>BFP-2</t>
        </is>
      </c>
      <c r="H845" s="9" t="inlineStr">
        <is>
          <t>BFP-2A/B: boiler feed pumps (13.8 kV DOL)</t>
        </is>
      </c>
      <c r="I845" s="9" t="inlineStr">
        <is>
          <t>MV 15 kV</t>
        </is>
      </c>
      <c r="J845" s="9" t="inlineStr">
        <is>
          <t>MV-105 15 kV 1/C Cu, EPR 133%, Cu tape shield, PVC jacket (triplexed)</t>
        </is>
      </c>
      <c r="K845" s="9" t="inlineStr">
        <is>
          <t>MV15|1/C|250</t>
        </is>
      </c>
      <c r="L845" s="9" t="inlineStr">
        <is>
          <t>1/C</t>
        </is>
      </c>
      <c r="M845" s="9" t="inlineStr">
        <is>
          <t>250 kcmil</t>
        </is>
      </c>
      <c r="N845" s="9" t="n">
        <v>1</v>
      </c>
      <c r="O845" s="9" t="n">
        <v>3</v>
      </c>
      <c r="P845" s="9" t="n">
        <v>13800</v>
      </c>
      <c r="Q845" s="9" t="n">
        <v>5000</v>
      </c>
      <c r="R845" s="9" t="n">
        <v>232</v>
      </c>
      <c r="S845" s="9" t="inlineStr">
        <is>
          <t>Tray</t>
        </is>
      </c>
      <c r="T845" s="10" t="n">
        <v>662</v>
      </c>
      <c r="U845" s="10" t="n">
        <v>141</v>
      </c>
      <c r="V845" s="10">
        <f>ROUNDUP((T845+U845+2*'Read Me'!$B$13)*(1+'Read Me'!$B$12),-1)</f>
        <v/>
      </c>
      <c r="W845" s="10">
        <f>V845*N845*O845</f>
        <v/>
      </c>
      <c r="X845" s="9">
        <f>IF(LEFT(I845,2)="MV",2*N845*IF(L845="1/C",O845,1),0)</f>
        <v/>
      </c>
      <c r="Y845" s="9">
        <f>IF(OR(LEFT(K845,4)="LVAX",LEFT(K845,6)="MV15AX",LEFT(K845,4)="CTAX",LEFT(K845,2)="W|"),2*N845*O845,0)</f>
        <v/>
      </c>
      <c r="Z845" s="9" t="inlineStr">
        <is>
          <t>2 x 100 %, ~5 MW each (typ.)</t>
        </is>
      </c>
    </row>
    <row r="846">
      <c r="A846" s="9" t="inlineStr">
        <is>
          <t>A-MV-0005</t>
        </is>
      </c>
      <c r="B846" s="9" t="inlineStr">
        <is>
          <t>A</t>
        </is>
      </c>
      <c r="C846" s="9" t="inlineStr">
        <is>
          <t>Power block</t>
        </is>
      </c>
      <c r="D846" s="9" t="inlineStr">
        <is>
          <t>Boiler feed pump BFP-3A / 3B</t>
        </is>
      </c>
      <c r="E846" s="9" t="inlineStr">
        <is>
          <t>SWGR-13.8-3</t>
        </is>
      </c>
      <c r="F846" s="9" t="inlineStr">
        <is>
          <t>R1 SWGR-13.8-3 (11 x 36 in cubicles, 15 kV metal-clad)</t>
        </is>
      </c>
      <c r="G846" s="9" t="inlineStr">
        <is>
          <t>BFP-3</t>
        </is>
      </c>
      <c r="H846" s="9" t="inlineStr">
        <is>
          <t>BFP-3A/B: boiler feed pumps (13.8 kV DOL)</t>
        </is>
      </c>
      <c r="I846" s="9" t="inlineStr">
        <is>
          <t>MV 15 kV</t>
        </is>
      </c>
      <c r="J846" s="9" t="inlineStr">
        <is>
          <t>MV-105 15 kV 1/C Cu, EPR 133%, Cu tape shield, PVC jacket (triplexed)</t>
        </is>
      </c>
      <c r="K846" s="9" t="inlineStr">
        <is>
          <t>MV15|1/C|250</t>
        </is>
      </c>
      <c r="L846" s="9" t="inlineStr">
        <is>
          <t>1/C</t>
        </is>
      </c>
      <c r="M846" s="9" t="inlineStr">
        <is>
          <t>250 kcmil</t>
        </is>
      </c>
      <c r="N846" s="9" t="n">
        <v>1</v>
      </c>
      <c r="O846" s="9" t="n">
        <v>3</v>
      </c>
      <c r="P846" s="9" t="n">
        <v>13800</v>
      </c>
      <c r="Q846" s="9" t="n">
        <v>5000</v>
      </c>
      <c r="R846" s="9" t="n">
        <v>232</v>
      </c>
      <c r="S846" s="9" t="inlineStr">
        <is>
          <t>Tray</t>
        </is>
      </c>
      <c r="T846" s="10" t="n">
        <v>836</v>
      </c>
      <c r="U846" s="10" t="n">
        <v>68</v>
      </c>
      <c r="V846" s="10">
        <f>ROUNDUP((T846+U846+2*'Read Me'!$B$13)*(1+'Read Me'!$B$12),-1)</f>
        <v/>
      </c>
      <c r="W846" s="10">
        <f>V846*N846*O846</f>
        <v/>
      </c>
      <c r="X846" s="9">
        <f>IF(LEFT(I846,2)="MV",2*N846*IF(L846="1/C",O846,1),0)</f>
        <v/>
      </c>
      <c r="Y846" s="9">
        <f>IF(OR(LEFT(K846,4)="LVAX",LEFT(K846,6)="MV15AX",LEFT(K846,4)="CTAX",LEFT(K846,2)="W|"),2*N846*O846,0)</f>
        <v/>
      </c>
      <c r="Z846" s="9" t="inlineStr">
        <is>
          <t>2 x 100 %, ~5 MW each (typ.)</t>
        </is>
      </c>
    </row>
    <row r="847">
      <c r="A847" s="9" t="inlineStr">
        <is>
          <t>A-MV-0006</t>
        </is>
      </c>
      <c r="B847" s="9" t="inlineStr">
        <is>
          <t>A</t>
        </is>
      </c>
      <c r="C847" s="9" t="inlineStr">
        <is>
          <t>Power block</t>
        </is>
      </c>
      <c r="D847" s="9" t="inlineStr">
        <is>
          <t>Boiler feed pump BFP-3A / 3B</t>
        </is>
      </c>
      <c r="E847" s="9" t="inlineStr">
        <is>
          <t>SWGR-13.8-3</t>
        </is>
      </c>
      <c r="F847" s="9" t="inlineStr">
        <is>
          <t>R1 SWGR-13.8-3 (11 x 36 in cubicles, 15 kV metal-clad)</t>
        </is>
      </c>
      <c r="G847" s="9" t="inlineStr">
        <is>
          <t>BFP-3</t>
        </is>
      </c>
      <c r="H847" s="9" t="inlineStr">
        <is>
          <t>BFP-3A/B: boiler feed pumps (13.8 kV DOL)</t>
        </is>
      </c>
      <c r="I847" s="9" t="inlineStr">
        <is>
          <t>MV 15 kV</t>
        </is>
      </c>
      <c r="J847" s="9" t="inlineStr">
        <is>
          <t>MV-105 15 kV 1/C Cu, EPR 133%, Cu tape shield, PVC jacket (triplexed)</t>
        </is>
      </c>
      <c r="K847" s="9" t="inlineStr">
        <is>
          <t>MV15|1/C|250</t>
        </is>
      </c>
      <c r="L847" s="9" t="inlineStr">
        <is>
          <t>1/C</t>
        </is>
      </c>
      <c r="M847" s="9" t="inlineStr">
        <is>
          <t>250 kcmil</t>
        </is>
      </c>
      <c r="N847" s="9" t="n">
        <v>1</v>
      </c>
      <c r="O847" s="9" t="n">
        <v>3</v>
      </c>
      <c r="P847" s="9" t="n">
        <v>13800</v>
      </c>
      <c r="Q847" s="9" t="n">
        <v>5000</v>
      </c>
      <c r="R847" s="9" t="n">
        <v>232</v>
      </c>
      <c r="S847" s="9" t="inlineStr">
        <is>
          <t>Tray</t>
        </is>
      </c>
      <c r="T847" s="10" t="n">
        <v>836</v>
      </c>
      <c r="U847" s="10" t="n">
        <v>68</v>
      </c>
      <c r="V847" s="10">
        <f>ROUNDUP((T847+U847+2*'Read Me'!$B$13)*(1+'Read Me'!$B$12),-1)</f>
        <v/>
      </c>
      <c r="W847" s="10">
        <f>V847*N847*O847</f>
        <v/>
      </c>
      <c r="X847" s="9">
        <f>IF(LEFT(I847,2)="MV",2*N847*IF(L847="1/C",O847,1),0)</f>
        <v/>
      </c>
      <c r="Y847" s="9">
        <f>IF(OR(LEFT(K847,4)="LVAX",LEFT(K847,6)="MV15AX",LEFT(K847,4)="CTAX",LEFT(K847,2)="W|"),2*N847*O847,0)</f>
        <v/>
      </c>
      <c r="Z847" s="9" t="inlineStr">
        <is>
          <t>2 x 100 %, ~5 MW each (typ.)</t>
        </is>
      </c>
    </row>
    <row r="848">
      <c r="A848" s="9" t="inlineStr">
        <is>
          <t>A-MV-0007</t>
        </is>
      </c>
      <c r="B848" s="9" t="inlineStr">
        <is>
          <t>A</t>
        </is>
      </c>
      <c r="C848" s="9" t="inlineStr">
        <is>
          <t>Power block</t>
        </is>
      </c>
      <c r="D848" s="9" t="inlineStr">
        <is>
          <t>LCT-A unit / load-centre transformer primary</t>
        </is>
      </c>
      <c r="E848" s="9" t="inlineStr">
        <is>
          <t>SWGR-13.8-1</t>
        </is>
      </c>
      <c r="F848" s="9" t="inlineStr">
        <is>
          <t>R1 SWGR-13.8-1 (11 x 36 in cubicles, 15 kV metal-clad)</t>
        </is>
      </c>
      <c r="G848" s="9" t="inlineStr">
        <is>
          <t>LCT-A</t>
        </is>
      </c>
      <c r="H848" s="9" t="inlineStr">
        <is>
          <t>LCT-A: 13.8/0.48 kV load-centre transformer</t>
        </is>
      </c>
      <c r="I848" s="9" t="inlineStr">
        <is>
          <t>MV 15 kV</t>
        </is>
      </c>
      <c r="J848" s="9" t="inlineStr">
        <is>
          <t>MV-105 15 kV 1/C Cu, EPR 133%, Cu tape shield, PVC jacket (triplexed)</t>
        </is>
      </c>
      <c r="K848" s="9" t="inlineStr">
        <is>
          <t>MV15|1/C|1/0</t>
        </is>
      </c>
      <c r="L848" s="9" t="inlineStr">
        <is>
          <t>1/C</t>
        </is>
      </c>
      <c r="M848" s="9" t="inlineStr">
        <is>
          <t>1/0</t>
        </is>
      </c>
      <c r="N848" s="9" t="n">
        <v>1</v>
      </c>
      <c r="O848" s="9" t="n">
        <v>3</v>
      </c>
      <c r="P848" s="9" t="n">
        <v>13800</v>
      </c>
      <c r="Q848" s="9" t="n">
        <v>3000</v>
      </c>
      <c r="R848" s="9" t="n">
        <v>126</v>
      </c>
      <c r="S848" s="9" t="inlineStr">
        <is>
          <t>Tray</t>
        </is>
      </c>
      <c r="T848" s="10" t="n">
        <v>684</v>
      </c>
      <c r="U848" s="10" t="n">
        <v>68</v>
      </c>
      <c r="V848" s="10">
        <f>ROUNDUP((T848+U848+2*'Read Me'!$B$13)*(1+'Read Me'!$B$12),-1)</f>
        <v/>
      </c>
      <c r="W848" s="10">
        <f>V848*N848*O848</f>
        <v/>
      </c>
      <c r="X848" s="9">
        <f>IF(LEFT(I848,2)="MV",2*N848*IF(L848="1/C",O848,1),0)</f>
        <v/>
      </c>
      <c r="Y848" s="9">
        <f>IF(OR(LEFT(K848,4)="LVAX",LEFT(K848,6)="MV15AX",LEFT(K848,4)="CTAX",LEFT(K848,2)="W|"),2*N848*O848,0)</f>
        <v/>
      </c>
      <c r="Z848" s="9" t="inlineStr"/>
    </row>
    <row r="849">
      <c r="A849" s="9" t="inlineStr">
        <is>
          <t>A-MV-0008</t>
        </is>
      </c>
      <c r="B849" s="9" t="inlineStr">
        <is>
          <t>A</t>
        </is>
      </c>
      <c r="C849" s="9" t="inlineStr">
        <is>
          <t>Power block</t>
        </is>
      </c>
      <c r="D849" s="9" t="inlineStr">
        <is>
          <t>LCT-B unit / load-centre transformer primary</t>
        </is>
      </c>
      <c r="E849" s="9" t="inlineStr">
        <is>
          <t>SWGR-13.8-3</t>
        </is>
      </c>
      <c r="F849" s="9" t="inlineStr">
        <is>
          <t>R1 SWGR-13.8-3 (11 x 36 in cubicles, 15 kV metal-clad)</t>
        </is>
      </c>
      <c r="G849" s="9" t="inlineStr">
        <is>
          <t>LCT-B</t>
        </is>
      </c>
      <c r="H849" s="9" t="inlineStr">
        <is>
          <t>LCT-B: 13.8/0.48 kV load-centre transformer</t>
        </is>
      </c>
      <c r="I849" s="9" t="inlineStr">
        <is>
          <t>MV 15 kV</t>
        </is>
      </c>
      <c r="J849" s="9" t="inlineStr">
        <is>
          <t>MV-105 15 kV 1/C Cu, EPR 133%, Cu tape shield, PVC jacket (triplexed)</t>
        </is>
      </c>
      <c r="K849" s="9" t="inlineStr">
        <is>
          <t>MV15|1/C|1/0</t>
        </is>
      </c>
      <c r="L849" s="9" t="inlineStr">
        <is>
          <t>1/C</t>
        </is>
      </c>
      <c r="M849" s="9" t="inlineStr">
        <is>
          <t>1/0</t>
        </is>
      </c>
      <c r="N849" s="9" t="n">
        <v>1</v>
      </c>
      <c r="O849" s="9" t="n">
        <v>3</v>
      </c>
      <c r="P849" s="9" t="n">
        <v>13800</v>
      </c>
      <c r="Q849" s="9" t="n">
        <v>3000</v>
      </c>
      <c r="R849" s="9" t="n">
        <v>126</v>
      </c>
      <c r="S849" s="9" t="inlineStr">
        <is>
          <t>Duct bank</t>
        </is>
      </c>
      <c r="T849" s="10" t="n">
        <v>67</v>
      </c>
      <c r="U849" s="10" t="n">
        <v>58</v>
      </c>
      <c r="V849" s="10">
        <f>ROUNDUP((T849+U849+2*'Read Me'!$B$13)*(1+'Read Me'!$B$12),-1)</f>
        <v/>
      </c>
      <c r="W849" s="10">
        <f>V849*N849*O849</f>
        <v/>
      </c>
      <c r="X849" s="9">
        <f>IF(LEFT(I849,2)="MV",2*N849*IF(L849="1/C",O849,1),0)</f>
        <v/>
      </c>
      <c r="Y849" s="9">
        <f>IF(OR(LEFT(K849,4)="LVAX",LEFT(K849,6)="MV15AX",LEFT(K849,4)="CTAX",LEFT(K849,2)="W|"),2*N849*O849,0)</f>
        <v/>
      </c>
      <c r="Z849" s="9" t="inlineStr"/>
    </row>
    <row r="850">
      <c r="A850" s="9" t="inlineStr">
        <is>
          <t>A-MV-0009</t>
        </is>
      </c>
      <c r="B850" s="9" t="inlineStr">
        <is>
          <t>A</t>
        </is>
      </c>
      <c r="C850" s="9" t="inlineStr">
        <is>
          <t>Power block</t>
        </is>
      </c>
      <c r="D850" s="9" t="inlineStr">
        <is>
          <t>UAT-1 secondary to SWGR-13.8-1 incomer</t>
        </is>
      </c>
      <c r="E850" s="9" t="inlineStr">
        <is>
          <t>UAT-1</t>
        </is>
      </c>
      <c r="F850" s="9" t="inlineStr">
        <is>
          <t>UAT-1: 21/13.8 kV unit auxiliary transformer</t>
        </is>
      </c>
      <c r="G850" s="9" t="inlineStr">
        <is>
          <t>SWGR-13.8-1</t>
        </is>
      </c>
      <c r="H850" s="9" t="inlineStr">
        <is>
          <t>R1 SWGR-13.8-1 (11 x 36 in cubicles, 15 kV metal-clad)</t>
        </is>
      </c>
      <c r="I850" s="9" t="inlineStr">
        <is>
          <t>MV 15 kV</t>
        </is>
      </c>
      <c r="J850" s="9" t="inlineStr">
        <is>
          <t>MV-105 15 kV 1/C Cu, EPR 133%, Cu tape shield, PVC jacket (triplexed)</t>
        </is>
      </c>
      <c r="K850" s="9" t="inlineStr">
        <is>
          <t>MV15|1/C|750</t>
        </is>
      </c>
      <c r="L850" s="9" t="inlineStr">
        <is>
          <t>1/C</t>
        </is>
      </c>
      <c r="M850" s="9" t="inlineStr">
        <is>
          <t>750 kcmil</t>
        </is>
      </c>
      <c r="N850" s="9" t="n">
        <v>4</v>
      </c>
      <c r="O850" s="9" t="n">
        <v>3</v>
      </c>
      <c r="P850" s="9" t="n">
        <v>13800</v>
      </c>
      <c r="Q850" s="9" t="n">
        <v>40000</v>
      </c>
      <c r="R850" s="9" t="n">
        <v>1674</v>
      </c>
      <c r="S850" s="9" t="inlineStr">
        <is>
          <t>Tray</t>
        </is>
      </c>
      <c r="T850" s="10" t="n">
        <v>716</v>
      </c>
      <c r="U850" s="10" t="n">
        <v>88</v>
      </c>
      <c r="V850" s="10">
        <f>ROUNDUP((T850+U850+2*'Read Me'!$B$13)*(1+'Read Me'!$B$12),-1)</f>
        <v/>
      </c>
      <c r="W850" s="10">
        <f>V850*N850*O850</f>
        <v/>
      </c>
      <c r="X850" s="9">
        <f>IF(LEFT(I850,2)="MV",2*N850*IF(L850="1/C",O850,1),0)</f>
        <v/>
      </c>
      <c r="Y850" s="9">
        <f>IF(OR(LEFT(K850,4)="LVAX",LEFT(K850,6)="MV15AX",LEFT(K850,4)="CTAX",LEFT(K850,2)="W|"),2*N850*O850,0)</f>
        <v/>
      </c>
      <c r="Z850" s="9" t="inlineStr">
        <is>
          <t>40 MVA UAT (typ.); often non-segregated bus duct instead of cable</t>
        </is>
      </c>
    </row>
    <row r="851">
      <c r="A851" s="9" t="inlineStr">
        <is>
          <t>A-MV-0010</t>
        </is>
      </c>
      <c r="B851" s="9" t="inlineStr">
        <is>
          <t>A</t>
        </is>
      </c>
      <c r="C851" s="9" t="inlineStr">
        <is>
          <t>Power block</t>
        </is>
      </c>
      <c r="D851" s="9" t="inlineStr">
        <is>
          <t>UAT-2 secondary to SWGR-13.8-2 incomer</t>
        </is>
      </c>
      <c r="E851" s="9" t="inlineStr">
        <is>
          <t>UAT-2</t>
        </is>
      </c>
      <c r="F851" s="9" t="inlineStr">
        <is>
          <t>UAT-2: 21/13.8 kV unit auxiliary transformer</t>
        </is>
      </c>
      <c r="G851" s="9" t="inlineStr">
        <is>
          <t>SWGR-13.8-2</t>
        </is>
      </c>
      <c r="H851" s="9" t="inlineStr">
        <is>
          <t>R1 SWGR-13.8-2 (11 x 36 in cubicles, 15 kV metal-clad)</t>
        </is>
      </c>
      <c r="I851" s="9" t="inlineStr">
        <is>
          <t>MV 15 kV</t>
        </is>
      </c>
      <c r="J851" s="9" t="inlineStr">
        <is>
          <t>MV-105 15 kV 1/C Cu, EPR 133%, Cu tape shield, PVC jacket (triplexed)</t>
        </is>
      </c>
      <c r="K851" s="9" t="inlineStr">
        <is>
          <t>MV15|1/C|750</t>
        </is>
      </c>
      <c r="L851" s="9" t="inlineStr">
        <is>
          <t>1/C</t>
        </is>
      </c>
      <c r="M851" s="9" t="inlineStr">
        <is>
          <t>750 kcmil</t>
        </is>
      </c>
      <c r="N851" s="9" t="n">
        <v>4</v>
      </c>
      <c r="O851" s="9" t="n">
        <v>3</v>
      </c>
      <c r="P851" s="9" t="n">
        <v>13800</v>
      </c>
      <c r="Q851" s="9" t="n">
        <v>40000</v>
      </c>
      <c r="R851" s="9" t="n">
        <v>1674</v>
      </c>
      <c r="S851" s="9" t="inlineStr">
        <is>
          <t>Tray</t>
        </is>
      </c>
      <c r="T851" s="10" t="n">
        <v>886</v>
      </c>
      <c r="U851" s="10" t="n">
        <v>110</v>
      </c>
      <c r="V851" s="10">
        <f>ROUNDUP((T851+U851+2*'Read Me'!$B$13)*(1+'Read Me'!$B$12),-1)</f>
        <v/>
      </c>
      <c r="W851" s="10">
        <f>V851*N851*O851</f>
        <v/>
      </c>
      <c r="X851" s="9">
        <f>IF(LEFT(I851,2)="MV",2*N851*IF(L851="1/C",O851,1),0)</f>
        <v/>
      </c>
      <c r="Y851" s="9">
        <f>IF(OR(LEFT(K851,4)="LVAX",LEFT(K851,6)="MV15AX",LEFT(K851,4)="CTAX",LEFT(K851,2)="W|"),2*N851*O851,0)</f>
        <v/>
      </c>
      <c r="Z851" s="9" t="inlineStr">
        <is>
          <t>40 MVA UAT (typ.); often non-segregated bus duct instead of cable</t>
        </is>
      </c>
    </row>
    <row r="852">
      <c r="A852" s="9" t="inlineStr">
        <is>
          <t>A-MV-0011</t>
        </is>
      </c>
      <c r="B852" s="9" t="inlineStr">
        <is>
          <t>A</t>
        </is>
      </c>
      <c r="C852" s="9" t="inlineStr">
        <is>
          <t>Power block</t>
        </is>
      </c>
      <c r="D852" s="9" t="inlineStr">
        <is>
          <t>UAT-3 secondary to SWGR-13.8-3 incomer</t>
        </is>
      </c>
      <c r="E852" s="9" t="inlineStr">
        <is>
          <t>UAT-3</t>
        </is>
      </c>
      <c r="F852" s="9" t="inlineStr">
        <is>
          <t>UAT-3: 21/13.8 kV unit auxiliary transformer</t>
        </is>
      </c>
      <c r="G852" s="9" t="inlineStr">
        <is>
          <t>SWGR-13.8-3</t>
        </is>
      </c>
      <c r="H852" s="9" t="inlineStr">
        <is>
          <t>R1 SWGR-13.8-3 (11 x 36 in cubicles, 15 kV metal-clad)</t>
        </is>
      </c>
      <c r="I852" s="9" t="inlineStr">
        <is>
          <t>MV 15 kV</t>
        </is>
      </c>
      <c r="J852" s="9" t="inlineStr">
        <is>
          <t>MV-105 15 kV 1/C Cu, EPR 133%, Cu tape shield, PVC jacket (triplexed)</t>
        </is>
      </c>
      <c r="K852" s="9" t="inlineStr">
        <is>
          <t>MV15|1/C|750</t>
        </is>
      </c>
      <c r="L852" s="9" t="inlineStr">
        <is>
          <t>1/C</t>
        </is>
      </c>
      <c r="M852" s="9" t="inlineStr">
        <is>
          <t>750 kcmil</t>
        </is>
      </c>
      <c r="N852" s="9" t="n">
        <v>4</v>
      </c>
      <c r="O852" s="9" t="n">
        <v>3</v>
      </c>
      <c r="P852" s="9" t="n">
        <v>13800</v>
      </c>
      <c r="Q852" s="9" t="n">
        <v>40000</v>
      </c>
      <c r="R852" s="9" t="n">
        <v>1674</v>
      </c>
      <c r="S852" s="9" t="inlineStr">
        <is>
          <t>Tray</t>
        </is>
      </c>
      <c r="T852" s="10" t="n">
        <v>1040</v>
      </c>
      <c r="U852" s="10" t="n">
        <v>80</v>
      </c>
      <c r="V852" s="10">
        <f>ROUNDUP((T852+U852+2*'Read Me'!$B$13)*(1+'Read Me'!$B$12),-1)</f>
        <v/>
      </c>
      <c r="W852" s="10">
        <f>V852*N852*O852</f>
        <v/>
      </c>
      <c r="X852" s="9">
        <f>IF(LEFT(I852,2)="MV",2*N852*IF(L852="1/C",O852,1),0)</f>
        <v/>
      </c>
      <c r="Y852" s="9">
        <f>IF(OR(LEFT(K852,4)="LVAX",LEFT(K852,6)="MV15AX",LEFT(K852,4)="CTAX",LEFT(K852,2)="W|"),2*N852*O852,0)</f>
        <v/>
      </c>
      <c r="Z852" s="9" t="inlineStr">
        <is>
          <t>40 MVA UAT (typ.); often non-segregated bus duct instead of cable</t>
        </is>
      </c>
    </row>
    <row r="853">
      <c r="A853" s="9" t="inlineStr">
        <is>
          <t>A-MV-0012</t>
        </is>
      </c>
      <c r="B853" s="9" t="inlineStr">
        <is>
          <t>A</t>
        </is>
      </c>
      <c r="C853" s="9" t="inlineStr">
        <is>
          <t>Power block</t>
        </is>
      </c>
      <c r="D853" s="9" t="inlineStr">
        <is>
          <t>Static starter LCI-1 input transformer</t>
        </is>
      </c>
      <c r="E853" s="9" t="inlineStr">
        <is>
          <t>SWGR-13.8-1</t>
        </is>
      </c>
      <c r="F853" s="9" t="inlineStr">
        <is>
          <t>R1 SWGR-13.8-1 (11 x 36 in cubicles, 15 kV metal-clad)</t>
        </is>
      </c>
      <c r="G853" s="9" t="inlineStr">
        <is>
          <t>TX-LCI-1</t>
        </is>
      </c>
      <c r="H853" s="9" t="inlineStr">
        <is>
          <t>R1 TX-LCI-1 dry-type input transformer</t>
        </is>
      </c>
      <c r="I853" s="9" t="inlineStr">
        <is>
          <t>MV 15 kV</t>
        </is>
      </c>
      <c r="J853" s="9" t="inlineStr">
        <is>
          <t>MV-105 15 kV 1/C Cu, EPR 133%, Cu tape shield, PVC jacket (triplexed)</t>
        </is>
      </c>
      <c r="K853" s="9" t="inlineStr">
        <is>
          <t>MV15|1/C|750</t>
        </is>
      </c>
      <c r="L853" s="9" t="inlineStr">
        <is>
          <t>1/C</t>
        </is>
      </c>
      <c r="M853" s="9" t="inlineStr">
        <is>
          <t>750 kcmil</t>
        </is>
      </c>
      <c r="N853" s="9" t="n">
        <v>1</v>
      </c>
      <c r="O853" s="9" t="n">
        <v>3</v>
      </c>
      <c r="P853" s="9" t="n">
        <v>13800</v>
      </c>
      <c r="Q853" s="9" t="n">
        <v>9000</v>
      </c>
      <c r="R853" s="9" t="n">
        <v>377</v>
      </c>
      <c r="S853" s="9" t="inlineStr">
        <is>
          <t>Duct bank</t>
        </is>
      </c>
      <c r="T853" s="10" t="n">
        <v>1151</v>
      </c>
      <c r="U853" s="10" t="n">
        <v>140</v>
      </c>
      <c r="V853" s="10">
        <f>ROUNDUP((T853+U853+2*'Read Me'!$B$13)*(1+'Read Me'!$B$12),-1)</f>
        <v/>
      </c>
      <c r="W853" s="10">
        <f>V853*N853*O853</f>
        <v/>
      </c>
      <c r="X853" s="9">
        <f>IF(LEFT(I853,2)="MV",2*N853*IF(L853="1/C",O853,1),0)</f>
        <v/>
      </c>
      <c r="Y853" s="9">
        <f>IF(OR(LEFT(K853,4)="LVAX",LEFT(K853,6)="MV15AX",LEFT(K853,4)="CTAX",LEFT(K853,2)="W|"),2*N853*O853,0)</f>
        <v/>
      </c>
      <c r="Z853" s="9" t="inlineStr"/>
    </row>
    <row r="854">
      <c r="A854" s="9" t="inlineStr">
        <is>
          <t>A-MV-0013</t>
        </is>
      </c>
      <c r="B854" s="9" t="inlineStr">
        <is>
          <t>A</t>
        </is>
      </c>
      <c r="C854" s="9" t="inlineStr">
        <is>
          <t>Power block</t>
        </is>
      </c>
      <c r="D854" s="9" t="inlineStr">
        <is>
          <t>Static starter LCI-2 input transformer</t>
        </is>
      </c>
      <c r="E854" s="9" t="inlineStr">
        <is>
          <t>SWGR-13.8-2</t>
        </is>
      </c>
      <c r="F854" s="9" t="inlineStr">
        <is>
          <t>R1 SWGR-13.8-2 (11 x 36 in cubicles, 15 kV metal-clad)</t>
        </is>
      </c>
      <c r="G854" s="9" t="inlineStr">
        <is>
          <t>TX-LCI-2</t>
        </is>
      </c>
      <c r="H854" s="9" t="inlineStr">
        <is>
          <t>R1 TX-LCI-2 dry-type input transformer</t>
        </is>
      </c>
      <c r="I854" s="9" t="inlineStr">
        <is>
          <t>MV 15 kV</t>
        </is>
      </c>
      <c r="J854" s="9" t="inlineStr">
        <is>
          <t>MV-105 15 kV 1/C Cu, EPR 133%, Cu tape shield, PVC jacket (triplexed)</t>
        </is>
      </c>
      <c r="K854" s="9" t="inlineStr">
        <is>
          <t>MV15|1/C|750</t>
        </is>
      </c>
      <c r="L854" s="9" t="inlineStr">
        <is>
          <t>1/C</t>
        </is>
      </c>
      <c r="M854" s="9" t="inlineStr">
        <is>
          <t>750 kcmil</t>
        </is>
      </c>
      <c r="N854" s="9" t="n">
        <v>1</v>
      </c>
      <c r="O854" s="9" t="n">
        <v>3</v>
      </c>
      <c r="P854" s="9" t="n">
        <v>13800</v>
      </c>
      <c r="Q854" s="9" t="n">
        <v>9000</v>
      </c>
      <c r="R854" s="9" t="n">
        <v>377</v>
      </c>
      <c r="S854" s="9" t="inlineStr">
        <is>
          <t>Duct bank</t>
        </is>
      </c>
      <c r="T854" s="10" t="n">
        <v>16</v>
      </c>
      <c r="U854" s="10" t="n">
        <v>116</v>
      </c>
      <c r="V854" s="10">
        <f>ROUNDUP((T854+U854+2*'Read Me'!$B$13)*(1+'Read Me'!$B$12),-1)</f>
        <v/>
      </c>
      <c r="W854" s="10">
        <f>V854*N854*O854</f>
        <v/>
      </c>
      <c r="X854" s="9">
        <f>IF(LEFT(I854,2)="MV",2*N854*IF(L854="1/C",O854,1),0)</f>
        <v/>
      </c>
      <c r="Y854" s="9">
        <f>IF(OR(LEFT(K854,4)="LVAX",LEFT(K854,6)="MV15AX",LEFT(K854,4)="CTAX",LEFT(K854,2)="W|"),2*N854*O854,0)</f>
        <v/>
      </c>
      <c r="Z854" s="9" t="inlineStr"/>
    </row>
    <row r="855">
      <c r="A855" s="9" t="inlineStr">
        <is>
          <t>A-MV-0014</t>
        </is>
      </c>
      <c r="B855" s="9" t="inlineStr">
        <is>
          <t>A</t>
        </is>
      </c>
      <c r="C855" s="9" t="inlineStr">
        <is>
          <t>Power block</t>
        </is>
      </c>
      <c r="D855" s="9" t="inlineStr">
        <is>
          <t>Static starter LCI-3 input transformer</t>
        </is>
      </c>
      <c r="E855" s="9" t="inlineStr">
        <is>
          <t>SWGR-13.8-3</t>
        </is>
      </c>
      <c r="F855" s="9" t="inlineStr">
        <is>
          <t>R1 SWGR-13.8-3 (11 x 36 in cubicles, 15 kV metal-clad)</t>
        </is>
      </c>
      <c r="G855" s="9" t="inlineStr">
        <is>
          <t>TX-LCI-3</t>
        </is>
      </c>
      <c r="H855" s="9" t="inlineStr">
        <is>
          <t>R1 TX-LCI-3 dry-type input transformer</t>
        </is>
      </c>
      <c r="I855" s="9" t="inlineStr">
        <is>
          <t>MV 15 kV</t>
        </is>
      </c>
      <c r="J855" s="9" t="inlineStr">
        <is>
          <t>MV-105 15 kV 1/C Cu, EPR 133%, Cu tape shield, PVC jacket (triplexed)</t>
        </is>
      </c>
      <c r="K855" s="9" t="inlineStr">
        <is>
          <t>MV15|1/C|750</t>
        </is>
      </c>
      <c r="L855" s="9" t="inlineStr">
        <is>
          <t>1/C</t>
        </is>
      </c>
      <c r="M855" s="9" t="inlineStr">
        <is>
          <t>750 kcmil</t>
        </is>
      </c>
      <c r="N855" s="9" t="n">
        <v>1</v>
      </c>
      <c r="O855" s="9" t="n">
        <v>3</v>
      </c>
      <c r="P855" s="9" t="n">
        <v>13800</v>
      </c>
      <c r="Q855" s="9" t="n">
        <v>9000</v>
      </c>
      <c r="R855" s="9" t="n">
        <v>377</v>
      </c>
      <c r="S855" s="9" t="inlineStr">
        <is>
          <t>Duct bank</t>
        </is>
      </c>
      <c r="T855" s="10" t="n">
        <v>16</v>
      </c>
      <c r="U855" s="10" t="n">
        <v>56</v>
      </c>
      <c r="V855" s="10">
        <f>ROUNDUP((T855+U855+2*'Read Me'!$B$13)*(1+'Read Me'!$B$12),-1)</f>
        <v/>
      </c>
      <c r="W855" s="10">
        <f>V855*N855*O855</f>
        <v/>
      </c>
      <c r="X855" s="9">
        <f>IF(LEFT(I855,2)="MV",2*N855*IF(L855="1/C",O855,1),0)</f>
        <v/>
      </c>
      <c r="Y855" s="9">
        <f>IF(OR(LEFT(K855,4)="LVAX",LEFT(K855,6)="MV15AX",LEFT(K855,4)="CTAX",LEFT(K855,2)="W|"),2*N855*O855,0)</f>
        <v/>
      </c>
      <c r="Z855" s="9" t="inlineStr"/>
    </row>
    <row r="856">
      <c r="A856" s="9" t="inlineStr">
        <is>
          <t>A-MV-0015</t>
        </is>
      </c>
      <c r="B856" s="9" t="inlineStr">
        <is>
          <t>A</t>
        </is>
      </c>
      <c r="C856" s="9" t="inlineStr">
        <is>
          <t>Power block</t>
        </is>
      </c>
      <c r="D856" s="9" t="inlineStr">
        <is>
          <t>T-R2A unit / load-centre transformer primary</t>
        </is>
      </c>
      <c r="E856" s="9" t="inlineStr">
        <is>
          <t>SWGR-13.8-1</t>
        </is>
      </c>
      <c r="F856" s="9" t="inlineStr">
        <is>
          <t>R1 SWGR-13.8-1 (11 x 36 in cubicles, 15 kV metal-clad)</t>
        </is>
      </c>
      <c r="G856" s="9" t="inlineStr"/>
      <c r="H856" s="9" t="inlineStr">
        <is>
          <t>T-R2A: 13.8/0.48 kV</t>
        </is>
      </c>
      <c r="I856" s="9" t="inlineStr">
        <is>
          <t>MV 15 kV</t>
        </is>
      </c>
      <c r="J856" s="9" t="inlineStr">
        <is>
          <t>MV-105 15 kV 1/C Cu, EPR 133%, Cu tape shield, PVC jacket (triplexed)</t>
        </is>
      </c>
      <c r="K856" s="9" t="inlineStr">
        <is>
          <t>MV15|1/C|2</t>
        </is>
      </c>
      <c r="L856" s="9" t="inlineStr">
        <is>
          <t>1/C</t>
        </is>
      </c>
      <c r="M856" s="9" t="inlineStr">
        <is>
          <t>2</t>
        </is>
      </c>
      <c r="N856" s="9" t="n">
        <v>1</v>
      </c>
      <c r="O856" s="9" t="n">
        <v>3</v>
      </c>
      <c r="P856" s="9" t="n">
        <v>13800</v>
      </c>
      <c r="Q856" s="9" t="n">
        <v>2500</v>
      </c>
      <c r="R856" s="9" t="n">
        <v>105</v>
      </c>
      <c r="S856" s="9" t="inlineStr">
        <is>
          <t>Tray</t>
        </is>
      </c>
      <c r="T856" s="10" t="n">
        <v>84</v>
      </c>
      <c r="U856" s="10" t="n">
        <v>92</v>
      </c>
      <c r="V856" s="10">
        <f>ROUNDUP((T856+U856+2*'Read Me'!$B$13)*(1+'Read Me'!$B$12),-1)</f>
        <v/>
      </c>
      <c r="W856" s="10">
        <f>V856*N856*O856</f>
        <v/>
      </c>
      <c r="X856" s="9">
        <f>IF(LEFT(I856,2)="MV",2*N856*IF(L856="1/C",O856,1),0)</f>
        <v/>
      </c>
      <c r="Y856" s="9">
        <f>IF(OR(LEFT(K856,4)="LVAX",LEFT(K856,6)="MV15AX",LEFT(K856,4)="CTAX",LEFT(K856,2)="W|"),2*N856*O856,0)</f>
        <v/>
      </c>
      <c r="Z856" s="9" t="inlineStr"/>
    </row>
    <row r="857">
      <c r="A857" s="9" t="inlineStr">
        <is>
          <t>A-MV-0016</t>
        </is>
      </c>
      <c r="B857" s="9" t="inlineStr">
        <is>
          <t>A</t>
        </is>
      </c>
      <c r="C857" s="9" t="inlineStr">
        <is>
          <t>Power block</t>
        </is>
      </c>
      <c r="D857" s="9" t="inlineStr">
        <is>
          <t>T-R2B unit / load-centre transformer primary</t>
        </is>
      </c>
      <c r="E857" s="9" t="inlineStr">
        <is>
          <t>SWGR-13.8-2</t>
        </is>
      </c>
      <c r="F857" s="9" t="inlineStr">
        <is>
          <t>R1 SWGR-13.8-2 (11 x 36 in cubicles, 15 kV metal-clad)</t>
        </is>
      </c>
      <c r="G857" s="9" t="inlineStr"/>
      <c r="H857" s="9" t="inlineStr">
        <is>
          <t>T-R2B: 13.8/0.48 kV</t>
        </is>
      </c>
      <c r="I857" s="9" t="inlineStr">
        <is>
          <t>MV 15 kV</t>
        </is>
      </c>
      <c r="J857" s="9" t="inlineStr">
        <is>
          <t>MV-105 15 kV 1/C Cu, EPR 133%, Cu tape shield, PVC jacket (triplexed)</t>
        </is>
      </c>
      <c r="K857" s="9" t="inlineStr">
        <is>
          <t>MV15|1/C|2</t>
        </is>
      </c>
      <c r="L857" s="9" t="inlineStr">
        <is>
          <t>1/C</t>
        </is>
      </c>
      <c r="M857" s="9" t="inlineStr">
        <is>
          <t>2</t>
        </is>
      </c>
      <c r="N857" s="9" t="n">
        <v>1</v>
      </c>
      <c r="O857" s="9" t="n">
        <v>3</v>
      </c>
      <c r="P857" s="9" t="n">
        <v>13800</v>
      </c>
      <c r="Q857" s="9" t="n">
        <v>2500</v>
      </c>
      <c r="R857" s="9" t="n">
        <v>105</v>
      </c>
      <c r="S857" s="9" t="inlineStr">
        <is>
          <t>Tray</t>
        </is>
      </c>
      <c r="T857" s="10" t="n">
        <v>512</v>
      </c>
      <c r="U857" s="10" t="n">
        <v>141</v>
      </c>
      <c r="V857" s="10">
        <f>ROUNDUP((T857+U857+2*'Read Me'!$B$13)*(1+'Read Me'!$B$12),-1)</f>
        <v/>
      </c>
      <c r="W857" s="10">
        <f>V857*N857*O857</f>
        <v/>
      </c>
      <c r="X857" s="9">
        <f>IF(LEFT(I857,2)="MV",2*N857*IF(L857="1/C",O857,1),0)</f>
        <v/>
      </c>
      <c r="Y857" s="9">
        <f>IF(OR(LEFT(K857,4)="LVAX",LEFT(K857,6)="MV15AX",LEFT(K857,4)="CTAX",LEFT(K857,2)="W|"),2*N857*O857,0)</f>
        <v/>
      </c>
      <c r="Z857" s="9" t="inlineStr"/>
    </row>
    <row r="858">
      <c r="A858" s="9" t="inlineStr">
        <is>
          <t>A-MV-0017</t>
        </is>
      </c>
      <c r="B858" s="9" t="inlineStr">
        <is>
          <t>A</t>
        </is>
      </c>
      <c r="C858" s="9" t="inlineStr">
        <is>
          <t>Power block</t>
        </is>
      </c>
      <c r="D858" s="9" t="inlineStr">
        <is>
          <t>T-R2C unit / load-centre transformer primary</t>
        </is>
      </c>
      <c r="E858" s="9" t="inlineStr">
        <is>
          <t>SWGR-13.8-3</t>
        </is>
      </c>
      <c r="F858" s="9" t="inlineStr">
        <is>
          <t>R1 SWGR-13.8-3 (11 x 36 in cubicles, 15 kV metal-clad)</t>
        </is>
      </c>
      <c r="G858" s="9" t="inlineStr"/>
      <c r="H858" s="9" t="inlineStr">
        <is>
          <t>T-R2C: 13.8/0.48 kV</t>
        </is>
      </c>
      <c r="I858" s="9" t="inlineStr">
        <is>
          <t>MV 15 kV</t>
        </is>
      </c>
      <c r="J858" s="9" t="inlineStr">
        <is>
          <t>MV-105 15 kV 1/C Cu, EPR 133%, Cu tape shield, PVC jacket (triplexed)</t>
        </is>
      </c>
      <c r="K858" s="9" t="inlineStr">
        <is>
          <t>MV15|1/C|2</t>
        </is>
      </c>
      <c r="L858" s="9" t="inlineStr">
        <is>
          <t>1/C</t>
        </is>
      </c>
      <c r="M858" s="9" t="inlineStr">
        <is>
          <t>2</t>
        </is>
      </c>
      <c r="N858" s="9" t="n">
        <v>1</v>
      </c>
      <c r="O858" s="9" t="n">
        <v>3</v>
      </c>
      <c r="P858" s="9" t="n">
        <v>13800</v>
      </c>
      <c r="Q858" s="9" t="n">
        <v>2500</v>
      </c>
      <c r="R858" s="9" t="n">
        <v>105</v>
      </c>
      <c r="S858" s="9" t="inlineStr">
        <is>
          <t>Tray</t>
        </is>
      </c>
      <c r="T858" s="10" t="n">
        <v>684</v>
      </c>
      <c r="U858" s="10" t="n">
        <v>68</v>
      </c>
      <c r="V858" s="10">
        <f>ROUNDUP((T858+U858+2*'Read Me'!$B$13)*(1+'Read Me'!$B$12),-1)</f>
        <v/>
      </c>
      <c r="W858" s="10">
        <f>V858*N858*O858</f>
        <v/>
      </c>
      <c r="X858" s="9">
        <f>IF(LEFT(I858,2)="MV",2*N858*IF(L858="1/C",O858,1),0)</f>
        <v/>
      </c>
      <c r="Y858" s="9">
        <f>IF(OR(LEFT(K858,4)="LVAX",LEFT(K858,6)="MV15AX",LEFT(K858,4)="CTAX",LEFT(K858,2)="W|"),2*N858*O858,0)</f>
        <v/>
      </c>
      <c r="Z858" s="9" t="inlineStr"/>
    </row>
    <row r="859">
      <c r="A859" s="9" t="inlineStr">
        <is>
          <t>A-MV-0018</t>
        </is>
      </c>
      <c r="B859" s="9" t="inlineStr">
        <is>
          <t>A</t>
        </is>
      </c>
      <c r="C859" s="9" t="inlineStr">
        <is>
          <t>Power block</t>
        </is>
      </c>
      <c r="D859" s="9" t="inlineStr">
        <is>
          <t>T-R3 unit / load-centre transformer primary</t>
        </is>
      </c>
      <c r="E859" s="9" t="inlineStr">
        <is>
          <t>SWGR-13.8-2</t>
        </is>
      </c>
      <c r="F859" s="9" t="inlineStr">
        <is>
          <t>R1 SWGR-13.8-2 (11 x 36 in cubicles, 15 kV metal-clad)</t>
        </is>
      </c>
      <c r="G859" s="9" t="inlineStr"/>
      <c r="H859" s="9" t="inlineStr">
        <is>
          <t>T-R3: 13.8/0.48 kV</t>
        </is>
      </c>
      <c r="I859" s="9" t="inlineStr">
        <is>
          <t>MV 15 kV</t>
        </is>
      </c>
      <c r="J859" s="9" t="inlineStr">
        <is>
          <t>MV-105 15 kV 1/C Cu, EPR 133%, Cu tape shield, PVC jacket (triplexed)</t>
        </is>
      </c>
      <c r="K859" s="9" t="inlineStr">
        <is>
          <t>MV15|1/C|1/0</t>
        </is>
      </c>
      <c r="L859" s="9" t="inlineStr">
        <is>
          <t>1/C</t>
        </is>
      </c>
      <c r="M859" s="9" t="inlineStr">
        <is>
          <t>1/0</t>
        </is>
      </c>
      <c r="N859" s="9" t="n">
        <v>1</v>
      </c>
      <c r="O859" s="9" t="n">
        <v>3</v>
      </c>
      <c r="P859" s="9" t="n">
        <v>13800</v>
      </c>
      <c r="Q859" s="9" t="n">
        <v>3000</v>
      </c>
      <c r="R859" s="9" t="n">
        <v>126</v>
      </c>
      <c r="S859" s="9" t="inlineStr">
        <is>
          <t>Tray</t>
        </is>
      </c>
      <c r="T859" s="10" t="n">
        <v>889</v>
      </c>
      <c r="U859" s="10" t="n">
        <v>170</v>
      </c>
      <c r="V859" s="10">
        <f>ROUNDUP((T859+U859+2*'Read Me'!$B$13)*(1+'Read Me'!$B$12),-1)</f>
        <v/>
      </c>
      <c r="W859" s="10">
        <f>V859*N859*O859</f>
        <v/>
      </c>
      <c r="X859" s="9">
        <f>IF(LEFT(I859,2)="MV",2*N859*IF(L859="1/C",O859,1),0)</f>
        <v/>
      </c>
      <c r="Y859" s="9">
        <f>IF(OR(LEFT(K859,4)="LVAX",LEFT(K859,6)="MV15AX",LEFT(K859,4)="CTAX",LEFT(K859,2)="W|"),2*N859*O859,0)</f>
        <v/>
      </c>
      <c r="Z859" s="9" t="inlineStr"/>
    </row>
    <row r="860">
      <c r="A860" s="9" t="inlineStr">
        <is>
          <t>A-MV-0019</t>
        </is>
      </c>
      <c r="B860" s="9" t="inlineStr">
        <is>
          <t>A</t>
        </is>
      </c>
      <c r="C860" s="9" t="inlineStr">
        <is>
          <t>Power block</t>
        </is>
      </c>
      <c r="D860" s="9" t="inlineStr">
        <is>
          <t>T4-A station transformer primary</t>
        </is>
      </c>
      <c r="E860" s="9" t="inlineStr">
        <is>
          <t>SWGR-13.8-1</t>
        </is>
      </c>
      <c r="F860" s="9" t="inlineStr">
        <is>
          <t>R1 SWGR-13.8-1 (11 x 36 in cubicles, 15 kV metal-clad)</t>
        </is>
      </c>
      <c r="G860" s="9" t="inlineStr">
        <is>
          <t>T4-A</t>
        </is>
      </c>
      <c r="H860" s="9" t="inlineStr">
        <is>
          <t>T4-A: 13.8/4.16 kV station transformer</t>
        </is>
      </c>
      <c r="I860" s="9" t="inlineStr">
        <is>
          <t>MV 15 kV</t>
        </is>
      </c>
      <c r="J860" s="9" t="inlineStr">
        <is>
          <t>MV-105 15 kV 1/C Cu, EPR 133%, Cu tape shield, PVC jacket (triplexed)</t>
        </is>
      </c>
      <c r="K860" s="9" t="inlineStr">
        <is>
          <t>MV15|1/C|750</t>
        </is>
      </c>
      <c r="L860" s="9" t="inlineStr">
        <is>
          <t>1/C</t>
        </is>
      </c>
      <c r="M860" s="9" t="inlineStr">
        <is>
          <t>750 kcmil</t>
        </is>
      </c>
      <c r="N860" s="9" t="n">
        <v>1</v>
      </c>
      <c r="O860" s="9" t="n">
        <v>3</v>
      </c>
      <c r="P860" s="9" t="n">
        <v>13800</v>
      </c>
      <c r="Q860" s="9" t="n">
        <v>10000</v>
      </c>
      <c r="R860" s="9" t="n">
        <v>418</v>
      </c>
      <c r="S860" s="9" t="inlineStr">
        <is>
          <t>Tray</t>
        </is>
      </c>
      <c r="T860" s="10" t="n">
        <v>696</v>
      </c>
      <c r="U860" s="10" t="n">
        <v>68</v>
      </c>
      <c r="V860" s="10">
        <f>ROUNDUP((T860+U860+2*'Read Me'!$B$13)*(1+'Read Me'!$B$12),-1)</f>
        <v/>
      </c>
      <c r="W860" s="10">
        <f>V860*N860*O860</f>
        <v/>
      </c>
      <c r="X860" s="9">
        <f>IF(LEFT(I860,2)="MV",2*N860*IF(L860="1/C",O860,1),0)</f>
        <v/>
      </c>
      <c r="Y860" s="9">
        <f>IF(OR(LEFT(K860,4)="LVAX",LEFT(K860,6)="MV15AX",LEFT(K860,4)="CTAX",LEFT(K860,2)="W|"),2*N860*O860,0)</f>
        <v/>
      </c>
      <c r="Z860" s="9" t="inlineStr"/>
    </row>
    <row r="861">
      <c r="A861" s="9" t="inlineStr">
        <is>
          <t>A-MV-0020</t>
        </is>
      </c>
      <c r="B861" s="9" t="inlineStr">
        <is>
          <t>A</t>
        </is>
      </c>
      <c r="C861" s="9" t="inlineStr">
        <is>
          <t>Power block</t>
        </is>
      </c>
      <c r="D861" s="9" t="inlineStr">
        <is>
          <t>T4-B station transformer primary</t>
        </is>
      </c>
      <c r="E861" s="9" t="inlineStr">
        <is>
          <t>SWGR-13.8-3</t>
        </is>
      </c>
      <c r="F861" s="9" t="inlineStr">
        <is>
          <t>R1 SWGR-13.8-3 (11 x 36 in cubicles, 15 kV metal-clad)</t>
        </is>
      </c>
      <c r="G861" s="9" t="inlineStr">
        <is>
          <t>T4-B</t>
        </is>
      </c>
      <c r="H861" s="9" t="inlineStr">
        <is>
          <t>T4-B: 13.8/4.16 kV station transformer</t>
        </is>
      </c>
      <c r="I861" s="9" t="inlineStr">
        <is>
          <t>MV 15 kV</t>
        </is>
      </c>
      <c r="J861" s="9" t="inlineStr">
        <is>
          <t>MV-105 15 kV 1/C Cu, EPR 133%, Cu tape shield, PVC jacket (triplexed)</t>
        </is>
      </c>
      <c r="K861" s="9" t="inlineStr">
        <is>
          <t>MV15|1/C|750</t>
        </is>
      </c>
      <c r="L861" s="9" t="inlineStr">
        <is>
          <t>1/C</t>
        </is>
      </c>
      <c r="M861" s="9" t="inlineStr">
        <is>
          <t>750 kcmil</t>
        </is>
      </c>
      <c r="N861" s="9" t="n">
        <v>1</v>
      </c>
      <c r="O861" s="9" t="n">
        <v>3</v>
      </c>
      <c r="P861" s="9" t="n">
        <v>13800</v>
      </c>
      <c r="Q861" s="9" t="n">
        <v>10000</v>
      </c>
      <c r="R861" s="9" t="n">
        <v>418</v>
      </c>
      <c r="S861" s="9" t="inlineStr">
        <is>
          <t>Duct bank</t>
        </is>
      </c>
      <c r="T861" s="10" t="n">
        <v>101</v>
      </c>
      <c r="U861" s="10" t="n">
        <v>36</v>
      </c>
      <c r="V861" s="10">
        <f>ROUNDUP((T861+U861+2*'Read Me'!$B$13)*(1+'Read Me'!$B$12),-1)</f>
        <v/>
      </c>
      <c r="W861" s="10">
        <f>V861*N861*O861</f>
        <v/>
      </c>
      <c r="X861" s="9">
        <f>IF(LEFT(I861,2)="MV",2*N861*IF(L861="1/C",O861,1),0)</f>
        <v/>
      </c>
      <c r="Y861" s="9">
        <f>IF(OR(LEFT(K861,4)="LVAX",LEFT(K861,6)="MV15AX",LEFT(K861,4)="CTAX",LEFT(K861,2)="W|"),2*N861*O861,0)</f>
        <v/>
      </c>
      <c r="Z861" s="9" t="inlineStr"/>
    </row>
    <row r="862">
      <c r="A862" s="9" t="inlineStr">
        <is>
          <t>A-MV-0021</t>
        </is>
      </c>
      <c r="B862" s="9" t="inlineStr">
        <is>
          <t>A</t>
        </is>
      </c>
      <c r="C862" s="9" t="inlineStr">
        <is>
          <t>Power block</t>
        </is>
      </c>
      <c r="D862" s="9" t="inlineStr">
        <is>
          <t>Excitation transformer ET-1 from the IPB tap</t>
        </is>
      </c>
      <c r="E862" s="9" t="inlineStr">
        <is>
          <t>GSU-1</t>
        </is>
      </c>
      <c r="F862" s="9" t="inlineStr">
        <is>
          <t>GSU-1: 21/230 kV generator step-up transformer</t>
        </is>
      </c>
      <c r="G862" s="9" t="inlineStr">
        <is>
          <t>ET-1</t>
        </is>
      </c>
      <c r="H862" s="9" t="inlineStr">
        <is>
          <t>ET-1: excitation transformer (dry type, GTG-1 terminals)</t>
        </is>
      </c>
      <c r="I862" s="9" t="inlineStr">
        <is>
          <t>MV 25 kV</t>
        </is>
      </c>
      <c r="J862" s="9" t="inlineStr">
        <is>
          <t>MV-105 25 kV 1/C Cu, EPR 133%, Cu tape shield, PVC jacket</t>
        </is>
      </c>
      <c r="K862" s="9" t="inlineStr">
        <is>
          <t>MV25|1/C|2</t>
        </is>
      </c>
      <c r="L862" s="9" t="inlineStr">
        <is>
          <t>1/C</t>
        </is>
      </c>
      <c r="M862" s="9" t="inlineStr">
        <is>
          <t>2</t>
        </is>
      </c>
      <c r="N862" s="9" t="n">
        <v>1</v>
      </c>
      <c r="O862" s="9" t="n">
        <v>3</v>
      </c>
      <c r="P862" s="9" t="n">
        <v>21000</v>
      </c>
      <c r="Q862" s="9" t="n">
        <v>3000</v>
      </c>
      <c r="R862" s="9" t="n">
        <v>82</v>
      </c>
      <c r="S862" s="9" t="inlineStr">
        <is>
          <t>Tray</t>
        </is>
      </c>
      <c r="T862" s="10" t="n">
        <v>24</v>
      </c>
      <c r="U862" s="10" t="n">
        <v>57</v>
      </c>
      <c r="V862" s="10">
        <f>ROUNDUP((T862+U862+2*'Read Me'!$B$13)*(1+'Read Me'!$B$12),-1)</f>
        <v/>
      </c>
      <c r="W862" s="10">
        <f>V862*N862*O862</f>
        <v/>
      </c>
      <c r="X862" s="9">
        <f>IF(LEFT(I862,2)="MV",2*N862*IF(L862="1/C",O862,1),0)</f>
        <v/>
      </c>
      <c r="Y862" s="9">
        <f>IF(OR(LEFT(K862,4)="LVAX",LEFT(K862,6)="MV15AX",LEFT(K862,4)="CTAX",LEFT(K862,2)="W|"),2*N862*O862,0)</f>
        <v/>
      </c>
      <c r="Z862" s="9" t="inlineStr">
        <is>
          <t>21 kV from the generator terminals (IPB tap)</t>
        </is>
      </c>
    </row>
    <row r="863">
      <c r="A863" s="9" t="inlineStr">
        <is>
          <t>A-MV-0022</t>
        </is>
      </c>
      <c r="B863" s="9" t="inlineStr">
        <is>
          <t>A</t>
        </is>
      </c>
      <c r="C863" s="9" t="inlineStr">
        <is>
          <t>Power block</t>
        </is>
      </c>
      <c r="D863" s="9" t="inlineStr">
        <is>
          <t>Excitation transformer ET-2 from the IPB tap</t>
        </is>
      </c>
      <c r="E863" s="9" t="inlineStr">
        <is>
          <t>GSU-2</t>
        </is>
      </c>
      <c r="F863" s="9" t="inlineStr">
        <is>
          <t>GSU-2: 21/230 kV generator step-up transformer</t>
        </is>
      </c>
      <c r="G863" s="9" t="inlineStr">
        <is>
          <t>ET-2</t>
        </is>
      </c>
      <c r="H863" s="9" t="inlineStr">
        <is>
          <t>ET-2: excitation transformer (dry type, GTG-2 terminals)</t>
        </is>
      </c>
      <c r="I863" s="9" t="inlineStr">
        <is>
          <t>MV 25 kV</t>
        </is>
      </c>
      <c r="J863" s="9" t="inlineStr">
        <is>
          <t>MV-105 25 kV 1/C Cu, EPR 133%, Cu tape shield, PVC jacket</t>
        </is>
      </c>
      <c r="K863" s="9" t="inlineStr">
        <is>
          <t>MV25|1/C|2</t>
        </is>
      </c>
      <c r="L863" s="9" t="inlineStr">
        <is>
          <t>1/C</t>
        </is>
      </c>
      <c r="M863" s="9" t="inlineStr">
        <is>
          <t>2</t>
        </is>
      </c>
      <c r="N863" s="9" t="n">
        <v>1</v>
      </c>
      <c r="O863" s="9" t="n">
        <v>3</v>
      </c>
      <c r="P863" s="9" t="n">
        <v>21000</v>
      </c>
      <c r="Q863" s="9" t="n">
        <v>3000</v>
      </c>
      <c r="R863" s="9" t="n">
        <v>82</v>
      </c>
      <c r="S863" s="9" t="inlineStr">
        <is>
          <t>Tray</t>
        </is>
      </c>
      <c r="T863" s="10" t="n">
        <v>24</v>
      </c>
      <c r="U863" s="10" t="n">
        <v>57</v>
      </c>
      <c r="V863" s="10">
        <f>ROUNDUP((T863+U863+2*'Read Me'!$B$13)*(1+'Read Me'!$B$12),-1)</f>
        <v/>
      </c>
      <c r="W863" s="10">
        <f>V863*N863*O863</f>
        <v/>
      </c>
      <c r="X863" s="9">
        <f>IF(LEFT(I863,2)="MV",2*N863*IF(L863="1/C",O863,1),0)</f>
        <v/>
      </c>
      <c r="Y863" s="9">
        <f>IF(OR(LEFT(K863,4)="LVAX",LEFT(K863,6)="MV15AX",LEFT(K863,4)="CTAX",LEFT(K863,2)="W|"),2*N863*O863,0)</f>
        <v/>
      </c>
      <c r="Z863" s="9" t="inlineStr">
        <is>
          <t>21 kV from the generator terminals (IPB tap)</t>
        </is>
      </c>
    </row>
    <row r="864">
      <c r="A864" s="9" t="inlineStr">
        <is>
          <t>A-MV-0023</t>
        </is>
      </c>
      <c r="B864" s="9" t="inlineStr">
        <is>
          <t>A</t>
        </is>
      </c>
      <c r="C864" s="9" t="inlineStr">
        <is>
          <t>Power block</t>
        </is>
      </c>
      <c r="D864" s="9" t="inlineStr">
        <is>
          <t>Excitation transformer ET-3 from the IPB tap</t>
        </is>
      </c>
      <c r="E864" s="9" t="inlineStr">
        <is>
          <t>GSU-3</t>
        </is>
      </c>
      <c r="F864" s="9" t="inlineStr">
        <is>
          <t>GSU-3: 21/230 kV generator step-up transformer</t>
        </is>
      </c>
      <c r="G864" s="9" t="inlineStr">
        <is>
          <t>ET-3</t>
        </is>
      </c>
      <c r="H864" s="9" t="inlineStr">
        <is>
          <t>ET-3: excitation transformer (dry type, GTG-3 terminals)</t>
        </is>
      </c>
      <c r="I864" s="9" t="inlineStr">
        <is>
          <t>MV 25 kV</t>
        </is>
      </c>
      <c r="J864" s="9" t="inlineStr">
        <is>
          <t>MV-105 25 kV 1/C Cu, EPR 133%, Cu tape shield, PVC jacket</t>
        </is>
      </c>
      <c r="K864" s="9" t="inlineStr">
        <is>
          <t>MV25|1/C|2</t>
        </is>
      </c>
      <c r="L864" s="9" t="inlineStr">
        <is>
          <t>1/C</t>
        </is>
      </c>
      <c r="M864" s="9" t="inlineStr">
        <is>
          <t>2</t>
        </is>
      </c>
      <c r="N864" s="9" t="n">
        <v>1</v>
      </c>
      <c r="O864" s="9" t="n">
        <v>3</v>
      </c>
      <c r="P864" s="9" t="n">
        <v>21000</v>
      </c>
      <c r="Q864" s="9" t="n">
        <v>3000</v>
      </c>
      <c r="R864" s="9" t="n">
        <v>82</v>
      </c>
      <c r="S864" s="9" t="inlineStr">
        <is>
          <t>Tray</t>
        </is>
      </c>
      <c r="T864" s="10" t="n">
        <v>24</v>
      </c>
      <c r="U864" s="10" t="n">
        <v>57</v>
      </c>
      <c r="V864" s="10">
        <f>ROUNDUP((T864+U864+2*'Read Me'!$B$13)*(1+'Read Me'!$B$12),-1)</f>
        <v/>
      </c>
      <c r="W864" s="10">
        <f>V864*N864*O864</f>
        <v/>
      </c>
      <c r="X864" s="9">
        <f>IF(LEFT(I864,2)="MV",2*N864*IF(L864="1/C",O864,1),0)</f>
        <v/>
      </c>
      <c r="Y864" s="9">
        <f>IF(OR(LEFT(K864,4)="LVAX",LEFT(K864,6)="MV15AX",LEFT(K864,4)="CTAX",LEFT(K864,2)="W|"),2*N864*O864,0)</f>
        <v/>
      </c>
      <c r="Z864" s="9" t="inlineStr">
        <is>
          <t>21 kV from the generator terminals (IPB tap)</t>
        </is>
      </c>
    </row>
    <row r="865">
      <c r="A865" s="9" t="inlineStr">
        <is>
          <t>A-MV-0024</t>
        </is>
      </c>
      <c r="B865" s="9" t="inlineStr">
        <is>
          <t>A</t>
        </is>
      </c>
      <c r="C865" s="9" t="inlineStr">
        <is>
          <t>Power block</t>
        </is>
      </c>
      <c r="D865" s="9" t="inlineStr">
        <is>
          <t>T4-A secondary to SWGR-4.16-A incomer</t>
        </is>
      </c>
      <c r="E865" s="9" t="inlineStr">
        <is>
          <t>T4-A</t>
        </is>
      </c>
      <c r="F865" s="9" t="inlineStr">
        <is>
          <t>T4-A: 13.8/4.16 kV station transformer</t>
        </is>
      </c>
      <c r="G865" s="9" t="inlineStr">
        <is>
          <t>SWGR-4.16-A</t>
        </is>
      </c>
      <c r="H865" s="9" t="inlineStr">
        <is>
          <t>R1 SWGR-4.16-A (9 x 36 in cubicles, 5 kV metal-clad)</t>
        </is>
      </c>
      <c r="I865" s="9" t="inlineStr">
        <is>
          <t>MV 5 kV</t>
        </is>
      </c>
      <c r="J865" s="9" t="inlineStr">
        <is>
          <t>MV-105 5 kV 1/C Cu, EPR 133%, Cu tape shield, PVC jacket (triplexed)</t>
        </is>
      </c>
      <c r="K865" s="9" t="inlineStr">
        <is>
          <t>MV5S|1/C|1000</t>
        </is>
      </c>
      <c r="L865" s="9" t="inlineStr">
        <is>
          <t>1/C</t>
        </is>
      </c>
      <c r="M865" s="9" t="inlineStr">
        <is>
          <t>1000 kcmil</t>
        </is>
      </c>
      <c r="N865" s="9" t="n">
        <v>3</v>
      </c>
      <c r="O865" s="9" t="n">
        <v>3</v>
      </c>
      <c r="P865" s="9" t="n">
        <v>4160</v>
      </c>
      <c r="Q865" s="9" t="n">
        <v>10000</v>
      </c>
      <c r="R865" s="9" t="n">
        <v>1388</v>
      </c>
      <c r="S865" s="9" t="inlineStr">
        <is>
          <t>Tray</t>
        </is>
      </c>
      <c r="T865" s="10" t="n">
        <v>690</v>
      </c>
      <c r="U865" s="10" t="n">
        <v>90</v>
      </c>
      <c r="V865" s="10">
        <f>ROUNDUP((T865+U865+2*'Read Me'!$B$13)*(1+'Read Me'!$B$12),-1)</f>
        <v/>
      </c>
      <c r="W865" s="10">
        <f>V865*N865*O865</f>
        <v/>
      </c>
      <c r="X865" s="9">
        <f>IF(LEFT(I865,2)="MV",2*N865*IF(L865="1/C",O865,1),0)</f>
        <v/>
      </c>
      <c r="Y865" s="9">
        <f>IF(OR(LEFT(K865,4)="LVAX",LEFT(K865,6)="MV15AX",LEFT(K865,4)="CTAX",LEFT(K865,2)="W|"),2*N865*O865,0)</f>
        <v/>
      </c>
      <c r="Z865" s="9" t="inlineStr"/>
    </row>
    <row r="866">
      <c r="A866" s="9" t="inlineStr">
        <is>
          <t>A-MV-0025</t>
        </is>
      </c>
      <c r="B866" s="9" t="inlineStr">
        <is>
          <t>A</t>
        </is>
      </c>
      <c r="C866" s="9" t="inlineStr">
        <is>
          <t>Power block</t>
        </is>
      </c>
      <c r="D866" s="9" t="inlineStr">
        <is>
          <t>T4-B secondary to SWGR-4.16-B incomer</t>
        </is>
      </c>
      <c r="E866" s="9" t="inlineStr">
        <is>
          <t>T4-B</t>
        </is>
      </c>
      <c r="F866" s="9" t="inlineStr">
        <is>
          <t>T4-B: 13.8/4.16 kV station transformer</t>
        </is>
      </c>
      <c r="G866" s="9" t="inlineStr">
        <is>
          <t>SWGR-4.16-B</t>
        </is>
      </c>
      <c r="H866" s="9" t="inlineStr">
        <is>
          <t>R1 SWGR-4.16-B (5 kV metal-clad)</t>
        </is>
      </c>
      <c r="I866" s="9" t="inlineStr">
        <is>
          <t>MV 5 kV</t>
        </is>
      </c>
      <c r="J866" s="9" t="inlineStr">
        <is>
          <t>MV-105 5 kV 1/C Cu, EPR 133%, Cu tape shield, PVC jacket (triplexed)</t>
        </is>
      </c>
      <c r="K866" s="9" t="inlineStr">
        <is>
          <t>MV5S|1/C|1000</t>
        </is>
      </c>
      <c r="L866" s="9" t="inlineStr">
        <is>
          <t>1/C</t>
        </is>
      </c>
      <c r="M866" s="9" t="inlineStr">
        <is>
          <t>1000 kcmil</t>
        </is>
      </c>
      <c r="N866" s="9" t="n">
        <v>3</v>
      </c>
      <c r="O866" s="9" t="n">
        <v>3</v>
      </c>
      <c r="P866" s="9" t="n">
        <v>4160</v>
      </c>
      <c r="Q866" s="9" t="n">
        <v>10000</v>
      </c>
      <c r="R866" s="9" t="n">
        <v>1388</v>
      </c>
      <c r="S866" s="9" t="inlineStr">
        <is>
          <t>Duct bank</t>
        </is>
      </c>
      <c r="T866" s="10" t="n">
        <v>85</v>
      </c>
      <c r="U866" s="10" t="n">
        <v>79</v>
      </c>
      <c r="V866" s="10">
        <f>ROUNDUP((T866+U866+2*'Read Me'!$B$13)*(1+'Read Me'!$B$12),-1)</f>
        <v/>
      </c>
      <c r="W866" s="10">
        <f>V866*N866*O866</f>
        <v/>
      </c>
      <c r="X866" s="9">
        <f>IF(LEFT(I866,2)="MV",2*N866*IF(L866="1/C",O866,1),0)</f>
        <v/>
      </c>
      <c r="Y866" s="9">
        <f>IF(OR(LEFT(K866,4)="LVAX",LEFT(K866,6)="MV15AX",LEFT(K866,4)="CTAX",LEFT(K866,2)="W|"),2*N866*O866,0)</f>
        <v/>
      </c>
      <c r="Z866" s="9" t="inlineStr"/>
    </row>
    <row r="867">
      <c r="A867" s="9" t="inlineStr">
        <is>
          <t>B-L-0001</t>
        </is>
      </c>
      <c r="B867" s="9" t="inlineStr">
        <is>
          <t>B</t>
        </is>
      </c>
      <c r="C867" s="9" t="inlineStr">
        <is>
          <t>ACC</t>
        </is>
      </c>
      <c r="D867" s="9" t="inlineStr">
        <is>
          <t>Lighting, receptacles and small power branch circuits (allowance)</t>
        </is>
      </c>
      <c r="E867" s="9" t="inlineStr">
        <is>
          <t>R4</t>
        </is>
      </c>
      <c r="F867" s="9" t="inlineStr">
        <is>
          <t>R4: ACC electrical (VFD) e-house (60 x 120 ft)</t>
        </is>
      </c>
      <c r="G867" s="9" t="inlineStr">
        <is>
          <t>R4</t>
        </is>
      </c>
      <c r="H867" s="9" t="inlineStr">
        <is>
          <t>R4: ACC electrical (VFD) e-house (60 x 120 ft)</t>
        </is>
      </c>
      <c r="I867" s="9" t="inlineStr">
        <is>
          <t>Building wire</t>
        </is>
      </c>
      <c r="J867" s="9" t="inlineStr">
        <is>
          <t>SIMpull THHN/THWN-2 600 V 1/C Cu (lighting, receptacles, small power)</t>
        </is>
      </c>
      <c r="K867" s="9" t="inlineStr">
        <is>
          <t>THHN|1/C|12</t>
        </is>
      </c>
      <c r="L867" s="9" t="inlineStr">
        <is>
          <t>1/C</t>
        </is>
      </c>
      <c r="M867" s="9" t="inlineStr">
        <is>
          <t>12</t>
        </is>
      </c>
      <c r="N867" s="9" t="n">
        <v>1</v>
      </c>
      <c r="O867" s="9" t="n">
        <v>1</v>
      </c>
      <c r="P867" s="9" t="n">
        <v>277</v>
      </c>
      <c r="Q867" s="9" t="n"/>
      <c r="R867" s="9" t="n"/>
      <c r="S867" s="9" t="inlineStr">
        <is>
          <t>Conduit</t>
        </is>
      </c>
      <c r="T867" s="10" t="n">
        <v>11520</v>
      </c>
      <c r="U867" s="10" t="n">
        <v>0</v>
      </c>
      <c r="V867" s="10">
        <f>ROUNDUP((T867+U867+2*'Read Me'!$B$13)*(1+'Read Me'!$B$12),-1)</f>
        <v/>
      </c>
      <c r="W867" s="10">
        <f>V867*N867*O867</f>
        <v/>
      </c>
      <c r="X867" s="9">
        <f>IF(LEFT(I867,2)="MV",2*N867*IF(L867="1/C",O867,1),0)</f>
        <v/>
      </c>
      <c r="Y867" s="9">
        <f>IF(OR(LEFT(K867,4)="LVAX",LEFT(K867,6)="MV15AX",LEFT(K867,4)="CTAX",LEFT(K867,2)="W|"),2*N867*O867,0)</f>
        <v/>
      </c>
      <c r="Z867" s="9" t="inlineStr">
        <is>
          <t>allowance: 1.6 ft of conductor per ft2 of floor</t>
        </is>
      </c>
    </row>
    <row r="868">
      <c r="A868" s="9" t="inlineStr">
        <is>
          <t>B-C-0001</t>
        </is>
      </c>
      <c r="B868" s="9" t="inlineStr">
        <is>
          <t>B</t>
        </is>
      </c>
      <c r="C868" s="9" t="inlineStr">
        <is>
          <t>ACC</t>
        </is>
      </c>
      <c r="D868" s="9" t="inlineStr">
        <is>
          <t>ACC fan F01 vibration / RTD / local station</t>
        </is>
      </c>
      <c r="E868" s="9" t="inlineStr">
        <is>
          <t>R4</t>
        </is>
      </c>
      <c r="F868" s="9" t="inlineStr">
        <is>
          <t>R4: ACC electrical (VFD) e-house (60 x 120 ft)</t>
        </is>
      </c>
      <c r="G868" s="9" t="inlineStr">
        <is>
          <t>ACC-F01</t>
        </is>
      </c>
      <c r="H868" s="9" t="inlineStr">
        <is>
          <t>ACC fan motor F01</t>
        </is>
      </c>
      <c r="I868" s="9" t="inlineStr">
        <is>
          <t>Control</t>
        </is>
      </c>
      <c r="J868" s="9" t="inlineStr">
        <is>
          <t>Control cable 600 V Type TC-ER, Cu #14 AWG, PVC jacket</t>
        </is>
      </c>
      <c r="K868" s="9" t="inlineStr">
        <is>
          <t>CT|7/C|14</t>
        </is>
      </c>
      <c r="L868" s="9" t="inlineStr">
        <is>
          <t>7/C</t>
        </is>
      </c>
      <c r="M868" s="9" t="inlineStr">
        <is>
          <t>14</t>
        </is>
      </c>
      <c r="N868" s="9" t="n">
        <v>1</v>
      </c>
      <c r="O868" s="9" t="n">
        <v>1</v>
      </c>
      <c r="P868" s="9" t="n"/>
      <c r="Q868" s="9" t="n"/>
      <c r="R868" s="9" t="n"/>
      <c r="S868" s="9" t="inlineStr">
        <is>
          <t>Tray</t>
        </is>
      </c>
      <c r="T868" s="10" t="n">
        <v>623</v>
      </c>
      <c r="U868" s="10" t="n">
        <v>72</v>
      </c>
      <c r="V868" s="10">
        <f>ROUNDUP((T868+U868+2*'Read Me'!$B$13)*(1+'Read Me'!$B$12),-1)</f>
        <v/>
      </c>
      <c r="W868" s="10">
        <f>V868*N868*O868</f>
        <v/>
      </c>
      <c r="X868" s="9">
        <f>IF(LEFT(I868,2)="MV",2*N868*IF(L868="1/C",O868,1),0)</f>
        <v/>
      </c>
      <c r="Y868" s="9">
        <f>IF(OR(LEFT(K868,4)="LVAX",LEFT(K868,6)="MV15AX",LEFT(K868,4)="CTAX",LEFT(K868,2)="W|"),2*N868*O868,0)</f>
        <v/>
      </c>
      <c r="Z868" s="9" t="inlineStr"/>
    </row>
    <row r="869">
      <c r="A869" s="9" t="inlineStr">
        <is>
          <t>B-C-0002</t>
        </is>
      </c>
      <c r="B869" s="9" t="inlineStr">
        <is>
          <t>B</t>
        </is>
      </c>
      <c r="C869" s="9" t="inlineStr">
        <is>
          <t>ACC</t>
        </is>
      </c>
      <c r="D869" s="9" t="inlineStr">
        <is>
          <t>ACC fan F02 vibration / RTD / local station</t>
        </is>
      </c>
      <c r="E869" s="9" t="inlineStr">
        <is>
          <t>R4</t>
        </is>
      </c>
      <c r="F869" s="9" t="inlineStr">
        <is>
          <t>R4: ACC electrical (VFD) e-house (60 x 120 ft)</t>
        </is>
      </c>
      <c r="G869" s="9" t="inlineStr">
        <is>
          <t>ACC-F02</t>
        </is>
      </c>
      <c r="H869" s="9" t="inlineStr">
        <is>
          <t>ACC fan motor F02</t>
        </is>
      </c>
      <c r="I869" s="9" t="inlineStr">
        <is>
          <t>Control</t>
        </is>
      </c>
      <c r="J869" s="9" t="inlineStr">
        <is>
          <t>Control cable 600 V Type TC-ER, Cu #14 AWG, PVC jacket</t>
        </is>
      </c>
      <c r="K869" s="9" t="inlineStr">
        <is>
          <t>CT|7/C|14</t>
        </is>
      </c>
      <c r="L869" s="9" t="inlineStr">
        <is>
          <t>7/C</t>
        </is>
      </c>
      <c r="M869" s="9" t="inlineStr">
        <is>
          <t>14</t>
        </is>
      </c>
      <c r="N869" s="9" t="n">
        <v>1</v>
      </c>
      <c r="O869" s="9" t="n">
        <v>1</v>
      </c>
      <c r="P869" s="9" t="n"/>
      <c r="Q869" s="9" t="n"/>
      <c r="R869" s="9" t="n"/>
      <c r="S869" s="9" t="inlineStr">
        <is>
          <t>Tray</t>
        </is>
      </c>
      <c r="T869" s="10" t="n">
        <v>591</v>
      </c>
      <c r="U869" s="10" t="n">
        <v>72</v>
      </c>
      <c r="V869" s="10">
        <f>ROUNDUP((T869+U869+2*'Read Me'!$B$13)*(1+'Read Me'!$B$12),-1)</f>
        <v/>
      </c>
      <c r="W869" s="10">
        <f>V869*N869*O869</f>
        <v/>
      </c>
      <c r="X869" s="9">
        <f>IF(LEFT(I869,2)="MV",2*N869*IF(L869="1/C",O869,1),0)</f>
        <v/>
      </c>
      <c r="Y869" s="9">
        <f>IF(OR(LEFT(K869,4)="LVAX",LEFT(K869,6)="MV15AX",LEFT(K869,4)="CTAX",LEFT(K869,2)="W|"),2*N869*O869,0)</f>
        <v/>
      </c>
      <c r="Z869" s="9" t="inlineStr"/>
    </row>
    <row r="870">
      <c r="A870" s="9" t="inlineStr">
        <is>
          <t>B-C-0003</t>
        </is>
      </c>
      <c r="B870" s="9" t="inlineStr">
        <is>
          <t>B</t>
        </is>
      </c>
      <c r="C870" s="9" t="inlineStr">
        <is>
          <t>ACC</t>
        </is>
      </c>
      <c r="D870" s="9" t="inlineStr">
        <is>
          <t>ACC fan F03 vibration / RTD / local station</t>
        </is>
      </c>
      <c r="E870" s="9" t="inlineStr">
        <is>
          <t>R4</t>
        </is>
      </c>
      <c r="F870" s="9" t="inlineStr">
        <is>
          <t>R4: ACC electrical (VFD) e-house (60 x 120 ft)</t>
        </is>
      </c>
      <c r="G870" s="9" t="inlineStr">
        <is>
          <t>ACC-F03</t>
        </is>
      </c>
      <c r="H870" s="9" t="inlineStr">
        <is>
          <t>ACC fan motor F03</t>
        </is>
      </c>
      <c r="I870" s="9" t="inlineStr">
        <is>
          <t>Control</t>
        </is>
      </c>
      <c r="J870" s="9" t="inlineStr">
        <is>
          <t>Control cable 600 V Type TC-ER, Cu #14 AWG, PVC jacket</t>
        </is>
      </c>
      <c r="K870" s="9" t="inlineStr">
        <is>
          <t>CT|7/C|14</t>
        </is>
      </c>
      <c r="L870" s="9" t="inlineStr">
        <is>
          <t>7/C</t>
        </is>
      </c>
      <c r="M870" s="9" t="inlineStr">
        <is>
          <t>14</t>
        </is>
      </c>
      <c r="N870" s="9" t="n">
        <v>1</v>
      </c>
      <c r="O870" s="9" t="n">
        <v>1</v>
      </c>
      <c r="P870" s="9" t="n"/>
      <c r="Q870" s="9" t="n"/>
      <c r="R870" s="9" t="n"/>
      <c r="S870" s="9" t="inlineStr">
        <is>
          <t>Tray</t>
        </is>
      </c>
      <c r="T870" s="10" t="n">
        <v>559</v>
      </c>
      <c r="U870" s="10" t="n">
        <v>72</v>
      </c>
      <c r="V870" s="10">
        <f>ROUNDUP((T870+U870+2*'Read Me'!$B$13)*(1+'Read Me'!$B$12),-1)</f>
        <v/>
      </c>
      <c r="W870" s="10">
        <f>V870*N870*O870</f>
        <v/>
      </c>
      <c r="X870" s="9">
        <f>IF(LEFT(I870,2)="MV",2*N870*IF(L870="1/C",O870,1),0)</f>
        <v/>
      </c>
      <c r="Y870" s="9">
        <f>IF(OR(LEFT(K870,4)="LVAX",LEFT(K870,6)="MV15AX",LEFT(K870,4)="CTAX",LEFT(K870,2)="W|"),2*N870*O870,0)</f>
        <v/>
      </c>
      <c r="Z870" s="9" t="inlineStr"/>
    </row>
    <row r="871">
      <c r="A871" s="9" t="inlineStr">
        <is>
          <t>B-C-0004</t>
        </is>
      </c>
      <c r="B871" s="9" t="inlineStr">
        <is>
          <t>B</t>
        </is>
      </c>
      <c r="C871" s="9" t="inlineStr">
        <is>
          <t>ACC</t>
        </is>
      </c>
      <c r="D871" s="9" t="inlineStr">
        <is>
          <t>ACC fan F04 vibration / RTD / local station</t>
        </is>
      </c>
      <c r="E871" s="9" t="inlineStr">
        <is>
          <t>R4</t>
        </is>
      </c>
      <c r="F871" s="9" t="inlineStr">
        <is>
          <t>R4: ACC electrical (VFD) e-house (60 x 120 ft)</t>
        </is>
      </c>
      <c r="G871" s="9" t="inlineStr">
        <is>
          <t>ACC-F04</t>
        </is>
      </c>
      <c r="H871" s="9" t="inlineStr">
        <is>
          <t>ACC fan motor F04</t>
        </is>
      </c>
      <c r="I871" s="9" t="inlineStr">
        <is>
          <t>Control</t>
        </is>
      </c>
      <c r="J871" s="9" t="inlineStr">
        <is>
          <t>Control cable 600 V Type TC-ER, Cu #14 AWG, PVC jacket</t>
        </is>
      </c>
      <c r="K871" s="9" t="inlineStr">
        <is>
          <t>CT|7/C|14</t>
        </is>
      </c>
      <c r="L871" s="9" t="inlineStr">
        <is>
          <t>7/C</t>
        </is>
      </c>
      <c r="M871" s="9" t="inlineStr">
        <is>
          <t>14</t>
        </is>
      </c>
      <c r="N871" s="9" t="n">
        <v>1</v>
      </c>
      <c r="O871" s="9" t="n">
        <v>1</v>
      </c>
      <c r="P871" s="9" t="n"/>
      <c r="Q871" s="9" t="n"/>
      <c r="R871" s="9" t="n"/>
      <c r="S871" s="9" t="inlineStr">
        <is>
          <t>Tray</t>
        </is>
      </c>
      <c r="T871" s="10" t="n">
        <v>527</v>
      </c>
      <c r="U871" s="10" t="n">
        <v>72</v>
      </c>
      <c r="V871" s="10">
        <f>ROUNDUP((T871+U871+2*'Read Me'!$B$13)*(1+'Read Me'!$B$12),-1)</f>
        <v/>
      </c>
      <c r="W871" s="10">
        <f>V871*N871*O871</f>
        <v/>
      </c>
      <c r="X871" s="9">
        <f>IF(LEFT(I871,2)="MV",2*N871*IF(L871="1/C",O871,1),0)</f>
        <v/>
      </c>
      <c r="Y871" s="9">
        <f>IF(OR(LEFT(K871,4)="LVAX",LEFT(K871,6)="MV15AX",LEFT(K871,4)="CTAX",LEFT(K871,2)="W|"),2*N871*O871,0)</f>
        <v/>
      </c>
      <c r="Z871" s="9" t="inlineStr"/>
    </row>
    <row r="872">
      <c r="A872" s="9" t="inlineStr">
        <is>
          <t>B-C-0005</t>
        </is>
      </c>
      <c r="B872" s="9" t="inlineStr">
        <is>
          <t>B</t>
        </is>
      </c>
      <c r="C872" s="9" t="inlineStr">
        <is>
          <t>ACC</t>
        </is>
      </c>
      <c r="D872" s="9" t="inlineStr">
        <is>
          <t>ACC fan F05 vibration / RTD / local station</t>
        </is>
      </c>
      <c r="E872" s="9" t="inlineStr">
        <is>
          <t>R4</t>
        </is>
      </c>
      <c r="F872" s="9" t="inlineStr">
        <is>
          <t>R4: ACC electrical (VFD) e-house (60 x 120 ft)</t>
        </is>
      </c>
      <c r="G872" s="9" t="inlineStr">
        <is>
          <t>ACC-F05</t>
        </is>
      </c>
      <c r="H872" s="9" t="inlineStr">
        <is>
          <t>ACC fan motor F05</t>
        </is>
      </c>
      <c r="I872" s="9" t="inlineStr">
        <is>
          <t>Control</t>
        </is>
      </c>
      <c r="J872" s="9" t="inlineStr">
        <is>
          <t>Control cable 600 V Type TC-ER, Cu #14 AWG, PVC jacket</t>
        </is>
      </c>
      <c r="K872" s="9" t="inlineStr">
        <is>
          <t>CT|7/C|14</t>
        </is>
      </c>
      <c r="L872" s="9" t="inlineStr">
        <is>
          <t>7/C</t>
        </is>
      </c>
      <c r="M872" s="9" t="inlineStr">
        <is>
          <t>14</t>
        </is>
      </c>
      <c r="N872" s="9" t="n">
        <v>1</v>
      </c>
      <c r="O872" s="9" t="n">
        <v>1</v>
      </c>
      <c r="P872" s="9" t="n"/>
      <c r="Q872" s="9" t="n"/>
      <c r="R872" s="9" t="n"/>
      <c r="S872" s="9" t="inlineStr">
        <is>
          <t>Tray</t>
        </is>
      </c>
      <c r="T872" s="10" t="n">
        <v>495</v>
      </c>
      <c r="U872" s="10" t="n">
        <v>72</v>
      </c>
      <c r="V872" s="10">
        <f>ROUNDUP((T872+U872+2*'Read Me'!$B$13)*(1+'Read Me'!$B$12),-1)</f>
        <v/>
      </c>
      <c r="W872" s="10">
        <f>V872*N872*O872</f>
        <v/>
      </c>
      <c r="X872" s="9">
        <f>IF(LEFT(I872,2)="MV",2*N872*IF(L872="1/C",O872,1),0)</f>
        <v/>
      </c>
      <c r="Y872" s="9">
        <f>IF(OR(LEFT(K872,4)="LVAX",LEFT(K872,6)="MV15AX",LEFT(K872,4)="CTAX",LEFT(K872,2)="W|"),2*N872*O872,0)</f>
        <v/>
      </c>
      <c r="Z872" s="9" t="inlineStr"/>
    </row>
    <row r="873">
      <c r="A873" s="9" t="inlineStr">
        <is>
          <t>B-C-0006</t>
        </is>
      </c>
      <c r="B873" s="9" t="inlineStr">
        <is>
          <t>B</t>
        </is>
      </c>
      <c r="C873" s="9" t="inlineStr">
        <is>
          <t>ACC</t>
        </is>
      </c>
      <c r="D873" s="9" t="inlineStr">
        <is>
          <t>ACC fan F06 vibration / RTD / local station</t>
        </is>
      </c>
      <c r="E873" s="9" t="inlineStr">
        <is>
          <t>R4</t>
        </is>
      </c>
      <c r="F873" s="9" t="inlineStr">
        <is>
          <t>R4: ACC electrical (VFD) e-house (60 x 120 ft)</t>
        </is>
      </c>
      <c r="G873" s="9" t="inlineStr">
        <is>
          <t>ACC-F06</t>
        </is>
      </c>
      <c r="H873" s="9" t="inlineStr">
        <is>
          <t>ACC fan motor F06</t>
        </is>
      </c>
      <c r="I873" s="9" t="inlineStr">
        <is>
          <t>Control</t>
        </is>
      </c>
      <c r="J873" s="9" t="inlineStr">
        <is>
          <t>Control cable 600 V Type TC-ER, Cu #14 AWG, PVC jacket</t>
        </is>
      </c>
      <c r="K873" s="9" t="inlineStr">
        <is>
          <t>CT|7/C|14</t>
        </is>
      </c>
      <c r="L873" s="9" t="inlineStr">
        <is>
          <t>7/C</t>
        </is>
      </c>
      <c r="M873" s="9" t="inlineStr">
        <is>
          <t>14</t>
        </is>
      </c>
      <c r="N873" s="9" t="n">
        <v>1</v>
      </c>
      <c r="O873" s="9" t="n">
        <v>1</v>
      </c>
      <c r="P873" s="9" t="n"/>
      <c r="Q873" s="9" t="n"/>
      <c r="R873" s="9" t="n"/>
      <c r="S873" s="9" t="inlineStr">
        <is>
          <t>Tray</t>
        </is>
      </c>
      <c r="T873" s="10" t="n">
        <v>495</v>
      </c>
      <c r="U873" s="10" t="n">
        <v>72</v>
      </c>
      <c r="V873" s="10">
        <f>ROUNDUP((T873+U873+2*'Read Me'!$B$13)*(1+'Read Me'!$B$12),-1)</f>
        <v/>
      </c>
      <c r="W873" s="10">
        <f>V873*N873*O873</f>
        <v/>
      </c>
      <c r="X873" s="9">
        <f>IF(LEFT(I873,2)="MV",2*N873*IF(L873="1/C",O873,1),0)</f>
        <v/>
      </c>
      <c r="Y873" s="9">
        <f>IF(OR(LEFT(K873,4)="LVAX",LEFT(K873,6)="MV15AX",LEFT(K873,4)="CTAX",LEFT(K873,2)="W|"),2*N873*O873,0)</f>
        <v/>
      </c>
      <c r="Z873" s="9" t="inlineStr"/>
    </row>
    <row r="874">
      <c r="A874" s="9" t="inlineStr">
        <is>
          <t>B-C-0007</t>
        </is>
      </c>
      <c r="B874" s="9" t="inlineStr">
        <is>
          <t>B</t>
        </is>
      </c>
      <c r="C874" s="9" t="inlineStr">
        <is>
          <t>ACC</t>
        </is>
      </c>
      <c r="D874" s="9" t="inlineStr">
        <is>
          <t>ACC fan F07 vibration / RTD / local station</t>
        </is>
      </c>
      <c r="E874" s="9" t="inlineStr">
        <is>
          <t>R4</t>
        </is>
      </c>
      <c r="F874" s="9" t="inlineStr">
        <is>
          <t>R4: ACC electrical (VFD) e-house (60 x 120 ft)</t>
        </is>
      </c>
      <c r="G874" s="9" t="inlineStr">
        <is>
          <t>ACC-F07</t>
        </is>
      </c>
      <c r="H874" s="9" t="inlineStr">
        <is>
          <t>ACC fan motor F07</t>
        </is>
      </c>
      <c r="I874" s="9" t="inlineStr">
        <is>
          <t>Control</t>
        </is>
      </c>
      <c r="J874" s="9" t="inlineStr">
        <is>
          <t>Control cable 600 V Type TC-ER, Cu #14 AWG, PVC jacket</t>
        </is>
      </c>
      <c r="K874" s="9" t="inlineStr">
        <is>
          <t>CT|7/C|14</t>
        </is>
      </c>
      <c r="L874" s="9" t="inlineStr">
        <is>
          <t>7/C</t>
        </is>
      </c>
      <c r="M874" s="9" t="inlineStr">
        <is>
          <t>14</t>
        </is>
      </c>
      <c r="N874" s="9" t="n">
        <v>1</v>
      </c>
      <c r="O874" s="9" t="n">
        <v>1</v>
      </c>
      <c r="P874" s="9" t="n"/>
      <c r="Q874" s="9" t="n"/>
      <c r="R874" s="9" t="n"/>
      <c r="S874" s="9" t="inlineStr">
        <is>
          <t>Tray</t>
        </is>
      </c>
      <c r="T874" s="10" t="n">
        <v>527</v>
      </c>
      <c r="U874" s="10" t="n">
        <v>72</v>
      </c>
      <c r="V874" s="10">
        <f>ROUNDUP((T874+U874+2*'Read Me'!$B$13)*(1+'Read Me'!$B$12),-1)</f>
        <v/>
      </c>
      <c r="W874" s="10">
        <f>V874*N874*O874</f>
        <v/>
      </c>
      <c r="X874" s="9">
        <f>IF(LEFT(I874,2)="MV",2*N874*IF(L874="1/C",O874,1),0)</f>
        <v/>
      </c>
      <c r="Y874" s="9">
        <f>IF(OR(LEFT(K874,4)="LVAX",LEFT(K874,6)="MV15AX",LEFT(K874,4)="CTAX",LEFT(K874,2)="W|"),2*N874*O874,0)</f>
        <v/>
      </c>
      <c r="Z874" s="9" t="inlineStr"/>
    </row>
    <row r="875">
      <c r="A875" s="9" t="inlineStr">
        <is>
          <t>B-C-0008</t>
        </is>
      </c>
      <c r="B875" s="9" t="inlineStr">
        <is>
          <t>B</t>
        </is>
      </c>
      <c r="C875" s="9" t="inlineStr">
        <is>
          <t>ACC</t>
        </is>
      </c>
      <c r="D875" s="9" t="inlineStr">
        <is>
          <t>ACC fan F08 vibration / RTD / local station</t>
        </is>
      </c>
      <c r="E875" s="9" t="inlineStr">
        <is>
          <t>R4</t>
        </is>
      </c>
      <c r="F875" s="9" t="inlineStr">
        <is>
          <t>R4: ACC electrical (VFD) e-house (60 x 120 ft)</t>
        </is>
      </c>
      <c r="G875" s="9" t="inlineStr">
        <is>
          <t>ACC-F08</t>
        </is>
      </c>
      <c r="H875" s="9" t="inlineStr">
        <is>
          <t>ACC fan motor F08</t>
        </is>
      </c>
      <c r="I875" s="9" t="inlineStr">
        <is>
          <t>Control</t>
        </is>
      </c>
      <c r="J875" s="9" t="inlineStr">
        <is>
          <t>Control cable 600 V Type TC-ER, Cu #14 AWG, PVC jacket</t>
        </is>
      </c>
      <c r="K875" s="9" t="inlineStr">
        <is>
          <t>CT|7/C|14</t>
        </is>
      </c>
      <c r="L875" s="9" t="inlineStr">
        <is>
          <t>7/C</t>
        </is>
      </c>
      <c r="M875" s="9" t="inlineStr">
        <is>
          <t>14</t>
        </is>
      </c>
      <c r="N875" s="9" t="n">
        <v>1</v>
      </c>
      <c r="O875" s="9" t="n">
        <v>1</v>
      </c>
      <c r="P875" s="9" t="n"/>
      <c r="Q875" s="9" t="n"/>
      <c r="R875" s="9" t="n"/>
      <c r="S875" s="9" t="inlineStr">
        <is>
          <t>Tray</t>
        </is>
      </c>
      <c r="T875" s="10" t="n">
        <v>559</v>
      </c>
      <c r="U875" s="10" t="n">
        <v>72</v>
      </c>
      <c r="V875" s="10">
        <f>ROUNDUP((T875+U875+2*'Read Me'!$B$13)*(1+'Read Me'!$B$12),-1)</f>
        <v/>
      </c>
      <c r="W875" s="10">
        <f>V875*N875*O875</f>
        <v/>
      </c>
      <c r="X875" s="9">
        <f>IF(LEFT(I875,2)="MV",2*N875*IF(L875="1/C",O875,1),0)</f>
        <v/>
      </c>
      <c r="Y875" s="9">
        <f>IF(OR(LEFT(K875,4)="LVAX",LEFT(K875,6)="MV15AX",LEFT(K875,4)="CTAX",LEFT(K875,2)="W|"),2*N875*O875,0)</f>
        <v/>
      </c>
      <c r="Z875" s="9" t="inlineStr"/>
    </row>
    <row r="876">
      <c r="A876" s="9" t="inlineStr">
        <is>
          <t>B-C-0009</t>
        </is>
      </c>
      <c r="B876" s="9" t="inlineStr">
        <is>
          <t>B</t>
        </is>
      </c>
      <c r="C876" s="9" t="inlineStr">
        <is>
          <t>ACC</t>
        </is>
      </c>
      <c r="D876" s="9" t="inlineStr">
        <is>
          <t>ACC fan F09 vibration / RTD / local station</t>
        </is>
      </c>
      <c r="E876" s="9" t="inlineStr">
        <is>
          <t>R4</t>
        </is>
      </c>
      <c r="F876" s="9" t="inlineStr">
        <is>
          <t>R4: ACC electrical (VFD) e-house (60 x 120 ft)</t>
        </is>
      </c>
      <c r="G876" s="9" t="inlineStr">
        <is>
          <t>ACC-F09</t>
        </is>
      </c>
      <c r="H876" s="9" t="inlineStr">
        <is>
          <t>ACC fan motor F09</t>
        </is>
      </c>
      <c r="I876" s="9" t="inlineStr">
        <is>
          <t>Control</t>
        </is>
      </c>
      <c r="J876" s="9" t="inlineStr">
        <is>
          <t>Control cable 600 V Type TC-ER, Cu #14 AWG, PVC jacket</t>
        </is>
      </c>
      <c r="K876" s="9" t="inlineStr">
        <is>
          <t>CT|7/C|14</t>
        </is>
      </c>
      <c r="L876" s="9" t="inlineStr">
        <is>
          <t>7/C</t>
        </is>
      </c>
      <c r="M876" s="9" t="inlineStr">
        <is>
          <t>14</t>
        </is>
      </c>
      <c r="N876" s="9" t="n">
        <v>1</v>
      </c>
      <c r="O876" s="9" t="n">
        <v>1</v>
      </c>
      <c r="P876" s="9" t="n"/>
      <c r="Q876" s="9" t="n"/>
      <c r="R876" s="9" t="n"/>
      <c r="S876" s="9" t="inlineStr">
        <is>
          <t>Tray</t>
        </is>
      </c>
      <c r="T876" s="10" t="n">
        <v>591</v>
      </c>
      <c r="U876" s="10" t="n">
        <v>72</v>
      </c>
      <c r="V876" s="10">
        <f>ROUNDUP((T876+U876+2*'Read Me'!$B$13)*(1+'Read Me'!$B$12),-1)</f>
        <v/>
      </c>
      <c r="W876" s="10">
        <f>V876*N876*O876</f>
        <v/>
      </c>
      <c r="X876" s="9">
        <f>IF(LEFT(I876,2)="MV",2*N876*IF(L876="1/C",O876,1),0)</f>
        <v/>
      </c>
      <c r="Y876" s="9">
        <f>IF(OR(LEFT(K876,4)="LVAX",LEFT(K876,6)="MV15AX",LEFT(K876,4)="CTAX",LEFT(K876,2)="W|"),2*N876*O876,0)</f>
        <v/>
      </c>
      <c r="Z876" s="9" t="inlineStr"/>
    </row>
    <row r="877">
      <c r="A877" s="9" t="inlineStr">
        <is>
          <t>B-C-0010</t>
        </is>
      </c>
      <c r="B877" s="9" t="inlineStr">
        <is>
          <t>B</t>
        </is>
      </c>
      <c r="C877" s="9" t="inlineStr">
        <is>
          <t>ACC</t>
        </is>
      </c>
      <c r="D877" s="9" t="inlineStr">
        <is>
          <t>ACC fan F10 vibration / RTD / local station</t>
        </is>
      </c>
      <c r="E877" s="9" t="inlineStr">
        <is>
          <t>R4</t>
        </is>
      </c>
      <c r="F877" s="9" t="inlineStr">
        <is>
          <t>R4: ACC electrical (VFD) e-house (60 x 120 ft)</t>
        </is>
      </c>
      <c r="G877" s="9" t="inlineStr">
        <is>
          <t>ACC-F10</t>
        </is>
      </c>
      <c r="H877" s="9" t="inlineStr">
        <is>
          <t>ACC fan motor F10</t>
        </is>
      </c>
      <c r="I877" s="9" t="inlineStr">
        <is>
          <t>Control</t>
        </is>
      </c>
      <c r="J877" s="9" t="inlineStr">
        <is>
          <t>Control cable 600 V Type TC-ER, Cu #14 AWG, PVC jacket</t>
        </is>
      </c>
      <c r="K877" s="9" t="inlineStr">
        <is>
          <t>CT|7/C|14</t>
        </is>
      </c>
      <c r="L877" s="9" t="inlineStr">
        <is>
          <t>7/C</t>
        </is>
      </c>
      <c r="M877" s="9" t="inlineStr">
        <is>
          <t>14</t>
        </is>
      </c>
      <c r="N877" s="9" t="n">
        <v>1</v>
      </c>
      <c r="O877" s="9" t="n">
        <v>1</v>
      </c>
      <c r="P877" s="9" t="n"/>
      <c r="Q877" s="9" t="n"/>
      <c r="R877" s="9" t="n"/>
      <c r="S877" s="9" t="inlineStr">
        <is>
          <t>Tray</t>
        </is>
      </c>
      <c r="T877" s="10" t="n">
        <v>623</v>
      </c>
      <c r="U877" s="10" t="n">
        <v>72</v>
      </c>
      <c r="V877" s="10">
        <f>ROUNDUP((T877+U877+2*'Read Me'!$B$13)*(1+'Read Me'!$B$12),-1)</f>
        <v/>
      </c>
      <c r="W877" s="10">
        <f>V877*N877*O877</f>
        <v/>
      </c>
      <c r="X877" s="9">
        <f>IF(LEFT(I877,2)="MV",2*N877*IF(L877="1/C",O877,1),0)</f>
        <v/>
      </c>
      <c r="Y877" s="9">
        <f>IF(OR(LEFT(K877,4)="LVAX",LEFT(K877,6)="MV15AX",LEFT(K877,4)="CTAX",LEFT(K877,2)="W|"),2*N877*O877,0)</f>
        <v/>
      </c>
      <c r="Z877" s="9" t="inlineStr"/>
    </row>
    <row r="878">
      <c r="A878" s="9" t="inlineStr">
        <is>
          <t>B-C-0011</t>
        </is>
      </c>
      <c r="B878" s="9" t="inlineStr">
        <is>
          <t>B</t>
        </is>
      </c>
      <c r="C878" s="9" t="inlineStr">
        <is>
          <t>ACC</t>
        </is>
      </c>
      <c r="D878" s="9" t="inlineStr">
        <is>
          <t>ACC fan F11 vibration / RTD / local station</t>
        </is>
      </c>
      <c r="E878" s="9" t="inlineStr">
        <is>
          <t>R4</t>
        </is>
      </c>
      <c r="F878" s="9" t="inlineStr">
        <is>
          <t>R4: ACC electrical (VFD) e-house (60 x 120 ft)</t>
        </is>
      </c>
      <c r="G878" s="9" t="inlineStr">
        <is>
          <t>ACC-F11</t>
        </is>
      </c>
      <c r="H878" s="9" t="inlineStr">
        <is>
          <t>ACC fan motor F11</t>
        </is>
      </c>
      <c r="I878" s="9" t="inlineStr">
        <is>
          <t>Control</t>
        </is>
      </c>
      <c r="J878" s="9" t="inlineStr">
        <is>
          <t>Control cable 600 V Type TC-ER, Cu #14 AWG, PVC jacket</t>
        </is>
      </c>
      <c r="K878" s="9" t="inlineStr">
        <is>
          <t>CT|7/C|14</t>
        </is>
      </c>
      <c r="L878" s="9" t="inlineStr">
        <is>
          <t>7/C</t>
        </is>
      </c>
      <c r="M878" s="9" t="inlineStr">
        <is>
          <t>14</t>
        </is>
      </c>
      <c r="N878" s="9" t="n">
        <v>1</v>
      </c>
      <c r="O878" s="9" t="n">
        <v>1</v>
      </c>
      <c r="P878" s="9" t="n"/>
      <c r="Q878" s="9" t="n"/>
      <c r="R878" s="9" t="n"/>
      <c r="S878" s="9" t="inlineStr">
        <is>
          <t>Tray</t>
        </is>
      </c>
      <c r="T878" s="10" t="n">
        <v>573</v>
      </c>
      <c r="U878" s="10" t="n">
        <v>72</v>
      </c>
      <c r="V878" s="10">
        <f>ROUNDUP((T878+U878+2*'Read Me'!$B$13)*(1+'Read Me'!$B$12),-1)</f>
        <v/>
      </c>
      <c r="W878" s="10">
        <f>V878*N878*O878</f>
        <v/>
      </c>
      <c r="X878" s="9">
        <f>IF(LEFT(I878,2)="MV",2*N878*IF(L878="1/C",O878,1),0)</f>
        <v/>
      </c>
      <c r="Y878" s="9">
        <f>IF(OR(LEFT(K878,4)="LVAX",LEFT(K878,6)="MV15AX",LEFT(K878,4)="CTAX",LEFT(K878,2)="W|"),2*N878*O878,0)</f>
        <v/>
      </c>
      <c r="Z878" s="9" t="inlineStr"/>
    </row>
    <row r="879">
      <c r="A879" s="9" t="inlineStr">
        <is>
          <t>B-C-0012</t>
        </is>
      </c>
      <c r="B879" s="9" t="inlineStr">
        <is>
          <t>B</t>
        </is>
      </c>
      <c r="C879" s="9" t="inlineStr">
        <is>
          <t>ACC</t>
        </is>
      </c>
      <c r="D879" s="9" t="inlineStr">
        <is>
          <t>ACC fan F12 vibration / RTD / local station</t>
        </is>
      </c>
      <c r="E879" s="9" t="inlineStr">
        <is>
          <t>R4</t>
        </is>
      </c>
      <c r="F879" s="9" t="inlineStr">
        <is>
          <t>R4: ACC electrical (VFD) e-house (60 x 120 ft)</t>
        </is>
      </c>
      <c r="G879" s="9" t="inlineStr">
        <is>
          <t>ACC-F12</t>
        </is>
      </c>
      <c r="H879" s="9" t="inlineStr">
        <is>
          <t>ACC fan motor F12</t>
        </is>
      </c>
      <c r="I879" s="9" t="inlineStr">
        <is>
          <t>Control</t>
        </is>
      </c>
      <c r="J879" s="9" t="inlineStr">
        <is>
          <t>Control cable 600 V Type TC-ER, Cu #14 AWG, PVC jacket</t>
        </is>
      </c>
      <c r="K879" s="9" t="inlineStr">
        <is>
          <t>CT|7/C|14</t>
        </is>
      </c>
      <c r="L879" s="9" t="inlineStr">
        <is>
          <t>7/C</t>
        </is>
      </c>
      <c r="M879" s="9" t="inlineStr">
        <is>
          <t>14</t>
        </is>
      </c>
      <c r="N879" s="9" t="n">
        <v>1</v>
      </c>
      <c r="O879" s="9" t="n">
        <v>1</v>
      </c>
      <c r="P879" s="9" t="n"/>
      <c r="Q879" s="9" t="n"/>
      <c r="R879" s="9" t="n"/>
      <c r="S879" s="9" t="inlineStr">
        <is>
          <t>Tray</t>
        </is>
      </c>
      <c r="T879" s="10" t="n">
        <v>541</v>
      </c>
      <c r="U879" s="10" t="n">
        <v>72</v>
      </c>
      <c r="V879" s="10">
        <f>ROUNDUP((T879+U879+2*'Read Me'!$B$13)*(1+'Read Me'!$B$12),-1)</f>
        <v/>
      </c>
      <c r="W879" s="10">
        <f>V879*N879*O879</f>
        <v/>
      </c>
      <c r="X879" s="9">
        <f>IF(LEFT(I879,2)="MV",2*N879*IF(L879="1/C",O879,1),0)</f>
        <v/>
      </c>
      <c r="Y879" s="9">
        <f>IF(OR(LEFT(K879,4)="LVAX",LEFT(K879,6)="MV15AX",LEFT(K879,4)="CTAX",LEFT(K879,2)="W|"),2*N879*O879,0)</f>
        <v/>
      </c>
      <c r="Z879" s="9" t="inlineStr"/>
    </row>
    <row r="880">
      <c r="A880" s="9" t="inlineStr">
        <is>
          <t>B-C-0013</t>
        </is>
      </c>
      <c r="B880" s="9" t="inlineStr">
        <is>
          <t>B</t>
        </is>
      </c>
      <c r="C880" s="9" t="inlineStr">
        <is>
          <t>ACC</t>
        </is>
      </c>
      <c r="D880" s="9" t="inlineStr">
        <is>
          <t>ACC fan F13 vibration / RTD / local station</t>
        </is>
      </c>
      <c r="E880" s="9" t="inlineStr">
        <is>
          <t>R4</t>
        </is>
      </c>
      <c r="F880" s="9" t="inlineStr">
        <is>
          <t>R4: ACC electrical (VFD) e-house (60 x 120 ft)</t>
        </is>
      </c>
      <c r="G880" s="9" t="inlineStr">
        <is>
          <t>ACC-F13</t>
        </is>
      </c>
      <c r="H880" s="9" t="inlineStr">
        <is>
          <t>ACC fan motor F13</t>
        </is>
      </c>
      <c r="I880" s="9" t="inlineStr">
        <is>
          <t>Control</t>
        </is>
      </c>
      <c r="J880" s="9" t="inlineStr">
        <is>
          <t>Control cable 600 V Type TC-ER, Cu #14 AWG, PVC jacket</t>
        </is>
      </c>
      <c r="K880" s="9" t="inlineStr">
        <is>
          <t>CT|7/C|14</t>
        </is>
      </c>
      <c r="L880" s="9" t="inlineStr">
        <is>
          <t>7/C</t>
        </is>
      </c>
      <c r="M880" s="9" t="inlineStr">
        <is>
          <t>14</t>
        </is>
      </c>
      <c r="N880" s="9" t="n">
        <v>1</v>
      </c>
      <c r="O880" s="9" t="n">
        <v>1</v>
      </c>
      <c r="P880" s="9" t="n"/>
      <c r="Q880" s="9" t="n"/>
      <c r="R880" s="9" t="n"/>
      <c r="S880" s="9" t="inlineStr">
        <is>
          <t>Tray</t>
        </is>
      </c>
      <c r="T880" s="10" t="n">
        <v>509</v>
      </c>
      <c r="U880" s="10" t="n">
        <v>72</v>
      </c>
      <c r="V880" s="10">
        <f>ROUNDUP((T880+U880+2*'Read Me'!$B$13)*(1+'Read Me'!$B$12),-1)</f>
        <v/>
      </c>
      <c r="W880" s="10">
        <f>V880*N880*O880</f>
        <v/>
      </c>
      <c r="X880" s="9">
        <f>IF(LEFT(I880,2)="MV",2*N880*IF(L880="1/C",O880,1),0)</f>
        <v/>
      </c>
      <c r="Y880" s="9">
        <f>IF(OR(LEFT(K880,4)="LVAX",LEFT(K880,6)="MV15AX",LEFT(K880,4)="CTAX",LEFT(K880,2)="W|"),2*N880*O880,0)</f>
        <v/>
      </c>
      <c r="Z880" s="9" t="inlineStr"/>
    </row>
    <row r="881">
      <c r="A881" s="9" t="inlineStr">
        <is>
          <t>B-C-0014</t>
        </is>
      </c>
      <c r="B881" s="9" t="inlineStr">
        <is>
          <t>B</t>
        </is>
      </c>
      <c r="C881" s="9" t="inlineStr">
        <is>
          <t>ACC</t>
        </is>
      </c>
      <c r="D881" s="9" t="inlineStr">
        <is>
          <t>ACC fan F14 vibration / RTD / local station</t>
        </is>
      </c>
      <c r="E881" s="9" t="inlineStr">
        <is>
          <t>R4</t>
        </is>
      </c>
      <c r="F881" s="9" t="inlineStr">
        <is>
          <t>R4: ACC electrical (VFD) e-house (60 x 120 ft)</t>
        </is>
      </c>
      <c r="G881" s="9" t="inlineStr">
        <is>
          <t>ACC-F14</t>
        </is>
      </c>
      <c r="H881" s="9" t="inlineStr">
        <is>
          <t>ACC fan motor F14</t>
        </is>
      </c>
      <c r="I881" s="9" t="inlineStr">
        <is>
          <t>Control</t>
        </is>
      </c>
      <c r="J881" s="9" t="inlineStr">
        <is>
          <t>Control cable 600 V Type TC-ER, Cu #14 AWG, PVC jacket</t>
        </is>
      </c>
      <c r="K881" s="9" t="inlineStr">
        <is>
          <t>CT|7/C|14</t>
        </is>
      </c>
      <c r="L881" s="9" t="inlineStr">
        <is>
          <t>7/C</t>
        </is>
      </c>
      <c r="M881" s="9" t="inlineStr">
        <is>
          <t>14</t>
        </is>
      </c>
      <c r="N881" s="9" t="n">
        <v>1</v>
      </c>
      <c r="O881" s="9" t="n">
        <v>1</v>
      </c>
      <c r="P881" s="9" t="n"/>
      <c r="Q881" s="9" t="n"/>
      <c r="R881" s="9" t="n"/>
      <c r="S881" s="9" t="inlineStr">
        <is>
          <t>Tray</t>
        </is>
      </c>
      <c r="T881" s="10" t="n">
        <v>477</v>
      </c>
      <c r="U881" s="10" t="n">
        <v>72</v>
      </c>
      <c r="V881" s="10">
        <f>ROUNDUP((T881+U881+2*'Read Me'!$B$13)*(1+'Read Me'!$B$12),-1)</f>
        <v/>
      </c>
      <c r="W881" s="10">
        <f>V881*N881*O881</f>
        <v/>
      </c>
      <c r="X881" s="9">
        <f>IF(LEFT(I881,2)="MV",2*N881*IF(L881="1/C",O881,1),0)</f>
        <v/>
      </c>
      <c r="Y881" s="9">
        <f>IF(OR(LEFT(K881,4)="LVAX",LEFT(K881,6)="MV15AX",LEFT(K881,4)="CTAX",LEFT(K881,2)="W|"),2*N881*O881,0)</f>
        <v/>
      </c>
      <c r="Z881" s="9" t="inlineStr"/>
    </row>
    <row r="882">
      <c r="A882" s="9" t="inlineStr">
        <is>
          <t>B-C-0015</t>
        </is>
      </c>
      <c r="B882" s="9" t="inlineStr">
        <is>
          <t>B</t>
        </is>
      </c>
      <c r="C882" s="9" t="inlineStr">
        <is>
          <t>ACC</t>
        </is>
      </c>
      <c r="D882" s="9" t="inlineStr">
        <is>
          <t>ACC fan F15 vibration / RTD / local station</t>
        </is>
      </c>
      <c r="E882" s="9" t="inlineStr">
        <is>
          <t>R4</t>
        </is>
      </c>
      <c r="F882" s="9" t="inlineStr">
        <is>
          <t>R4: ACC electrical (VFD) e-house (60 x 120 ft)</t>
        </is>
      </c>
      <c r="G882" s="9" t="inlineStr">
        <is>
          <t>ACC-F15</t>
        </is>
      </c>
      <c r="H882" s="9" t="inlineStr">
        <is>
          <t>ACC fan motor F15</t>
        </is>
      </c>
      <c r="I882" s="9" t="inlineStr">
        <is>
          <t>Control</t>
        </is>
      </c>
      <c r="J882" s="9" t="inlineStr">
        <is>
          <t>Control cable 600 V Type TC-ER, Cu #14 AWG, PVC jacket</t>
        </is>
      </c>
      <c r="K882" s="9" t="inlineStr">
        <is>
          <t>CT|7/C|14</t>
        </is>
      </c>
      <c r="L882" s="9" t="inlineStr">
        <is>
          <t>7/C</t>
        </is>
      </c>
      <c r="M882" s="9" t="inlineStr">
        <is>
          <t>14</t>
        </is>
      </c>
      <c r="N882" s="9" t="n">
        <v>1</v>
      </c>
      <c r="O882" s="9" t="n">
        <v>1</v>
      </c>
      <c r="P882" s="9" t="n"/>
      <c r="Q882" s="9" t="n"/>
      <c r="R882" s="9" t="n"/>
      <c r="S882" s="9" t="inlineStr">
        <is>
          <t>Tray</t>
        </is>
      </c>
      <c r="T882" s="10" t="n">
        <v>445</v>
      </c>
      <c r="U882" s="10" t="n">
        <v>72</v>
      </c>
      <c r="V882" s="10">
        <f>ROUNDUP((T882+U882+2*'Read Me'!$B$13)*(1+'Read Me'!$B$12),-1)</f>
        <v/>
      </c>
      <c r="W882" s="10">
        <f>V882*N882*O882</f>
        <v/>
      </c>
      <c r="X882" s="9">
        <f>IF(LEFT(I882,2)="MV",2*N882*IF(L882="1/C",O882,1),0)</f>
        <v/>
      </c>
      <c r="Y882" s="9">
        <f>IF(OR(LEFT(K882,4)="LVAX",LEFT(K882,6)="MV15AX",LEFT(K882,4)="CTAX",LEFT(K882,2)="W|"),2*N882*O882,0)</f>
        <v/>
      </c>
      <c r="Z882" s="9" t="inlineStr"/>
    </row>
    <row r="883">
      <c r="A883" s="9" t="inlineStr">
        <is>
          <t>B-C-0016</t>
        </is>
      </c>
      <c r="B883" s="9" t="inlineStr">
        <is>
          <t>B</t>
        </is>
      </c>
      <c r="C883" s="9" t="inlineStr">
        <is>
          <t>ACC</t>
        </is>
      </c>
      <c r="D883" s="9" t="inlineStr">
        <is>
          <t>ACC fan F16 vibration / RTD / local station</t>
        </is>
      </c>
      <c r="E883" s="9" t="inlineStr">
        <is>
          <t>R4</t>
        </is>
      </c>
      <c r="F883" s="9" t="inlineStr">
        <is>
          <t>R4: ACC electrical (VFD) e-house (60 x 120 ft)</t>
        </is>
      </c>
      <c r="G883" s="9" t="inlineStr">
        <is>
          <t>ACC-F16</t>
        </is>
      </c>
      <c r="H883" s="9" t="inlineStr">
        <is>
          <t>ACC fan motor F16</t>
        </is>
      </c>
      <c r="I883" s="9" t="inlineStr">
        <is>
          <t>Control</t>
        </is>
      </c>
      <c r="J883" s="9" t="inlineStr">
        <is>
          <t>Control cable 600 V Type TC-ER, Cu #14 AWG, PVC jacket</t>
        </is>
      </c>
      <c r="K883" s="9" t="inlineStr">
        <is>
          <t>CT|7/C|14</t>
        </is>
      </c>
      <c r="L883" s="9" t="inlineStr">
        <is>
          <t>7/C</t>
        </is>
      </c>
      <c r="M883" s="9" t="inlineStr">
        <is>
          <t>14</t>
        </is>
      </c>
      <c r="N883" s="9" t="n">
        <v>1</v>
      </c>
      <c r="O883" s="9" t="n">
        <v>1</v>
      </c>
      <c r="P883" s="9" t="n"/>
      <c r="Q883" s="9" t="n"/>
      <c r="R883" s="9" t="n"/>
      <c r="S883" s="9" t="inlineStr">
        <is>
          <t>Tray</t>
        </is>
      </c>
      <c r="T883" s="10" t="n">
        <v>445</v>
      </c>
      <c r="U883" s="10" t="n">
        <v>72</v>
      </c>
      <c r="V883" s="10">
        <f>ROUNDUP((T883+U883+2*'Read Me'!$B$13)*(1+'Read Me'!$B$12),-1)</f>
        <v/>
      </c>
      <c r="W883" s="10">
        <f>V883*N883*O883</f>
        <v/>
      </c>
      <c r="X883" s="9">
        <f>IF(LEFT(I883,2)="MV",2*N883*IF(L883="1/C",O883,1),0)</f>
        <v/>
      </c>
      <c r="Y883" s="9">
        <f>IF(OR(LEFT(K883,4)="LVAX",LEFT(K883,6)="MV15AX",LEFT(K883,4)="CTAX",LEFT(K883,2)="W|"),2*N883*O883,0)</f>
        <v/>
      </c>
      <c r="Z883" s="9" t="inlineStr"/>
    </row>
    <row r="884">
      <c r="A884" s="9" t="inlineStr">
        <is>
          <t>B-C-0017</t>
        </is>
      </c>
      <c r="B884" s="9" t="inlineStr">
        <is>
          <t>B</t>
        </is>
      </c>
      <c r="C884" s="9" t="inlineStr">
        <is>
          <t>ACC</t>
        </is>
      </c>
      <c r="D884" s="9" t="inlineStr">
        <is>
          <t>ACC fan F17 vibration / RTD / local station</t>
        </is>
      </c>
      <c r="E884" s="9" t="inlineStr">
        <is>
          <t>R4</t>
        </is>
      </c>
      <c r="F884" s="9" t="inlineStr">
        <is>
          <t>R4: ACC electrical (VFD) e-house (60 x 120 ft)</t>
        </is>
      </c>
      <c r="G884" s="9" t="inlineStr">
        <is>
          <t>ACC-F17</t>
        </is>
      </c>
      <c r="H884" s="9" t="inlineStr">
        <is>
          <t>ACC fan motor F17</t>
        </is>
      </c>
      <c r="I884" s="9" t="inlineStr">
        <is>
          <t>Control</t>
        </is>
      </c>
      <c r="J884" s="9" t="inlineStr">
        <is>
          <t>Control cable 600 V Type TC-ER, Cu #14 AWG, PVC jacket</t>
        </is>
      </c>
      <c r="K884" s="9" t="inlineStr">
        <is>
          <t>CT|7/C|14</t>
        </is>
      </c>
      <c r="L884" s="9" t="inlineStr">
        <is>
          <t>7/C</t>
        </is>
      </c>
      <c r="M884" s="9" t="inlineStr">
        <is>
          <t>14</t>
        </is>
      </c>
      <c r="N884" s="9" t="n">
        <v>1</v>
      </c>
      <c r="O884" s="9" t="n">
        <v>1</v>
      </c>
      <c r="P884" s="9" t="n"/>
      <c r="Q884" s="9" t="n"/>
      <c r="R884" s="9" t="n"/>
      <c r="S884" s="9" t="inlineStr">
        <is>
          <t>Tray</t>
        </is>
      </c>
      <c r="T884" s="10" t="n">
        <v>477</v>
      </c>
      <c r="U884" s="10" t="n">
        <v>72</v>
      </c>
      <c r="V884" s="10">
        <f>ROUNDUP((T884+U884+2*'Read Me'!$B$13)*(1+'Read Me'!$B$12),-1)</f>
        <v/>
      </c>
      <c r="W884" s="10">
        <f>V884*N884*O884</f>
        <v/>
      </c>
      <c r="X884" s="9">
        <f>IF(LEFT(I884,2)="MV",2*N884*IF(L884="1/C",O884,1),0)</f>
        <v/>
      </c>
      <c r="Y884" s="9">
        <f>IF(OR(LEFT(K884,4)="LVAX",LEFT(K884,6)="MV15AX",LEFT(K884,4)="CTAX",LEFT(K884,2)="W|"),2*N884*O884,0)</f>
        <v/>
      </c>
      <c r="Z884" s="9" t="inlineStr"/>
    </row>
    <row r="885">
      <c r="A885" s="9" t="inlineStr">
        <is>
          <t>B-C-0018</t>
        </is>
      </c>
      <c r="B885" s="9" t="inlineStr">
        <is>
          <t>B</t>
        </is>
      </c>
      <c r="C885" s="9" t="inlineStr">
        <is>
          <t>ACC</t>
        </is>
      </c>
      <c r="D885" s="9" t="inlineStr">
        <is>
          <t>ACC fan F18 vibration / RTD / local station</t>
        </is>
      </c>
      <c r="E885" s="9" t="inlineStr">
        <is>
          <t>R4</t>
        </is>
      </c>
      <c r="F885" s="9" t="inlineStr">
        <is>
          <t>R4: ACC electrical (VFD) e-house (60 x 120 ft)</t>
        </is>
      </c>
      <c r="G885" s="9" t="inlineStr">
        <is>
          <t>ACC-F18</t>
        </is>
      </c>
      <c r="H885" s="9" t="inlineStr">
        <is>
          <t>ACC fan motor F18</t>
        </is>
      </c>
      <c r="I885" s="9" t="inlineStr">
        <is>
          <t>Control</t>
        </is>
      </c>
      <c r="J885" s="9" t="inlineStr">
        <is>
          <t>Control cable 600 V Type TC-ER, Cu #14 AWG, PVC jacket</t>
        </is>
      </c>
      <c r="K885" s="9" t="inlineStr">
        <is>
          <t>CT|7/C|14</t>
        </is>
      </c>
      <c r="L885" s="9" t="inlineStr">
        <is>
          <t>7/C</t>
        </is>
      </c>
      <c r="M885" s="9" t="inlineStr">
        <is>
          <t>14</t>
        </is>
      </c>
      <c r="N885" s="9" t="n">
        <v>1</v>
      </c>
      <c r="O885" s="9" t="n">
        <v>1</v>
      </c>
      <c r="P885" s="9" t="n"/>
      <c r="Q885" s="9" t="n"/>
      <c r="R885" s="9" t="n"/>
      <c r="S885" s="9" t="inlineStr">
        <is>
          <t>Tray</t>
        </is>
      </c>
      <c r="T885" s="10" t="n">
        <v>509</v>
      </c>
      <c r="U885" s="10" t="n">
        <v>72</v>
      </c>
      <c r="V885" s="10">
        <f>ROUNDUP((T885+U885+2*'Read Me'!$B$13)*(1+'Read Me'!$B$12),-1)</f>
        <v/>
      </c>
      <c r="W885" s="10">
        <f>V885*N885*O885</f>
        <v/>
      </c>
      <c r="X885" s="9">
        <f>IF(LEFT(I885,2)="MV",2*N885*IF(L885="1/C",O885,1),0)</f>
        <v/>
      </c>
      <c r="Y885" s="9">
        <f>IF(OR(LEFT(K885,4)="LVAX",LEFT(K885,6)="MV15AX",LEFT(K885,4)="CTAX",LEFT(K885,2)="W|"),2*N885*O885,0)</f>
        <v/>
      </c>
      <c r="Z885" s="9" t="inlineStr"/>
    </row>
    <row r="886">
      <c r="A886" s="9" t="inlineStr">
        <is>
          <t>B-C-0019</t>
        </is>
      </c>
      <c r="B886" s="9" t="inlineStr">
        <is>
          <t>B</t>
        </is>
      </c>
      <c r="C886" s="9" t="inlineStr">
        <is>
          <t>ACC</t>
        </is>
      </c>
      <c r="D886" s="9" t="inlineStr">
        <is>
          <t>ACC fan F19 vibration / RTD / local station</t>
        </is>
      </c>
      <c r="E886" s="9" t="inlineStr">
        <is>
          <t>R4</t>
        </is>
      </c>
      <c r="F886" s="9" t="inlineStr">
        <is>
          <t>R4: ACC electrical (VFD) e-house (60 x 120 ft)</t>
        </is>
      </c>
      <c r="G886" s="9" t="inlineStr">
        <is>
          <t>ACC-F19</t>
        </is>
      </c>
      <c r="H886" s="9" t="inlineStr">
        <is>
          <t>ACC fan motor F19</t>
        </is>
      </c>
      <c r="I886" s="9" t="inlineStr">
        <is>
          <t>Control</t>
        </is>
      </c>
      <c r="J886" s="9" t="inlineStr">
        <is>
          <t>Control cable 600 V Type TC-ER, Cu #14 AWG, PVC jacket</t>
        </is>
      </c>
      <c r="K886" s="9" t="inlineStr">
        <is>
          <t>CT|7/C|14</t>
        </is>
      </c>
      <c r="L886" s="9" t="inlineStr">
        <is>
          <t>7/C</t>
        </is>
      </c>
      <c r="M886" s="9" t="inlineStr">
        <is>
          <t>14</t>
        </is>
      </c>
      <c r="N886" s="9" t="n">
        <v>1</v>
      </c>
      <c r="O886" s="9" t="n">
        <v>1</v>
      </c>
      <c r="P886" s="9" t="n"/>
      <c r="Q886" s="9" t="n"/>
      <c r="R886" s="9" t="n"/>
      <c r="S886" s="9" t="inlineStr">
        <is>
          <t>Tray</t>
        </is>
      </c>
      <c r="T886" s="10" t="n">
        <v>541</v>
      </c>
      <c r="U886" s="10" t="n">
        <v>72</v>
      </c>
      <c r="V886" s="10">
        <f>ROUNDUP((T886+U886+2*'Read Me'!$B$13)*(1+'Read Me'!$B$12),-1)</f>
        <v/>
      </c>
      <c r="W886" s="10">
        <f>V886*N886*O886</f>
        <v/>
      </c>
      <c r="X886" s="9">
        <f>IF(LEFT(I886,2)="MV",2*N886*IF(L886="1/C",O886,1),0)</f>
        <v/>
      </c>
      <c r="Y886" s="9">
        <f>IF(OR(LEFT(K886,4)="LVAX",LEFT(K886,6)="MV15AX",LEFT(K886,4)="CTAX",LEFT(K886,2)="W|"),2*N886*O886,0)</f>
        <v/>
      </c>
      <c r="Z886" s="9" t="inlineStr"/>
    </row>
    <row r="887">
      <c r="A887" s="9" t="inlineStr">
        <is>
          <t>B-C-0020</t>
        </is>
      </c>
      <c r="B887" s="9" t="inlineStr">
        <is>
          <t>B</t>
        </is>
      </c>
      <c r="C887" s="9" t="inlineStr">
        <is>
          <t>ACC</t>
        </is>
      </c>
      <c r="D887" s="9" t="inlineStr">
        <is>
          <t>ACC fan F20 vibration / RTD / local station</t>
        </is>
      </c>
      <c r="E887" s="9" t="inlineStr">
        <is>
          <t>R4</t>
        </is>
      </c>
      <c r="F887" s="9" t="inlineStr">
        <is>
          <t>R4: ACC electrical (VFD) e-house (60 x 120 ft)</t>
        </is>
      </c>
      <c r="G887" s="9" t="inlineStr">
        <is>
          <t>ACC-F20</t>
        </is>
      </c>
      <c r="H887" s="9" t="inlineStr">
        <is>
          <t>ACC fan motor F20</t>
        </is>
      </c>
      <c r="I887" s="9" t="inlineStr">
        <is>
          <t>Control</t>
        </is>
      </c>
      <c r="J887" s="9" t="inlineStr">
        <is>
          <t>Control cable 600 V Type TC-ER, Cu #14 AWG, PVC jacket</t>
        </is>
      </c>
      <c r="K887" s="9" t="inlineStr">
        <is>
          <t>CT|7/C|14</t>
        </is>
      </c>
      <c r="L887" s="9" t="inlineStr">
        <is>
          <t>7/C</t>
        </is>
      </c>
      <c r="M887" s="9" t="inlineStr">
        <is>
          <t>14</t>
        </is>
      </c>
      <c r="N887" s="9" t="n">
        <v>1</v>
      </c>
      <c r="O887" s="9" t="n">
        <v>1</v>
      </c>
      <c r="P887" s="9" t="n"/>
      <c r="Q887" s="9" t="n"/>
      <c r="R887" s="9" t="n"/>
      <c r="S887" s="9" t="inlineStr">
        <is>
          <t>Tray</t>
        </is>
      </c>
      <c r="T887" s="10" t="n">
        <v>573</v>
      </c>
      <c r="U887" s="10" t="n">
        <v>72</v>
      </c>
      <c r="V887" s="10">
        <f>ROUNDUP((T887+U887+2*'Read Me'!$B$13)*(1+'Read Me'!$B$12),-1)</f>
        <v/>
      </c>
      <c r="W887" s="10">
        <f>V887*N887*O887</f>
        <v/>
      </c>
      <c r="X887" s="9">
        <f>IF(LEFT(I887,2)="MV",2*N887*IF(L887="1/C",O887,1),0)</f>
        <v/>
      </c>
      <c r="Y887" s="9">
        <f>IF(OR(LEFT(K887,4)="LVAX",LEFT(K887,6)="MV15AX",LEFT(K887,4)="CTAX",LEFT(K887,2)="W|"),2*N887*O887,0)</f>
        <v/>
      </c>
      <c r="Z887" s="9" t="inlineStr"/>
    </row>
    <row r="888">
      <c r="A888" s="9" t="inlineStr">
        <is>
          <t>B-C-0021</t>
        </is>
      </c>
      <c r="B888" s="9" t="inlineStr">
        <is>
          <t>B</t>
        </is>
      </c>
      <c r="C888" s="9" t="inlineStr">
        <is>
          <t>ACC</t>
        </is>
      </c>
      <c r="D888" s="9" t="inlineStr">
        <is>
          <t>ACC fan F21 vibration / RTD / local station</t>
        </is>
      </c>
      <c r="E888" s="9" t="inlineStr">
        <is>
          <t>R4</t>
        </is>
      </c>
      <c r="F888" s="9" t="inlineStr">
        <is>
          <t>R4: ACC electrical (VFD) e-house (60 x 120 ft)</t>
        </is>
      </c>
      <c r="G888" s="9" t="inlineStr">
        <is>
          <t>ACC-F21</t>
        </is>
      </c>
      <c r="H888" s="9" t="inlineStr">
        <is>
          <t>ACC fan motor F21</t>
        </is>
      </c>
      <c r="I888" s="9" t="inlineStr">
        <is>
          <t>Control</t>
        </is>
      </c>
      <c r="J888" s="9" t="inlineStr">
        <is>
          <t>Control cable 600 V Type TC-ER, Cu #14 AWG, PVC jacket</t>
        </is>
      </c>
      <c r="K888" s="9" t="inlineStr">
        <is>
          <t>CT|7/C|14</t>
        </is>
      </c>
      <c r="L888" s="9" t="inlineStr">
        <is>
          <t>7/C</t>
        </is>
      </c>
      <c r="M888" s="9" t="inlineStr">
        <is>
          <t>14</t>
        </is>
      </c>
      <c r="N888" s="9" t="n">
        <v>1</v>
      </c>
      <c r="O888" s="9" t="n">
        <v>1</v>
      </c>
      <c r="P888" s="9" t="n"/>
      <c r="Q888" s="9" t="n"/>
      <c r="R888" s="9" t="n"/>
      <c r="S888" s="9" t="inlineStr">
        <is>
          <t>Tray</t>
        </is>
      </c>
      <c r="T888" s="10" t="n">
        <v>523</v>
      </c>
      <c r="U888" s="10" t="n">
        <v>72</v>
      </c>
      <c r="V888" s="10">
        <f>ROUNDUP((T888+U888+2*'Read Me'!$B$13)*(1+'Read Me'!$B$12),-1)</f>
        <v/>
      </c>
      <c r="W888" s="10">
        <f>V888*N888*O888</f>
        <v/>
      </c>
      <c r="X888" s="9">
        <f>IF(LEFT(I888,2)="MV",2*N888*IF(L888="1/C",O888,1),0)</f>
        <v/>
      </c>
      <c r="Y888" s="9">
        <f>IF(OR(LEFT(K888,4)="LVAX",LEFT(K888,6)="MV15AX",LEFT(K888,4)="CTAX",LEFT(K888,2)="W|"),2*N888*O888,0)</f>
        <v/>
      </c>
      <c r="Z888" s="9" t="inlineStr"/>
    </row>
    <row r="889">
      <c r="A889" s="9" t="inlineStr">
        <is>
          <t>B-C-0022</t>
        </is>
      </c>
      <c r="B889" s="9" t="inlineStr">
        <is>
          <t>B</t>
        </is>
      </c>
      <c r="C889" s="9" t="inlineStr">
        <is>
          <t>ACC</t>
        </is>
      </c>
      <c r="D889" s="9" t="inlineStr">
        <is>
          <t>ACC fan F22 vibration / RTD / local station</t>
        </is>
      </c>
      <c r="E889" s="9" t="inlineStr">
        <is>
          <t>R4</t>
        </is>
      </c>
      <c r="F889" s="9" t="inlineStr">
        <is>
          <t>R4: ACC electrical (VFD) e-house (60 x 120 ft)</t>
        </is>
      </c>
      <c r="G889" s="9" t="inlineStr">
        <is>
          <t>ACC-F22</t>
        </is>
      </c>
      <c r="H889" s="9" t="inlineStr">
        <is>
          <t>ACC fan motor F22</t>
        </is>
      </c>
      <c r="I889" s="9" t="inlineStr">
        <is>
          <t>Control</t>
        </is>
      </c>
      <c r="J889" s="9" t="inlineStr">
        <is>
          <t>Control cable 600 V Type TC-ER, Cu #14 AWG, PVC jacket</t>
        </is>
      </c>
      <c r="K889" s="9" t="inlineStr">
        <is>
          <t>CT|7/C|14</t>
        </is>
      </c>
      <c r="L889" s="9" t="inlineStr">
        <is>
          <t>7/C</t>
        </is>
      </c>
      <c r="M889" s="9" t="inlineStr">
        <is>
          <t>14</t>
        </is>
      </c>
      <c r="N889" s="9" t="n">
        <v>1</v>
      </c>
      <c r="O889" s="9" t="n">
        <v>1</v>
      </c>
      <c r="P889" s="9" t="n"/>
      <c r="Q889" s="9" t="n"/>
      <c r="R889" s="9" t="n"/>
      <c r="S889" s="9" t="inlineStr">
        <is>
          <t>Tray</t>
        </is>
      </c>
      <c r="T889" s="10" t="n">
        <v>491</v>
      </c>
      <c r="U889" s="10" t="n">
        <v>72</v>
      </c>
      <c r="V889" s="10">
        <f>ROUNDUP((T889+U889+2*'Read Me'!$B$13)*(1+'Read Me'!$B$12),-1)</f>
        <v/>
      </c>
      <c r="W889" s="10">
        <f>V889*N889*O889</f>
        <v/>
      </c>
      <c r="X889" s="9">
        <f>IF(LEFT(I889,2)="MV",2*N889*IF(L889="1/C",O889,1),0)</f>
        <v/>
      </c>
      <c r="Y889" s="9">
        <f>IF(OR(LEFT(K889,4)="LVAX",LEFT(K889,6)="MV15AX",LEFT(K889,4)="CTAX",LEFT(K889,2)="W|"),2*N889*O889,0)</f>
        <v/>
      </c>
      <c r="Z889" s="9" t="inlineStr"/>
    </row>
    <row r="890">
      <c r="A890" s="9" t="inlineStr">
        <is>
          <t>B-C-0023</t>
        </is>
      </c>
      <c r="B890" s="9" t="inlineStr">
        <is>
          <t>B</t>
        </is>
      </c>
      <c r="C890" s="9" t="inlineStr">
        <is>
          <t>ACC</t>
        </is>
      </c>
      <c r="D890" s="9" t="inlineStr">
        <is>
          <t>ACC fan F23 vibration / RTD / local station</t>
        </is>
      </c>
      <c r="E890" s="9" t="inlineStr">
        <is>
          <t>R4</t>
        </is>
      </c>
      <c r="F890" s="9" t="inlineStr">
        <is>
          <t>R4: ACC electrical (VFD) e-house (60 x 120 ft)</t>
        </is>
      </c>
      <c r="G890" s="9" t="inlineStr">
        <is>
          <t>ACC-F23</t>
        </is>
      </c>
      <c r="H890" s="9" t="inlineStr">
        <is>
          <t>ACC fan motor F23</t>
        </is>
      </c>
      <c r="I890" s="9" t="inlineStr">
        <is>
          <t>Control</t>
        </is>
      </c>
      <c r="J890" s="9" t="inlineStr">
        <is>
          <t>Control cable 600 V Type TC-ER, Cu #14 AWG, PVC jacket</t>
        </is>
      </c>
      <c r="K890" s="9" t="inlineStr">
        <is>
          <t>CT|7/C|14</t>
        </is>
      </c>
      <c r="L890" s="9" t="inlineStr">
        <is>
          <t>7/C</t>
        </is>
      </c>
      <c r="M890" s="9" t="inlineStr">
        <is>
          <t>14</t>
        </is>
      </c>
      <c r="N890" s="9" t="n">
        <v>1</v>
      </c>
      <c r="O890" s="9" t="n">
        <v>1</v>
      </c>
      <c r="P890" s="9" t="n"/>
      <c r="Q890" s="9" t="n"/>
      <c r="R890" s="9" t="n"/>
      <c r="S890" s="9" t="inlineStr">
        <is>
          <t>Tray</t>
        </is>
      </c>
      <c r="T890" s="10" t="n">
        <v>459</v>
      </c>
      <c r="U890" s="10" t="n">
        <v>72</v>
      </c>
      <c r="V890" s="10">
        <f>ROUNDUP((T890+U890+2*'Read Me'!$B$13)*(1+'Read Me'!$B$12),-1)</f>
        <v/>
      </c>
      <c r="W890" s="10">
        <f>V890*N890*O890</f>
        <v/>
      </c>
      <c r="X890" s="9">
        <f>IF(LEFT(I890,2)="MV",2*N890*IF(L890="1/C",O890,1),0)</f>
        <v/>
      </c>
      <c r="Y890" s="9">
        <f>IF(OR(LEFT(K890,4)="LVAX",LEFT(K890,6)="MV15AX",LEFT(K890,4)="CTAX",LEFT(K890,2)="W|"),2*N890*O890,0)</f>
        <v/>
      </c>
      <c r="Z890" s="9" t="inlineStr"/>
    </row>
    <row r="891">
      <c r="A891" s="9" t="inlineStr">
        <is>
          <t>B-C-0024</t>
        </is>
      </c>
      <c r="B891" s="9" t="inlineStr">
        <is>
          <t>B</t>
        </is>
      </c>
      <c r="C891" s="9" t="inlineStr">
        <is>
          <t>ACC</t>
        </is>
      </c>
      <c r="D891" s="9" t="inlineStr">
        <is>
          <t>ACC fan F24 vibration / RTD / local station</t>
        </is>
      </c>
      <c r="E891" s="9" t="inlineStr">
        <is>
          <t>R4</t>
        </is>
      </c>
      <c r="F891" s="9" t="inlineStr">
        <is>
          <t>R4: ACC electrical (VFD) e-house (60 x 120 ft)</t>
        </is>
      </c>
      <c r="G891" s="9" t="inlineStr">
        <is>
          <t>ACC-F24</t>
        </is>
      </c>
      <c r="H891" s="9" t="inlineStr">
        <is>
          <t>ACC fan motor F24</t>
        </is>
      </c>
      <c r="I891" s="9" t="inlineStr">
        <is>
          <t>Control</t>
        </is>
      </c>
      <c r="J891" s="9" t="inlineStr">
        <is>
          <t>Control cable 600 V Type TC-ER, Cu #14 AWG, PVC jacket</t>
        </is>
      </c>
      <c r="K891" s="9" t="inlineStr">
        <is>
          <t>CT|7/C|14</t>
        </is>
      </c>
      <c r="L891" s="9" t="inlineStr">
        <is>
          <t>7/C</t>
        </is>
      </c>
      <c r="M891" s="9" t="inlineStr">
        <is>
          <t>14</t>
        </is>
      </c>
      <c r="N891" s="9" t="n">
        <v>1</v>
      </c>
      <c r="O891" s="9" t="n">
        <v>1</v>
      </c>
      <c r="P891" s="9" t="n"/>
      <c r="Q891" s="9" t="n"/>
      <c r="R891" s="9" t="n"/>
      <c r="S891" s="9" t="inlineStr">
        <is>
          <t>Tray</t>
        </is>
      </c>
      <c r="T891" s="10" t="n">
        <v>427</v>
      </c>
      <c r="U891" s="10" t="n">
        <v>72</v>
      </c>
      <c r="V891" s="10">
        <f>ROUNDUP((T891+U891+2*'Read Me'!$B$13)*(1+'Read Me'!$B$12),-1)</f>
        <v/>
      </c>
      <c r="W891" s="10">
        <f>V891*N891*O891</f>
        <v/>
      </c>
      <c r="X891" s="9">
        <f>IF(LEFT(I891,2)="MV",2*N891*IF(L891="1/C",O891,1),0)</f>
        <v/>
      </c>
      <c r="Y891" s="9">
        <f>IF(OR(LEFT(K891,4)="LVAX",LEFT(K891,6)="MV15AX",LEFT(K891,4)="CTAX",LEFT(K891,2)="W|"),2*N891*O891,0)</f>
        <v/>
      </c>
      <c r="Z891" s="9" t="inlineStr"/>
    </row>
    <row r="892">
      <c r="A892" s="9" t="inlineStr">
        <is>
          <t>B-C-0025</t>
        </is>
      </c>
      <c r="B892" s="9" t="inlineStr">
        <is>
          <t>B</t>
        </is>
      </c>
      <c r="C892" s="9" t="inlineStr">
        <is>
          <t>ACC</t>
        </is>
      </c>
      <c r="D892" s="9" t="inlineStr">
        <is>
          <t>ACC fan F25 vibration / RTD / local station</t>
        </is>
      </c>
      <c r="E892" s="9" t="inlineStr">
        <is>
          <t>R4</t>
        </is>
      </c>
      <c r="F892" s="9" t="inlineStr">
        <is>
          <t>R4: ACC electrical (VFD) e-house (60 x 120 ft)</t>
        </is>
      </c>
      <c r="G892" s="9" t="inlineStr">
        <is>
          <t>ACC-F25</t>
        </is>
      </c>
      <c r="H892" s="9" t="inlineStr">
        <is>
          <t>ACC fan motor F25</t>
        </is>
      </c>
      <c r="I892" s="9" t="inlineStr">
        <is>
          <t>Control</t>
        </is>
      </c>
      <c r="J892" s="9" t="inlineStr">
        <is>
          <t>Control cable 600 V Type TC-ER, Cu #14 AWG, PVC jacket</t>
        </is>
      </c>
      <c r="K892" s="9" t="inlineStr">
        <is>
          <t>CT|7/C|14</t>
        </is>
      </c>
      <c r="L892" s="9" t="inlineStr">
        <is>
          <t>7/C</t>
        </is>
      </c>
      <c r="M892" s="9" t="inlineStr">
        <is>
          <t>14</t>
        </is>
      </c>
      <c r="N892" s="9" t="n">
        <v>1</v>
      </c>
      <c r="O892" s="9" t="n">
        <v>1</v>
      </c>
      <c r="P892" s="9" t="n"/>
      <c r="Q892" s="9" t="n"/>
      <c r="R892" s="9" t="n"/>
      <c r="S892" s="9" t="inlineStr">
        <is>
          <t>Tray</t>
        </is>
      </c>
      <c r="T892" s="10" t="n">
        <v>395</v>
      </c>
      <c r="U892" s="10" t="n">
        <v>72</v>
      </c>
      <c r="V892" s="10">
        <f>ROUNDUP((T892+U892+2*'Read Me'!$B$13)*(1+'Read Me'!$B$12),-1)</f>
        <v/>
      </c>
      <c r="W892" s="10">
        <f>V892*N892*O892</f>
        <v/>
      </c>
      <c r="X892" s="9">
        <f>IF(LEFT(I892,2)="MV",2*N892*IF(L892="1/C",O892,1),0)</f>
        <v/>
      </c>
      <c r="Y892" s="9">
        <f>IF(OR(LEFT(K892,4)="LVAX",LEFT(K892,6)="MV15AX",LEFT(K892,4)="CTAX",LEFT(K892,2)="W|"),2*N892*O892,0)</f>
        <v/>
      </c>
      <c r="Z892" s="9" t="inlineStr"/>
    </row>
    <row r="893">
      <c r="A893" s="9" t="inlineStr">
        <is>
          <t>B-C-0026</t>
        </is>
      </c>
      <c r="B893" s="9" t="inlineStr">
        <is>
          <t>B</t>
        </is>
      </c>
      <c r="C893" s="9" t="inlineStr">
        <is>
          <t>ACC</t>
        </is>
      </c>
      <c r="D893" s="9" t="inlineStr">
        <is>
          <t>ACC fan F26 vibration / RTD / local station</t>
        </is>
      </c>
      <c r="E893" s="9" t="inlineStr">
        <is>
          <t>R4</t>
        </is>
      </c>
      <c r="F893" s="9" t="inlineStr">
        <is>
          <t>R4: ACC electrical (VFD) e-house (60 x 120 ft)</t>
        </is>
      </c>
      <c r="G893" s="9" t="inlineStr">
        <is>
          <t>ACC-F26</t>
        </is>
      </c>
      <c r="H893" s="9" t="inlineStr">
        <is>
          <t>ACC fan motor F26</t>
        </is>
      </c>
      <c r="I893" s="9" t="inlineStr">
        <is>
          <t>Control</t>
        </is>
      </c>
      <c r="J893" s="9" t="inlineStr">
        <is>
          <t>Control cable 600 V Type TC-ER, Cu #14 AWG, PVC jacket</t>
        </is>
      </c>
      <c r="K893" s="9" t="inlineStr">
        <is>
          <t>CT|7/C|14</t>
        </is>
      </c>
      <c r="L893" s="9" t="inlineStr">
        <is>
          <t>7/C</t>
        </is>
      </c>
      <c r="M893" s="9" t="inlineStr">
        <is>
          <t>14</t>
        </is>
      </c>
      <c r="N893" s="9" t="n">
        <v>1</v>
      </c>
      <c r="O893" s="9" t="n">
        <v>1</v>
      </c>
      <c r="P893" s="9" t="n"/>
      <c r="Q893" s="9" t="n"/>
      <c r="R893" s="9" t="n"/>
      <c r="S893" s="9" t="inlineStr">
        <is>
          <t>Tray</t>
        </is>
      </c>
      <c r="T893" s="10" t="n">
        <v>395</v>
      </c>
      <c r="U893" s="10" t="n">
        <v>72</v>
      </c>
      <c r="V893" s="10">
        <f>ROUNDUP((T893+U893+2*'Read Me'!$B$13)*(1+'Read Me'!$B$12),-1)</f>
        <v/>
      </c>
      <c r="W893" s="10">
        <f>V893*N893*O893</f>
        <v/>
      </c>
      <c r="X893" s="9">
        <f>IF(LEFT(I893,2)="MV",2*N893*IF(L893="1/C",O893,1),0)</f>
        <v/>
      </c>
      <c r="Y893" s="9">
        <f>IF(OR(LEFT(K893,4)="LVAX",LEFT(K893,6)="MV15AX",LEFT(K893,4)="CTAX",LEFT(K893,2)="W|"),2*N893*O893,0)</f>
        <v/>
      </c>
      <c r="Z893" s="9" t="inlineStr"/>
    </row>
    <row r="894">
      <c r="A894" s="9" t="inlineStr">
        <is>
          <t>B-C-0027</t>
        </is>
      </c>
      <c r="B894" s="9" t="inlineStr">
        <is>
          <t>B</t>
        </is>
      </c>
      <c r="C894" s="9" t="inlineStr">
        <is>
          <t>ACC</t>
        </is>
      </c>
      <c r="D894" s="9" t="inlineStr">
        <is>
          <t>ACC fan F27 vibration / RTD / local station</t>
        </is>
      </c>
      <c r="E894" s="9" t="inlineStr">
        <is>
          <t>R4</t>
        </is>
      </c>
      <c r="F894" s="9" t="inlineStr">
        <is>
          <t>R4: ACC electrical (VFD) e-house (60 x 120 ft)</t>
        </is>
      </c>
      <c r="G894" s="9" t="inlineStr">
        <is>
          <t>ACC-F27</t>
        </is>
      </c>
      <c r="H894" s="9" t="inlineStr">
        <is>
          <t>ACC fan motor F27</t>
        </is>
      </c>
      <c r="I894" s="9" t="inlineStr">
        <is>
          <t>Control</t>
        </is>
      </c>
      <c r="J894" s="9" t="inlineStr">
        <is>
          <t>Control cable 600 V Type TC-ER, Cu #14 AWG, PVC jacket</t>
        </is>
      </c>
      <c r="K894" s="9" t="inlineStr">
        <is>
          <t>CT|7/C|14</t>
        </is>
      </c>
      <c r="L894" s="9" t="inlineStr">
        <is>
          <t>7/C</t>
        </is>
      </c>
      <c r="M894" s="9" t="inlineStr">
        <is>
          <t>14</t>
        </is>
      </c>
      <c r="N894" s="9" t="n">
        <v>1</v>
      </c>
      <c r="O894" s="9" t="n">
        <v>1</v>
      </c>
      <c r="P894" s="9" t="n"/>
      <c r="Q894" s="9" t="n"/>
      <c r="R894" s="9" t="n"/>
      <c r="S894" s="9" t="inlineStr">
        <is>
          <t>Tray</t>
        </is>
      </c>
      <c r="T894" s="10" t="n">
        <v>427</v>
      </c>
      <c r="U894" s="10" t="n">
        <v>72</v>
      </c>
      <c r="V894" s="10">
        <f>ROUNDUP((T894+U894+2*'Read Me'!$B$13)*(1+'Read Me'!$B$12),-1)</f>
        <v/>
      </c>
      <c r="W894" s="10">
        <f>V894*N894*O894</f>
        <v/>
      </c>
      <c r="X894" s="9">
        <f>IF(LEFT(I894,2)="MV",2*N894*IF(L894="1/C",O894,1),0)</f>
        <v/>
      </c>
      <c r="Y894" s="9">
        <f>IF(OR(LEFT(K894,4)="LVAX",LEFT(K894,6)="MV15AX",LEFT(K894,4)="CTAX",LEFT(K894,2)="W|"),2*N894*O894,0)</f>
        <v/>
      </c>
      <c r="Z894" s="9" t="inlineStr"/>
    </row>
    <row r="895">
      <c r="A895" s="9" t="inlineStr">
        <is>
          <t>B-C-0028</t>
        </is>
      </c>
      <c r="B895" s="9" t="inlineStr">
        <is>
          <t>B</t>
        </is>
      </c>
      <c r="C895" s="9" t="inlineStr">
        <is>
          <t>ACC</t>
        </is>
      </c>
      <c r="D895" s="9" t="inlineStr">
        <is>
          <t>ACC fan F28 vibration / RTD / local station</t>
        </is>
      </c>
      <c r="E895" s="9" t="inlineStr">
        <is>
          <t>R4</t>
        </is>
      </c>
      <c r="F895" s="9" t="inlineStr">
        <is>
          <t>R4: ACC electrical (VFD) e-house (60 x 120 ft)</t>
        </is>
      </c>
      <c r="G895" s="9" t="inlineStr">
        <is>
          <t>ACC-F28</t>
        </is>
      </c>
      <c r="H895" s="9" t="inlineStr">
        <is>
          <t>ACC fan motor F28</t>
        </is>
      </c>
      <c r="I895" s="9" t="inlineStr">
        <is>
          <t>Control</t>
        </is>
      </c>
      <c r="J895" s="9" t="inlineStr">
        <is>
          <t>Control cable 600 V Type TC-ER, Cu #14 AWG, PVC jacket</t>
        </is>
      </c>
      <c r="K895" s="9" t="inlineStr">
        <is>
          <t>CT|7/C|14</t>
        </is>
      </c>
      <c r="L895" s="9" t="inlineStr">
        <is>
          <t>7/C</t>
        </is>
      </c>
      <c r="M895" s="9" t="inlineStr">
        <is>
          <t>14</t>
        </is>
      </c>
      <c r="N895" s="9" t="n">
        <v>1</v>
      </c>
      <c r="O895" s="9" t="n">
        <v>1</v>
      </c>
      <c r="P895" s="9" t="n"/>
      <c r="Q895" s="9" t="n"/>
      <c r="R895" s="9" t="n"/>
      <c r="S895" s="9" t="inlineStr">
        <is>
          <t>Tray</t>
        </is>
      </c>
      <c r="T895" s="10" t="n">
        <v>459</v>
      </c>
      <c r="U895" s="10" t="n">
        <v>72</v>
      </c>
      <c r="V895" s="10">
        <f>ROUNDUP((T895+U895+2*'Read Me'!$B$13)*(1+'Read Me'!$B$12),-1)</f>
        <v/>
      </c>
      <c r="W895" s="10">
        <f>V895*N895*O895</f>
        <v/>
      </c>
      <c r="X895" s="9">
        <f>IF(LEFT(I895,2)="MV",2*N895*IF(L895="1/C",O895,1),0)</f>
        <v/>
      </c>
      <c r="Y895" s="9">
        <f>IF(OR(LEFT(K895,4)="LVAX",LEFT(K895,6)="MV15AX",LEFT(K895,4)="CTAX",LEFT(K895,2)="W|"),2*N895*O895,0)</f>
        <v/>
      </c>
      <c r="Z895" s="9" t="inlineStr"/>
    </row>
    <row r="896">
      <c r="A896" s="9" t="inlineStr">
        <is>
          <t>B-C-0029</t>
        </is>
      </c>
      <c r="B896" s="9" t="inlineStr">
        <is>
          <t>B</t>
        </is>
      </c>
      <c r="C896" s="9" t="inlineStr">
        <is>
          <t>ACC</t>
        </is>
      </c>
      <c r="D896" s="9" t="inlineStr">
        <is>
          <t>ACC fan F29 vibration / RTD / local station</t>
        </is>
      </c>
      <c r="E896" s="9" t="inlineStr">
        <is>
          <t>R4</t>
        </is>
      </c>
      <c r="F896" s="9" t="inlineStr">
        <is>
          <t>R4: ACC electrical (VFD) e-house (60 x 120 ft)</t>
        </is>
      </c>
      <c r="G896" s="9" t="inlineStr">
        <is>
          <t>ACC-F29</t>
        </is>
      </c>
      <c r="H896" s="9" t="inlineStr">
        <is>
          <t>ACC fan motor F29</t>
        </is>
      </c>
      <c r="I896" s="9" t="inlineStr">
        <is>
          <t>Control</t>
        </is>
      </c>
      <c r="J896" s="9" t="inlineStr">
        <is>
          <t>Control cable 600 V Type TC-ER, Cu #14 AWG, PVC jacket</t>
        </is>
      </c>
      <c r="K896" s="9" t="inlineStr">
        <is>
          <t>CT|7/C|14</t>
        </is>
      </c>
      <c r="L896" s="9" t="inlineStr">
        <is>
          <t>7/C</t>
        </is>
      </c>
      <c r="M896" s="9" t="inlineStr">
        <is>
          <t>14</t>
        </is>
      </c>
      <c r="N896" s="9" t="n">
        <v>1</v>
      </c>
      <c r="O896" s="9" t="n">
        <v>1</v>
      </c>
      <c r="P896" s="9" t="n"/>
      <c r="Q896" s="9" t="n"/>
      <c r="R896" s="9" t="n"/>
      <c r="S896" s="9" t="inlineStr">
        <is>
          <t>Tray</t>
        </is>
      </c>
      <c r="T896" s="10" t="n">
        <v>491</v>
      </c>
      <c r="U896" s="10" t="n">
        <v>72</v>
      </c>
      <c r="V896" s="10">
        <f>ROUNDUP((T896+U896+2*'Read Me'!$B$13)*(1+'Read Me'!$B$12),-1)</f>
        <v/>
      </c>
      <c r="W896" s="10">
        <f>V896*N896*O896</f>
        <v/>
      </c>
      <c r="X896" s="9">
        <f>IF(LEFT(I896,2)="MV",2*N896*IF(L896="1/C",O896,1),0)</f>
        <v/>
      </c>
      <c r="Y896" s="9">
        <f>IF(OR(LEFT(K896,4)="LVAX",LEFT(K896,6)="MV15AX",LEFT(K896,4)="CTAX",LEFT(K896,2)="W|"),2*N896*O896,0)</f>
        <v/>
      </c>
      <c r="Z896" s="9" t="inlineStr"/>
    </row>
    <row r="897">
      <c r="A897" s="9" t="inlineStr">
        <is>
          <t>B-C-0030</t>
        </is>
      </c>
      <c r="B897" s="9" t="inlineStr">
        <is>
          <t>B</t>
        </is>
      </c>
      <c r="C897" s="9" t="inlineStr">
        <is>
          <t>ACC</t>
        </is>
      </c>
      <c r="D897" s="9" t="inlineStr">
        <is>
          <t>ACC fan F30 vibration / RTD / local station</t>
        </is>
      </c>
      <c r="E897" s="9" t="inlineStr">
        <is>
          <t>R4</t>
        </is>
      </c>
      <c r="F897" s="9" t="inlineStr">
        <is>
          <t>R4: ACC electrical (VFD) e-house (60 x 120 ft)</t>
        </is>
      </c>
      <c r="G897" s="9" t="inlineStr">
        <is>
          <t>ACC-F30</t>
        </is>
      </c>
      <c r="H897" s="9" t="inlineStr">
        <is>
          <t>ACC fan motor F30</t>
        </is>
      </c>
      <c r="I897" s="9" t="inlineStr">
        <is>
          <t>Control</t>
        </is>
      </c>
      <c r="J897" s="9" t="inlineStr">
        <is>
          <t>Control cable 600 V Type TC-ER, Cu #14 AWG, PVC jacket</t>
        </is>
      </c>
      <c r="K897" s="9" t="inlineStr">
        <is>
          <t>CT|7/C|14</t>
        </is>
      </c>
      <c r="L897" s="9" t="inlineStr">
        <is>
          <t>7/C</t>
        </is>
      </c>
      <c r="M897" s="9" t="inlineStr">
        <is>
          <t>14</t>
        </is>
      </c>
      <c r="N897" s="9" t="n">
        <v>1</v>
      </c>
      <c r="O897" s="9" t="n">
        <v>1</v>
      </c>
      <c r="P897" s="9" t="n"/>
      <c r="Q897" s="9" t="n"/>
      <c r="R897" s="9" t="n"/>
      <c r="S897" s="9" t="inlineStr">
        <is>
          <t>Tray</t>
        </is>
      </c>
      <c r="T897" s="10" t="n">
        <v>523</v>
      </c>
      <c r="U897" s="10" t="n">
        <v>72</v>
      </c>
      <c r="V897" s="10">
        <f>ROUNDUP((T897+U897+2*'Read Me'!$B$13)*(1+'Read Me'!$B$12),-1)</f>
        <v/>
      </c>
      <c r="W897" s="10">
        <f>V897*N897*O897</f>
        <v/>
      </c>
      <c r="X897" s="9">
        <f>IF(LEFT(I897,2)="MV",2*N897*IF(L897="1/C",O897,1),0)</f>
        <v/>
      </c>
      <c r="Y897" s="9">
        <f>IF(OR(LEFT(K897,4)="LVAX",LEFT(K897,6)="MV15AX",LEFT(K897,4)="CTAX",LEFT(K897,2)="W|"),2*N897*O897,0)</f>
        <v/>
      </c>
      <c r="Z897" s="9" t="inlineStr"/>
    </row>
    <row r="898">
      <c r="A898" s="9" t="inlineStr">
        <is>
          <t>B-C-0031</t>
        </is>
      </c>
      <c r="B898" s="9" t="inlineStr">
        <is>
          <t>B</t>
        </is>
      </c>
      <c r="C898" s="9" t="inlineStr">
        <is>
          <t>ACC</t>
        </is>
      </c>
      <c r="D898" s="9" t="inlineStr">
        <is>
          <t>ACC fan F31 vibration / RTD / local station</t>
        </is>
      </c>
      <c r="E898" s="9" t="inlineStr">
        <is>
          <t>R4</t>
        </is>
      </c>
      <c r="F898" s="9" t="inlineStr">
        <is>
          <t>R4: ACC electrical (VFD) e-house (60 x 120 ft)</t>
        </is>
      </c>
      <c r="G898" s="9" t="inlineStr">
        <is>
          <t>ACC-F31</t>
        </is>
      </c>
      <c r="H898" s="9" t="inlineStr">
        <is>
          <t>ACC fan motor F31</t>
        </is>
      </c>
      <c r="I898" s="9" t="inlineStr">
        <is>
          <t>Control</t>
        </is>
      </c>
      <c r="J898" s="9" t="inlineStr">
        <is>
          <t>Control cable 600 V Type TC-ER, Cu #14 AWG, PVC jacket</t>
        </is>
      </c>
      <c r="K898" s="9" t="inlineStr">
        <is>
          <t>CT|7/C|14</t>
        </is>
      </c>
      <c r="L898" s="9" t="inlineStr">
        <is>
          <t>7/C</t>
        </is>
      </c>
      <c r="M898" s="9" t="inlineStr">
        <is>
          <t>14</t>
        </is>
      </c>
      <c r="N898" s="9" t="n">
        <v>1</v>
      </c>
      <c r="O898" s="9" t="n">
        <v>1</v>
      </c>
      <c r="P898" s="9" t="n"/>
      <c r="Q898" s="9" t="n"/>
      <c r="R898" s="9" t="n"/>
      <c r="S898" s="9" t="inlineStr">
        <is>
          <t>Tray</t>
        </is>
      </c>
      <c r="T898" s="10" t="n">
        <v>473</v>
      </c>
      <c r="U898" s="10" t="n">
        <v>72</v>
      </c>
      <c r="V898" s="10">
        <f>ROUNDUP((T898+U898+2*'Read Me'!$B$13)*(1+'Read Me'!$B$12),-1)</f>
        <v/>
      </c>
      <c r="W898" s="10">
        <f>V898*N898*O898</f>
        <v/>
      </c>
      <c r="X898" s="9">
        <f>IF(LEFT(I898,2)="MV",2*N898*IF(L898="1/C",O898,1),0)</f>
        <v/>
      </c>
      <c r="Y898" s="9">
        <f>IF(OR(LEFT(K898,4)="LVAX",LEFT(K898,6)="MV15AX",LEFT(K898,4)="CTAX",LEFT(K898,2)="W|"),2*N898*O898,0)</f>
        <v/>
      </c>
      <c r="Z898" s="9" t="inlineStr"/>
    </row>
    <row r="899">
      <c r="A899" s="9" t="inlineStr">
        <is>
          <t>B-C-0032</t>
        </is>
      </c>
      <c r="B899" s="9" t="inlineStr">
        <is>
          <t>B</t>
        </is>
      </c>
      <c r="C899" s="9" t="inlineStr">
        <is>
          <t>ACC</t>
        </is>
      </c>
      <c r="D899" s="9" t="inlineStr">
        <is>
          <t>ACC fan F32 vibration / RTD / local station</t>
        </is>
      </c>
      <c r="E899" s="9" t="inlineStr">
        <is>
          <t>R4</t>
        </is>
      </c>
      <c r="F899" s="9" t="inlineStr">
        <is>
          <t>R4: ACC electrical (VFD) e-house (60 x 120 ft)</t>
        </is>
      </c>
      <c r="G899" s="9" t="inlineStr">
        <is>
          <t>ACC-F32</t>
        </is>
      </c>
      <c r="H899" s="9" t="inlineStr">
        <is>
          <t>ACC fan motor F32</t>
        </is>
      </c>
      <c r="I899" s="9" t="inlineStr">
        <is>
          <t>Control</t>
        </is>
      </c>
      <c r="J899" s="9" t="inlineStr">
        <is>
          <t>Control cable 600 V Type TC-ER, Cu #14 AWG, PVC jacket</t>
        </is>
      </c>
      <c r="K899" s="9" t="inlineStr">
        <is>
          <t>CT|7/C|14</t>
        </is>
      </c>
      <c r="L899" s="9" t="inlineStr">
        <is>
          <t>7/C</t>
        </is>
      </c>
      <c r="M899" s="9" t="inlineStr">
        <is>
          <t>14</t>
        </is>
      </c>
      <c r="N899" s="9" t="n">
        <v>1</v>
      </c>
      <c r="O899" s="9" t="n">
        <v>1</v>
      </c>
      <c r="P899" s="9" t="n"/>
      <c r="Q899" s="9" t="n"/>
      <c r="R899" s="9" t="n"/>
      <c r="S899" s="9" t="inlineStr">
        <is>
          <t>Tray</t>
        </is>
      </c>
      <c r="T899" s="10" t="n">
        <v>441</v>
      </c>
      <c r="U899" s="10" t="n">
        <v>72</v>
      </c>
      <c r="V899" s="10">
        <f>ROUNDUP((T899+U899+2*'Read Me'!$B$13)*(1+'Read Me'!$B$12),-1)</f>
        <v/>
      </c>
      <c r="W899" s="10">
        <f>V899*N899*O899</f>
        <v/>
      </c>
      <c r="X899" s="9">
        <f>IF(LEFT(I899,2)="MV",2*N899*IF(L899="1/C",O899,1),0)</f>
        <v/>
      </c>
      <c r="Y899" s="9">
        <f>IF(OR(LEFT(K899,4)="LVAX",LEFT(K899,6)="MV15AX",LEFT(K899,4)="CTAX",LEFT(K899,2)="W|"),2*N899*O899,0)</f>
        <v/>
      </c>
      <c r="Z899" s="9" t="inlineStr"/>
    </row>
    <row r="900">
      <c r="A900" s="9" t="inlineStr">
        <is>
          <t>B-C-0033</t>
        </is>
      </c>
      <c r="B900" s="9" t="inlineStr">
        <is>
          <t>B</t>
        </is>
      </c>
      <c r="C900" s="9" t="inlineStr">
        <is>
          <t>ACC</t>
        </is>
      </c>
      <c r="D900" s="9" t="inlineStr">
        <is>
          <t>ACC fan F33 vibration / RTD / local station</t>
        </is>
      </c>
      <c r="E900" s="9" t="inlineStr">
        <is>
          <t>R4</t>
        </is>
      </c>
      <c r="F900" s="9" t="inlineStr">
        <is>
          <t>R4: ACC electrical (VFD) e-house (60 x 120 ft)</t>
        </is>
      </c>
      <c r="G900" s="9" t="inlineStr">
        <is>
          <t>ACC-F33</t>
        </is>
      </c>
      <c r="H900" s="9" t="inlineStr">
        <is>
          <t>ACC fan motor F33</t>
        </is>
      </c>
      <c r="I900" s="9" t="inlineStr">
        <is>
          <t>Control</t>
        </is>
      </c>
      <c r="J900" s="9" t="inlineStr">
        <is>
          <t>Control cable 600 V Type TC-ER, Cu #14 AWG, PVC jacket</t>
        </is>
      </c>
      <c r="K900" s="9" t="inlineStr">
        <is>
          <t>CT|7/C|14</t>
        </is>
      </c>
      <c r="L900" s="9" t="inlineStr">
        <is>
          <t>7/C</t>
        </is>
      </c>
      <c r="M900" s="9" t="inlineStr">
        <is>
          <t>14</t>
        </is>
      </c>
      <c r="N900" s="9" t="n">
        <v>1</v>
      </c>
      <c r="O900" s="9" t="n">
        <v>1</v>
      </c>
      <c r="P900" s="9" t="n"/>
      <c r="Q900" s="9" t="n"/>
      <c r="R900" s="9" t="n"/>
      <c r="S900" s="9" t="inlineStr">
        <is>
          <t>Tray</t>
        </is>
      </c>
      <c r="T900" s="10" t="n">
        <v>409</v>
      </c>
      <c r="U900" s="10" t="n">
        <v>72</v>
      </c>
      <c r="V900" s="10">
        <f>ROUNDUP((T900+U900+2*'Read Me'!$B$13)*(1+'Read Me'!$B$12),-1)</f>
        <v/>
      </c>
      <c r="W900" s="10">
        <f>V900*N900*O900</f>
        <v/>
      </c>
      <c r="X900" s="9">
        <f>IF(LEFT(I900,2)="MV",2*N900*IF(L900="1/C",O900,1),0)</f>
        <v/>
      </c>
      <c r="Y900" s="9">
        <f>IF(OR(LEFT(K900,4)="LVAX",LEFT(K900,6)="MV15AX",LEFT(K900,4)="CTAX",LEFT(K900,2)="W|"),2*N900*O900,0)</f>
        <v/>
      </c>
      <c r="Z900" s="9" t="inlineStr"/>
    </row>
    <row r="901">
      <c r="A901" s="9" t="inlineStr">
        <is>
          <t>B-C-0034</t>
        </is>
      </c>
      <c r="B901" s="9" t="inlineStr">
        <is>
          <t>B</t>
        </is>
      </c>
      <c r="C901" s="9" t="inlineStr">
        <is>
          <t>ACC</t>
        </is>
      </c>
      <c r="D901" s="9" t="inlineStr">
        <is>
          <t>ACC fan F34 vibration / RTD / local station</t>
        </is>
      </c>
      <c r="E901" s="9" t="inlineStr">
        <is>
          <t>R4</t>
        </is>
      </c>
      <c r="F901" s="9" t="inlineStr">
        <is>
          <t>R4: ACC electrical (VFD) e-house (60 x 120 ft)</t>
        </is>
      </c>
      <c r="G901" s="9" t="inlineStr">
        <is>
          <t>ACC-F34</t>
        </is>
      </c>
      <c r="H901" s="9" t="inlineStr">
        <is>
          <t>ACC fan motor F34</t>
        </is>
      </c>
      <c r="I901" s="9" t="inlineStr">
        <is>
          <t>Control</t>
        </is>
      </c>
      <c r="J901" s="9" t="inlineStr">
        <is>
          <t>Control cable 600 V Type TC-ER, Cu #14 AWG, PVC jacket</t>
        </is>
      </c>
      <c r="K901" s="9" t="inlineStr">
        <is>
          <t>CT|7/C|14</t>
        </is>
      </c>
      <c r="L901" s="9" t="inlineStr">
        <is>
          <t>7/C</t>
        </is>
      </c>
      <c r="M901" s="9" t="inlineStr">
        <is>
          <t>14</t>
        </is>
      </c>
      <c r="N901" s="9" t="n">
        <v>1</v>
      </c>
      <c r="O901" s="9" t="n">
        <v>1</v>
      </c>
      <c r="P901" s="9" t="n"/>
      <c r="Q901" s="9" t="n"/>
      <c r="R901" s="9" t="n"/>
      <c r="S901" s="9" t="inlineStr">
        <is>
          <t>Tray</t>
        </is>
      </c>
      <c r="T901" s="10" t="n">
        <v>377</v>
      </c>
      <c r="U901" s="10" t="n">
        <v>72</v>
      </c>
      <c r="V901" s="10">
        <f>ROUNDUP((T901+U901+2*'Read Me'!$B$13)*(1+'Read Me'!$B$12),-1)</f>
        <v/>
      </c>
      <c r="W901" s="10">
        <f>V901*N901*O901</f>
        <v/>
      </c>
      <c r="X901" s="9">
        <f>IF(LEFT(I901,2)="MV",2*N901*IF(L901="1/C",O901,1),0)</f>
        <v/>
      </c>
      <c r="Y901" s="9">
        <f>IF(OR(LEFT(K901,4)="LVAX",LEFT(K901,6)="MV15AX",LEFT(K901,4)="CTAX",LEFT(K901,2)="W|"),2*N901*O901,0)</f>
        <v/>
      </c>
      <c r="Z901" s="9" t="inlineStr"/>
    </row>
    <row r="902">
      <c r="A902" s="9" t="inlineStr">
        <is>
          <t>B-C-0035</t>
        </is>
      </c>
      <c r="B902" s="9" t="inlineStr">
        <is>
          <t>B</t>
        </is>
      </c>
      <c r="C902" s="9" t="inlineStr">
        <is>
          <t>ACC</t>
        </is>
      </c>
      <c r="D902" s="9" t="inlineStr">
        <is>
          <t>ACC fan F35 vibration / RTD / local station</t>
        </is>
      </c>
      <c r="E902" s="9" t="inlineStr">
        <is>
          <t>R4</t>
        </is>
      </c>
      <c r="F902" s="9" t="inlineStr">
        <is>
          <t>R4: ACC electrical (VFD) e-house (60 x 120 ft)</t>
        </is>
      </c>
      <c r="G902" s="9" t="inlineStr">
        <is>
          <t>ACC-F35</t>
        </is>
      </c>
      <c r="H902" s="9" t="inlineStr">
        <is>
          <t>ACC fan motor F35</t>
        </is>
      </c>
      <c r="I902" s="9" t="inlineStr">
        <is>
          <t>Control</t>
        </is>
      </c>
      <c r="J902" s="9" t="inlineStr">
        <is>
          <t>Control cable 600 V Type TC-ER, Cu #14 AWG, PVC jacket</t>
        </is>
      </c>
      <c r="K902" s="9" t="inlineStr">
        <is>
          <t>CT|7/C|14</t>
        </is>
      </c>
      <c r="L902" s="9" t="inlineStr">
        <is>
          <t>7/C</t>
        </is>
      </c>
      <c r="M902" s="9" t="inlineStr">
        <is>
          <t>14</t>
        </is>
      </c>
      <c r="N902" s="9" t="n">
        <v>1</v>
      </c>
      <c r="O902" s="9" t="n">
        <v>1</v>
      </c>
      <c r="P902" s="9" t="n"/>
      <c r="Q902" s="9" t="n"/>
      <c r="R902" s="9" t="n"/>
      <c r="S902" s="9" t="inlineStr">
        <is>
          <t>Tray</t>
        </is>
      </c>
      <c r="T902" s="10" t="n">
        <v>345</v>
      </c>
      <c r="U902" s="10" t="n">
        <v>72</v>
      </c>
      <c r="V902" s="10">
        <f>ROUNDUP((T902+U902+2*'Read Me'!$B$13)*(1+'Read Me'!$B$12),-1)</f>
        <v/>
      </c>
      <c r="W902" s="10">
        <f>V902*N902*O902</f>
        <v/>
      </c>
      <c r="X902" s="9">
        <f>IF(LEFT(I902,2)="MV",2*N902*IF(L902="1/C",O902,1),0)</f>
        <v/>
      </c>
      <c r="Y902" s="9">
        <f>IF(OR(LEFT(K902,4)="LVAX",LEFT(K902,6)="MV15AX",LEFT(K902,4)="CTAX",LEFT(K902,2)="W|"),2*N902*O902,0)</f>
        <v/>
      </c>
      <c r="Z902" s="9" t="inlineStr"/>
    </row>
    <row r="903">
      <c r="A903" s="9" t="inlineStr">
        <is>
          <t>B-C-0036</t>
        </is>
      </c>
      <c r="B903" s="9" t="inlineStr">
        <is>
          <t>B</t>
        </is>
      </c>
      <c r="C903" s="9" t="inlineStr">
        <is>
          <t>ACC</t>
        </is>
      </c>
      <c r="D903" s="9" t="inlineStr">
        <is>
          <t>ACC fan F36 vibration / RTD / local station</t>
        </is>
      </c>
      <c r="E903" s="9" t="inlineStr">
        <is>
          <t>R4</t>
        </is>
      </c>
      <c r="F903" s="9" t="inlineStr">
        <is>
          <t>R4: ACC electrical (VFD) e-house (60 x 120 ft)</t>
        </is>
      </c>
      <c r="G903" s="9" t="inlineStr">
        <is>
          <t>ACC-F36</t>
        </is>
      </c>
      <c r="H903" s="9" t="inlineStr">
        <is>
          <t>ACC fan motor F36</t>
        </is>
      </c>
      <c r="I903" s="9" t="inlineStr">
        <is>
          <t>Control</t>
        </is>
      </c>
      <c r="J903" s="9" t="inlineStr">
        <is>
          <t>Control cable 600 V Type TC-ER, Cu #14 AWG, PVC jacket</t>
        </is>
      </c>
      <c r="K903" s="9" t="inlineStr">
        <is>
          <t>CT|7/C|14</t>
        </is>
      </c>
      <c r="L903" s="9" t="inlineStr">
        <is>
          <t>7/C</t>
        </is>
      </c>
      <c r="M903" s="9" t="inlineStr">
        <is>
          <t>14</t>
        </is>
      </c>
      <c r="N903" s="9" t="n">
        <v>1</v>
      </c>
      <c r="O903" s="9" t="n">
        <v>1</v>
      </c>
      <c r="P903" s="9" t="n"/>
      <c r="Q903" s="9" t="n"/>
      <c r="R903" s="9" t="n"/>
      <c r="S903" s="9" t="inlineStr">
        <is>
          <t>Tray</t>
        </is>
      </c>
      <c r="T903" s="10" t="n">
        <v>345</v>
      </c>
      <c r="U903" s="10" t="n">
        <v>72</v>
      </c>
      <c r="V903" s="10">
        <f>ROUNDUP((T903+U903+2*'Read Me'!$B$13)*(1+'Read Me'!$B$12),-1)</f>
        <v/>
      </c>
      <c r="W903" s="10">
        <f>V903*N903*O903</f>
        <v/>
      </c>
      <c r="X903" s="9">
        <f>IF(LEFT(I903,2)="MV",2*N903*IF(L903="1/C",O903,1),0)</f>
        <v/>
      </c>
      <c r="Y903" s="9">
        <f>IF(OR(LEFT(K903,4)="LVAX",LEFT(K903,6)="MV15AX",LEFT(K903,4)="CTAX",LEFT(K903,2)="W|"),2*N903*O903,0)</f>
        <v/>
      </c>
      <c r="Z903" s="9" t="inlineStr"/>
    </row>
    <row r="904">
      <c r="A904" s="9" t="inlineStr">
        <is>
          <t>B-C-0037</t>
        </is>
      </c>
      <c r="B904" s="9" t="inlineStr">
        <is>
          <t>B</t>
        </is>
      </c>
      <c r="C904" s="9" t="inlineStr">
        <is>
          <t>ACC</t>
        </is>
      </c>
      <c r="D904" s="9" t="inlineStr">
        <is>
          <t>ACC fan F37 vibration / RTD / local station</t>
        </is>
      </c>
      <c r="E904" s="9" t="inlineStr">
        <is>
          <t>R4</t>
        </is>
      </c>
      <c r="F904" s="9" t="inlineStr">
        <is>
          <t>R4: ACC electrical (VFD) e-house (60 x 120 ft)</t>
        </is>
      </c>
      <c r="G904" s="9" t="inlineStr">
        <is>
          <t>ACC-F37</t>
        </is>
      </c>
      <c r="H904" s="9" t="inlineStr">
        <is>
          <t>ACC fan motor F37</t>
        </is>
      </c>
      <c r="I904" s="9" t="inlineStr">
        <is>
          <t>Control</t>
        </is>
      </c>
      <c r="J904" s="9" t="inlineStr">
        <is>
          <t>Control cable 600 V Type TC-ER, Cu #14 AWG, PVC jacket</t>
        </is>
      </c>
      <c r="K904" s="9" t="inlineStr">
        <is>
          <t>CT|7/C|14</t>
        </is>
      </c>
      <c r="L904" s="9" t="inlineStr">
        <is>
          <t>7/C</t>
        </is>
      </c>
      <c r="M904" s="9" t="inlineStr">
        <is>
          <t>14</t>
        </is>
      </c>
      <c r="N904" s="9" t="n">
        <v>1</v>
      </c>
      <c r="O904" s="9" t="n">
        <v>1</v>
      </c>
      <c r="P904" s="9" t="n"/>
      <c r="Q904" s="9" t="n"/>
      <c r="R904" s="9" t="n"/>
      <c r="S904" s="9" t="inlineStr">
        <is>
          <t>Tray</t>
        </is>
      </c>
      <c r="T904" s="10" t="n">
        <v>377</v>
      </c>
      <c r="U904" s="10" t="n">
        <v>72</v>
      </c>
      <c r="V904" s="10">
        <f>ROUNDUP((T904+U904+2*'Read Me'!$B$13)*(1+'Read Me'!$B$12),-1)</f>
        <v/>
      </c>
      <c r="W904" s="10">
        <f>V904*N904*O904</f>
        <v/>
      </c>
      <c r="X904" s="9">
        <f>IF(LEFT(I904,2)="MV",2*N904*IF(L904="1/C",O904,1),0)</f>
        <v/>
      </c>
      <c r="Y904" s="9">
        <f>IF(OR(LEFT(K904,4)="LVAX",LEFT(K904,6)="MV15AX",LEFT(K904,4)="CTAX",LEFT(K904,2)="W|"),2*N904*O904,0)</f>
        <v/>
      </c>
      <c r="Z904" s="9" t="inlineStr"/>
    </row>
    <row r="905">
      <c r="A905" s="9" t="inlineStr">
        <is>
          <t>B-C-0038</t>
        </is>
      </c>
      <c r="B905" s="9" t="inlineStr">
        <is>
          <t>B</t>
        </is>
      </c>
      <c r="C905" s="9" t="inlineStr">
        <is>
          <t>ACC</t>
        </is>
      </c>
      <c r="D905" s="9" t="inlineStr">
        <is>
          <t>ACC fan F38 vibration / RTD / local station</t>
        </is>
      </c>
      <c r="E905" s="9" t="inlineStr">
        <is>
          <t>R4</t>
        </is>
      </c>
      <c r="F905" s="9" t="inlineStr">
        <is>
          <t>R4: ACC electrical (VFD) e-house (60 x 120 ft)</t>
        </is>
      </c>
      <c r="G905" s="9" t="inlineStr">
        <is>
          <t>ACC-F38</t>
        </is>
      </c>
      <c r="H905" s="9" t="inlineStr">
        <is>
          <t>ACC fan motor F38</t>
        </is>
      </c>
      <c r="I905" s="9" t="inlineStr">
        <is>
          <t>Control</t>
        </is>
      </c>
      <c r="J905" s="9" t="inlineStr">
        <is>
          <t>Control cable 600 V Type TC-ER, Cu #14 AWG, PVC jacket</t>
        </is>
      </c>
      <c r="K905" s="9" t="inlineStr">
        <is>
          <t>CT|7/C|14</t>
        </is>
      </c>
      <c r="L905" s="9" t="inlineStr">
        <is>
          <t>7/C</t>
        </is>
      </c>
      <c r="M905" s="9" t="inlineStr">
        <is>
          <t>14</t>
        </is>
      </c>
      <c r="N905" s="9" t="n">
        <v>1</v>
      </c>
      <c r="O905" s="9" t="n">
        <v>1</v>
      </c>
      <c r="P905" s="9" t="n"/>
      <c r="Q905" s="9" t="n"/>
      <c r="R905" s="9" t="n"/>
      <c r="S905" s="9" t="inlineStr">
        <is>
          <t>Tray</t>
        </is>
      </c>
      <c r="T905" s="10" t="n">
        <v>409</v>
      </c>
      <c r="U905" s="10" t="n">
        <v>72</v>
      </c>
      <c r="V905" s="10">
        <f>ROUNDUP((T905+U905+2*'Read Me'!$B$13)*(1+'Read Me'!$B$12),-1)</f>
        <v/>
      </c>
      <c r="W905" s="10">
        <f>V905*N905*O905</f>
        <v/>
      </c>
      <c r="X905" s="9">
        <f>IF(LEFT(I905,2)="MV",2*N905*IF(L905="1/C",O905,1),0)</f>
        <v/>
      </c>
      <c r="Y905" s="9">
        <f>IF(OR(LEFT(K905,4)="LVAX",LEFT(K905,6)="MV15AX",LEFT(K905,4)="CTAX",LEFT(K905,2)="W|"),2*N905*O905,0)</f>
        <v/>
      </c>
      <c r="Z905" s="9" t="inlineStr"/>
    </row>
    <row r="906">
      <c r="A906" s="9" t="inlineStr">
        <is>
          <t>B-C-0039</t>
        </is>
      </c>
      <c r="B906" s="9" t="inlineStr">
        <is>
          <t>B</t>
        </is>
      </c>
      <c r="C906" s="9" t="inlineStr">
        <is>
          <t>ACC</t>
        </is>
      </c>
      <c r="D906" s="9" t="inlineStr">
        <is>
          <t>ACC fan F39 vibration / RTD / local station</t>
        </is>
      </c>
      <c r="E906" s="9" t="inlineStr">
        <is>
          <t>R4</t>
        </is>
      </c>
      <c r="F906" s="9" t="inlineStr">
        <is>
          <t>R4: ACC electrical (VFD) e-house (60 x 120 ft)</t>
        </is>
      </c>
      <c r="G906" s="9" t="inlineStr">
        <is>
          <t>ACC-F39</t>
        </is>
      </c>
      <c r="H906" s="9" t="inlineStr">
        <is>
          <t>ACC fan motor F39</t>
        </is>
      </c>
      <c r="I906" s="9" t="inlineStr">
        <is>
          <t>Control</t>
        </is>
      </c>
      <c r="J906" s="9" t="inlineStr">
        <is>
          <t>Control cable 600 V Type TC-ER, Cu #14 AWG, PVC jacket</t>
        </is>
      </c>
      <c r="K906" s="9" t="inlineStr">
        <is>
          <t>CT|7/C|14</t>
        </is>
      </c>
      <c r="L906" s="9" t="inlineStr">
        <is>
          <t>7/C</t>
        </is>
      </c>
      <c r="M906" s="9" t="inlineStr">
        <is>
          <t>14</t>
        </is>
      </c>
      <c r="N906" s="9" t="n">
        <v>1</v>
      </c>
      <c r="O906" s="9" t="n">
        <v>1</v>
      </c>
      <c r="P906" s="9" t="n"/>
      <c r="Q906" s="9" t="n"/>
      <c r="R906" s="9" t="n"/>
      <c r="S906" s="9" t="inlineStr">
        <is>
          <t>Tray</t>
        </is>
      </c>
      <c r="T906" s="10" t="n">
        <v>441</v>
      </c>
      <c r="U906" s="10" t="n">
        <v>72</v>
      </c>
      <c r="V906" s="10">
        <f>ROUNDUP((T906+U906+2*'Read Me'!$B$13)*(1+'Read Me'!$B$12),-1)</f>
        <v/>
      </c>
      <c r="W906" s="10">
        <f>V906*N906*O906</f>
        <v/>
      </c>
      <c r="X906" s="9">
        <f>IF(LEFT(I906,2)="MV",2*N906*IF(L906="1/C",O906,1),0)</f>
        <v/>
      </c>
      <c r="Y906" s="9">
        <f>IF(OR(LEFT(K906,4)="LVAX",LEFT(K906,6)="MV15AX",LEFT(K906,4)="CTAX",LEFT(K906,2)="W|"),2*N906*O906,0)</f>
        <v/>
      </c>
      <c r="Z906" s="9" t="inlineStr"/>
    </row>
    <row r="907">
      <c r="A907" s="9" t="inlineStr">
        <is>
          <t>B-C-0040</t>
        </is>
      </c>
      <c r="B907" s="9" t="inlineStr">
        <is>
          <t>B</t>
        </is>
      </c>
      <c r="C907" s="9" t="inlineStr">
        <is>
          <t>ACC</t>
        </is>
      </c>
      <c r="D907" s="9" t="inlineStr">
        <is>
          <t>ACC fan F40 vibration / RTD / local station</t>
        </is>
      </c>
      <c r="E907" s="9" t="inlineStr">
        <is>
          <t>R4</t>
        </is>
      </c>
      <c r="F907" s="9" t="inlineStr">
        <is>
          <t>R4: ACC electrical (VFD) e-house (60 x 120 ft)</t>
        </is>
      </c>
      <c r="G907" s="9" t="inlineStr">
        <is>
          <t>ACC-F40</t>
        </is>
      </c>
      <c r="H907" s="9" t="inlineStr">
        <is>
          <t>ACC fan motor F40</t>
        </is>
      </c>
      <c r="I907" s="9" t="inlineStr">
        <is>
          <t>Control</t>
        </is>
      </c>
      <c r="J907" s="9" t="inlineStr">
        <is>
          <t>Control cable 600 V Type TC-ER, Cu #14 AWG, PVC jacket</t>
        </is>
      </c>
      <c r="K907" s="9" t="inlineStr">
        <is>
          <t>CT|7/C|14</t>
        </is>
      </c>
      <c r="L907" s="9" t="inlineStr">
        <is>
          <t>7/C</t>
        </is>
      </c>
      <c r="M907" s="9" t="inlineStr">
        <is>
          <t>14</t>
        </is>
      </c>
      <c r="N907" s="9" t="n">
        <v>1</v>
      </c>
      <c r="O907" s="9" t="n">
        <v>1</v>
      </c>
      <c r="P907" s="9" t="n"/>
      <c r="Q907" s="9" t="n"/>
      <c r="R907" s="9" t="n"/>
      <c r="S907" s="9" t="inlineStr">
        <is>
          <t>Tray</t>
        </is>
      </c>
      <c r="T907" s="10" t="n">
        <v>473</v>
      </c>
      <c r="U907" s="10" t="n">
        <v>72</v>
      </c>
      <c r="V907" s="10">
        <f>ROUNDUP((T907+U907+2*'Read Me'!$B$13)*(1+'Read Me'!$B$12),-1)</f>
        <v/>
      </c>
      <c r="W907" s="10">
        <f>V907*N907*O907</f>
        <v/>
      </c>
      <c r="X907" s="9">
        <f>IF(LEFT(I907,2)="MV",2*N907*IF(L907="1/C",O907,1),0)</f>
        <v/>
      </c>
      <c r="Y907" s="9">
        <f>IF(OR(LEFT(K907,4)="LVAX",LEFT(K907,6)="MV15AX",LEFT(K907,4)="CTAX",LEFT(K907,2)="W|"),2*N907*O907,0)</f>
        <v/>
      </c>
      <c r="Z907" s="9" t="inlineStr"/>
    </row>
    <row r="908">
      <c r="A908" s="9" t="inlineStr">
        <is>
          <t>B-C-0041</t>
        </is>
      </c>
      <c r="B908" s="9" t="inlineStr">
        <is>
          <t>B</t>
        </is>
      </c>
      <c r="C908" s="9" t="inlineStr">
        <is>
          <t>ACC</t>
        </is>
      </c>
      <c r="D908" s="9" t="inlineStr">
        <is>
          <t>ACC fan F41 vibration / RTD / local station</t>
        </is>
      </c>
      <c r="E908" s="9" t="inlineStr">
        <is>
          <t>R4</t>
        </is>
      </c>
      <c r="F908" s="9" t="inlineStr">
        <is>
          <t>R4: ACC electrical (VFD) e-house (60 x 120 ft)</t>
        </is>
      </c>
      <c r="G908" s="9" t="inlineStr">
        <is>
          <t>ACC-F41</t>
        </is>
      </c>
      <c r="H908" s="9" t="inlineStr">
        <is>
          <t>ACC fan motor F41</t>
        </is>
      </c>
      <c r="I908" s="9" t="inlineStr">
        <is>
          <t>Control</t>
        </is>
      </c>
      <c r="J908" s="9" t="inlineStr">
        <is>
          <t>Control cable 600 V Type TC-ER, Cu #14 AWG, PVC jacket</t>
        </is>
      </c>
      <c r="K908" s="9" t="inlineStr">
        <is>
          <t>CT|7/C|14</t>
        </is>
      </c>
      <c r="L908" s="9" t="inlineStr">
        <is>
          <t>7/C</t>
        </is>
      </c>
      <c r="M908" s="9" t="inlineStr">
        <is>
          <t>14</t>
        </is>
      </c>
      <c r="N908" s="9" t="n">
        <v>1</v>
      </c>
      <c r="O908" s="9" t="n">
        <v>1</v>
      </c>
      <c r="P908" s="9" t="n"/>
      <c r="Q908" s="9" t="n"/>
      <c r="R908" s="9" t="n"/>
      <c r="S908" s="9" t="inlineStr">
        <is>
          <t>Tray</t>
        </is>
      </c>
      <c r="T908" s="10" t="n">
        <v>473</v>
      </c>
      <c r="U908" s="10" t="n">
        <v>72</v>
      </c>
      <c r="V908" s="10">
        <f>ROUNDUP((T908+U908+2*'Read Me'!$B$13)*(1+'Read Me'!$B$12),-1)</f>
        <v/>
      </c>
      <c r="W908" s="10">
        <f>V908*N908*O908</f>
        <v/>
      </c>
      <c r="X908" s="9">
        <f>IF(LEFT(I908,2)="MV",2*N908*IF(L908="1/C",O908,1),0)</f>
        <v/>
      </c>
      <c r="Y908" s="9">
        <f>IF(OR(LEFT(K908,4)="LVAX",LEFT(K908,6)="MV15AX",LEFT(K908,4)="CTAX",LEFT(K908,2)="W|"),2*N908*O908,0)</f>
        <v/>
      </c>
      <c r="Z908" s="9" t="inlineStr"/>
    </row>
    <row r="909">
      <c r="A909" s="9" t="inlineStr">
        <is>
          <t>B-C-0042</t>
        </is>
      </c>
      <c r="B909" s="9" t="inlineStr">
        <is>
          <t>B</t>
        </is>
      </c>
      <c r="C909" s="9" t="inlineStr">
        <is>
          <t>ACC</t>
        </is>
      </c>
      <c r="D909" s="9" t="inlineStr">
        <is>
          <t>ACC fan F42 vibration / RTD / local station</t>
        </is>
      </c>
      <c r="E909" s="9" t="inlineStr">
        <is>
          <t>R4</t>
        </is>
      </c>
      <c r="F909" s="9" t="inlineStr">
        <is>
          <t>R4: ACC electrical (VFD) e-house (60 x 120 ft)</t>
        </is>
      </c>
      <c r="G909" s="9" t="inlineStr">
        <is>
          <t>ACC-F42</t>
        </is>
      </c>
      <c r="H909" s="9" t="inlineStr">
        <is>
          <t>ACC fan motor F42</t>
        </is>
      </c>
      <c r="I909" s="9" t="inlineStr">
        <is>
          <t>Control</t>
        </is>
      </c>
      <c r="J909" s="9" t="inlineStr">
        <is>
          <t>Control cable 600 V Type TC-ER, Cu #14 AWG, PVC jacket</t>
        </is>
      </c>
      <c r="K909" s="9" t="inlineStr">
        <is>
          <t>CT|7/C|14</t>
        </is>
      </c>
      <c r="L909" s="9" t="inlineStr">
        <is>
          <t>7/C</t>
        </is>
      </c>
      <c r="M909" s="9" t="inlineStr">
        <is>
          <t>14</t>
        </is>
      </c>
      <c r="N909" s="9" t="n">
        <v>1</v>
      </c>
      <c r="O909" s="9" t="n">
        <v>1</v>
      </c>
      <c r="P909" s="9" t="n"/>
      <c r="Q909" s="9" t="n"/>
      <c r="R909" s="9" t="n"/>
      <c r="S909" s="9" t="inlineStr">
        <is>
          <t>Tray</t>
        </is>
      </c>
      <c r="T909" s="10" t="n">
        <v>441</v>
      </c>
      <c r="U909" s="10" t="n">
        <v>72</v>
      </c>
      <c r="V909" s="10">
        <f>ROUNDUP((T909+U909+2*'Read Me'!$B$13)*(1+'Read Me'!$B$12),-1)</f>
        <v/>
      </c>
      <c r="W909" s="10">
        <f>V909*N909*O909</f>
        <v/>
      </c>
      <c r="X909" s="9">
        <f>IF(LEFT(I909,2)="MV",2*N909*IF(L909="1/C",O909,1),0)</f>
        <v/>
      </c>
      <c r="Y909" s="9">
        <f>IF(OR(LEFT(K909,4)="LVAX",LEFT(K909,6)="MV15AX",LEFT(K909,4)="CTAX",LEFT(K909,2)="W|"),2*N909*O909,0)</f>
        <v/>
      </c>
      <c r="Z909" s="9" t="inlineStr"/>
    </row>
    <row r="910">
      <c r="A910" s="9" t="inlineStr">
        <is>
          <t>B-C-0043</t>
        </is>
      </c>
      <c r="B910" s="9" t="inlineStr">
        <is>
          <t>B</t>
        </is>
      </c>
      <c r="C910" s="9" t="inlineStr">
        <is>
          <t>ACC</t>
        </is>
      </c>
      <c r="D910" s="9" t="inlineStr">
        <is>
          <t>ACC fan F43 vibration / RTD / local station</t>
        </is>
      </c>
      <c r="E910" s="9" t="inlineStr">
        <is>
          <t>R4</t>
        </is>
      </c>
      <c r="F910" s="9" t="inlineStr">
        <is>
          <t>R4: ACC electrical (VFD) e-house (60 x 120 ft)</t>
        </is>
      </c>
      <c r="G910" s="9" t="inlineStr">
        <is>
          <t>ACC-F43</t>
        </is>
      </c>
      <c r="H910" s="9" t="inlineStr">
        <is>
          <t>ACC fan motor F43</t>
        </is>
      </c>
      <c r="I910" s="9" t="inlineStr">
        <is>
          <t>Control</t>
        </is>
      </c>
      <c r="J910" s="9" t="inlineStr">
        <is>
          <t>Control cable 600 V Type TC-ER, Cu #14 AWG, PVC jacket</t>
        </is>
      </c>
      <c r="K910" s="9" t="inlineStr">
        <is>
          <t>CT|7/C|14</t>
        </is>
      </c>
      <c r="L910" s="9" t="inlineStr">
        <is>
          <t>7/C</t>
        </is>
      </c>
      <c r="M910" s="9" t="inlineStr">
        <is>
          <t>14</t>
        </is>
      </c>
      <c r="N910" s="9" t="n">
        <v>1</v>
      </c>
      <c r="O910" s="9" t="n">
        <v>1</v>
      </c>
      <c r="P910" s="9" t="n"/>
      <c r="Q910" s="9" t="n"/>
      <c r="R910" s="9" t="n"/>
      <c r="S910" s="9" t="inlineStr">
        <is>
          <t>Tray</t>
        </is>
      </c>
      <c r="T910" s="10" t="n">
        <v>409</v>
      </c>
      <c r="U910" s="10" t="n">
        <v>72</v>
      </c>
      <c r="V910" s="10">
        <f>ROUNDUP((T910+U910+2*'Read Me'!$B$13)*(1+'Read Me'!$B$12),-1)</f>
        <v/>
      </c>
      <c r="W910" s="10">
        <f>V910*N910*O910</f>
        <v/>
      </c>
      <c r="X910" s="9">
        <f>IF(LEFT(I910,2)="MV",2*N910*IF(L910="1/C",O910,1),0)</f>
        <v/>
      </c>
      <c r="Y910" s="9">
        <f>IF(OR(LEFT(K910,4)="LVAX",LEFT(K910,6)="MV15AX",LEFT(K910,4)="CTAX",LEFT(K910,2)="W|"),2*N910*O910,0)</f>
        <v/>
      </c>
      <c r="Z910" s="9" t="inlineStr"/>
    </row>
    <row r="911">
      <c r="A911" s="9" t="inlineStr">
        <is>
          <t>B-C-0044</t>
        </is>
      </c>
      <c r="B911" s="9" t="inlineStr">
        <is>
          <t>B</t>
        </is>
      </c>
      <c r="C911" s="9" t="inlineStr">
        <is>
          <t>ACC</t>
        </is>
      </c>
      <c r="D911" s="9" t="inlineStr">
        <is>
          <t>ACC fan F44 vibration / RTD / local station</t>
        </is>
      </c>
      <c r="E911" s="9" t="inlineStr">
        <is>
          <t>R4</t>
        </is>
      </c>
      <c r="F911" s="9" t="inlineStr">
        <is>
          <t>R4: ACC electrical (VFD) e-house (60 x 120 ft)</t>
        </is>
      </c>
      <c r="G911" s="9" t="inlineStr">
        <is>
          <t>ACC-F44</t>
        </is>
      </c>
      <c r="H911" s="9" t="inlineStr">
        <is>
          <t>ACC fan motor F44</t>
        </is>
      </c>
      <c r="I911" s="9" t="inlineStr">
        <is>
          <t>Control</t>
        </is>
      </c>
      <c r="J911" s="9" t="inlineStr">
        <is>
          <t>Control cable 600 V Type TC-ER, Cu #14 AWG, PVC jacket</t>
        </is>
      </c>
      <c r="K911" s="9" t="inlineStr">
        <is>
          <t>CT|7/C|14</t>
        </is>
      </c>
      <c r="L911" s="9" t="inlineStr">
        <is>
          <t>7/C</t>
        </is>
      </c>
      <c r="M911" s="9" t="inlineStr">
        <is>
          <t>14</t>
        </is>
      </c>
      <c r="N911" s="9" t="n">
        <v>1</v>
      </c>
      <c r="O911" s="9" t="n">
        <v>1</v>
      </c>
      <c r="P911" s="9" t="n"/>
      <c r="Q911" s="9" t="n"/>
      <c r="R911" s="9" t="n"/>
      <c r="S911" s="9" t="inlineStr">
        <is>
          <t>Tray</t>
        </is>
      </c>
      <c r="T911" s="10" t="n">
        <v>377</v>
      </c>
      <c r="U911" s="10" t="n">
        <v>72</v>
      </c>
      <c r="V911" s="10">
        <f>ROUNDUP((T911+U911+2*'Read Me'!$B$13)*(1+'Read Me'!$B$12),-1)</f>
        <v/>
      </c>
      <c r="W911" s="10">
        <f>V911*N911*O911</f>
        <v/>
      </c>
      <c r="X911" s="9">
        <f>IF(LEFT(I911,2)="MV",2*N911*IF(L911="1/C",O911,1),0)</f>
        <v/>
      </c>
      <c r="Y911" s="9">
        <f>IF(OR(LEFT(K911,4)="LVAX",LEFT(K911,6)="MV15AX",LEFT(K911,4)="CTAX",LEFT(K911,2)="W|"),2*N911*O911,0)</f>
        <v/>
      </c>
      <c r="Z911" s="9" t="inlineStr"/>
    </row>
    <row r="912">
      <c r="A912" s="9" t="inlineStr">
        <is>
          <t>B-C-0045</t>
        </is>
      </c>
      <c r="B912" s="9" t="inlineStr">
        <is>
          <t>B</t>
        </is>
      </c>
      <c r="C912" s="9" t="inlineStr">
        <is>
          <t>ACC</t>
        </is>
      </c>
      <c r="D912" s="9" t="inlineStr">
        <is>
          <t>ACC fan F45 vibration / RTD / local station</t>
        </is>
      </c>
      <c r="E912" s="9" t="inlineStr">
        <is>
          <t>R4</t>
        </is>
      </c>
      <c r="F912" s="9" t="inlineStr">
        <is>
          <t>R4: ACC electrical (VFD) e-house (60 x 120 ft)</t>
        </is>
      </c>
      <c r="G912" s="9" t="inlineStr">
        <is>
          <t>ACC-F45</t>
        </is>
      </c>
      <c r="H912" s="9" t="inlineStr">
        <is>
          <t>ACC fan motor F45</t>
        </is>
      </c>
      <c r="I912" s="9" t="inlineStr">
        <is>
          <t>Control</t>
        </is>
      </c>
      <c r="J912" s="9" t="inlineStr">
        <is>
          <t>Control cable 600 V Type TC-ER, Cu #14 AWG, PVC jacket</t>
        </is>
      </c>
      <c r="K912" s="9" t="inlineStr">
        <is>
          <t>CT|7/C|14</t>
        </is>
      </c>
      <c r="L912" s="9" t="inlineStr">
        <is>
          <t>7/C</t>
        </is>
      </c>
      <c r="M912" s="9" t="inlineStr">
        <is>
          <t>14</t>
        </is>
      </c>
      <c r="N912" s="9" t="n">
        <v>1</v>
      </c>
      <c r="O912" s="9" t="n">
        <v>1</v>
      </c>
      <c r="P912" s="9" t="n"/>
      <c r="Q912" s="9" t="n"/>
      <c r="R912" s="9" t="n"/>
      <c r="S912" s="9" t="inlineStr">
        <is>
          <t>Tray</t>
        </is>
      </c>
      <c r="T912" s="10" t="n">
        <v>345</v>
      </c>
      <c r="U912" s="10" t="n">
        <v>72</v>
      </c>
      <c r="V912" s="10">
        <f>ROUNDUP((T912+U912+2*'Read Me'!$B$13)*(1+'Read Me'!$B$12),-1)</f>
        <v/>
      </c>
      <c r="W912" s="10">
        <f>V912*N912*O912</f>
        <v/>
      </c>
      <c r="X912" s="9">
        <f>IF(LEFT(I912,2)="MV",2*N912*IF(L912="1/C",O912,1),0)</f>
        <v/>
      </c>
      <c r="Y912" s="9">
        <f>IF(OR(LEFT(K912,4)="LVAX",LEFT(K912,6)="MV15AX",LEFT(K912,4)="CTAX",LEFT(K912,2)="W|"),2*N912*O912,0)</f>
        <v/>
      </c>
      <c r="Z912" s="9" t="inlineStr"/>
    </row>
    <row r="913">
      <c r="A913" s="9" t="inlineStr">
        <is>
          <t>B-C-0046</t>
        </is>
      </c>
      <c r="B913" s="9" t="inlineStr">
        <is>
          <t>B</t>
        </is>
      </c>
      <c r="C913" s="9" t="inlineStr">
        <is>
          <t>ACC</t>
        </is>
      </c>
      <c r="D913" s="9" t="inlineStr">
        <is>
          <t>ACC fan F46 vibration / RTD / local station</t>
        </is>
      </c>
      <c r="E913" s="9" t="inlineStr">
        <is>
          <t>R4</t>
        </is>
      </c>
      <c r="F913" s="9" t="inlineStr">
        <is>
          <t>R4: ACC electrical (VFD) e-house (60 x 120 ft)</t>
        </is>
      </c>
      <c r="G913" s="9" t="inlineStr">
        <is>
          <t>ACC-F46</t>
        </is>
      </c>
      <c r="H913" s="9" t="inlineStr">
        <is>
          <t>ACC fan motor F46</t>
        </is>
      </c>
      <c r="I913" s="9" t="inlineStr">
        <is>
          <t>Control</t>
        </is>
      </c>
      <c r="J913" s="9" t="inlineStr">
        <is>
          <t>Control cable 600 V Type TC-ER, Cu #14 AWG, PVC jacket</t>
        </is>
      </c>
      <c r="K913" s="9" t="inlineStr">
        <is>
          <t>CT|7/C|14</t>
        </is>
      </c>
      <c r="L913" s="9" t="inlineStr">
        <is>
          <t>7/C</t>
        </is>
      </c>
      <c r="M913" s="9" t="inlineStr">
        <is>
          <t>14</t>
        </is>
      </c>
      <c r="N913" s="9" t="n">
        <v>1</v>
      </c>
      <c r="O913" s="9" t="n">
        <v>1</v>
      </c>
      <c r="P913" s="9" t="n"/>
      <c r="Q913" s="9" t="n"/>
      <c r="R913" s="9" t="n"/>
      <c r="S913" s="9" t="inlineStr">
        <is>
          <t>Tray</t>
        </is>
      </c>
      <c r="T913" s="10" t="n">
        <v>345</v>
      </c>
      <c r="U913" s="10" t="n">
        <v>72</v>
      </c>
      <c r="V913" s="10">
        <f>ROUNDUP((T913+U913+2*'Read Me'!$B$13)*(1+'Read Me'!$B$12),-1)</f>
        <v/>
      </c>
      <c r="W913" s="10">
        <f>V913*N913*O913</f>
        <v/>
      </c>
      <c r="X913" s="9">
        <f>IF(LEFT(I913,2)="MV",2*N913*IF(L913="1/C",O913,1),0)</f>
        <v/>
      </c>
      <c r="Y913" s="9">
        <f>IF(OR(LEFT(K913,4)="LVAX",LEFT(K913,6)="MV15AX",LEFT(K913,4)="CTAX",LEFT(K913,2)="W|"),2*N913*O913,0)</f>
        <v/>
      </c>
      <c r="Z913" s="9" t="inlineStr"/>
    </row>
    <row r="914">
      <c r="A914" s="9" t="inlineStr">
        <is>
          <t>B-C-0047</t>
        </is>
      </c>
      <c r="B914" s="9" t="inlineStr">
        <is>
          <t>B</t>
        </is>
      </c>
      <c r="C914" s="9" t="inlineStr">
        <is>
          <t>ACC</t>
        </is>
      </c>
      <c r="D914" s="9" t="inlineStr">
        <is>
          <t>ACC fan F47 vibration / RTD / local station</t>
        </is>
      </c>
      <c r="E914" s="9" t="inlineStr">
        <is>
          <t>R4</t>
        </is>
      </c>
      <c r="F914" s="9" t="inlineStr">
        <is>
          <t>R4: ACC electrical (VFD) e-house (60 x 120 ft)</t>
        </is>
      </c>
      <c r="G914" s="9" t="inlineStr">
        <is>
          <t>ACC-F47</t>
        </is>
      </c>
      <c r="H914" s="9" t="inlineStr">
        <is>
          <t>ACC fan motor F47</t>
        </is>
      </c>
      <c r="I914" s="9" t="inlineStr">
        <is>
          <t>Control</t>
        </is>
      </c>
      <c r="J914" s="9" t="inlineStr">
        <is>
          <t>Control cable 600 V Type TC-ER, Cu #14 AWG, PVC jacket</t>
        </is>
      </c>
      <c r="K914" s="9" t="inlineStr">
        <is>
          <t>CT|7/C|14</t>
        </is>
      </c>
      <c r="L914" s="9" t="inlineStr">
        <is>
          <t>7/C</t>
        </is>
      </c>
      <c r="M914" s="9" t="inlineStr">
        <is>
          <t>14</t>
        </is>
      </c>
      <c r="N914" s="9" t="n">
        <v>1</v>
      </c>
      <c r="O914" s="9" t="n">
        <v>1</v>
      </c>
      <c r="P914" s="9" t="n"/>
      <c r="Q914" s="9" t="n"/>
      <c r="R914" s="9" t="n"/>
      <c r="S914" s="9" t="inlineStr">
        <is>
          <t>Tray</t>
        </is>
      </c>
      <c r="T914" s="10" t="n">
        <v>377</v>
      </c>
      <c r="U914" s="10" t="n">
        <v>72</v>
      </c>
      <c r="V914" s="10">
        <f>ROUNDUP((T914+U914+2*'Read Me'!$B$13)*(1+'Read Me'!$B$12),-1)</f>
        <v/>
      </c>
      <c r="W914" s="10">
        <f>V914*N914*O914</f>
        <v/>
      </c>
      <c r="X914" s="9">
        <f>IF(LEFT(I914,2)="MV",2*N914*IF(L914="1/C",O914,1),0)</f>
        <v/>
      </c>
      <c r="Y914" s="9">
        <f>IF(OR(LEFT(K914,4)="LVAX",LEFT(K914,6)="MV15AX",LEFT(K914,4)="CTAX",LEFT(K914,2)="W|"),2*N914*O914,0)</f>
        <v/>
      </c>
      <c r="Z914" s="9" t="inlineStr"/>
    </row>
    <row r="915">
      <c r="A915" s="9" t="inlineStr">
        <is>
          <t>B-C-0048</t>
        </is>
      </c>
      <c r="B915" s="9" t="inlineStr">
        <is>
          <t>B</t>
        </is>
      </c>
      <c r="C915" s="9" t="inlineStr">
        <is>
          <t>ACC</t>
        </is>
      </c>
      <c r="D915" s="9" t="inlineStr">
        <is>
          <t>ACC fan F48 vibration / RTD / local station</t>
        </is>
      </c>
      <c r="E915" s="9" t="inlineStr">
        <is>
          <t>R4</t>
        </is>
      </c>
      <c r="F915" s="9" t="inlineStr">
        <is>
          <t>R4: ACC electrical (VFD) e-house (60 x 120 ft)</t>
        </is>
      </c>
      <c r="G915" s="9" t="inlineStr">
        <is>
          <t>ACC-F48</t>
        </is>
      </c>
      <c r="H915" s="9" t="inlineStr">
        <is>
          <t>ACC fan motor F48</t>
        </is>
      </c>
      <c r="I915" s="9" t="inlineStr">
        <is>
          <t>Control</t>
        </is>
      </c>
      <c r="J915" s="9" t="inlineStr">
        <is>
          <t>Control cable 600 V Type TC-ER, Cu #14 AWG, PVC jacket</t>
        </is>
      </c>
      <c r="K915" s="9" t="inlineStr">
        <is>
          <t>CT|7/C|14</t>
        </is>
      </c>
      <c r="L915" s="9" t="inlineStr">
        <is>
          <t>7/C</t>
        </is>
      </c>
      <c r="M915" s="9" t="inlineStr">
        <is>
          <t>14</t>
        </is>
      </c>
      <c r="N915" s="9" t="n">
        <v>1</v>
      </c>
      <c r="O915" s="9" t="n">
        <v>1</v>
      </c>
      <c r="P915" s="9" t="n"/>
      <c r="Q915" s="9" t="n"/>
      <c r="R915" s="9" t="n"/>
      <c r="S915" s="9" t="inlineStr">
        <is>
          <t>Tray</t>
        </is>
      </c>
      <c r="T915" s="10" t="n">
        <v>409</v>
      </c>
      <c r="U915" s="10" t="n">
        <v>72</v>
      </c>
      <c r="V915" s="10">
        <f>ROUNDUP((T915+U915+2*'Read Me'!$B$13)*(1+'Read Me'!$B$12),-1)</f>
        <v/>
      </c>
      <c r="W915" s="10">
        <f>V915*N915*O915</f>
        <v/>
      </c>
      <c r="X915" s="9">
        <f>IF(LEFT(I915,2)="MV",2*N915*IF(L915="1/C",O915,1),0)</f>
        <v/>
      </c>
      <c r="Y915" s="9">
        <f>IF(OR(LEFT(K915,4)="LVAX",LEFT(K915,6)="MV15AX",LEFT(K915,4)="CTAX",LEFT(K915,2)="W|"),2*N915*O915,0)</f>
        <v/>
      </c>
      <c r="Z915" s="9" t="inlineStr"/>
    </row>
    <row r="916">
      <c r="A916" s="9" t="inlineStr">
        <is>
          <t>B-C-0049</t>
        </is>
      </c>
      <c r="B916" s="9" t="inlineStr">
        <is>
          <t>B</t>
        </is>
      </c>
      <c r="C916" s="9" t="inlineStr">
        <is>
          <t>ACC</t>
        </is>
      </c>
      <c r="D916" s="9" t="inlineStr">
        <is>
          <t>ACC fan F49 vibration / RTD / local station</t>
        </is>
      </c>
      <c r="E916" s="9" t="inlineStr">
        <is>
          <t>R4</t>
        </is>
      </c>
      <c r="F916" s="9" t="inlineStr">
        <is>
          <t>R4: ACC electrical (VFD) e-house (60 x 120 ft)</t>
        </is>
      </c>
      <c r="G916" s="9" t="inlineStr">
        <is>
          <t>ACC-F49</t>
        </is>
      </c>
      <c r="H916" s="9" t="inlineStr">
        <is>
          <t>ACC fan motor F49</t>
        </is>
      </c>
      <c r="I916" s="9" t="inlineStr">
        <is>
          <t>Control</t>
        </is>
      </c>
      <c r="J916" s="9" t="inlineStr">
        <is>
          <t>Control cable 600 V Type TC-ER, Cu #14 AWG, PVC jacket</t>
        </is>
      </c>
      <c r="K916" s="9" t="inlineStr">
        <is>
          <t>CT|7/C|14</t>
        </is>
      </c>
      <c r="L916" s="9" t="inlineStr">
        <is>
          <t>7/C</t>
        </is>
      </c>
      <c r="M916" s="9" t="inlineStr">
        <is>
          <t>14</t>
        </is>
      </c>
      <c r="N916" s="9" t="n">
        <v>1</v>
      </c>
      <c r="O916" s="9" t="n">
        <v>1</v>
      </c>
      <c r="P916" s="9" t="n"/>
      <c r="Q916" s="9" t="n"/>
      <c r="R916" s="9" t="n"/>
      <c r="S916" s="9" t="inlineStr">
        <is>
          <t>Tray</t>
        </is>
      </c>
      <c r="T916" s="10" t="n">
        <v>441</v>
      </c>
      <c r="U916" s="10" t="n">
        <v>72</v>
      </c>
      <c r="V916" s="10">
        <f>ROUNDUP((T916+U916+2*'Read Me'!$B$13)*(1+'Read Me'!$B$12),-1)</f>
        <v/>
      </c>
      <c r="W916" s="10">
        <f>V916*N916*O916</f>
        <v/>
      </c>
      <c r="X916" s="9">
        <f>IF(LEFT(I916,2)="MV",2*N916*IF(L916="1/C",O916,1),0)</f>
        <v/>
      </c>
      <c r="Y916" s="9">
        <f>IF(OR(LEFT(K916,4)="LVAX",LEFT(K916,6)="MV15AX",LEFT(K916,4)="CTAX",LEFT(K916,2)="W|"),2*N916*O916,0)</f>
        <v/>
      </c>
      <c r="Z916" s="9" t="inlineStr"/>
    </row>
    <row r="917">
      <c r="A917" s="9" t="inlineStr">
        <is>
          <t>B-C-0050</t>
        </is>
      </c>
      <c r="B917" s="9" t="inlineStr">
        <is>
          <t>B</t>
        </is>
      </c>
      <c r="C917" s="9" t="inlineStr">
        <is>
          <t>ACC</t>
        </is>
      </c>
      <c r="D917" s="9" t="inlineStr">
        <is>
          <t>ACC fan F50 vibration / RTD / local station</t>
        </is>
      </c>
      <c r="E917" s="9" t="inlineStr">
        <is>
          <t>R4</t>
        </is>
      </c>
      <c r="F917" s="9" t="inlineStr">
        <is>
          <t>R4: ACC electrical (VFD) e-house (60 x 120 ft)</t>
        </is>
      </c>
      <c r="G917" s="9" t="inlineStr">
        <is>
          <t>ACC-F50</t>
        </is>
      </c>
      <c r="H917" s="9" t="inlineStr">
        <is>
          <t>ACC fan motor F50</t>
        </is>
      </c>
      <c r="I917" s="9" t="inlineStr">
        <is>
          <t>Control</t>
        </is>
      </c>
      <c r="J917" s="9" t="inlineStr">
        <is>
          <t>Control cable 600 V Type TC-ER, Cu #14 AWG, PVC jacket</t>
        </is>
      </c>
      <c r="K917" s="9" t="inlineStr">
        <is>
          <t>CT|7/C|14</t>
        </is>
      </c>
      <c r="L917" s="9" t="inlineStr">
        <is>
          <t>7/C</t>
        </is>
      </c>
      <c r="M917" s="9" t="inlineStr">
        <is>
          <t>14</t>
        </is>
      </c>
      <c r="N917" s="9" t="n">
        <v>1</v>
      </c>
      <c r="O917" s="9" t="n">
        <v>1</v>
      </c>
      <c r="P917" s="9" t="n"/>
      <c r="Q917" s="9" t="n"/>
      <c r="R917" s="9" t="n"/>
      <c r="S917" s="9" t="inlineStr">
        <is>
          <t>Tray</t>
        </is>
      </c>
      <c r="T917" s="10" t="n">
        <v>473</v>
      </c>
      <c r="U917" s="10" t="n">
        <v>72</v>
      </c>
      <c r="V917" s="10">
        <f>ROUNDUP((T917+U917+2*'Read Me'!$B$13)*(1+'Read Me'!$B$12),-1)</f>
        <v/>
      </c>
      <c r="W917" s="10">
        <f>V917*N917*O917</f>
        <v/>
      </c>
      <c r="X917" s="9">
        <f>IF(LEFT(I917,2)="MV",2*N917*IF(L917="1/C",O917,1),0)</f>
        <v/>
      </c>
      <c r="Y917" s="9">
        <f>IF(OR(LEFT(K917,4)="LVAX",LEFT(K917,6)="MV15AX",LEFT(K917,4)="CTAX",LEFT(K917,2)="W|"),2*N917*O917,0)</f>
        <v/>
      </c>
      <c r="Z917" s="9" t="inlineStr"/>
    </row>
    <row r="918">
      <c r="A918" s="9" t="inlineStr">
        <is>
          <t>B-C-0051</t>
        </is>
      </c>
      <c r="B918" s="9" t="inlineStr">
        <is>
          <t>B</t>
        </is>
      </c>
      <c r="C918" s="9" t="inlineStr">
        <is>
          <t>ACC</t>
        </is>
      </c>
      <c r="D918" s="9" t="inlineStr">
        <is>
          <t>ACC fan F51 vibration / RTD / local station</t>
        </is>
      </c>
      <c r="E918" s="9" t="inlineStr">
        <is>
          <t>R4</t>
        </is>
      </c>
      <c r="F918" s="9" t="inlineStr">
        <is>
          <t>R4: ACC electrical (VFD) e-house (60 x 120 ft)</t>
        </is>
      </c>
      <c r="G918" s="9" t="inlineStr">
        <is>
          <t>ACC-F51</t>
        </is>
      </c>
      <c r="H918" s="9" t="inlineStr">
        <is>
          <t>ACC fan motor F51</t>
        </is>
      </c>
      <c r="I918" s="9" t="inlineStr">
        <is>
          <t>Control</t>
        </is>
      </c>
      <c r="J918" s="9" t="inlineStr">
        <is>
          <t>Control cable 600 V Type TC-ER, Cu #14 AWG, PVC jacket</t>
        </is>
      </c>
      <c r="K918" s="9" t="inlineStr">
        <is>
          <t>CT|7/C|14</t>
        </is>
      </c>
      <c r="L918" s="9" t="inlineStr">
        <is>
          <t>7/C</t>
        </is>
      </c>
      <c r="M918" s="9" t="inlineStr">
        <is>
          <t>14</t>
        </is>
      </c>
      <c r="N918" s="9" t="n">
        <v>1</v>
      </c>
      <c r="O918" s="9" t="n">
        <v>1</v>
      </c>
      <c r="P918" s="9" t="n"/>
      <c r="Q918" s="9" t="n"/>
      <c r="R918" s="9" t="n"/>
      <c r="S918" s="9" t="inlineStr">
        <is>
          <t>Tray</t>
        </is>
      </c>
      <c r="T918" s="10" t="n">
        <v>523</v>
      </c>
      <c r="U918" s="10" t="n">
        <v>72</v>
      </c>
      <c r="V918" s="10">
        <f>ROUNDUP((T918+U918+2*'Read Me'!$B$13)*(1+'Read Me'!$B$12),-1)</f>
        <v/>
      </c>
      <c r="W918" s="10">
        <f>V918*N918*O918</f>
        <v/>
      </c>
      <c r="X918" s="9">
        <f>IF(LEFT(I918,2)="MV",2*N918*IF(L918="1/C",O918,1),0)</f>
        <v/>
      </c>
      <c r="Y918" s="9">
        <f>IF(OR(LEFT(K918,4)="LVAX",LEFT(K918,6)="MV15AX",LEFT(K918,4)="CTAX",LEFT(K918,2)="W|"),2*N918*O918,0)</f>
        <v/>
      </c>
      <c r="Z918" s="9" t="inlineStr"/>
    </row>
    <row r="919">
      <c r="A919" s="9" t="inlineStr">
        <is>
          <t>B-C-0052</t>
        </is>
      </c>
      <c r="B919" s="9" t="inlineStr">
        <is>
          <t>B</t>
        </is>
      </c>
      <c r="C919" s="9" t="inlineStr">
        <is>
          <t>ACC</t>
        </is>
      </c>
      <c r="D919" s="9" t="inlineStr">
        <is>
          <t>ACC fan F52 vibration / RTD / local station</t>
        </is>
      </c>
      <c r="E919" s="9" t="inlineStr">
        <is>
          <t>R4</t>
        </is>
      </c>
      <c r="F919" s="9" t="inlineStr">
        <is>
          <t>R4: ACC electrical (VFD) e-house (60 x 120 ft)</t>
        </is>
      </c>
      <c r="G919" s="9" t="inlineStr">
        <is>
          <t>ACC-F52</t>
        </is>
      </c>
      <c r="H919" s="9" t="inlineStr">
        <is>
          <t>ACC fan motor F52</t>
        </is>
      </c>
      <c r="I919" s="9" t="inlineStr">
        <is>
          <t>Control</t>
        </is>
      </c>
      <c r="J919" s="9" t="inlineStr">
        <is>
          <t>Control cable 600 V Type TC-ER, Cu #14 AWG, PVC jacket</t>
        </is>
      </c>
      <c r="K919" s="9" t="inlineStr">
        <is>
          <t>CT|7/C|14</t>
        </is>
      </c>
      <c r="L919" s="9" t="inlineStr">
        <is>
          <t>7/C</t>
        </is>
      </c>
      <c r="M919" s="9" t="inlineStr">
        <is>
          <t>14</t>
        </is>
      </c>
      <c r="N919" s="9" t="n">
        <v>1</v>
      </c>
      <c r="O919" s="9" t="n">
        <v>1</v>
      </c>
      <c r="P919" s="9" t="n"/>
      <c r="Q919" s="9" t="n"/>
      <c r="R919" s="9" t="n"/>
      <c r="S919" s="9" t="inlineStr">
        <is>
          <t>Tray</t>
        </is>
      </c>
      <c r="T919" s="10" t="n">
        <v>491</v>
      </c>
      <c r="U919" s="10" t="n">
        <v>72</v>
      </c>
      <c r="V919" s="10">
        <f>ROUNDUP((T919+U919+2*'Read Me'!$B$13)*(1+'Read Me'!$B$12),-1)</f>
        <v/>
      </c>
      <c r="W919" s="10">
        <f>V919*N919*O919</f>
        <v/>
      </c>
      <c r="X919" s="9">
        <f>IF(LEFT(I919,2)="MV",2*N919*IF(L919="1/C",O919,1),0)</f>
        <v/>
      </c>
      <c r="Y919" s="9">
        <f>IF(OR(LEFT(K919,4)="LVAX",LEFT(K919,6)="MV15AX",LEFT(K919,4)="CTAX",LEFT(K919,2)="W|"),2*N919*O919,0)</f>
        <v/>
      </c>
      <c r="Z919" s="9" t="inlineStr"/>
    </row>
    <row r="920">
      <c r="A920" s="9" t="inlineStr">
        <is>
          <t>B-C-0053</t>
        </is>
      </c>
      <c r="B920" s="9" t="inlineStr">
        <is>
          <t>B</t>
        </is>
      </c>
      <c r="C920" s="9" t="inlineStr">
        <is>
          <t>ACC</t>
        </is>
      </c>
      <c r="D920" s="9" t="inlineStr">
        <is>
          <t>ACC fan F53 vibration / RTD / local station</t>
        </is>
      </c>
      <c r="E920" s="9" t="inlineStr">
        <is>
          <t>R4</t>
        </is>
      </c>
      <c r="F920" s="9" t="inlineStr">
        <is>
          <t>R4: ACC electrical (VFD) e-house (60 x 120 ft)</t>
        </is>
      </c>
      <c r="G920" s="9" t="inlineStr">
        <is>
          <t>ACC-F53</t>
        </is>
      </c>
      <c r="H920" s="9" t="inlineStr">
        <is>
          <t>ACC fan motor F53</t>
        </is>
      </c>
      <c r="I920" s="9" t="inlineStr">
        <is>
          <t>Control</t>
        </is>
      </c>
      <c r="J920" s="9" t="inlineStr">
        <is>
          <t>Control cable 600 V Type TC-ER, Cu #14 AWG, PVC jacket</t>
        </is>
      </c>
      <c r="K920" s="9" t="inlineStr">
        <is>
          <t>CT|7/C|14</t>
        </is>
      </c>
      <c r="L920" s="9" t="inlineStr">
        <is>
          <t>7/C</t>
        </is>
      </c>
      <c r="M920" s="9" t="inlineStr">
        <is>
          <t>14</t>
        </is>
      </c>
      <c r="N920" s="9" t="n">
        <v>1</v>
      </c>
      <c r="O920" s="9" t="n">
        <v>1</v>
      </c>
      <c r="P920" s="9" t="n"/>
      <c r="Q920" s="9" t="n"/>
      <c r="R920" s="9" t="n"/>
      <c r="S920" s="9" t="inlineStr">
        <is>
          <t>Tray</t>
        </is>
      </c>
      <c r="T920" s="10" t="n">
        <v>459</v>
      </c>
      <c r="U920" s="10" t="n">
        <v>72</v>
      </c>
      <c r="V920" s="10">
        <f>ROUNDUP((T920+U920+2*'Read Me'!$B$13)*(1+'Read Me'!$B$12),-1)</f>
        <v/>
      </c>
      <c r="W920" s="10">
        <f>V920*N920*O920</f>
        <v/>
      </c>
      <c r="X920" s="9">
        <f>IF(LEFT(I920,2)="MV",2*N920*IF(L920="1/C",O920,1),0)</f>
        <v/>
      </c>
      <c r="Y920" s="9">
        <f>IF(OR(LEFT(K920,4)="LVAX",LEFT(K920,6)="MV15AX",LEFT(K920,4)="CTAX",LEFT(K920,2)="W|"),2*N920*O920,0)</f>
        <v/>
      </c>
      <c r="Z920" s="9" t="inlineStr"/>
    </row>
    <row r="921">
      <c r="A921" s="9" t="inlineStr">
        <is>
          <t>B-C-0054</t>
        </is>
      </c>
      <c r="B921" s="9" t="inlineStr">
        <is>
          <t>B</t>
        </is>
      </c>
      <c r="C921" s="9" t="inlineStr">
        <is>
          <t>ACC</t>
        </is>
      </c>
      <c r="D921" s="9" t="inlineStr">
        <is>
          <t>ACC fan F54 vibration / RTD / local station</t>
        </is>
      </c>
      <c r="E921" s="9" t="inlineStr">
        <is>
          <t>R4</t>
        </is>
      </c>
      <c r="F921" s="9" t="inlineStr">
        <is>
          <t>R4: ACC electrical (VFD) e-house (60 x 120 ft)</t>
        </is>
      </c>
      <c r="G921" s="9" t="inlineStr">
        <is>
          <t>ACC-F54</t>
        </is>
      </c>
      <c r="H921" s="9" t="inlineStr">
        <is>
          <t>ACC fan motor F54</t>
        </is>
      </c>
      <c r="I921" s="9" t="inlineStr">
        <is>
          <t>Control</t>
        </is>
      </c>
      <c r="J921" s="9" t="inlineStr">
        <is>
          <t>Control cable 600 V Type TC-ER, Cu #14 AWG, PVC jacket</t>
        </is>
      </c>
      <c r="K921" s="9" t="inlineStr">
        <is>
          <t>CT|7/C|14</t>
        </is>
      </c>
      <c r="L921" s="9" t="inlineStr">
        <is>
          <t>7/C</t>
        </is>
      </c>
      <c r="M921" s="9" t="inlineStr">
        <is>
          <t>14</t>
        </is>
      </c>
      <c r="N921" s="9" t="n">
        <v>1</v>
      </c>
      <c r="O921" s="9" t="n">
        <v>1</v>
      </c>
      <c r="P921" s="9" t="n"/>
      <c r="Q921" s="9" t="n"/>
      <c r="R921" s="9" t="n"/>
      <c r="S921" s="9" t="inlineStr">
        <is>
          <t>Tray</t>
        </is>
      </c>
      <c r="T921" s="10" t="n">
        <v>427</v>
      </c>
      <c r="U921" s="10" t="n">
        <v>72</v>
      </c>
      <c r="V921" s="10">
        <f>ROUNDUP((T921+U921+2*'Read Me'!$B$13)*(1+'Read Me'!$B$12),-1)</f>
        <v/>
      </c>
      <c r="W921" s="10">
        <f>V921*N921*O921</f>
        <v/>
      </c>
      <c r="X921" s="9">
        <f>IF(LEFT(I921,2)="MV",2*N921*IF(L921="1/C",O921,1),0)</f>
        <v/>
      </c>
      <c r="Y921" s="9">
        <f>IF(OR(LEFT(K921,4)="LVAX",LEFT(K921,6)="MV15AX",LEFT(K921,4)="CTAX",LEFT(K921,2)="W|"),2*N921*O921,0)</f>
        <v/>
      </c>
      <c r="Z921" s="9" t="inlineStr"/>
    </row>
    <row r="922">
      <c r="A922" s="9" t="inlineStr">
        <is>
          <t>B-C-0055</t>
        </is>
      </c>
      <c r="B922" s="9" t="inlineStr">
        <is>
          <t>B</t>
        </is>
      </c>
      <c r="C922" s="9" t="inlineStr">
        <is>
          <t>ACC</t>
        </is>
      </c>
      <c r="D922" s="9" t="inlineStr">
        <is>
          <t>ACC fan F55 vibration / RTD / local station</t>
        </is>
      </c>
      <c r="E922" s="9" t="inlineStr">
        <is>
          <t>R4</t>
        </is>
      </c>
      <c r="F922" s="9" t="inlineStr">
        <is>
          <t>R4: ACC electrical (VFD) e-house (60 x 120 ft)</t>
        </is>
      </c>
      <c r="G922" s="9" t="inlineStr">
        <is>
          <t>ACC-F55</t>
        </is>
      </c>
      <c r="H922" s="9" t="inlineStr">
        <is>
          <t>ACC fan motor F55</t>
        </is>
      </c>
      <c r="I922" s="9" t="inlineStr">
        <is>
          <t>Control</t>
        </is>
      </c>
      <c r="J922" s="9" t="inlineStr">
        <is>
          <t>Control cable 600 V Type TC-ER, Cu #14 AWG, PVC jacket</t>
        </is>
      </c>
      <c r="K922" s="9" t="inlineStr">
        <is>
          <t>CT|7/C|14</t>
        </is>
      </c>
      <c r="L922" s="9" t="inlineStr">
        <is>
          <t>7/C</t>
        </is>
      </c>
      <c r="M922" s="9" t="inlineStr">
        <is>
          <t>14</t>
        </is>
      </c>
      <c r="N922" s="9" t="n">
        <v>1</v>
      </c>
      <c r="O922" s="9" t="n">
        <v>1</v>
      </c>
      <c r="P922" s="9" t="n"/>
      <c r="Q922" s="9" t="n"/>
      <c r="R922" s="9" t="n"/>
      <c r="S922" s="9" t="inlineStr">
        <is>
          <t>Tray</t>
        </is>
      </c>
      <c r="T922" s="10" t="n">
        <v>395</v>
      </c>
      <c r="U922" s="10" t="n">
        <v>72</v>
      </c>
      <c r="V922" s="10">
        <f>ROUNDUP((T922+U922+2*'Read Me'!$B$13)*(1+'Read Me'!$B$12),-1)</f>
        <v/>
      </c>
      <c r="W922" s="10">
        <f>V922*N922*O922</f>
        <v/>
      </c>
      <c r="X922" s="9">
        <f>IF(LEFT(I922,2)="MV",2*N922*IF(L922="1/C",O922,1),0)</f>
        <v/>
      </c>
      <c r="Y922" s="9">
        <f>IF(OR(LEFT(K922,4)="LVAX",LEFT(K922,6)="MV15AX",LEFT(K922,4)="CTAX",LEFT(K922,2)="W|"),2*N922*O922,0)</f>
        <v/>
      </c>
      <c r="Z922" s="9" t="inlineStr"/>
    </row>
    <row r="923">
      <c r="A923" s="9" t="inlineStr">
        <is>
          <t>B-C-0056</t>
        </is>
      </c>
      <c r="B923" s="9" t="inlineStr">
        <is>
          <t>B</t>
        </is>
      </c>
      <c r="C923" s="9" t="inlineStr">
        <is>
          <t>ACC</t>
        </is>
      </c>
      <c r="D923" s="9" t="inlineStr">
        <is>
          <t>ACC fan F56 vibration / RTD / local station</t>
        </is>
      </c>
      <c r="E923" s="9" t="inlineStr">
        <is>
          <t>R4</t>
        </is>
      </c>
      <c r="F923" s="9" t="inlineStr">
        <is>
          <t>R4: ACC electrical (VFD) e-house (60 x 120 ft)</t>
        </is>
      </c>
      <c r="G923" s="9" t="inlineStr">
        <is>
          <t>ACC-F56</t>
        </is>
      </c>
      <c r="H923" s="9" t="inlineStr">
        <is>
          <t>ACC fan motor F56</t>
        </is>
      </c>
      <c r="I923" s="9" t="inlineStr">
        <is>
          <t>Control</t>
        </is>
      </c>
      <c r="J923" s="9" t="inlineStr">
        <is>
          <t>Control cable 600 V Type TC-ER, Cu #14 AWG, PVC jacket</t>
        </is>
      </c>
      <c r="K923" s="9" t="inlineStr">
        <is>
          <t>CT|7/C|14</t>
        </is>
      </c>
      <c r="L923" s="9" t="inlineStr">
        <is>
          <t>7/C</t>
        </is>
      </c>
      <c r="M923" s="9" t="inlineStr">
        <is>
          <t>14</t>
        </is>
      </c>
      <c r="N923" s="9" t="n">
        <v>1</v>
      </c>
      <c r="O923" s="9" t="n">
        <v>1</v>
      </c>
      <c r="P923" s="9" t="n"/>
      <c r="Q923" s="9" t="n"/>
      <c r="R923" s="9" t="n"/>
      <c r="S923" s="9" t="inlineStr">
        <is>
          <t>Tray</t>
        </is>
      </c>
      <c r="T923" s="10" t="n">
        <v>395</v>
      </c>
      <c r="U923" s="10" t="n">
        <v>72</v>
      </c>
      <c r="V923" s="10">
        <f>ROUNDUP((T923+U923+2*'Read Me'!$B$13)*(1+'Read Me'!$B$12),-1)</f>
        <v/>
      </c>
      <c r="W923" s="10">
        <f>V923*N923*O923</f>
        <v/>
      </c>
      <c r="X923" s="9">
        <f>IF(LEFT(I923,2)="MV",2*N923*IF(L923="1/C",O923,1),0)</f>
        <v/>
      </c>
      <c r="Y923" s="9">
        <f>IF(OR(LEFT(K923,4)="LVAX",LEFT(K923,6)="MV15AX",LEFT(K923,4)="CTAX",LEFT(K923,2)="W|"),2*N923*O923,0)</f>
        <v/>
      </c>
      <c r="Z923" s="9" t="inlineStr"/>
    </row>
    <row r="924">
      <c r="A924" s="9" t="inlineStr">
        <is>
          <t>B-C-0057</t>
        </is>
      </c>
      <c r="B924" s="9" t="inlineStr">
        <is>
          <t>B</t>
        </is>
      </c>
      <c r="C924" s="9" t="inlineStr">
        <is>
          <t>ACC</t>
        </is>
      </c>
      <c r="D924" s="9" t="inlineStr">
        <is>
          <t>ACC fan F57 vibration / RTD / local station</t>
        </is>
      </c>
      <c r="E924" s="9" t="inlineStr">
        <is>
          <t>R4</t>
        </is>
      </c>
      <c r="F924" s="9" t="inlineStr">
        <is>
          <t>R4: ACC electrical (VFD) e-house (60 x 120 ft)</t>
        </is>
      </c>
      <c r="G924" s="9" t="inlineStr">
        <is>
          <t>ACC-F57</t>
        </is>
      </c>
      <c r="H924" s="9" t="inlineStr">
        <is>
          <t>ACC fan motor F57</t>
        </is>
      </c>
      <c r="I924" s="9" t="inlineStr">
        <is>
          <t>Control</t>
        </is>
      </c>
      <c r="J924" s="9" t="inlineStr">
        <is>
          <t>Control cable 600 V Type TC-ER, Cu #14 AWG, PVC jacket</t>
        </is>
      </c>
      <c r="K924" s="9" t="inlineStr">
        <is>
          <t>CT|7/C|14</t>
        </is>
      </c>
      <c r="L924" s="9" t="inlineStr">
        <is>
          <t>7/C</t>
        </is>
      </c>
      <c r="M924" s="9" t="inlineStr">
        <is>
          <t>14</t>
        </is>
      </c>
      <c r="N924" s="9" t="n">
        <v>1</v>
      </c>
      <c r="O924" s="9" t="n">
        <v>1</v>
      </c>
      <c r="P924" s="9" t="n"/>
      <c r="Q924" s="9" t="n"/>
      <c r="R924" s="9" t="n"/>
      <c r="S924" s="9" t="inlineStr">
        <is>
          <t>Tray</t>
        </is>
      </c>
      <c r="T924" s="10" t="n">
        <v>427</v>
      </c>
      <c r="U924" s="10" t="n">
        <v>72</v>
      </c>
      <c r="V924" s="10">
        <f>ROUNDUP((T924+U924+2*'Read Me'!$B$13)*(1+'Read Me'!$B$12),-1)</f>
        <v/>
      </c>
      <c r="W924" s="10">
        <f>V924*N924*O924</f>
        <v/>
      </c>
      <c r="X924" s="9">
        <f>IF(LEFT(I924,2)="MV",2*N924*IF(L924="1/C",O924,1),0)</f>
        <v/>
      </c>
      <c r="Y924" s="9">
        <f>IF(OR(LEFT(K924,4)="LVAX",LEFT(K924,6)="MV15AX",LEFT(K924,4)="CTAX",LEFT(K924,2)="W|"),2*N924*O924,0)</f>
        <v/>
      </c>
      <c r="Z924" s="9" t="inlineStr"/>
    </row>
    <row r="925">
      <c r="A925" s="9" t="inlineStr">
        <is>
          <t>B-C-0058</t>
        </is>
      </c>
      <c r="B925" s="9" t="inlineStr">
        <is>
          <t>B</t>
        </is>
      </c>
      <c r="C925" s="9" t="inlineStr">
        <is>
          <t>ACC</t>
        </is>
      </c>
      <c r="D925" s="9" t="inlineStr">
        <is>
          <t>ACC fan F58 vibration / RTD / local station</t>
        </is>
      </c>
      <c r="E925" s="9" t="inlineStr">
        <is>
          <t>R4</t>
        </is>
      </c>
      <c r="F925" s="9" t="inlineStr">
        <is>
          <t>R4: ACC electrical (VFD) e-house (60 x 120 ft)</t>
        </is>
      </c>
      <c r="G925" s="9" t="inlineStr">
        <is>
          <t>ACC-F58</t>
        </is>
      </c>
      <c r="H925" s="9" t="inlineStr">
        <is>
          <t>ACC fan motor F58</t>
        </is>
      </c>
      <c r="I925" s="9" t="inlineStr">
        <is>
          <t>Control</t>
        </is>
      </c>
      <c r="J925" s="9" t="inlineStr">
        <is>
          <t>Control cable 600 V Type TC-ER, Cu #14 AWG, PVC jacket</t>
        </is>
      </c>
      <c r="K925" s="9" t="inlineStr">
        <is>
          <t>CT|7/C|14</t>
        </is>
      </c>
      <c r="L925" s="9" t="inlineStr">
        <is>
          <t>7/C</t>
        </is>
      </c>
      <c r="M925" s="9" t="inlineStr">
        <is>
          <t>14</t>
        </is>
      </c>
      <c r="N925" s="9" t="n">
        <v>1</v>
      </c>
      <c r="O925" s="9" t="n">
        <v>1</v>
      </c>
      <c r="P925" s="9" t="n"/>
      <c r="Q925" s="9" t="n"/>
      <c r="R925" s="9" t="n"/>
      <c r="S925" s="9" t="inlineStr">
        <is>
          <t>Tray</t>
        </is>
      </c>
      <c r="T925" s="10" t="n">
        <v>459</v>
      </c>
      <c r="U925" s="10" t="n">
        <v>72</v>
      </c>
      <c r="V925" s="10">
        <f>ROUNDUP((T925+U925+2*'Read Me'!$B$13)*(1+'Read Me'!$B$12),-1)</f>
        <v/>
      </c>
      <c r="W925" s="10">
        <f>V925*N925*O925</f>
        <v/>
      </c>
      <c r="X925" s="9">
        <f>IF(LEFT(I925,2)="MV",2*N925*IF(L925="1/C",O925,1),0)</f>
        <v/>
      </c>
      <c r="Y925" s="9">
        <f>IF(OR(LEFT(K925,4)="LVAX",LEFT(K925,6)="MV15AX",LEFT(K925,4)="CTAX",LEFT(K925,2)="W|"),2*N925*O925,0)</f>
        <v/>
      </c>
      <c r="Z925" s="9" t="inlineStr"/>
    </row>
    <row r="926">
      <c r="A926" s="9" t="inlineStr">
        <is>
          <t>B-C-0059</t>
        </is>
      </c>
      <c r="B926" s="9" t="inlineStr">
        <is>
          <t>B</t>
        </is>
      </c>
      <c r="C926" s="9" t="inlineStr">
        <is>
          <t>ACC</t>
        </is>
      </c>
      <c r="D926" s="9" t="inlineStr">
        <is>
          <t>ACC fan F59 vibration / RTD / local station</t>
        </is>
      </c>
      <c r="E926" s="9" t="inlineStr">
        <is>
          <t>R4</t>
        </is>
      </c>
      <c r="F926" s="9" t="inlineStr">
        <is>
          <t>R4: ACC electrical (VFD) e-house (60 x 120 ft)</t>
        </is>
      </c>
      <c r="G926" s="9" t="inlineStr">
        <is>
          <t>ACC-F59</t>
        </is>
      </c>
      <c r="H926" s="9" t="inlineStr">
        <is>
          <t>ACC fan motor F59</t>
        </is>
      </c>
      <c r="I926" s="9" t="inlineStr">
        <is>
          <t>Control</t>
        </is>
      </c>
      <c r="J926" s="9" t="inlineStr">
        <is>
          <t>Control cable 600 V Type TC-ER, Cu #14 AWG, PVC jacket</t>
        </is>
      </c>
      <c r="K926" s="9" t="inlineStr">
        <is>
          <t>CT|7/C|14</t>
        </is>
      </c>
      <c r="L926" s="9" t="inlineStr">
        <is>
          <t>7/C</t>
        </is>
      </c>
      <c r="M926" s="9" t="inlineStr">
        <is>
          <t>14</t>
        </is>
      </c>
      <c r="N926" s="9" t="n">
        <v>1</v>
      </c>
      <c r="O926" s="9" t="n">
        <v>1</v>
      </c>
      <c r="P926" s="9" t="n"/>
      <c r="Q926" s="9" t="n"/>
      <c r="R926" s="9" t="n"/>
      <c r="S926" s="9" t="inlineStr">
        <is>
          <t>Tray</t>
        </is>
      </c>
      <c r="T926" s="10" t="n">
        <v>491</v>
      </c>
      <c r="U926" s="10" t="n">
        <v>72</v>
      </c>
      <c r="V926" s="10">
        <f>ROUNDUP((T926+U926+2*'Read Me'!$B$13)*(1+'Read Me'!$B$12),-1)</f>
        <v/>
      </c>
      <c r="W926" s="10">
        <f>V926*N926*O926</f>
        <v/>
      </c>
      <c r="X926" s="9">
        <f>IF(LEFT(I926,2)="MV",2*N926*IF(L926="1/C",O926,1),0)</f>
        <v/>
      </c>
      <c r="Y926" s="9">
        <f>IF(OR(LEFT(K926,4)="LVAX",LEFT(K926,6)="MV15AX",LEFT(K926,4)="CTAX",LEFT(K926,2)="W|"),2*N926*O926,0)</f>
        <v/>
      </c>
      <c r="Z926" s="9" t="inlineStr"/>
    </row>
    <row r="927">
      <c r="A927" s="9" t="inlineStr">
        <is>
          <t>B-C-0060</t>
        </is>
      </c>
      <c r="B927" s="9" t="inlineStr">
        <is>
          <t>B</t>
        </is>
      </c>
      <c r="C927" s="9" t="inlineStr">
        <is>
          <t>ACC</t>
        </is>
      </c>
      <c r="D927" s="9" t="inlineStr">
        <is>
          <t>ACC fan F60 vibration / RTD / local station</t>
        </is>
      </c>
      <c r="E927" s="9" t="inlineStr">
        <is>
          <t>R4</t>
        </is>
      </c>
      <c r="F927" s="9" t="inlineStr">
        <is>
          <t>R4: ACC electrical (VFD) e-house (60 x 120 ft)</t>
        </is>
      </c>
      <c r="G927" s="9" t="inlineStr">
        <is>
          <t>ACC-F60</t>
        </is>
      </c>
      <c r="H927" s="9" t="inlineStr">
        <is>
          <t>ACC fan motor F60</t>
        </is>
      </c>
      <c r="I927" s="9" t="inlineStr">
        <is>
          <t>Control</t>
        </is>
      </c>
      <c r="J927" s="9" t="inlineStr">
        <is>
          <t>Control cable 600 V Type TC-ER, Cu #14 AWG, PVC jacket</t>
        </is>
      </c>
      <c r="K927" s="9" t="inlineStr">
        <is>
          <t>CT|7/C|14</t>
        </is>
      </c>
      <c r="L927" s="9" t="inlineStr">
        <is>
          <t>7/C</t>
        </is>
      </c>
      <c r="M927" s="9" t="inlineStr">
        <is>
          <t>14</t>
        </is>
      </c>
      <c r="N927" s="9" t="n">
        <v>1</v>
      </c>
      <c r="O927" s="9" t="n">
        <v>1</v>
      </c>
      <c r="P927" s="9" t="n"/>
      <c r="Q927" s="9" t="n"/>
      <c r="R927" s="9" t="n"/>
      <c r="S927" s="9" t="inlineStr">
        <is>
          <t>Tray</t>
        </is>
      </c>
      <c r="T927" s="10" t="n">
        <v>523</v>
      </c>
      <c r="U927" s="10" t="n">
        <v>72</v>
      </c>
      <c r="V927" s="10">
        <f>ROUNDUP((T927+U927+2*'Read Me'!$B$13)*(1+'Read Me'!$B$12),-1)</f>
        <v/>
      </c>
      <c r="W927" s="10">
        <f>V927*N927*O927</f>
        <v/>
      </c>
      <c r="X927" s="9">
        <f>IF(LEFT(I927,2)="MV",2*N927*IF(L927="1/C",O927,1),0)</f>
        <v/>
      </c>
      <c r="Y927" s="9">
        <f>IF(OR(LEFT(K927,4)="LVAX",LEFT(K927,6)="MV15AX",LEFT(K927,4)="CTAX",LEFT(K927,2)="W|"),2*N927*O927,0)</f>
        <v/>
      </c>
      <c r="Z927" s="9" t="inlineStr"/>
    </row>
    <row r="928">
      <c r="A928" s="9" t="inlineStr">
        <is>
          <t>B-C-0061</t>
        </is>
      </c>
      <c r="B928" s="9" t="inlineStr">
        <is>
          <t>B</t>
        </is>
      </c>
      <c r="C928" s="9" t="inlineStr">
        <is>
          <t>ACC</t>
        </is>
      </c>
      <c r="D928" s="9" t="inlineStr">
        <is>
          <t>ACC fan F61 vibration / RTD / local station</t>
        </is>
      </c>
      <c r="E928" s="9" t="inlineStr">
        <is>
          <t>R4</t>
        </is>
      </c>
      <c r="F928" s="9" t="inlineStr">
        <is>
          <t>R4: ACC electrical (VFD) e-house (60 x 120 ft)</t>
        </is>
      </c>
      <c r="G928" s="9" t="inlineStr">
        <is>
          <t>ACC-F61</t>
        </is>
      </c>
      <c r="H928" s="9" t="inlineStr">
        <is>
          <t>ACC fan motor F61</t>
        </is>
      </c>
      <c r="I928" s="9" t="inlineStr">
        <is>
          <t>Control</t>
        </is>
      </c>
      <c r="J928" s="9" t="inlineStr">
        <is>
          <t>Control cable 600 V Type TC-ER, Cu #14 AWG, PVC jacket</t>
        </is>
      </c>
      <c r="K928" s="9" t="inlineStr">
        <is>
          <t>CT|7/C|14</t>
        </is>
      </c>
      <c r="L928" s="9" t="inlineStr">
        <is>
          <t>7/C</t>
        </is>
      </c>
      <c r="M928" s="9" t="inlineStr">
        <is>
          <t>14</t>
        </is>
      </c>
      <c r="N928" s="9" t="n">
        <v>1</v>
      </c>
      <c r="O928" s="9" t="n">
        <v>1</v>
      </c>
      <c r="P928" s="9" t="n"/>
      <c r="Q928" s="9" t="n"/>
      <c r="R928" s="9" t="n"/>
      <c r="S928" s="9" t="inlineStr">
        <is>
          <t>Tray</t>
        </is>
      </c>
      <c r="T928" s="10" t="n">
        <v>573</v>
      </c>
      <c r="U928" s="10" t="n">
        <v>72</v>
      </c>
      <c r="V928" s="10">
        <f>ROUNDUP((T928+U928+2*'Read Me'!$B$13)*(1+'Read Me'!$B$12),-1)</f>
        <v/>
      </c>
      <c r="W928" s="10">
        <f>V928*N928*O928</f>
        <v/>
      </c>
      <c r="X928" s="9">
        <f>IF(LEFT(I928,2)="MV",2*N928*IF(L928="1/C",O928,1),0)</f>
        <v/>
      </c>
      <c r="Y928" s="9">
        <f>IF(OR(LEFT(K928,4)="LVAX",LEFT(K928,6)="MV15AX",LEFT(K928,4)="CTAX",LEFT(K928,2)="W|"),2*N928*O928,0)</f>
        <v/>
      </c>
      <c r="Z928" s="9" t="inlineStr"/>
    </row>
    <row r="929">
      <c r="A929" s="9" t="inlineStr">
        <is>
          <t>B-C-0062</t>
        </is>
      </c>
      <c r="B929" s="9" t="inlineStr">
        <is>
          <t>B</t>
        </is>
      </c>
      <c r="C929" s="9" t="inlineStr">
        <is>
          <t>ACC</t>
        </is>
      </c>
      <c r="D929" s="9" t="inlineStr">
        <is>
          <t>ACC fan F62 vibration / RTD / local station</t>
        </is>
      </c>
      <c r="E929" s="9" t="inlineStr">
        <is>
          <t>R4</t>
        </is>
      </c>
      <c r="F929" s="9" t="inlineStr">
        <is>
          <t>R4: ACC electrical (VFD) e-house (60 x 120 ft)</t>
        </is>
      </c>
      <c r="G929" s="9" t="inlineStr">
        <is>
          <t>ACC-F62</t>
        </is>
      </c>
      <c r="H929" s="9" t="inlineStr">
        <is>
          <t>ACC fan motor F62</t>
        </is>
      </c>
      <c r="I929" s="9" t="inlineStr">
        <is>
          <t>Control</t>
        </is>
      </c>
      <c r="J929" s="9" t="inlineStr">
        <is>
          <t>Control cable 600 V Type TC-ER, Cu #14 AWG, PVC jacket</t>
        </is>
      </c>
      <c r="K929" s="9" t="inlineStr">
        <is>
          <t>CT|7/C|14</t>
        </is>
      </c>
      <c r="L929" s="9" t="inlineStr">
        <is>
          <t>7/C</t>
        </is>
      </c>
      <c r="M929" s="9" t="inlineStr">
        <is>
          <t>14</t>
        </is>
      </c>
      <c r="N929" s="9" t="n">
        <v>1</v>
      </c>
      <c r="O929" s="9" t="n">
        <v>1</v>
      </c>
      <c r="P929" s="9" t="n"/>
      <c r="Q929" s="9" t="n"/>
      <c r="R929" s="9" t="n"/>
      <c r="S929" s="9" t="inlineStr">
        <is>
          <t>Tray</t>
        </is>
      </c>
      <c r="T929" s="10" t="n">
        <v>541</v>
      </c>
      <c r="U929" s="10" t="n">
        <v>72</v>
      </c>
      <c r="V929" s="10">
        <f>ROUNDUP((T929+U929+2*'Read Me'!$B$13)*(1+'Read Me'!$B$12),-1)</f>
        <v/>
      </c>
      <c r="W929" s="10">
        <f>V929*N929*O929</f>
        <v/>
      </c>
      <c r="X929" s="9">
        <f>IF(LEFT(I929,2)="MV",2*N929*IF(L929="1/C",O929,1),0)</f>
        <v/>
      </c>
      <c r="Y929" s="9">
        <f>IF(OR(LEFT(K929,4)="LVAX",LEFT(K929,6)="MV15AX",LEFT(K929,4)="CTAX",LEFT(K929,2)="W|"),2*N929*O929,0)</f>
        <v/>
      </c>
      <c r="Z929" s="9" t="inlineStr"/>
    </row>
    <row r="930">
      <c r="A930" s="9" t="inlineStr">
        <is>
          <t>B-C-0063</t>
        </is>
      </c>
      <c r="B930" s="9" t="inlineStr">
        <is>
          <t>B</t>
        </is>
      </c>
      <c r="C930" s="9" t="inlineStr">
        <is>
          <t>ACC</t>
        </is>
      </c>
      <c r="D930" s="9" t="inlineStr">
        <is>
          <t>ACC fan F63 vibration / RTD / local station</t>
        </is>
      </c>
      <c r="E930" s="9" t="inlineStr">
        <is>
          <t>R4</t>
        </is>
      </c>
      <c r="F930" s="9" t="inlineStr">
        <is>
          <t>R4: ACC electrical (VFD) e-house (60 x 120 ft)</t>
        </is>
      </c>
      <c r="G930" s="9" t="inlineStr">
        <is>
          <t>ACC-F63</t>
        </is>
      </c>
      <c r="H930" s="9" t="inlineStr">
        <is>
          <t>ACC fan motor F63</t>
        </is>
      </c>
      <c r="I930" s="9" t="inlineStr">
        <is>
          <t>Control</t>
        </is>
      </c>
      <c r="J930" s="9" t="inlineStr">
        <is>
          <t>Control cable 600 V Type TC-ER, Cu #14 AWG, PVC jacket</t>
        </is>
      </c>
      <c r="K930" s="9" t="inlineStr">
        <is>
          <t>CT|7/C|14</t>
        </is>
      </c>
      <c r="L930" s="9" t="inlineStr">
        <is>
          <t>7/C</t>
        </is>
      </c>
      <c r="M930" s="9" t="inlineStr">
        <is>
          <t>14</t>
        </is>
      </c>
      <c r="N930" s="9" t="n">
        <v>1</v>
      </c>
      <c r="O930" s="9" t="n">
        <v>1</v>
      </c>
      <c r="P930" s="9" t="n"/>
      <c r="Q930" s="9" t="n"/>
      <c r="R930" s="9" t="n"/>
      <c r="S930" s="9" t="inlineStr">
        <is>
          <t>Tray</t>
        </is>
      </c>
      <c r="T930" s="10" t="n">
        <v>509</v>
      </c>
      <c r="U930" s="10" t="n">
        <v>72</v>
      </c>
      <c r="V930" s="10">
        <f>ROUNDUP((T930+U930+2*'Read Me'!$B$13)*(1+'Read Me'!$B$12),-1)</f>
        <v/>
      </c>
      <c r="W930" s="10">
        <f>V930*N930*O930</f>
        <v/>
      </c>
      <c r="X930" s="9">
        <f>IF(LEFT(I930,2)="MV",2*N930*IF(L930="1/C",O930,1),0)</f>
        <v/>
      </c>
      <c r="Y930" s="9">
        <f>IF(OR(LEFT(K930,4)="LVAX",LEFT(K930,6)="MV15AX",LEFT(K930,4)="CTAX",LEFT(K930,2)="W|"),2*N930*O930,0)</f>
        <v/>
      </c>
      <c r="Z930" s="9" t="inlineStr"/>
    </row>
    <row r="931">
      <c r="A931" s="9" t="inlineStr">
        <is>
          <t>B-C-0064</t>
        </is>
      </c>
      <c r="B931" s="9" t="inlineStr">
        <is>
          <t>B</t>
        </is>
      </c>
      <c r="C931" s="9" t="inlineStr">
        <is>
          <t>ACC</t>
        </is>
      </c>
      <c r="D931" s="9" t="inlineStr">
        <is>
          <t>ACC fan F64 vibration / RTD / local station</t>
        </is>
      </c>
      <c r="E931" s="9" t="inlineStr">
        <is>
          <t>R4</t>
        </is>
      </c>
      <c r="F931" s="9" t="inlineStr">
        <is>
          <t>R4: ACC electrical (VFD) e-house (60 x 120 ft)</t>
        </is>
      </c>
      <c r="G931" s="9" t="inlineStr">
        <is>
          <t>ACC-F64</t>
        </is>
      </c>
      <c r="H931" s="9" t="inlineStr">
        <is>
          <t>ACC fan motor F64</t>
        </is>
      </c>
      <c r="I931" s="9" t="inlineStr">
        <is>
          <t>Control</t>
        </is>
      </c>
      <c r="J931" s="9" t="inlineStr">
        <is>
          <t>Control cable 600 V Type TC-ER, Cu #14 AWG, PVC jacket</t>
        </is>
      </c>
      <c r="K931" s="9" t="inlineStr">
        <is>
          <t>CT|7/C|14</t>
        </is>
      </c>
      <c r="L931" s="9" t="inlineStr">
        <is>
          <t>7/C</t>
        </is>
      </c>
      <c r="M931" s="9" t="inlineStr">
        <is>
          <t>14</t>
        </is>
      </c>
      <c r="N931" s="9" t="n">
        <v>1</v>
      </c>
      <c r="O931" s="9" t="n">
        <v>1</v>
      </c>
      <c r="P931" s="9" t="n"/>
      <c r="Q931" s="9" t="n"/>
      <c r="R931" s="9" t="n"/>
      <c r="S931" s="9" t="inlineStr">
        <is>
          <t>Tray</t>
        </is>
      </c>
      <c r="T931" s="10" t="n">
        <v>477</v>
      </c>
      <c r="U931" s="10" t="n">
        <v>72</v>
      </c>
      <c r="V931" s="10">
        <f>ROUNDUP((T931+U931+2*'Read Me'!$B$13)*(1+'Read Me'!$B$12),-1)</f>
        <v/>
      </c>
      <c r="W931" s="10">
        <f>V931*N931*O931</f>
        <v/>
      </c>
      <c r="X931" s="9">
        <f>IF(LEFT(I931,2)="MV",2*N931*IF(L931="1/C",O931,1),0)</f>
        <v/>
      </c>
      <c r="Y931" s="9">
        <f>IF(OR(LEFT(K931,4)="LVAX",LEFT(K931,6)="MV15AX",LEFT(K931,4)="CTAX",LEFT(K931,2)="W|"),2*N931*O931,0)</f>
        <v/>
      </c>
      <c r="Z931" s="9" t="inlineStr"/>
    </row>
    <row r="932">
      <c r="A932" s="9" t="inlineStr">
        <is>
          <t>B-C-0065</t>
        </is>
      </c>
      <c r="B932" s="9" t="inlineStr">
        <is>
          <t>B</t>
        </is>
      </c>
      <c r="C932" s="9" t="inlineStr">
        <is>
          <t>ACC</t>
        </is>
      </c>
      <c r="D932" s="9" t="inlineStr">
        <is>
          <t>ACC fan F65 vibration / RTD / local station</t>
        </is>
      </c>
      <c r="E932" s="9" t="inlineStr">
        <is>
          <t>R4</t>
        </is>
      </c>
      <c r="F932" s="9" t="inlineStr">
        <is>
          <t>R4: ACC electrical (VFD) e-house (60 x 120 ft)</t>
        </is>
      </c>
      <c r="G932" s="9" t="inlineStr">
        <is>
          <t>ACC-F65</t>
        </is>
      </c>
      <c r="H932" s="9" t="inlineStr">
        <is>
          <t>ACC fan motor F65</t>
        </is>
      </c>
      <c r="I932" s="9" t="inlineStr">
        <is>
          <t>Control</t>
        </is>
      </c>
      <c r="J932" s="9" t="inlineStr">
        <is>
          <t>Control cable 600 V Type TC-ER, Cu #14 AWG, PVC jacket</t>
        </is>
      </c>
      <c r="K932" s="9" t="inlineStr">
        <is>
          <t>CT|7/C|14</t>
        </is>
      </c>
      <c r="L932" s="9" t="inlineStr">
        <is>
          <t>7/C</t>
        </is>
      </c>
      <c r="M932" s="9" t="inlineStr">
        <is>
          <t>14</t>
        </is>
      </c>
      <c r="N932" s="9" t="n">
        <v>1</v>
      </c>
      <c r="O932" s="9" t="n">
        <v>1</v>
      </c>
      <c r="P932" s="9" t="n"/>
      <c r="Q932" s="9" t="n"/>
      <c r="R932" s="9" t="n"/>
      <c r="S932" s="9" t="inlineStr">
        <is>
          <t>Tray</t>
        </is>
      </c>
      <c r="T932" s="10" t="n">
        <v>445</v>
      </c>
      <c r="U932" s="10" t="n">
        <v>72</v>
      </c>
      <c r="V932" s="10">
        <f>ROUNDUP((T932+U932+2*'Read Me'!$B$13)*(1+'Read Me'!$B$12),-1)</f>
        <v/>
      </c>
      <c r="W932" s="10">
        <f>V932*N932*O932</f>
        <v/>
      </c>
      <c r="X932" s="9">
        <f>IF(LEFT(I932,2)="MV",2*N932*IF(L932="1/C",O932,1),0)</f>
        <v/>
      </c>
      <c r="Y932" s="9">
        <f>IF(OR(LEFT(K932,4)="LVAX",LEFT(K932,6)="MV15AX",LEFT(K932,4)="CTAX",LEFT(K932,2)="W|"),2*N932*O932,0)</f>
        <v/>
      </c>
      <c r="Z932" s="9" t="inlineStr"/>
    </row>
    <row r="933">
      <c r="A933" s="9" t="inlineStr">
        <is>
          <t>B-C-0066</t>
        </is>
      </c>
      <c r="B933" s="9" t="inlineStr">
        <is>
          <t>B</t>
        </is>
      </c>
      <c r="C933" s="9" t="inlineStr">
        <is>
          <t>ACC</t>
        </is>
      </c>
      <c r="D933" s="9" t="inlineStr">
        <is>
          <t>ACC fan F66 vibration / RTD / local station</t>
        </is>
      </c>
      <c r="E933" s="9" t="inlineStr">
        <is>
          <t>R4</t>
        </is>
      </c>
      <c r="F933" s="9" t="inlineStr">
        <is>
          <t>R4: ACC electrical (VFD) e-house (60 x 120 ft)</t>
        </is>
      </c>
      <c r="G933" s="9" t="inlineStr">
        <is>
          <t>ACC-F66</t>
        </is>
      </c>
      <c r="H933" s="9" t="inlineStr">
        <is>
          <t>ACC fan motor F66</t>
        </is>
      </c>
      <c r="I933" s="9" t="inlineStr">
        <is>
          <t>Control</t>
        </is>
      </c>
      <c r="J933" s="9" t="inlineStr">
        <is>
          <t>Control cable 600 V Type TC-ER, Cu #14 AWG, PVC jacket</t>
        </is>
      </c>
      <c r="K933" s="9" t="inlineStr">
        <is>
          <t>CT|7/C|14</t>
        </is>
      </c>
      <c r="L933" s="9" t="inlineStr">
        <is>
          <t>7/C</t>
        </is>
      </c>
      <c r="M933" s="9" t="inlineStr">
        <is>
          <t>14</t>
        </is>
      </c>
      <c r="N933" s="9" t="n">
        <v>1</v>
      </c>
      <c r="O933" s="9" t="n">
        <v>1</v>
      </c>
      <c r="P933" s="9" t="n"/>
      <c r="Q933" s="9" t="n"/>
      <c r="R933" s="9" t="n"/>
      <c r="S933" s="9" t="inlineStr">
        <is>
          <t>Tray</t>
        </is>
      </c>
      <c r="T933" s="10" t="n">
        <v>445</v>
      </c>
      <c r="U933" s="10" t="n">
        <v>72</v>
      </c>
      <c r="V933" s="10">
        <f>ROUNDUP((T933+U933+2*'Read Me'!$B$13)*(1+'Read Me'!$B$12),-1)</f>
        <v/>
      </c>
      <c r="W933" s="10">
        <f>V933*N933*O933</f>
        <v/>
      </c>
      <c r="X933" s="9">
        <f>IF(LEFT(I933,2)="MV",2*N933*IF(L933="1/C",O933,1),0)</f>
        <v/>
      </c>
      <c r="Y933" s="9">
        <f>IF(OR(LEFT(K933,4)="LVAX",LEFT(K933,6)="MV15AX",LEFT(K933,4)="CTAX",LEFT(K933,2)="W|"),2*N933*O933,0)</f>
        <v/>
      </c>
      <c r="Z933" s="9" t="inlineStr"/>
    </row>
    <row r="934">
      <c r="A934" s="9" t="inlineStr">
        <is>
          <t>B-C-0067</t>
        </is>
      </c>
      <c r="B934" s="9" t="inlineStr">
        <is>
          <t>B</t>
        </is>
      </c>
      <c r="C934" s="9" t="inlineStr">
        <is>
          <t>ACC</t>
        </is>
      </c>
      <c r="D934" s="9" t="inlineStr">
        <is>
          <t>ACC fan F67 vibration / RTD / local station</t>
        </is>
      </c>
      <c r="E934" s="9" t="inlineStr">
        <is>
          <t>R4</t>
        </is>
      </c>
      <c r="F934" s="9" t="inlineStr">
        <is>
          <t>R4: ACC electrical (VFD) e-house (60 x 120 ft)</t>
        </is>
      </c>
      <c r="G934" s="9" t="inlineStr">
        <is>
          <t>ACC-F67</t>
        </is>
      </c>
      <c r="H934" s="9" t="inlineStr">
        <is>
          <t>ACC fan motor F67</t>
        </is>
      </c>
      <c r="I934" s="9" t="inlineStr">
        <is>
          <t>Control</t>
        </is>
      </c>
      <c r="J934" s="9" t="inlineStr">
        <is>
          <t>Control cable 600 V Type TC-ER, Cu #14 AWG, PVC jacket</t>
        </is>
      </c>
      <c r="K934" s="9" t="inlineStr">
        <is>
          <t>CT|7/C|14</t>
        </is>
      </c>
      <c r="L934" s="9" t="inlineStr">
        <is>
          <t>7/C</t>
        </is>
      </c>
      <c r="M934" s="9" t="inlineStr">
        <is>
          <t>14</t>
        </is>
      </c>
      <c r="N934" s="9" t="n">
        <v>1</v>
      </c>
      <c r="O934" s="9" t="n">
        <v>1</v>
      </c>
      <c r="P934" s="9" t="n"/>
      <c r="Q934" s="9" t="n"/>
      <c r="R934" s="9" t="n"/>
      <c r="S934" s="9" t="inlineStr">
        <is>
          <t>Tray</t>
        </is>
      </c>
      <c r="T934" s="10" t="n">
        <v>477</v>
      </c>
      <c r="U934" s="10" t="n">
        <v>72</v>
      </c>
      <c r="V934" s="10">
        <f>ROUNDUP((T934+U934+2*'Read Me'!$B$13)*(1+'Read Me'!$B$12),-1)</f>
        <v/>
      </c>
      <c r="W934" s="10">
        <f>V934*N934*O934</f>
        <v/>
      </c>
      <c r="X934" s="9">
        <f>IF(LEFT(I934,2)="MV",2*N934*IF(L934="1/C",O934,1),0)</f>
        <v/>
      </c>
      <c r="Y934" s="9">
        <f>IF(OR(LEFT(K934,4)="LVAX",LEFT(K934,6)="MV15AX",LEFT(K934,4)="CTAX",LEFT(K934,2)="W|"),2*N934*O934,0)</f>
        <v/>
      </c>
      <c r="Z934" s="9" t="inlineStr"/>
    </row>
    <row r="935">
      <c r="A935" s="9" t="inlineStr">
        <is>
          <t>B-C-0068</t>
        </is>
      </c>
      <c r="B935" s="9" t="inlineStr">
        <is>
          <t>B</t>
        </is>
      </c>
      <c r="C935" s="9" t="inlineStr">
        <is>
          <t>ACC</t>
        </is>
      </c>
      <c r="D935" s="9" t="inlineStr">
        <is>
          <t>ACC fan F68 vibration / RTD / local station</t>
        </is>
      </c>
      <c r="E935" s="9" t="inlineStr">
        <is>
          <t>R4</t>
        </is>
      </c>
      <c r="F935" s="9" t="inlineStr">
        <is>
          <t>R4: ACC electrical (VFD) e-house (60 x 120 ft)</t>
        </is>
      </c>
      <c r="G935" s="9" t="inlineStr">
        <is>
          <t>ACC-F68</t>
        </is>
      </c>
      <c r="H935" s="9" t="inlineStr">
        <is>
          <t>ACC fan motor F68</t>
        </is>
      </c>
      <c r="I935" s="9" t="inlineStr">
        <is>
          <t>Control</t>
        </is>
      </c>
      <c r="J935" s="9" t="inlineStr">
        <is>
          <t>Control cable 600 V Type TC-ER, Cu #14 AWG, PVC jacket</t>
        </is>
      </c>
      <c r="K935" s="9" t="inlineStr">
        <is>
          <t>CT|7/C|14</t>
        </is>
      </c>
      <c r="L935" s="9" t="inlineStr">
        <is>
          <t>7/C</t>
        </is>
      </c>
      <c r="M935" s="9" t="inlineStr">
        <is>
          <t>14</t>
        </is>
      </c>
      <c r="N935" s="9" t="n">
        <v>1</v>
      </c>
      <c r="O935" s="9" t="n">
        <v>1</v>
      </c>
      <c r="P935" s="9" t="n"/>
      <c r="Q935" s="9" t="n"/>
      <c r="R935" s="9" t="n"/>
      <c r="S935" s="9" t="inlineStr">
        <is>
          <t>Tray</t>
        </is>
      </c>
      <c r="T935" s="10" t="n">
        <v>509</v>
      </c>
      <c r="U935" s="10" t="n">
        <v>72</v>
      </c>
      <c r="V935" s="10">
        <f>ROUNDUP((T935+U935+2*'Read Me'!$B$13)*(1+'Read Me'!$B$12),-1)</f>
        <v/>
      </c>
      <c r="W935" s="10">
        <f>V935*N935*O935</f>
        <v/>
      </c>
      <c r="X935" s="9">
        <f>IF(LEFT(I935,2)="MV",2*N935*IF(L935="1/C",O935,1),0)</f>
        <v/>
      </c>
      <c r="Y935" s="9">
        <f>IF(OR(LEFT(K935,4)="LVAX",LEFT(K935,6)="MV15AX",LEFT(K935,4)="CTAX",LEFT(K935,2)="W|"),2*N935*O935,0)</f>
        <v/>
      </c>
      <c r="Z935" s="9" t="inlineStr"/>
    </row>
    <row r="936">
      <c r="A936" s="9" t="inlineStr">
        <is>
          <t>B-C-0069</t>
        </is>
      </c>
      <c r="B936" s="9" t="inlineStr">
        <is>
          <t>B</t>
        </is>
      </c>
      <c r="C936" s="9" t="inlineStr">
        <is>
          <t>ACC</t>
        </is>
      </c>
      <c r="D936" s="9" t="inlineStr">
        <is>
          <t>ACC fan F69 vibration / RTD / local station</t>
        </is>
      </c>
      <c r="E936" s="9" t="inlineStr">
        <is>
          <t>R4</t>
        </is>
      </c>
      <c r="F936" s="9" t="inlineStr">
        <is>
          <t>R4: ACC electrical (VFD) e-house (60 x 120 ft)</t>
        </is>
      </c>
      <c r="G936" s="9" t="inlineStr">
        <is>
          <t>ACC-F69</t>
        </is>
      </c>
      <c r="H936" s="9" t="inlineStr">
        <is>
          <t>ACC fan motor F69</t>
        </is>
      </c>
      <c r="I936" s="9" t="inlineStr">
        <is>
          <t>Control</t>
        </is>
      </c>
      <c r="J936" s="9" t="inlineStr">
        <is>
          <t>Control cable 600 V Type TC-ER, Cu #14 AWG, PVC jacket</t>
        </is>
      </c>
      <c r="K936" s="9" t="inlineStr">
        <is>
          <t>CT|7/C|14</t>
        </is>
      </c>
      <c r="L936" s="9" t="inlineStr">
        <is>
          <t>7/C</t>
        </is>
      </c>
      <c r="M936" s="9" t="inlineStr">
        <is>
          <t>14</t>
        </is>
      </c>
      <c r="N936" s="9" t="n">
        <v>1</v>
      </c>
      <c r="O936" s="9" t="n">
        <v>1</v>
      </c>
      <c r="P936" s="9" t="n"/>
      <c r="Q936" s="9" t="n"/>
      <c r="R936" s="9" t="n"/>
      <c r="S936" s="9" t="inlineStr">
        <is>
          <t>Tray</t>
        </is>
      </c>
      <c r="T936" s="10" t="n">
        <v>541</v>
      </c>
      <c r="U936" s="10" t="n">
        <v>72</v>
      </c>
      <c r="V936" s="10">
        <f>ROUNDUP((T936+U936+2*'Read Me'!$B$13)*(1+'Read Me'!$B$12),-1)</f>
        <v/>
      </c>
      <c r="W936" s="10">
        <f>V936*N936*O936</f>
        <v/>
      </c>
      <c r="X936" s="9">
        <f>IF(LEFT(I936,2)="MV",2*N936*IF(L936="1/C",O936,1),0)</f>
        <v/>
      </c>
      <c r="Y936" s="9">
        <f>IF(OR(LEFT(K936,4)="LVAX",LEFT(K936,6)="MV15AX",LEFT(K936,4)="CTAX",LEFT(K936,2)="W|"),2*N936*O936,0)</f>
        <v/>
      </c>
      <c r="Z936" s="9" t="inlineStr"/>
    </row>
    <row r="937">
      <c r="A937" s="9" t="inlineStr">
        <is>
          <t>B-C-0070</t>
        </is>
      </c>
      <c r="B937" s="9" t="inlineStr">
        <is>
          <t>B</t>
        </is>
      </c>
      <c r="C937" s="9" t="inlineStr">
        <is>
          <t>ACC</t>
        </is>
      </c>
      <c r="D937" s="9" t="inlineStr">
        <is>
          <t>ACC fan F70 vibration / RTD / local station</t>
        </is>
      </c>
      <c r="E937" s="9" t="inlineStr">
        <is>
          <t>R4</t>
        </is>
      </c>
      <c r="F937" s="9" t="inlineStr">
        <is>
          <t>R4: ACC electrical (VFD) e-house (60 x 120 ft)</t>
        </is>
      </c>
      <c r="G937" s="9" t="inlineStr">
        <is>
          <t>ACC-F70</t>
        </is>
      </c>
      <c r="H937" s="9" t="inlineStr">
        <is>
          <t>ACC fan motor F70</t>
        </is>
      </c>
      <c r="I937" s="9" t="inlineStr">
        <is>
          <t>Control</t>
        </is>
      </c>
      <c r="J937" s="9" t="inlineStr">
        <is>
          <t>Control cable 600 V Type TC-ER, Cu #14 AWG, PVC jacket</t>
        </is>
      </c>
      <c r="K937" s="9" t="inlineStr">
        <is>
          <t>CT|7/C|14</t>
        </is>
      </c>
      <c r="L937" s="9" t="inlineStr">
        <is>
          <t>7/C</t>
        </is>
      </c>
      <c r="M937" s="9" t="inlineStr">
        <is>
          <t>14</t>
        </is>
      </c>
      <c r="N937" s="9" t="n">
        <v>1</v>
      </c>
      <c r="O937" s="9" t="n">
        <v>1</v>
      </c>
      <c r="P937" s="9" t="n"/>
      <c r="Q937" s="9" t="n"/>
      <c r="R937" s="9" t="n"/>
      <c r="S937" s="9" t="inlineStr">
        <is>
          <t>Tray</t>
        </is>
      </c>
      <c r="T937" s="10" t="n">
        <v>573</v>
      </c>
      <c r="U937" s="10" t="n">
        <v>72</v>
      </c>
      <c r="V937" s="10">
        <f>ROUNDUP((T937+U937+2*'Read Me'!$B$13)*(1+'Read Me'!$B$12),-1)</f>
        <v/>
      </c>
      <c r="W937" s="10">
        <f>V937*N937*O937</f>
        <v/>
      </c>
      <c r="X937" s="9">
        <f>IF(LEFT(I937,2)="MV",2*N937*IF(L937="1/C",O937,1),0)</f>
        <v/>
      </c>
      <c r="Y937" s="9">
        <f>IF(OR(LEFT(K937,4)="LVAX",LEFT(K937,6)="MV15AX",LEFT(K937,4)="CTAX",LEFT(K937,2)="W|"),2*N937*O937,0)</f>
        <v/>
      </c>
      <c r="Z937" s="9" t="inlineStr"/>
    </row>
    <row r="938">
      <c r="A938" s="9" t="inlineStr">
        <is>
          <t>B-C-0071</t>
        </is>
      </c>
      <c r="B938" s="9" t="inlineStr">
        <is>
          <t>B</t>
        </is>
      </c>
      <c r="C938" s="9" t="inlineStr">
        <is>
          <t>ACC</t>
        </is>
      </c>
      <c r="D938" s="9" t="inlineStr">
        <is>
          <t>ACC fan F71 vibration / RTD / local station</t>
        </is>
      </c>
      <c r="E938" s="9" t="inlineStr">
        <is>
          <t>R4</t>
        </is>
      </c>
      <c r="F938" s="9" t="inlineStr">
        <is>
          <t>R4: ACC electrical (VFD) e-house (60 x 120 ft)</t>
        </is>
      </c>
      <c r="G938" s="9" t="inlineStr">
        <is>
          <t>ACC-F71</t>
        </is>
      </c>
      <c r="H938" s="9" t="inlineStr">
        <is>
          <t>ACC fan motor F71</t>
        </is>
      </c>
      <c r="I938" s="9" t="inlineStr">
        <is>
          <t>Control</t>
        </is>
      </c>
      <c r="J938" s="9" t="inlineStr">
        <is>
          <t>Control cable 600 V Type TC-ER, Cu #14 AWG, PVC jacket</t>
        </is>
      </c>
      <c r="K938" s="9" t="inlineStr">
        <is>
          <t>CT|7/C|14</t>
        </is>
      </c>
      <c r="L938" s="9" t="inlineStr">
        <is>
          <t>7/C</t>
        </is>
      </c>
      <c r="M938" s="9" t="inlineStr">
        <is>
          <t>14</t>
        </is>
      </c>
      <c r="N938" s="9" t="n">
        <v>1</v>
      </c>
      <c r="O938" s="9" t="n">
        <v>1</v>
      </c>
      <c r="P938" s="9" t="n"/>
      <c r="Q938" s="9" t="n"/>
      <c r="R938" s="9" t="n"/>
      <c r="S938" s="9" t="inlineStr">
        <is>
          <t>Tray</t>
        </is>
      </c>
      <c r="T938" s="10" t="n">
        <v>623</v>
      </c>
      <c r="U938" s="10" t="n">
        <v>72</v>
      </c>
      <c r="V938" s="10">
        <f>ROUNDUP((T938+U938+2*'Read Me'!$B$13)*(1+'Read Me'!$B$12),-1)</f>
        <v/>
      </c>
      <c r="W938" s="10">
        <f>V938*N938*O938</f>
        <v/>
      </c>
      <c r="X938" s="9">
        <f>IF(LEFT(I938,2)="MV",2*N938*IF(L938="1/C",O938,1),0)</f>
        <v/>
      </c>
      <c r="Y938" s="9">
        <f>IF(OR(LEFT(K938,4)="LVAX",LEFT(K938,6)="MV15AX",LEFT(K938,4)="CTAX",LEFT(K938,2)="W|"),2*N938*O938,0)</f>
        <v/>
      </c>
      <c r="Z938" s="9" t="inlineStr"/>
    </row>
    <row r="939">
      <c r="A939" s="9" t="inlineStr">
        <is>
          <t>B-C-0072</t>
        </is>
      </c>
      <c r="B939" s="9" t="inlineStr">
        <is>
          <t>B</t>
        </is>
      </c>
      <c r="C939" s="9" t="inlineStr">
        <is>
          <t>ACC</t>
        </is>
      </c>
      <c r="D939" s="9" t="inlineStr">
        <is>
          <t>ACC fan F72 vibration / RTD / local station</t>
        </is>
      </c>
      <c r="E939" s="9" t="inlineStr">
        <is>
          <t>R4</t>
        </is>
      </c>
      <c r="F939" s="9" t="inlineStr">
        <is>
          <t>R4: ACC electrical (VFD) e-house (60 x 120 ft)</t>
        </is>
      </c>
      <c r="G939" s="9" t="inlineStr">
        <is>
          <t>ACC-F72</t>
        </is>
      </c>
      <c r="H939" s="9" t="inlineStr">
        <is>
          <t>ACC fan motor F72</t>
        </is>
      </c>
      <c r="I939" s="9" t="inlineStr">
        <is>
          <t>Control</t>
        </is>
      </c>
      <c r="J939" s="9" t="inlineStr">
        <is>
          <t>Control cable 600 V Type TC-ER, Cu #14 AWG, PVC jacket</t>
        </is>
      </c>
      <c r="K939" s="9" t="inlineStr">
        <is>
          <t>CT|7/C|14</t>
        </is>
      </c>
      <c r="L939" s="9" t="inlineStr">
        <is>
          <t>7/C</t>
        </is>
      </c>
      <c r="M939" s="9" t="inlineStr">
        <is>
          <t>14</t>
        </is>
      </c>
      <c r="N939" s="9" t="n">
        <v>1</v>
      </c>
      <c r="O939" s="9" t="n">
        <v>1</v>
      </c>
      <c r="P939" s="9" t="n"/>
      <c r="Q939" s="9" t="n"/>
      <c r="R939" s="9" t="n"/>
      <c r="S939" s="9" t="inlineStr">
        <is>
          <t>Tray</t>
        </is>
      </c>
      <c r="T939" s="10" t="n">
        <v>591</v>
      </c>
      <c r="U939" s="10" t="n">
        <v>72</v>
      </c>
      <c r="V939" s="10">
        <f>ROUNDUP((T939+U939+2*'Read Me'!$B$13)*(1+'Read Me'!$B$12),-1)</f>
        <v/>
      </c>
      <c r="W939" s="10">
        <f>V939*N939*O939</f>
        <v/>
      </c>
      <c r="X939" s="9">
        <f>IF(LEFT(I939,2)="MV",2*N939*IF(L939="1/C",O939,1),0)</f>
        <v/>
      </c>
      <c r="Y939" s="9">
        <f>IF(OR(LEFT(K939,4)="LVAX",LEFT(K939,6)="MV15AX",LEFT(K939,4)="CTAX",LEFT(K939,2)="W|"),2*N939*O939,0)</f>
        <v/>
      </c>
      <c r="Z939" s="9" t="inlineStr"/>
    </row>
    <row r="940">
      <c r="A940" s="9" t="inlineStr">
        <is>
          <t>B-C-0073</t>
        </is>
      </c>
      <c r="B940" s="9" t="inlineStr">
        <is>
          <t>B</t>
        </is>
      </c>
      <c r="C940" s="9" t="inlineStr">
        <is>
          <t>ACC</t>
        </is>
      </c>
      <c r="D940" s="9" t="inlineStr">
        <is>
          <t>ACC fan F73 vibration / RTD / local station</t>
        </is>
      </c>
      <c r="E940" s="9" t="inlineStr">
        <is>
          <t>R4</t>
        </is>
      </c>
      <c r="F940" s="9" t="inlineStr">
        <is>
          <t>R4: ACC electrical (VFD) e-house (60 x 120 ft)</t>
        </is>
      </c>
      <c r="G940" s="9" t="inlineStr">
        <is>
          <t>ACC-F73</t>
        </is>
      </c>
      <c r="H940" s="9" t="inlineStr">
        <is>
          <t>ACC fan motor F73</t>
        </is>
      </c>
      <c r="I940" s="9" t="inlineStr">
        <is>
          <t>Control</t>
        </is>
      </c>
      <c r="J940" s="9" t="inlineStr">
        <is>
          <t>Control cable 600 V Type TC-ER, Cu #14 AWG, PVC jacket</t>
        </is>
      </c>
      <c r="K940" s="9" t="inlineStr">
        <is>
          <t>CT|7/C|14</t>
        </is>
      </c>
      <c r="L940" s="9" t="inlineStr">
        <is>
          <t>7/C</t>
        </is>
      </c>
      <c r="M940" s="9" t="inlineStr">
        <is>
          <t>14</t>
        </is>
      </c>
      <c r="N940" s="9" t="n">
        <v>1</v>
      </c>
      <c r="O940" s="9" t="n">
        <v>1</v>
      </c>
      <c r="P940" s="9" t="n"/>
      <c r="Q940" s="9" t="n"/>
      <c r="R940" s="9" t="n"/>
      <c r="S940" s="9" t="inlineStr">
        <is>
          <t>Tray</t>
        </is>
      </c>
      <c r="T940" s="10" t="n">
        <v>559</v>
      </c>
      <c r="U940" s="10" t="n">
        <v>72</v>
      </c>
      <c r="V940" s="10">
        <f>ROUNDUP((T940+U940+2*'Read Me'!$B$13)*(1+'Read Me'!$B$12),-1)</f>
        <v/>
      </c>
      <c r="W940" s="10">
        <f>V940*N940*O940</f>
        <v/>
      </c>
      <c r="X940" s="9">
        <f>IF(LEFT(I940,2)="MV",2*N940*IF(L940="1/C",O940,1),0)</f>
        <v/>
      </c>
      <c r="Y940" s="9">
        <f>IF(OR(LEFT(K940,4)="LVAX",LEFT(K940,6)="MV15AX",LEFT(K940,4)="CTAX",LEFT(K940,2)="W|"),2*N940*O940,0)</f>
        <v/>
      </c>
      <c r="Z940" s="9" t="inlineStr"/>
    </row>
    <row r="941">
      <c r="A941" s="9" t="inlineStr">
        <is>
          <t>B-C-0074</t>
        </is>
      </c>
      <c r="B941" s="9" t="inlineStr">
        <is>
          <t>B</t>
        </is>
      </c>
      <c r="C941" s="9" t="inlineStr">
        <is>
          <t>ACC</t>
        </is>
      </c>
      <c r="D941" s="9" t="inlineStr">
        <is>
          <t>ACC fan F74 vibration / RTD / local station</t>
        </is>
      </c>
      <c r="E941" s="9" t="inlineStr">
        <is>
          <t>R4</t>
        </is>
      </c>
      <c r="F941" s="9" t="inlineStr">
        <is>
          <t>R4: ACC electrical (VFD) e-house (60 x 120 ft)</t>
        </is>
      </c>
      <c r="G941" s="9" t="inlineStr">
        <is>
          <t>ACC-F74</t>
        </is>
      </c>
      <c r="H941" s="9" t="inlineStr">
        <is>
          <t>ACC fan motor F74</t>
        </is>
      </c>
      <c r="I941" s="9" t="inlineStr">
        <is>
          <t>Control</t>
        </is>
      </c>
      <c r="J941" s="9" t="inlineStr">
        <is>
          <t>Control cable 600 V Type TC-ER, Cu #14 AWG, PVC jacket</t>
        </is>
      </c>
      <c r="K941" s="9" t="inlineStr">
        <is>
          <t>CT|7/C|14</t>
        </is>
      </c>
      <c r="L941" s="9" t="inlineStr">
        <is>
          <t>7/C</t>
        </is>
      </c>
      <c r="M941" s="9" t="inlineStr">
        <is>
          <t>14</t>
        </is>
      </c>
      <c r="N941" s="9" t="n">
        <v>1</v>
      </c>
      <c r="O941" s="9" t="n">
        <v>1</v>
      </c>
      <c r="P941" s="9" t="n"/>
      <c r="Q941" s="9" t="n"/>
      <c r="R941" s="9" t="n"/>
      <c r="S941" s="9" t="inlineStr">
        <is>
          <t>Tray</t>
        </is>
      </c>
      <c r="T941" s="10" t="n">
        <v>527</v>
      </c>
      <c r="U941" s="10" t="n">
        <v>72</v>
      </c>
      <c r="V941" s="10">
        <f>ROUNDUP((T941+U941+2*'Read Me'!$B$13)*(1+'Read Me'!$B$12),-1)</f>
        <v/>
      </c>
      <c r="W941" s="10">
        <f>V941*N941*O941</f>
        <v/>
      </c>
      <c r="X941" s="9">
        <f>IF(LEFT(I941,2)="MV",2*N941*IF(L941="1/C",O941,1),0)</f>
        <v/>
      </c>
      <c r="Y941" s="9">
        <f>IF(OR(LEFT(K941,4)="LVAX",LEFT(K941,6)="MV15AX",LEFT(K941,4)="CTAX",LEFT(K941,2)="W|"),2*N941*O941,0)</f>
        <v/>
      </c>
      <c r="Z941" s="9" t="inlineStr"/>
    </row>
    <row r="942">
      <c r="A942" s="9" t="inlineStr">
        <is>
          <t>B-C-0075</t>
        </is>
      </c>
      <c r="B942" s="9" t="inlineStr">
        <is>
          <t>B</t>
        </is>
      </c>
      <c r="C942" s="9" t="inlineStr">
        <is>
          <t>ACC</t>
        </is>
      </c>
      <c r="D942" s="9" t="inlineStr">
        <is>
          <t>ACC fan F75 vibration / RTD / local station</t>
        </is>
      </c>
      <c r="E942" s="9" t="inlineStr">
        <is>
          <t>R4</t>
        </is>
      </c>
      <c r="F942" s="9" t="inlineStr">
        <is>
          <t>R4: ACC electrical (VFD) e-house (60 x 120 ft)</t>
        </is>
      </c>
      <c r="G942" s="9" t="inlineStr">
        <is>
          <t>ACC-F75</t>
        </is>
      </c>
      <c r="H942" s="9" t="inlineStr">
        <is>
          <t>ACC fan motor F75</t>
        </is>
      </c>
      <c r="I942" s="9" t="inlineStr">
        <is>
          <t>Control</t>
        </is>
      </c>
      <c r="J942" s="9" t="inlineStr">
        <is>
          <t>Control cable 600 V Type TC-ER, Cu #14 AWG, PVC jacket</t>
        </is>
      </c>
      <c r="K942" s="9" t="inlineStr">
        <is>
          <t>CT|7/C|14</t>
        </is>
      </c>
      <c r="L942" s="9" t="inlineStr">
        <is>
          <t>7/C</t>
        </is>
      </c>
      <c r="M942" s="9" t="inlineStr">
        <is>
          <t>14</t>
        </is>
      </c>
      <c r="N942" s="9" t="n">
        <v>1</v>
      </c>
      <c r="O942" s="9" t="n">
        <v>1</v>
      </c>
      <c r="P942" s="9" t="n"/>
      <c r="Q942" s="9" t="n"/>
      <c r="R942" s="9" t="n"/>
      <c r="S942" s="9" t="inlineStr">
        <is>
          <t>Tray</t>
        </is>
      </c>
      <c r="T942" s="10" t="n">
        <v>495</v>
      </c>
      <c r="U942" s="10" t="n">
        <v>72</v>
      </c>
      <c r="V942" s="10">
        <f>ROUNDUP((T942+U942+2*'Read Me'!$B$13)*(1+'Read Me'!$B$12),-1)</f>
        <v/>
      </c>
      <c r="W942" s="10">
        <f>V942*N942*O942</f>
        <v/>
      </c>
      <c r="X942" s="9">
        <f>IF(LEFT(I942,2)="MV",2*N942*IF(L942="1/C",O942,1),0)</f>
        <v/>
      </c>
      <c r="Y942" s="9">
        <f>IF(OR(LEFT(K942,4)="LVAX",LEFT(K942,6)="MV15AX",LEFT(K942,4)="CTAX",LEFT(K942,2)="W|"),2*N942*O942,0)</f>
        <v/>
      </c>
      <c r="Z942" s="9" t="inlineStr"/>
    </row>
    <row r="943">
      <c r="A943" s="9" t="inlineStr">
        <is>
          <t>B-C-0076</t>
        </is>
      </c>
      <c r="B943" s="9" t="inlineStr">
        <is>
          <t>B</t>
        </is>
      </c>
      <c r="C943" s="9" t="inlineStr">
        <is>
          <t>ACC</t>
        </is>
      </c>
      <c r="D943" s="9" t="inlineStr">
        <is>
          <t>ACC fan F76 vibration / RTD / local station</t>
        </is>
      </c>
      <c r="E943" s="9" t="inlineStr">
        <is>
          <t>R4</t>
        </is>
      </c>
      <c r="F943" s="9" t="inlineStr">
        <is>
          <t>R4: ACC electrical (VFD) e-house (60 x 120 ft)</t>
        </is>
      </c>
      <c r="G943" s="9" t="inlineStr">
        <is>
          <t>ACC-F76</t>
        </is>
      </c>
      <c r="H943" s="9" t="inlineStr">
        <is>
          <t>ACC fan motor F76</t>
        </is>
      </c>
      <c r="I943" s="9" t="inlineStr">
        <is>
          <t>Control</t>
        </is>
      </c>
      <c r="J943" s="9" t="inlineStr">
        <is>
          <t>Control cable 600 V Type TC-ER, Cu #14 AWG, PVC jacket</t>
        </is>
      </c>
      <c r="K943" s="9" t="inlineStr">
        <is>
          <t>CT|7/C|14</t>
        </is>
      </c>
      <c r="L943" s="9" t="inlineStr">
        <is>
          <t>7/C</t>
        </is>
      </c>
      <c r="M943" s="9" t="inlineStr">
        <is>
          <t>14</t>
        </is>
      </c>
      <c r="N943" s="9" t="n">
        <v>1</v>
      </c>
      <c r="O943" s="9" t="n">
        <v>1</v>
      </c>
      <c r="P943" s="9" t="n"/>
      <c r="Q943" s="9" t="n"/>
      <c r="R943" s="9" t="n"/>
      <c r="S943" s="9" t="inlineStr">
        <is>
          <t>Tray</t>
        </is>
      </c>
      <c r="T943" s="10" t="n">
        <v>495</v>
      </c>
      <c r="U943" s="10" t="n">
        <v>72</v>
      </c>
      <c r="V943" s="10">
        <f>ROUNDUP((T943+U943+2*'Read Me'!$B$13)*(1+'Read Me'!$B$12),-1)</f>
        <v/>
      </c>
      <c r="W943" s="10">
        <f>V943*N943*O943</f>
        <v/>
      </c>
      <c r="X943" s="9">
        <f>IF(LEFT(I943,2)="MV",2*N943*IF(L943="1/C",O943,1),0)</f>
        <v/>
      </c>
      <c r="Y943" s="9">
        <f>IF(OR(LEFT(K943,4)="LVAX",LEFT(K943,6)="MV15AX",LEFT(K943,4)="CTAX",LEFT(K943,2)="W|"),2*N943*O943,0)</f>
        <v/>
      </c>
      <c r="Z943" s="9" t="inlineStr"/>
    </row>
    <row r="944">
      <c r="A944" s="9" t="inlineStr">
        <is>
          <t>B-C-0077</t>
        </is>
      </c>
      <c r="B944" s="9" t="inlineStr">
        <is>
          <t>B</t>
        </is>
      </c>
      <c r="C944" s="9" t="inlineStr">
        <is>
          <t>ACC</t>
        </is>
      </c>
      <c r="D944" s="9" t="inlineStr">
        <is>
          <t>ACC fan F77 vibration / RTD / local station</t>
        </is>
      </c>
      <c r="E944" s="9" t="inlineStr">
        <is>
          <t>R4</t>
        </is>
      </c>
      <c r="F944" s="9" t="inlineStr">
        <is>
          <t>R4: ACC electrical (VFD) e-house (60 x 120 ft)</t>
        </is>
      </c>
      <c r="G944" s="9" t="inlineStr">
        <is>
          <t>ACC-F77</t>
        </is>
      </c>
      <c r="H944" s="9" t="inlineStr">
        <is>
          <t>ACC fan motor F77</t>
        </is>
      </c>
      <c r="I944" s="9" t="inlineStr">
        <is>
          <t>Control</t>
        </is>
      </c>
      <c r="J944" s="9" t="inlineStr">
        <is>
          <t>Control cable 600 V Type TC-ER, Cu #14 AWG, PVC jacket</t>
        </is>
      </c>
      <c r="K944" s="9" t="inlineStr">
        <is>
          <t>CT|7/C|14</t>
        </is>
      </c>
      <c r="L944" s="9" t="inlineStr">
        <is>
          <t>7/C</t>
        </is>
      </c>
      <c r="M944" s="9" t="inlineStr">
        <is>
          <t>14</t>
        </is>
      </c>
      <c r="N944" s="9" t="n">
        <v>1</v>
      </c>
      <c r="O944" s="9" t="n">
        <v>1</v>
      </c>
      <c r="P944" s="9" t="n"/>
      <c r="Q944" s="9" t="n"/>
      <c r="R944" s="9" t="n"/>
      <c r="S944" s="9" t="inlineStr">
        <is>
          <t>Tray</t>
        </is>
      </c>
      <c r="T944" s="10" t="n">
        <v>527</v>
      </c>
      <c r="U944" s="10" t="n">
        <v>72</v>
      </c>
      <c r="V944" s="10">
        <f>ROUNDUP((T944+U944+2*'Read Me'!$B$13)*(1+'Read Me'!$B$12),-1)</f>
        <v/>
      </c>
      <c r="W944" s="10">
        <f>V944*N944*O944</f>
        <v/>
      </c>
      <c r="X944" s="9">
        <f>IF(LEFT(I944,2)="MV",2*N944*IF(L944="1/C",O944,1),0)</f>
        <v/>
      </c>
      <c r="Y944" s="9">
        <f>IF(OR(LEFT(K944,4)="LVAX",LEFT(K944,6)="MV15AX",LEFT(K944,4)="CTAX",LEFT(K944,2)="W|"),2*N944*O944,0)</f>
        <v/>
      </c>
      <c r="Z944" s="9" t="inlineStr"/>
    </row>
    <row r="945">
      <c r="A945" s="9" t="inlineStr">
        <is>
          <t>B-C-0078</t>
        </is>
      </c>
      <c r="B945" s="9" t="inlineStr">
        <is>
          <t>B</t>
        </is>
      </c>
      <c r="C945" s="9" t="inlineStr">
        <is>
          <t>ACC</t>
        </is>
      </c>
      <c r="D945" s="9" t="inlineStr">
        <is>
          <t>ACC fan F78 vibration / RTD / local station</t>
        </is>
      </c>
      <c r="E945" s="9" t="inlineStr">
        <is>
          <t>R4</t>
        </is>
      </c>
      <c r="F945" s="9" t="inlineStr">
        <is>
          <t>R4: ACC electrical (VFD) e-house (60 x 120 ft)</t>
        </is>
      </c>
      <c r="G945" s="9" t="inlineStr">
        <is>
          <t>ACC-F78</t>
        </is>
      </c>
      <c r="H945" s="9" t="inlineStr">
        <is>
          <t>ACC fan motor F78</t>
        </is>
      </c>
      <c r="I945" s="9" t="inlineStr">
        <is>
          <t>Control</t>
        </is>
      </c>
      <c r="J945" s="9" t="inlineStr">
        <is>
          <t>Control cable 600 V Type TC-ER, Cu #14 AWG, PVC jacket</t>
        </is>
      </c>
      <c r="K945" s="9" t="inlineStr">
        <is>
          <t>CT|7/C|14</t>
        </is>
      </c>
      <c r="L945" s="9" t="inlineStr">
        <is>
          <t>7/C</t>
        </is>
      </c>
      <c r="M945" s="9" t="inlineStr">
        <is>
          <t>14</t>
        </is>
      </c>
      <c r="N945" s="9" t="n">
        <v>1</v>
      </c>
      <c r="O945" s="9" t="n">
        <v>1</v>
      </c>
      <c r="P945" s="9" t="n"/>
      <c r="Q945" s="9" t="n"/>
      <c r="R945" s="9" t="n"/>
      <c r="S945" s="9" t="inlineStr">
        <is>
          <t>Tray</t>
        </is>
      </c>
      <c r="T945" s="10" t="n">
        <v>559</v>
      </c>
      <c r="U945" s="10" t="n">
        <v>72</v>
      </c>
      <c r="V945" s="10">
        <f>ROUNDUP((T945+U945+2*'Read Me'!$B$13)*(1+'Read Me'!$B$12),-1)</f>
        <v/>
      </c>
      <c r="W945" s="10">
        <f>V945*N945*O945</f>
        <v/>
      </c>
      <c r="X945" s="9">
        <f>IF(LEFT(I945,2)="MV",2*N945*IF(L945="1/C",O945,1),0)</f>
        <v/>
      </c>
      <c r="Y945" s="9">
        <f>IF(OR(LEFT(K945,4)="LVAX",LEFT(K945,6)="MV15AX",LEFT(K945,4)="CTAX",LEFT(K945,2)="W|"),2*N945*O945,0)</f>
        <v/>
      </c>
      <c r="Z945" s="9" t="inlineStr"/>
    </row>
    <row r="946">
      <c r="A946" s="9" t="inlineStr">
        <is>
          <t>B-C-0079</t>
        </is>
      </c>
      <c r="B946" s="9" t="inlineStr">
        <is>
          <t>B</t>
        </is>
      </c>
      <c r="C946" s="9" t="inlineStr">
        <is>
          <t>ACC</t>
        </is>
      </c>
      <c r="D946" s="9" t="inlineStr">
        <is>
          <t>ACC fan F79 vibration / RTD / local station</t>
        </is>
      </c>
      <c r="E946" s="9" t="inlineStr">
        <is>
          <t>R4</t>
        </is>
      </c>
      <c r="F946" s="9" t="inlineStr">
        <is>
          <t>R4: ACC electrical (VFD) e-house (60 x 120 ft)</t>
        </is>
      </c>
      <c r="G946" s="9" t="inlineStr">
        <is>
          <t>ACC-F79</t>
        </is>
      </c>
      <c r="H946" s="9" t="inlineStr">
        <is>
          <t>ACC fan motor F79</t>
        </is>
      </c>
      <c r="I946" s="9" t="inlineStr">
        <is>
          <t>Control</t>
        </is>
      </c>
      <c r="J946" s="9" t="inlineStr">
        <is>
          <t>Control cable 600 V Type TC-ER, Cu #14 AWG, PVC jacket</t>
        </is>
      </c>
      <c r="K946" s="9" t="inlineStr">
        <is>
          <t>CT|7/C|14</t>
        </is>
      </c>
      <c r="L946" s="9" t="inlineStr">
        <is>
          <t>7/C</t>
        </is>
      </c>
      <c r="M946" s="9" t="inlineStr">
        <is>
          <t>14</t>
        </is>
      </c>
      <c r="N946" s="9" t="n">
        <v>1</v>
      </c>
      <c r="O946" s="9" t="n">
        <v>1</v>
      </c>
      <c r="P946" s="9" t="n"/>
      <c r="Q946" s="9" t="n"/>
      <c r="R946" s="9" t="n"/>
      <c r="S946" s="9" t="inlineStr">
        <is>
          <t>Tray</t>
        </is>
      </c>
      <c r="T946" s="10" t="n">
        <v>591</v>
      </c>
      <c r="U946" s="10" t="n">
        <v>72</v>
      </c>
      <c r="V946" s="10">
        <f>ROUNDUP((T946+U946+2*'Read Me'!$B$13)*(1+'Read Me'!$B$12),-1)</f>
        <v/>
      </c>
      <c r="W946" s="10">
        <f>V946*N946*O946</f>
        <v/>
      </c>
      <c r="X946" s="9">
        <f>IF(LEFT(I946,2)="MV",2*N946*IF(L946="1/C",O946,1),0)</f>
        <v/>
      </c>
      <c r="Y946" s="9">
        <f>IF(OR(LEFT(K946,4)="LVAX",LEFT(K946,6)="MV15AX",LEFT(K946,4)="CTAX",LEFT(K946,2)="W|"),2*N946*O946,0)</f>
        <v/>
      </c>
      <c r="Z946" s="9" t="inlineStr"/>
    </row>
    <row r="947">
      <c r="A947" s="9" t="inlineStr">
        <is>
          <t>B-C-0080</t>
        </is>
      </c>
      <c r="B947" s="9" t="inlineStr">
        <is>
          <t>B</t>
        </is>
      </c>
      <c r="C947" s="9" t="inlineStr">
        <is>
          <t>ACC</t>
        </is>
      </c>
      <c r="D947" s="9" t="inlineStr">
        <is>
          <t>ACC fan F80 vibration / RTD / local station</t>
        </is>
      </c>
      <c r="E947" s="9" t="inlineStr">
        <is>
          <t>R4</t>
        </is>
      </c>
      <c r="F947" s="9" t="inlineStr">
        <is>
          <t>R4: ACC electrical (VFD) e-house (60 x 120 ft)</t>
        </is>
      </c>
      <c r="G947" s="9" t="inlineStr">
        <is>
          <t>ACC-F80</t>
        </is>
      </c>
      <c r="H947" s="9" t="inlineStr">
        <is>
          <t>ACC fan motor F80</t>
        </is>
      </c>
      <c r="I947" s="9" t="inlineStr">
        <is>
          <t>Control</t>
        </is>
      </c>
      <c r="J947" s="9" t="inlineStr">
        <is>
          <t>Control cable 600 V Type TC-ER, Cu #14 AWG, PVC jacket</t>
        </is>
      </c>
      <c r="K947" s="9" t="inlineStr">
        <is>
          <t>CT|7/C|14</t>
        </is>
      </c>
      <c r="L947" s="9" t="inlineStr">
        <is>
          <t>7/C</t>
        </is>
      </c>
      <c r="M947" s="9" t="inlineStr">
        <is>
          <t>14</t>
        </is>
      </c>
      <c r="N947" s="9" t="n">
        <v>1</v>
      </c>
      <c r="O947" s="9" t="n">
        <v>1</v>
      </c>
      <c r="P947" s="9" t="n"/>
      <c r="Q947" s="9" t="n"/>
      <c r="R947" s="9" t="n"/>
      <c r="S947" s="9" t="inlineStr">
        <is>
          <t>Tray</t>
        </is>
      </c>
      <c r="T947" s="10" t="n">
        <v>623</v>
      </c>
      <c r="U947" s="10" t="n">
        <v>72</v>
      </c>
      <c r="V947" s="10">
        <f>ROUNDUP((T947+U947+2*'Read Me'!$B$13)*(1+'Read Me'!$B$12),-1)</f>
        <v/>
      </c>
      <c r="W947" s="10">
        <f>V947*N947*O947</f>
        <v/>
      </c>
      <c r="X947" s="9">
        <f>IF(LEFT(I947,2)="MV",2*N947*IF(L947="1/C",O947,1),0)</f>
        <v/>
      </c>
      <c r="Y947" s="9">
        <f>IF(OR(LEFT(K947,4)="LVAX",LEFT(K947,6)="MV15AX",LEFT(K947,4)="CTAX",LEFT(K947,2)="W|"),2*N947*O947,0)</f>
        <v/>
      </c>
      <c r="Z947" s="9" t="inlineStr"/>
    </row>
    <row r="948">
      <c r="A948" s="9" t="inlineStr">
        <is>
          <t>B-C-0081</t>
        </is>
      </c>
      <c r="B948" s="9" t="inlineStr">
        <is>
          <t>B</t>
        </is>
      </c>
      <c r="C948" s="9" t="inlineStr">
        <is>
          <t>ACC</t>
        </is>
      </c>
      <c r="D948" s="9" t="inlineStr">
        <is>
          <t>Control</t>
        </is>
      </c>
      <c r="E948" s="9" t="inlineStr">
        <is>
          <t>R4</t>
        </is>
      </c>
      <c r="F948" s="9" t="inlineStr">
        <is>
          <t>R4: ACC electrical (VFD) e-house (60 x 120 ft)</t>
        </is>
      </c>
      <c r="G948" s="9" t="inlineStr">
        <is>
          <t>ACC</t>
        </is>
      </c>
      <c r="H948" s="9" t="inlineStr">
        <is>
          <t>Air-cooled condenser, 80 cells (steam-cycle heat rejection)</t>
        </is>
      </c>
      <c r="I948" s="9" t="inlineStr">
        <is>
          <t>Control</t>
        </is>
      </c>
      <c r="J948" s="9" t="inlineStr">
        <is>
          <t>Control cable 600 V Type TC-ER, Cu #14 AWG, PVC jacket</t>
        </is>
      </c>
      <c r="K948" s="9" t="inlineStr">
        <is>
          <t>CT|7/C|14</t>
        </is>
      </c>
      <c r="L948" s="9" t="inlineStr">
        <is>
          <t>7/C</t>
        </is>
      </c>
      <c r="M948" s="9" t="inlineStr">
        <is>
          <t>14</t>
        </is>
      </c>
      <c r="N948" s="9" t="n">
        <v>1</v>
      </c>
      <c r="O948" s="9" t="n">
        <v>1</v>
      </c>
      <c r="P948" s="9" t="n"/>
      <c r="Q948" s="9" t="n"/>
      <c r="R948" s="9" t="n"/>
      <c r="S948" s="9" t="inlineStr">
        <is>
          <t>Tray</t>
        </is>
      </c>
      <c r="T948" s="10" t="n">
        <v>234</v>
      </c>
      <c r="U948" s="10" t="n">
        <v>72</v>
      </c>
      <c r="V948" s="10">
        <f>ROUNDUP((T948+U948+2*'Read Me'!$B$13)*(1+'Read Me'!$B$12),-1)</f>
        <v/>
      </c>
      <c r="W948" s="10">
        <f>V948*N948*O948</f>
        <v/>
      </c>
      <c r="X948" s="9">
        <f>IF(LEFT(I948,2)="MV",2*N948*IF(L948="1/C",O948,1),0)</f>
        <v/>
      </c>
      <c r="Y948" s="9">
        <f>IF(OR(LEFT(K948,4)="LVAX",LEFT(K948,6)="MV15AX",LEFT(K948,4)="CTAX",LEFT(K948,2)="W|"),2*N948*O948,0)</f>
        <v/>
      </c>
      <c r="Z948" s="9" t="inlineStr"/>
    </row>
    <row r="949">
      <c r="A949" s="9" t="inlineStr">
        <is>
          <t>B-C-0082</t>
        </is>
      </c>
      <c r="B949" s="9" t="inlineStr">
        <is>
          <t>B</t>
        </is>
      </c>
      <c r="C949" s="9" t="inlineStr">
        <is>
          <t>ACC</t>
        </is>
      </c>
      <c r="D949" s="9" t="inlineStr">
        <is>
          <t>Control</t>
        </is>
      </c>
      <c r="E949" s="9" t="inlineStr">
        <is>
          <t>R4</t>
        </is>
      </c>
      <c r="F949" s="9" t="inlineStr">
        <is>
          <t>R4: ACC electrical (VFD) e-house (60 x 120 ft)</t>
        </is>
      </c>
      <c r="G949" s="9" t="inlineStr">
        <is>
          <t>AUXC</t>
        </is>
      </c>
      <c r="H949" s="9" t="inlineStr">
        <is>
          <t>Aux dry coolers AUXC-F01..12 (closed cooling water)</t>
        </is>
      </c>
      <c r="I949" s="9" t="inlineStr">
        <is>
          <t>Control</t>
        </is>
      </c>
      <c r="J949" s="9" t="inlineStr">
        <is>
          <t>Control cable 600 V Type TC-ER, Cu #14 AWG, PVC jacket</t>
        </is>
      </c>
      <c r="K949" s="9" t="inlineStr">
        <is>
          <t>CT|7/C|14</t>
        </is>
      </c>
      <c r="L949" s="9" t="inlineStr">
        <is>
          <t>7/C</t>
        </is>
      </c>
      <c r="M949" s="9" t="inlineStr">
        <is>
          <t>14</t>
        </is>
      </c>
      <c r="N949" s="9" t="n">
        <v>1</v>
      </c>
      <c r="O949" s="9" t="n">
        <v>1</v>
      </c>
      <c r="P949" s="9" t="n"/>
      <c r="Q949" s="9" t="n"/>
      <c r="R949" s="9" t="n"/>
      <c r="S949" s="9" t="inlineStr">
        <is>
          <t>Tray</t>
        </is>
      </c>
      <c r="T949" s="10" t="n">
        <v>687</v>
      </c>
      <c r="U949" s="10" t="n">
        <v>114</v>
      </c>
      <c r="V949" s="10">
        <f>ROUNDUP((T949+U949+2*'Read Me'!$B$13)*(1+'Read Me'!$B$12),-1)</f>
        <v/>
      </c>
      <c r="W949" s="10">
        <f>V949*N949*O949</f>
        <v/>
      </c>
      <c r="X949" s="9">
        <f>IF(LEFT(I949,2)="MV",2*N949*IF(L949="1/C",O949,1),0)</f>
        <v/>
      </c>
      <c r="Y949" s="9">
        <f>IF(OR(LEFT(K949,4)="LVAX",LEFT(K949,6)="MV15AX",LEFT(K949,4)="CTAX",LEFT(K949,2)="W|"),2*N949*O949,0)</f>
        <v/>
      </c>
      <c r="Z949" s="9" t="inlineStr"/>
    </row>
    <row r="950">
      <c r="A950" s="9" t="inlineStr">
        <is>
          <t>B-C-0083</t>
        </is>
      </c>
      <c r="B950" s="9" t="inlineStr">
        <is>
          <t>B</t>
        </is>
      </c>
      <c r="C950" s="9" t="inlineStr">
        <is>
          <t>ACC</t>
        </is>
      </c>
      <c r="D950" s="9" t="inlineStr">
        <is>
          <t>Control</t>
        </is>
      </c>
      <c r="E950" s="9" t="inlineStr">
        <is>
          <t>R4</t>
        </is>
      </c>
      <c r="F950" s="9" t="inlineStr">
        <is>
          <t>R4: ACC electrical (VFD) e-house (60 x 120 ft)</t>
        </is>
      </c>
      <c r="G950" s="9" t="inlineStr">
        <is>
          <t>CCW-A/B</t>
        </is>
      </c>
      <c r="H950" s="9" t="inlineStr">
        <is>
          <t>CCW-A/B: closed cooling water pumps</t>
        </is>
      </c>
      <c r="I950" s="9" t="inlineStr">
        <is>
          <t>Control</t>
        </is>
      </c>
      <c r="J950" s="9" t="inlineStr">
        <is>
          <t>Control cable 600 V Type TC-ER, Cu #14 AWG, PVC jacket</t>
        </is>
      </c>
      <c r="K950" s="9" t="inlineStr">
        <is>
          <t>CT|7/C|14</t>
        </is>
      </c>
      <c r="L950" s="9" t="inlineStr">
        <is>
          <t>7/C</t>
        </is>
      </c>
      <c r="M950" s="9" t="inlineStr">
        <is>
          <t>14</t>
        </is>
      </c>
      <c r="N950" s="9" t="n">
        <v>1</v>
      </c>
      <c r="O950" s="9" t="n">
        <v>1</v>
      </c>
      <c r="P950" s="9" t="n"/>
      <c r="Q950" s="9" t="n"/>
      <c r="R950" s="9" t="n"/>
      <c r="S950" s="9" t="inlineStr">
        <is>
          <t>Tray</t>
        </is>
      </c>
      <c r="T950" s="10" t="n">
        <v>696</v>
      </c>
      <c r="U950" s="10" t="n">
        <v>78</v>
      </c>
      <c r="V950" s="10">
        <f>ROUNDUP((T950+U950+2*'Read Me'!$B$13)*(1+'Read Me'!$B$12),-1)</f>
        <v/>
      </c>
      <c r="W950" s="10">
        <f>V950*N950*O950</f>
        <v/>
      </c>
      <c r="X950" s="9">
        <f>IF(LEFT(I950,2)="MV",2*N950*IF(L950="1/C",O950,1),0)</f>
        <v/>
      </c>
      <c r="Y950" s="9">
        <f>IF(OR(LEFT(K950,4)="LVAX",LEFT(K950,6)="MV15AX",LEFT(K950,4)="CTAX",LEFT(K950,2)="W|"),2*N950*O950,0)</f>
        <v/>
      </c>
      <c r="Z950" s="9" t="inlineStr"/>
    </row>
    <row r="951">
      <c r="A951" s="9" t="inlineStr">
        <is>
          <t>B-C-0084</t>
        </is>
      </c>
      <c r="B951" s="9" t="inlineStr">
        <is>
          <t>B</t>
        </is>
      </c>
      <c r="C951" s="9" t="inlineStr">
        <is>
          <t>ACC</t>
        </is>
      </c>
      <c r="D951" s="9" t="inlineStr">
        <is>
          <t>Control</t>
        </is>
      </c>
      <c r="E951" s="9" t="inlineStr">
        <is>
          <t>R4</t>
        </is>
      </c>
      <c r="F951" s="9" t="inlineStr">
        <is>
          <t>R4: ACC electrical (VFD) e-house (60 x 120 ft)</t>
        </is>
      </c>
      <c r="G951" s="9" t="inlineStr">
        <is>
          <t>CP-A/B/C</t>
        </is>
      </c>
      <c r="H951" s="9" t="inlineStr">
        <is>
          <t>CP-A/B/C: condensate pumps (4.16 kV)</t>
        </is>
      </c>
      <c r="I951" s="9" t="inlineStr">
        <is>
          <t>Control</t>
        </is>
      </c>
      <c r="J951" s="9" t="inlineStr">
        <is>
          <t>Control cable 600 V Type TC-ER, Cu #14 AWG, PVC jacket</t>
        </is>
      </c>
      <c r="K951" s="9" t="inlineStr">
        <is>
          <t>CT|7/C|14</t>
        </is>
      </c>
      <c r="L951" s="9" t="inlineStr">
        <is>
          <t>7/C</t>
        </is>
      </c>
      <c r="M951" s="9" t="inlineStr">
        <is>
          <t>14</t>
        </is>
      </c>
      <c r="N951" s="9" t="n">
        <v>1</v>
      </c>
      <c r="O951" s="9" t="n">
        <v>1</v>
      </c>
      <c r="P951" s="9" t="n"/>
      <c r="Q951" s="9" t="n"/>
      <c r="R951" s="9" t="n"/>
      <c r="S951" s="9" t="inlineStr">
        <is>
          <t>Tray</t>
        </is>
      </c>
      <c r="T951" s="10" t="n">
        <v>539</v>
      </c>
      <c r="U951" s="10" t="n">
        <v>116</v>
      </c>
      <c r="V951" s="10">
        <f>ROUNDUP((T951+U951+2*'Read Me'!$B$13)*(1+'Read Me'!$B$12),-1)</f>
        <v/>
      </c>
      <c r="W951" s="10">
        <f>V951*N951*O951</f>
        <v/>
      </c>
      <c r="X951" s="9">
        <f>IF(LEFT(I951,2)="MV",2*N951*IF(L951="1/C",O951,1),0)</f>
        <v/>
      </c>
      <c r="Y951" s="9">
        <f>IF(OR(LEFT(K951,4)="LVAX",LEFT(K951,6)="MV15AX",LEFT(K951,4)="CTAX",LEFT(K951,2)="W|"),2*N951*O951,0)</f>
        <v/>
      </c>
      <c r="Z951" s="9" t="inlineStr"/>
    </row>
    <row r="952">
      <c r="A952" s="9" t="inlineStr">
        <is>
          <t>B-C-0085</t>
        </is>
      </c>
      <c r="B952" s="9" t="inlineStr">
        <is>
          <t>B</t>
        </is>
      </c>
      <c r="C952" s="9" t="inlineStr">
        <is>
          <t>ACC</t>
        </is>
      </c>
      <c r="D952" s="9" t="inlineStr">
        <is>
          <t>Control</t>
        </is>
      </c>
      <c r="E952" s="9" t="inlineStr">
        <is>
          <t>R4</t>
        </is>
      </c>
      <c r="F952" s="9" t="inlineStr">
        <is>
          <t>R4: ACC electrical (VFD) e-house (60 x 120 ft)</t>
        </is>
      </c>
      <c r="G952" s="9" t="inlineStr">
        <is>
          <t>VFD-L1</t>
        </is>
      </c>
      <c r="H952" s="9" t="inlineStr">
        <is>
          <t>R4 VFD lineup 1 (23 drives, fed from T-R4-1)</t>
        </is>
      </c>
      <c r="I952" s="9" t="inlineStr">
        <is>
          <t>Control</t>
        </is>
      </c>
      <c r="J952" s="9" t="inlineStr">
        <is>
          <t>Control cable 600 V Type TC-ER, Cu #14 AWG, PVC jacket</t>
        </is>
      </c>
      <c r="K952" s="9" t="inlineStr">
        <is>
          <t>CT|7/C|14</t>
        </is>
      </c>
      <c r="L952" s="9" t="inlineStr">
        <is>
          <t>7/C</t>
        </is>
      </c>
      <c r="M952" s="9" t="inlineStr">
        <is>
          <t>14</t>
        </is>
      </c>
      <c r="N952" s="9" t="n">
        <v>1</v>
      </c>
      <c r="O952" s="9" t="n">
        <v>1</v>
      </c>
      <c r="P952" s="9" t="n"/>
      <c r="Q952" s="9" t="n"/>
      <c r="R952" s="9" t="n"/>
      <c r="S952" s="9" t="inlineStr">
        <is>
          <t>Tray</t>
        </is>
      </c>
      <c r="T952" s="10" t="n">
        <v>5</v>
      </c>
      <c r="U952" s="10" t="n">
        <v>94</v>
      </c>
      <c r="V952" s="10">
        <f>ROUNDUP((T952+U952+2*'Read Me'!$B$13)*(1+'Read Me'!$B$12),-1)</f>
        <v/>
      </c>
      <c r="W952" s="10">
        <f>V952*N952*O952</f>
        <v/>
      </c>
      <c r="X952" s="9">
        <f>IF(LEFT(I952,2)="MV",2*N952*IF(L952="1/C",O952,1),0)</f>
        <v/>
      </c>
      <c r="Y952" s="9">
        <f>IF(OR(LEFT(K952,4)="LVAX",LEFT(K952,6)="MV15AX",LEFT(K952,4)="CTAX",LEFT(K952,2)="W|"),2*N952*O952,0)</f>
        <v/>
      </c>
      <c r="Z952" s="9" t="inlineStr"/>
    </row>
    <row r="953">
      <c r="A953" s="9" t="inlineStr">
        <is>
          <t>B-C-0086</t>
        </is>
      </c>
      <c r="B953" s="9" t="inlineStr">
        <is>
          <t>B</t>
        </is>
      </c>
      <c r="C953" s="9" t="inlineStr">
        <is>
          <t>ACC</t>
        </is>
      </c>
      <c r="D953" s="9" t="inlineStr">
        <is>
          <t>Control</t>
        </is>
      </c>
      <c r="E953" s="9" t="inlineStr">
        <is>
          <t>R4</t>
        </is>
      </c>
      <c r="F953" s="9" t="inlineStr">
        <is>
          <t>R4: ACC electrical (VFD) e-house (60 x 120 ft)</t>
        </is>
      </c>
      <c r="G953" s="9" t="inlineStr">
        <is>
          <t>VFD-L1</t>
        </is>
      </c>
      <c r="H953" s="9" t="inlineStr">
        <is>
          <t>R4 VFD lineup 1 (23 drives, fed from T-R4-1)</t>
        </is>
      </c>
      <c r="I953" s="9" t="inlineStr">
        <is>
          <t>Control</t>
        </is>
      </c>
      <c r="J953" s="9" t="inlineStr">
        <is>
          <t>Control cable 600 V Type TC-ER, Cu #14 AWG, PVC jacket</t>
        </is>
      </c>
      <c r="K953" s="9" t="inlineStr">
        <is>
          <t>CT|12/C|14</t>
        </is>
      </c>
      <c r="L953" s="9" t="inlineStr">
        <is>
          <t>12/C</t>
        </is>
      </c>
      <c r="M953" s="9" t="inlineStr">
        <is>
          <t>14</t>
        </is>
      </c>
      <c r="N953" s="9" t="n">
        <v>1</v>
      </c>
      <c r="O953" s="9" t="n">
        <v>1</v>
      </c>
      <c r="P953" s="9" t="n"/>
      <c r="Q953" s="9" t="n"/>
      <c r="R953" s="9" t="n"/>
      <c r="S953" s="9" t="inlineStr">
        <is>
          <t>Tray</t>
        </is>
      </c>
      <c r="T953" s="10" t="n">
        <v>5</v>
      </c>
      <c r="U953" s="10" t="n">
        <v>94</v>
      </c>
      <c r="V953" s="10">
        <f>ROUNDUP((T953+U953+2*'Read Me'!$B$13)*(1+'Read Me'!$B$12),-1)</f>
        <v/>
      </c>
      <c r="W953" s="10">
        <f>V953*N953*O953</f>
        <v/>
      </c>
      <c r="X953" s="9">
        <f>IF(LEFT(I953,2)="MV",2*N953*IF(L953="1/C",O953,1),0)</f>
        <v/>
      </c>
      <c r="Y953" s="9">
        <f>IF(OR(LEFT(K953,4)="LVAX",LEFT(K953,6)="MV15AX",LEFT(K953,4)="CTAX",LEFT(K953,2)="W|"),2*N953*O953,0)</f>
        <v/>
      </c>
      <c r="Z953" s="9" t="inlineStr"/>
    </row>
    <row r="954">
      <c r="A954" s="9" t="inlineStr">
        <is>
          <t>B-C-0087</t>
        </is>
      </c>
      <c r="B954" s="9" t="inlineStr">
        <is>
          <t>B</t>
        </is>
      </c>
      <c r="C954" s="9" t="inlineStr">
        <is>
          <t>ACC</t>
        </is>
      </c>
      <c r="D954" s="9" t="inlineStr">
        <is>
          <t>CT / VT</t>
        </is>
      </c>
      <c r="E954" s="9" t="inlineStr">
        <is>
          <t>R4</t>
        </is>
      </c>
      <c r="F954" s="9" t="inlineStr">
        <is>
          <t>R4: ACC electrical (VFD) e-house (60 x 120 ft)</t>
        </is>
      </c>
      <c r="G954" s="9" t="inlineStr">
        <is>
          <t>VFD-L1</t>
        </is>
      </c>
      <c r="H954" s="9" t="inlineStr">
        <is>
          <t>R4 VFD lineup 1 (23 drives, fed from T-R4-1)</t>
        </is>
      </c>
      <c r="I954" s="9" t="inlineStr">
        <is>
          <t>Control</t>
        </is>
      </c>
      <c r="J954" s="9" t="inlineStr">
        <is>
          <t>Control cable 600 V Type TC-ER, Cu #10 AWG (CT / VT circuits)</t>
        </is>
      </c>
      <c r="K954" s="9" t="inlineStr">
        <is>
          <t>CTCT|4/C|10</t>
        </is>
      </c>
      <c r="L954" s="9" t="inlineStr">
        <is>
          <t>4/C</t>
        </is>
      </c>
      <c r="M954" s="9" t="inlineStr">
        <is>
          <t>10</t>
        </is>
      </c>
      <c r="N954" s="9" t="n">
        <v>1</v>
      </c>
      <c r="O954" s="9" t="n">
        <v>1</v>
      </c>
      <c r="P954" s="9" t="n"/>
      <c r="Q954" s="9" t="n"/>
      <c r="R954" s="9" t="n"/>
      <c r="S954" s="9" t="inlineStr">
        <is>
          <t>Tray</t>
        </is>
      </c>
      <c r="T954" s="10" t="n">
        <v>5</v>
      </c>
      <c r="U954" s="10" t="n">
        <v>94</v>
      </c>
      <c r="V954" s="10">
        <f>ROUNDUP((T954+U954+2*'Read Me'!$B$13)*(1+'Read Me'!$B$12),-1)</f>
        <v/>
      </c>
      <c r="W954" s="10">
        <f>V954*N954*O954</f>
        <v/>
      </c>
      <c r="X954" s="9">
        <f>IF(LEFT(I954,2)="MV",2*N954*IF(L954="1/C",O954,1),0)</f>
        <v/>
      </c>
      <c r="Y954" s="9">
        <f>IF(OR(LEFT(K954,4)="LVAX",LEFT(K954,6)="MV15AX",LEFT(K954,4)="CTAX",LEFT(K954,2)="W|"),2*N954*O954,0)</f>
        <v/>
      </c>
      <c r="Z954" s="9" t="inlineStr"/>
    </row>
    <row r="955">
      <c r="A955" s="9" t="inlineStr">
        <is>
          <t>B-C-0088</t>
        </is>
      </c>
      <c r="B955" s="9" t="inlineStr">
        <is>
          <t>B</t>
        </is>
      </c>
      <c r="C955" s="9" t="inlineStr">
        <is>
          <t>ACC</t>
        </is>
      </c>
      <c r="D955" s="9" t="inlineStr">
        <is>
          <t>CT / VT</t>
        </is>
      </c>
      <c r="E955" s="9" t="inlineStr">
        <is>
          <t>R4</t>
        </is>
      </c>
      <c r="F955" s="9" t="inlineStr">
        <is>
          <t>R4: ACC electrical (VFD) e-house (60 x 120 ft)</t>
        </is>
      </c>
      <c r="G955" s="9" t="inlineStr">
        <is>
          <t>VFD-L1</t>
        </is>
      </c>
      <c r="H955" s="9" t="inlineStr">
        <is>
          <t>R4 VFD lineup 1 (23 drives, fed from T-R4-1)</t>
        </is>
      </c>
      <c r="I955" s="9" t="inlineStr">
        <is>
          <t>Control</t>
        </is>
      </c>
      <c r="J955" s="9" t="inlineStr">
        <is>
          <t>Control cable 600 V Type TC-ER, Cu #10 AWG (CT / VT circuits)</t>
        </is>
      </c>
      <c r="K955" s="9" t="inlineStr">
        <is>
          <t>CTCT|4/C|10</t>
        </is>
      </c>
      <c r="L955" s="9" t="inlineStr">
        <is>
          <t>4/C</t>
        </is>
      </c>
      <c r="M955" s="9" t="inlineStr">
        <is>
          <t>10</t>
        </is>
      </c>
      <c r="N955" s="9" t="n">
        <v>1</v>
      </c>
      <c r="O955" s="9" t="n">
        <v>1</v>
      </c>
      <c r="P955" s="9" t="n"/>
      <c r="Q955" s="9" t="n"/>
      <c r="R955" s="9" t="n"/>
      <c r="S955" s="9" t="inlineStr">
        <is>
          <t>Tray</t>
        </is>
      </c>
      <c r="T955" s="10" t="n">
        <v>5</v>
      </c>
      <c r="U955" s="10" t="n">
        <v>94</v>
      </c>
      <c r="V955" s="10">
        <f>ROUNDUP((T955+U955+2*'Read Me'!$B$13)*(1+'Read Me'!$B$12),-1)</f>
        <v/>
      </c>
      <c r="W955" s="10">
        <f>V955*N955*O955</f>
        <v/>
      </c>
      <c r="X955" s="9">
        <f>IF(LEFT(I955,2)="MV",2*N955*IF(L955="1/C",O955,1),0)</f>
        <v/>
      </c>
      <c r="Y955" s="9">
        <f>IF(OR(LEFT(K955,4)="LVAX",LEFT(K955,6)="MV15AX",LEFT(K955,4)="CTAX",LEFT(K955,2)="W|"),2*N955*O955,0)</f>
        <v/>
      </c>
      <c r="Z955" s="9" t="inlineStr"/>
    </row>
    <row r="956">
      <c r="A956" s="9" t="inlineStr">
        <is>
          <t>B-C-0089</t>
        </is>
      </c>
      <c r="B956" s="9" t="inlineStr">
        <is>
          <t>B</t>
        </is>
      </c>
      <c r="C956" s="9" t="inlineStr">
        <is>
          <t>ACC</t>
        </is>
      </c>
      <c r="D956" s="9" t="inlineStr">
        <is>
          <t>Control</t>
        </is>
      </c>
      <c r="E956" s="9" t="inlineStr">
        <is>
          <t>R4</t>
        </is>
      </c>
      <c r="F956" s="9" t="inlineStr">
        <is>
          <t>R4: ACC electrical (VFD) e-house (60 x 120 ft)</t>
        </is>
      </c>
      <c r="G956" s="9" t="inlineStr">
        <is>
          <t>VFD-L2</t>
        </is>
      </c>
      <c r="H956" s="9" t="inlineStr">
        <is>
          <t>R4 VFD lineup 2 (23 drives, fed from T-R4-2)</t>
        </is>
      </c>
      <c r="I956" s="9" t="inlineStr">
        <is>
          <t>Control</t>
        </is>
      </c>
      <c r="J956" s="9" t="inlineStr">
        <is>
          <t>Control cable 600 V Type TC-ER, Cu #14 AWG, PVC jacket</t>
        </is>
      </c>
      <c r="K956" s="9" t="inlineStr">
        <is>
          <t>CT|7/C|14</t>
        </is>
      </c>
      <c r="L956" s="9" t="inlineStr">
        <is>
          <t>7/C</t>
        </is>
      </c>
      <c r="M956" s="9" t="inlineStr">
        <is>
          <t>14</t>
        </is>
      </c>
      <c r="N956" s="9" t="n">
        <v>1</v>
      </c>
      <c r="O956" s="9" t="n">
        <v>1</v>
      </c>
      <c r="P956" s="9" t="n"/>
      <c r="Q956" s="9" t="n"/>
      <c r="R956" s="9" t="n"/>
      <c r="S956" s="9" t="inlineStr">
        <is>
          <t>Tray</t>
        </is>
      </c>
      <c r="T956" s="10" t="n">
        <v>5</v>
      </c>
      <c r="U956" s="10" t="n">
        <v>106</v>
      </c>
      <c r="V956" s="10">
        <f>ROUNDUP((T956+U956+2*'Read Me'!$B$13)*(1+'Read Me'!$B$12),-1)</f>
        <v/>
      </c>
      <c r="W956" s="10">
        <f>V956*N956*O956</f>
        <v/>
      </c>
      <c r="X956" s="9">
        <f>IF(LEFT(I956,2)="MV",2*N956*IF(L956="1/C",O956,1),0)</f>
        <v/>
      </c>
      <c r="Y956" s="9">
        <f>IF(OR(LEFT(K956,4)="LVAX",LEFT(K956,6)="MV15AX",LEFT(K956,4)="CTAX",LEFT(K956,2)="W|"),2*N956*O956,0)</f>
        <v/>
      </c>
      <c r="Z956" s="9" t="inlineStr"/>
    </row>
    <row r="957">
      <c r="A957" s="9" t="inlineStr">
        <is>
          <t>B-C-0090</t>
        </is>
      </c>
      <c r="B957" s="9" t="inlineStr">
        <is>
          <t>B</t>
        </is>
      </c>
      <c r="C957" s="9" t="inlineStr">
        <is>
          <t>ACC</t>
        </is>
      </c>
      <c r="D957" s="9" t="inlineStr">
        <is>
          <t>Control</t>
        </is>
      </c>
      <c r="E957" s="9" t="inlineStr">
        <is>
          <t>R4</t>
        </is>
      </c>
      <c r="F957" s="9" t="inlineStr">
        <is>
          <t>R4: ACC electrical (VFD) e-house (60 x 120 ft)</t>
        </is>
      </c>
      <c r="G957" s="9" t="inlineStr">
        <is>
          <t>VFD-L2</t>
        </is>
      </c>
      <c r="H957" s="9" t="inlineStr">
        <is>
          <t>R4 VFD lineup 2 (23 drives, fed from T-R4-2)</t>
        </is>
      </c>
      <c r="I957" s="9" t="inlineStr">
        <is>
          <t>Control</t>
        </is>
      </c>
      <c r="J957" s="9" t="inlineStr">
        <is>
          <t>Control cable 600 V Type TC-ER, Cu #14 AWG, PVC jacket</t>
        </is>
      </c>
      <c r="K957" s="9" t="inlineStr">
        <is>
          <t>CT|12/C|14</t>
        </is>
      </c>
      <c r="L957" s="9" t="inlineStr">
        <is>
          <t>12/C</t>
        </is>
      </c>
      <c r="M957" s="9" t="inlineStr">
        <is>
          <t>14</t>
        </is>
      </c>
      <c r="N957" s="9" t="n">
        <v>1</v>
      </c>
      <c r="O957" s="9" t="n">
        <v>1</v>
      </c>
      <c r="P957" s="9" t="n"/>
      <c r="Q957" s="9" t="n"/>
      <c r="R957" s="9" t="n"/>
      <c r="S957" s="9" t="inlineStr">
        <is>
          <t>Tray</t>
        </is>
      </c>
      <c r="T957" s="10" t="n">
        <v>5</v>
      </c>
      <c r="U957" s="10" t="n">
        <v>106</v>
      </c>
      <c r="V957" s="10">
        <f>ROUNDUP((T957+U957+2*'Read Me'!$B$13)*(1+'Read Me'!$B$12),-1)</f>
        <v/>
      </c>
      <c r="W957" s="10">
        <f>V957*N957*O957</f>
        <v/>
      </c>
      <c r="X957" s="9">
        <f>IF(LEFT(I957,2)="MV",2*N957*IF(L957="1/C",O957,1),0)</f>
        <v/>
      </c>
      <c r="Y957" s="9">
        <f>IF(OR(LEFT(K957,4)="LVAX",LEFT(K957,6)="MV15AX",LEFT(K957,4)="CTAX",LEFT(K957,2)="W|"),2*N957*O957,0)</f>
        <v/>
      </c>
      <c r="Z957" s="9" t="inlineStr"/>
    </row>
    <row r="958">
      <c r="A958" s="9" t="inlineStr">
        <is>
          <t>B-C-0091</t>
        </is>
      </c>
      <c r="B958" s="9" t="inlineStr">
        <is>
          <t>B</t>
        </is>
      </c>
      <c r="C958" s="9" t="inlineStr">
        <is>
          <t>ACC</t>
        </is>
      </c>
      <c r="D958" s="9" t="inlineStr">
        <is>
          <t>CT / VT</t>
        </is>
      </c>
      <c r="E958" s="9" t="inlineStr">
        <is>
          <t>R4</t>
        </is>
      </c>
      <c r="F958" s="9" t="inlineStr">
        <is>
          <t>R4: ACC electrical (VFD) e-house (60 x 120 ft)</t>
        </is>
      </c>
      <c r="G958" s="9" t="inlineStr">
        <is>
          <t>VFD-L2</t>
        </is>
      </c>
      <c r="H958" s="9" t="inlineStr">
        <is>
          <t>R4 VFD lineup 2 (23 drives, fed from T-R4-2)</t>
        </is>
      </c>
      <c r="I958" s="9" t="inlineStr">
        <is>
          <t>Control</t>
        </is>
      </c>
      <c r="J958" s="9" t="inlineStr">
        <is>
          <t>Control cable 600 V Type TC-ER, Cu #10 AWG (CT / VT circuits)</t>
        </is>
      </c>
      <c r="K958" s="9" t="inlineStr">
        <is>
          <t>CTCT|4/C|10</t>
        </is>
      </c>
      <c r="L958" s="9" t="inlineStr">
        <is>
          <t>4/C</t>
        </is>
      </c>
      <c r="M958" s="9" t="inlineStr">
        <is>
          <t>10</t>
        </is>
      </c>
      <c r="N958" s="9" t="n">
        <v>1</v>
      </c>
      <c r="O958" s="9" t="n">
        <v>1</v>
      </c>
      <c r="P958" s="9" t="n"/>
      <c r="Q958" s="9" t="n"/>
      <c r="R958" s="9" t="n"/>
      <c r="S958" s="9" t="inlineStr">
        <is>
          <t>Tray</t>
        </is>
      </c>
      <c r="T958" s="10" t="n">
        <v>5</v>
      </c>
      <c r="U958" s="10" t="n">
        <v>106</v>
      </c>
      <c r="V958" s="10">
        <f>ROUNDUP((T958+U958+2*'Read Me'!$B$13)*(1+'Read Me'!$B$12),-1)</f>
        <v/>
      </c>
      <c r="W958" s="10">
        <f>V958*N958*O958</f>
        <v/>
      </c>
      <c r="X958" s="9">
        <f>IF(LEFT(I958,2)="MV",2*N958*IF(L958="1/C",O958,1),0)</f>
        <v/>
      </c>
      <c r="Y958" s="9">
        <f>IF(OR(LEFT(K958,4)="LVAX",LEFT(K958,6)="MV15AX",LEFT(K958,4)="CTAX",LEFT(K958,2)="W|"),2*N958*O958,0)</f>
        <v/>
      </c>
      <c r="Z958" s="9" t="inlineStr"/>
    </row>
    <row r="959">
      <c r="A959" s="9" t="inlineStr">
        <is>
          <t>B-C-0092</t>
        </is>
      </c>
      <c r="B959" s="9" t="inlineStr">
        <is>
          <t>B</t>
        </is>
      </c>
      <c r="C959" s="9" t="inlineStr">
        <is>
          <t>ACC</t>
        </is>
      </c>
      <c r="D959" s="9" t="inlineStr">
        <is>
          <t>CT / VT</t>
        </is>
      </c>
      <c r="E959" s="9" t="inlineStr">
        <is>
          <t>R4</t>
        </is>
      </c>
      <c r="F959" s="9" t="inlineStr">
        <is>
          <t>R4: ACC electrical (VFD) e-house (60 x 120 ft)</t>
        </is>
      </c>
      <c r="G959" s="9" t="inlineStr">
        <is>
          <t>VFD-L2</t>
        </is>
      </c>
      <c r="H959" s="9" t="inlineStr">
        <is>
          <t>R4 VFD lineup 2 (23 drives, fed from T-R4-2)</t>
        </is>
      </c>
      <c r="I959" s="9" t="inlineStr">
        <is>
          <t>Control</t>
        </is>
      </c>
      <c r="J959" s="9" t="inlineStr">
        <is>
          <t>Control cable 600 V Type TC-ER, Cu #10 AWG (CT / VT circuits)</t>
        </is>
      </c>
      <c r="K959" s="9" t="inlineStr">
        <is>
          <t>CTCT|4/C|10</t>
        </is>
      </c>
      <c r="L959" s="9" t="inlineStr">
        <is>
          <t>4/C</t>
        </is>
      </c>
      <c r="M959" s="9" t="inlineStr">
        <is>
          <t>10</t>
        </is>
      </c>
      <c r="N959" s="9" t="n">
        <v>1</v>
      </c>
      <c r="O959" s="9" t="n">
        <v>1</v>
      </c>
      <c r="P959" s="9" t="n"/>
      <c r="Q959" s="9" t="n"/>
      <c r="R959" s="9" t="n"/>
      <c r="S959" s="9" t="inlineStr">
        <is>
          <t>Tray</t>
        </is>
      </c>
      <c r="T959" s="10" t="n">
        <v>5</v>
      </c>
      <c r="U959" s="10" t="n">
        <v>106</v>
      </c>
      <c r="V959" s="10">
        <f>ROUNDUP((T959+U959+2*'Read Me'!$B$13)*(1+'Read Me'!$B$12),-1)</f>
        <v/>
      </c>
      <c r="W959" s="10">
        <f>V959*N959*O959</f>
        <v/>
      </c>
      <c r="X959" s="9">
        <f>IF(LEFT(I959,2)="MV",2*N959*IF(L959="1/C",O959,1),0)</f>
        <v/>
      </c>
      <c r="Y959" s="9">
        <f>IF(OR(LEFT(K959,4)="LVAX",LEFT(K959,6)="MV15AX",LEFT(K959,4)="CTAX",LEFT(K959,2)="W|"),2*N959*O959,0)</f>
        <v/>
      </c>
      <c r="Z959" s="9" t="inlineStr"/>
    </row>
    <row r="960">
      <c r="A960" s="9" t="inlineStr">
        <is>
          <t>B-C-0093</t>
        </is>
      </c>
      <c r="B960" s="9" t="inlineStr">
        <is>
          <t>B</t>
        </is>
      </c>
      <c r="C960" s="9" t="inlineStr">
        <is>
          <t>ACC</t>
        </is>
      </c>
      <c r="D960" s="9" t="inlineStr">
        <is>
          <t>Control</t>
        </is>
      </c>
      <c r="E960" s="9" t="inlineStr">
        <is>
          <t>R4</t>
        </is>
      </c>
      <c r="F960" s="9" t="inlineStr">
        <is>
          <t>R4: ACC electrical (VFD) e-house (60 x 120 ft)</t>
        </is>
      </c>
      <c r="G960" s="9" t="inlineStr">
        <is>
          <t>VFD-L3</t>
        </is>
      </c>
      <c r="H960" s="9" t="inlineStr">
        <is>
          <t>R4 VFD lineup 3 (23 drives, fed from T-R4-3)</t>
        </is>
      </c>
      <c r="I960" s="9" t="inlineStr">
        <is>
          <t>Control</t>
        </is>
      </c>
      <c r="J960" s="9" t="inlineStr">
        <is>
          <t>Control cable 600 V Type TC-ER, Cu #14 AWG, PVC jacket</t>
        </is>
      </c>
      <c r="K960" s="9" t="inlineStr">
        <is>
          <t>CT|7/C|14</t>
        </is>
      </c>
      <c r="L960" s="9" t="inlineStr">
        <is>
          <t>7/C</t>
        </is>
      </c>
      <c r="M960" s="9" t="inlineStr">
        <is>
          <t>14</t>
        </is>
      </c>
      <c r="N960" s="9" t="n">
        <v>1</v>
      </c>
      <c r="O960" s="9" t="n">
        <v>1</v>
      </c>
      <c r="P960" s="9" t="n"/>
      <c r="Q960" s="9" t="n"/>
      <c r="R960" s="9" t="n"/>
      <c r="S960" s="9" t="inlineStr">
        <is>
          <t>Tray</t>
        </is>
      </c>
      <c r="T960" s="10" t="n">
        <v>0</v>
      </c>
      <c r="U960" s="10" t="n">
        <v>93</v>
      </c>
      <c r="V960" s="10">
        <f>ROUNDUP((T960+U960+2*'Read Me'!$B$13)*(1+'Read Me'!$B$12),-1)</f>
        <v/>
      </c>
      <c r="W960" s="10">
        <f>V960*N960*O960</f>
        <v/>
      </c>
      <c r="X960" s="9">
        <f>IF(LEFT(I960,2)="MV",2*N960*IF(L960="1/C",O960,1),0)</f>
        <v/>
      </c>
      <c r="Y960" s="9">
        <f>IF(OR(LEFT(K960,4)="LVAX",LEFT(K960,6)="MV15AX",LEFT(K960,4)="CTAX",LEFT(K960,2)="W|"),2*N960*O960,0)</f>
        <v/>
      </c>
      <c r="Z960" s="9" t="inlineStr"/>
    </row>
    <row r="961">
      <c r="A961" s="9" t="inlineStr">
        <is>
          <t>B-C-0094</t>
        </is>
      </c>
      <c r="B961" s="9" t="inlineStr">
        <is>
          <t>B</t>
        </is>
      </c>
      <c r="C961" s="9" t="inlineStr">
        <is>
          <t>ACC</t>
        </is>
      </c>
      <c r="D961" s="9" t="inlineStr">
        <is>
          <t>Control</t>
        </is>
      </c>
      <c r="E961" s="9" t="inlineStr">
        <is>
          <t>R4</t>
        </is>
      </c>
      <c r="F961" s="9" t="inlineStr">
        <is>
          <t>R4: ACC electrical (VFD) e-house (60 x 120 ft)</t>
        </is>
      </c>
      <c r="G961" s="9" t="inlineStr">
        <is>
          <t>VFD-L3</t>
        </is>
      </c>
      <c r="H961" s="9" t="inlineStr">
        <is>
          <t>R4 VFD lineup 3 (23 drives, fed from T-R4-3)</t>
        </is>
      </c>
      <c r="I961" s="9" t="inlineStr">
        <is>
          <t>Control</t>
        </is>
      </c>
      <c r="J961" s="9" t="inlineStr">
        <is>
          <t>Control cable 600 V Type TC-ER, Cu #14 AWG, PVC jacket</t>
        </is>
      </c>
      <c r="K961" s="9" t="inlineStr">
        <is>
          <t>CT|12/C|14</t>
        </is>
      </c>
      <c r="L961" s="9" t="inlineStr">
        <is>
          <t>12/C</t>
        </is>
      </c>
      <c r="M961" s="9" t="inlineStr">
        <is>
          <t>14</t>
        </is>
      </c>
      <c r="N961" s="9" t="n">
        <v>1</v>
      </c>
      <c r="O961" s="9" t="n">
        <v>1</v>
      </c>
      <c r="P961" s="9" t="n"/>
      <c r="Q961" s="9" t="n"/>
      <c r="R961" s="9" t="n"/>
      <c r="S961" s="9" t="inlineStr">
        <is>
          <t>Tray</t>
        </is>
      </c>
      <c r="T961" s="10" t="n">
        <v>0</v>
      </c>
      <c r="U961" s="10" t="n">
        <v>93</v>
      </c>
      <c r="V961" s="10">
        <f>ROUNDUP((T961+U961+2*'Read Me'!$B$13)*(1+'Read Me'!$B$12),-1)</f>
        <v/>
      </c>
      <c r="W961" s="10">
        <f>V961*N961*O961</f>
        <v/>
      </c>
      <c r="X961" s="9">
        <f>IF(LEFT(I961,2)="MV",2*N961*IF(L961="1/C",O961,1),0)</f>
        <v/>
      </c>
      <c r="Y961" s="9">
        <f>IF(OR(LEFT(K961,4)="LVAX",LEFT(K961,6)="MV15AX",LEFT(K961,4)="CTAX",LEFT(K961,2)="W|"),2*N961*O961,0)</f>
        <v/>
      </c>
      <c r="Z961" s="9" t="inlineStr"/>
    </row>
    <row r="962">
      <c r="A962" s="9" t="inlineStr">
        <is>
          <t>B-C-0095</t>
        </is>
      </c>
      <c r="B962" s="9" t="inlineStr">
        <is>
          <t>B</t>
        </is>
      </c>
      <c r="C962" s="9" t="inlineStr">
        <is>
          <t>ACC</t>
        </is>
      </c>
      <c r="D962" s="9" t="inlineStr">
        <is>
          <t>CT / VT</t>
        </is>
      </c>
      <c r="E962" s="9" t="inlineStr">
        <is>
          <t>R4</t>
        </is>
      </c>
      <c r="F962" s="9" t="inlineStr">
        <is>
          <t>R4: ACC electrical (VFD) e-house (60 x 120 ft)</t>
        </is>
      </c>
      <c r="G962" s="9" t="inlineStr">
        <is>
          <t>VFD-L3</t>
        </is>
      </c>
      <c r="H962" s="9" t="inlineStr">
        <is>
          <t>R4 VFD lineup 3 (23 drives, fed from T-R4-3)</t>
        </is>
      </c>
      <c r="I962" s="9" t="inlineStr">
        <is>
          <t>Control</t>
        </is>
      </c>
      <c r="J962" s="9" t="inlineStr">
        <is>
          <t>Control cable 600 V Type TC-ER, Cu #10 AWG (CT / VT circuits)</t>
        </is>
      </c>
      <c r="K962" s="9" t="inlineStr">
        <is>
          <t>CTCT|4/C|10</t>
        </is>
      </c>
      <c r="L962" s="9" t="inlineStr">
        <is>
          <t>4/C</t>
        </is>
      </c>
      <c r="M962" s="9" t="inlineStr">
        <is>
          <t>10</t>
        </is>
      </c>
      <c r="N962" s="9" t="n">
        <v>1</v>
      </c>
      <c r="O962" s="9" t="n">
        <v>1</v>
      </c>
      <c r="P962" s="9" t="n"/>
      <c r="Q962" s="9" t="n"/>
      <c r="R962" s="9" t="n"/>
      <c r="S962" s="9" t="inlineStr">
        <is>
          <t>Tray</t>
        </is>
      </c>
      <c r="T962" s="10" t="n">
        <v>0</v>
      </c>
      <c r="U962" s="10" t="n">
        <v>93</v>
      </c>
      <c r="V962" s="10">
        <f>ROUNDUP((T962+U962+2*'Read Me'!$B$13)*(1+'Read Me'!$B$12),-1)</f>
        <v/>
      </c>
      <c r="W962" s="10">
        <f>V962*N962*O962</f>
        <v/>
      </c>
      <c r="X962" s="9">
        <f>IF(LEFT(I962,2)="MV",2*N962*IF(L962="1/C",O962,1),0)</f>
        <v/>
      </c>
      <c r="Y962" s="9">
        <f>IF(OR(LEFT(K962,4)="LVAX",LEFT(K962,6)="MV15AX",LEFT(K962,4)="CTAX",LEFT(K962,2)="W|"),2*N962*O962,0)</f>
        <v/>
      </c>
      <c r="Z962" s="9" t="inlineStr"/>
    </row>
    <row r="963">
      <c r="A963" s="9" t="inlineStr">
        <is>
          <t>B-C-0096</t>
        </is>
      </c>
      <c r="B963" s="9" t="inlineStr">
        <is>
          <t>B</t>
        </is>
      </c>
      <c r="C963" s="9" t="inlineStr">
        <is>
          <t>ACC</t>
        </is>
      </c>
      <c r="D963" s="9" t="inlineStr">
        <is>
          <t>CT / VT</t>
        </is>
      </c>
      <c r="E963" s="9" t="inlineStr">
        <is>
          <t>R4</t>
        </is>
      </c>
      <c r="F963" s="9" t="inlineStr">
        <is>
          <t>R4: ACC electrical (VFD) e-house (60 x 120 ft)</t>
        </is>
      </c>
      <c r="G963" s="9" t="inlineStr">
        <is>
          <t>VFD-L3</t>
        </is>
      </c>
      <c r="H963" s="9" t="inlineStr">
        <is>
          <t>R4 VFD lineup 3 (23 drives, fed from T-R4-3)</t>
        </is>
      </c>
      <c r="I963" s="9" t="inlineStr">
        <is>
          <t>Control</t>
        </is>
      </c>
      <c r="J963" s="9" t="inlineStr">
        <is>
          <t>Control cable 600 V Type TC-ER, Cu #10 AWG (CT / VT circuits)</t>
        </is>
      </c>
      <c r="K963" s="9" t="inlineStr">
        <is>
          <t>CTCT|4/C|10</t>
        </is>
      </c>
      <c r="L963" s="9" t="inlineStr">
        <is>
          <t>4/C</t>
        </is>
      </c>
      <c r="M963" s="9" t="inlineStr">
        <is>
          <t>10</t>
        </is>
      </c>
      <c r="N963" s="9" t="n">
        <v>1</v>
      </c>
      <c r="O963" s="9" t="n">
        <v>1</v>
      </c>
      <c r="P963" s="9" t="n"/>
      <c r="Q963" s="9" t="n"/>
      <c r="R963" s="9" t="n"/>
      <c r="S963" s="9" t="inlineStr">
        <is>
          <t>Tray</t>
        </is>
      </c>
      <c r="T963" s="10" t="n">
        <v>0</v>
      </c>
      <c r="U963" s="10" t="n">
        <v>93</v>
      </c>
      <c r="V963" s="10">
        <f>ROUNDUP((T963+U963+2*'Read Me'!$B$13)*(1+'Read Me'!$B$12),-1)</f>
        <v/>
      </c>
      <c r="W963" s="10">
        <f>V963*N963*O963</f>
        <v/>
      </c>
      <c r="X963" s="9">
        <f>IF(LEFT(I963,2)="MV",2*N963*IF(L963="1/C",O963,1),0)</f>
        <v/>
      </c>
      <c r="Y963" s="9">
        <f>IF(OR(LEFT(K963,4)="LVAX",LEFT(K963,6)="MV15AX",LEFT(K963,4)="CTAX",LEFT(K963,2)="W|"),2*N963*O963,0)</f>
        <v/>
      </c>
      <c r="Z963" s="9" t="inlineStr"/>
    </row>
    <row r="964">
      <c r="A964" s="9" t="inlineStr">
        <is>
          <t>B-C-0097</t>
        </is>
      </c>
      <c r="B964" s="9" t="inlineStr">
        <is>
          <t>B</t>
        </is>
      </c>
      <c r="C964" s="9" t="inlineStr">
        <is>
          <t>ACC</t>
        </is>
      </c>
      <c r="D964" s="9" t="inlineStr">
        <is>
          <t>Control</t>
        </is>
      </c>
      <c r="E964" s="9" t="inlineStr">
        <is>
          <t>R4</t>
        </is>
      </c>
      <c r="F964" s="9" t="inlineStr">
        <is>
          <t>R4: ACC electrical (VFD) e-house (60 x 120 ft)</t>
        </is>
      </c>
      <c r="G964" s="9" t="inlineStr">
        <is>
          <t>VFD-L4</t>
        </is>
      </c>
      <c r="H964" s="9" t="inlineStr">
        <is>
          <t>R4 VFD lineup 4 (23 drives, fed from T-R4-4)</t>
        </is>
      </c>
      <c r="I964" s="9" t="inlineStr">
        <is>
          <t>Control</t>
        </is>
      </c>
      <c r="J964" s="9" t="inlineStr">
        <is>
          <t>Control cable 600 V Type TC-ER, Cu #14 AWG, PVC jacket</t>
        </is>
      </c>
      <c r="K964" s="9" t="inlineStr">
        <is>
          <t>CT|7/C|14</t>
        </is>
      </c>
      <c r="L964" s="9" t="inlineStr">
        <is>
          <t>7/C</t>
        </is>
      </c>
      <c r="M964" s="9" t="inlineStr">
        <is>
          <t>14</t>
        </is>
      </c>
      <c r="N964" s="9" t="n">
        <v>1</v>
      </c>
      <c r="O964" s="9" t="n">
        <v>1</v>
      </c>
      <c r="P964" s="9" t="n"/>
      <c r="Q964" s="9" t="n"/>
      <c r="R964" s="9" t="n"/>
      <c r="S964" s="9" t="inlineStr">
        <is>
          <t>Tray</t>
        </is>
      </c>
      <c r="T964" s="10" t="n">
        <v>0</v>
      </c>
      <c r="U964" s="10" t="n">
        <v>81</v>
      </c>
      <c r="V964" s="10">
        <f>ROUNDUP((T964+U964+2*'Read Me'!$B$13)*(1+'Read Me'!$B$12),-1)</f>
        <v/>
      </c>
      <c r="W964" s="10">
        <f>V964*N964*O964</f>
        <v/>
      </c>
      <c r="X964" s="9">
        <f>IF(LEFT(I964,2)="MV",2*N964*IF(L964="1/C",O964,1),0)</f>
        <v/>
      </c>
      <c r="Y964" s="9">
        <f>IF(OR(LEFT(K964,4)="LVAX",LEFT(K964,6)="MV15AX",LEFT(K964,4)="CTAX",LEFT(K964,2)="W|"),2*N964*O964,0)</f>
        <v/>
      </c>
      <c r="Z964" s="9" t="inlineStr"/>
    </row>
    <row r="965">
      <c r="A965" s="9" t="inlineStr">
        <is>
          <t>B-C-0098</t>
        </is>
      </c>
      <c r="B965" s="9" t="inlineStr">
        <is>
          <t>B</t>
        </is>
      </c>
      <c r="C965" s="9" t="inlineStr">
        <is>
          <t>ACC</t>
        </is>
      </c>
      <c r="D965" s="9" t="inlineStr">
        <is>
          <t>Control</t>
        </is>
      </c>
      <c r="E965" s="9" t="inlineStr">
        <is>
          <t>R4</t>
        </is>
      </c>
      <c r="F965" s="9" t="inlineStr">
        <is>
          <t>R4: ACC electrical (VFD) e-house (60 x 120 ft)</t>
        </is>
      </c>
      <c r="G965" s="9" t="inlineStr">
        <is>
          <t>VFD-L4</t>
        </is>
      </c>
      <c r="H965" s="9" t="inlineStr">
        <is>
          <t>R4 VFD lineup 4 (23 drives, fed from T-R4-4)</t>
        </is>
      </c>
      <c r="I965" s="9" t="inlineStr">
        <is>
          <t>Control</t>
        </is>
      </c>
      <c r="J965" s="9" t="inlineStr">
        <is>
          <t>Control cable 600 V Type TC-ER, Cu #14 AWG, PVC jacket</t>
        </is>
      </c>
      <c r="K965" s="9" t="inlineStr">
        <is>
          <t>CT|12/C|14</t>
        </is>
      </c>
      <c r="L965" s="9" t="inlineStr">
        <is>
          <t>12/C</t>
        </is>
      </c>
      <c r="M965" s="9" t="inlineStr">
        <is>
          <t>14</t>
        </is>
      </c>
      <c r="N965" s="9" t="n">
        <v>1</v>
      </c>
      <c r="O965" s="9" t="n">
        <v>1</v>
      </c>
      <c r="P965" s="9" t="n"/>
      <c r="Q965" s="9" t="n"/>
      <c r="R965" s="9" t="n"/>
      <c r="S965" s="9" t="inlineStr">
        <is>
          <t>Tray</t>
        </is>
      </c>
      <c r="T965" s="10" t="n">
        <v>0</v>
      </c>
      <c r="U965" s="10" t="n">
        <v>81</v>
      </c>
      <c r="V965" s="10">
        <f>ROUNDUP((T965+U965+2*'Read Me'!$B$13)*(1+'Read Me'!$B$12),-1)</f>
        <v/>
      </c>
      <c r="W965" s="10">
        <f>V965*N965*O965</f>
        <v/>
      </c>
      <c r="X965" s="9">
        <f>IF(LEFT(I965,2)="MV",2*N965*IF(L965="1/C",O965,1),0)</f>
        <v/>
      </c>
      <c r="Y965" s="9">
        <f>IF(OR(LEFT(K965,4)="LVAX",LEFT(K965,6)="MV15AX",LEFT(K965,4)="CTAX",LEFT(K965,2)="W|"),2*N965*O965,0)</f>
        <v/>
      </c>
      <c r="Z965" s="9" t="inlineStr"/>
    </row>
    <row r="966">
      <c r="A966" s="9" t="inlineStr">
        <is>
          <t>B-C-0099</t>
        </is>
      </c>
      <c r="B966" s="9" t="inlineStr">
        <is>
          <t>B</t>
        </is>
      </c>
      <c r="C966" s="9" t="inlineStr">
        <is>
          <t>ACC</t>
        </is>
      </c>
      <c r="D966" s="9" t="inlineStr">
        <is>
          <t>CT / VT</t>
        </is>
      </c>
      <c r="E966" s="9" t="inlineStr">
        <is>
          <t>R4</t>
        </is>
      </c>
      <c r="F966" s="9" t="inlineStr">
        <is>
          <t>R4: ACC electrical (VFD) e-house (60 x 120 ft)</t>
        </is>
      </c>
      <c r="G966" s="9" t="inlineStr">
        <is>
          <t>VFD-L4</t>
        </is>
      </c>
      <c r="H966" s="9" t="inlineStr">
        <is>
          <t>R4 VFD lineup 4 (23 drives, fed from T-R4-4)</t>
        </is>
      </c>
      <c r="I966" s="9" t="inlineStr">
        <is>
          <t>Control</t>
        </is>
      </c>
      <c r="J966" s="9" t="inlineStr">
        <is>
          <t>Control cable 600 V Type TC-ER, Cu #10 AWG (CT / VT circuits)</t>
        </is>
      </c>
      <c r="K966" s="9" t="inlineStr">
        <is>
          <t>CTCT|4/C|10</t>
        </is>
      </c>
      <c r="L966" s="9" t="inlineStr">
        <is>
          <t>4/C</t>
        </is>
      </c>
      <c r="M966" s="9" t="inlineStr">
        <is>
          <t>10</t>
        </is>
      </c>
      <c r="N966" s="9" t="n">
        <v>1</v>
      </c>
      <c r="O966" s="9" t="n">
        <v>1</v>
      </c>
      <c r="P966" s="9" t="n"/>
      <c r="Q966" s="9" t="n"/>
      <c r="R966" s="9" t="n"/>
      <c r="S966" s="9" t="inlineStr">
        <is>
          <t>Tray</t>
        </is>
      </c>
      <c r="T966" s="10" t="n">
        <v>0</v>
      </c>
      <c r="U966" s="10" t="n">
        <v>81</v>
      </c>
      <c r="V966" s="10">
        <f>ROUNDUP((T966+U966+2*'Read Me'!$B$13)*(1+'Read Me'!$B$12),-1)</f>
        <v/>
      </c>
      <c r="W966" s="10">
        <f>V966*N966*O966</f>
        <v/>
      </c>
      <c r="X966" s="9">
        <f>IF(LEFT(I966,2)="MV",2*N966*IF(L966="1/C",O966,1),0)</f>
        <v/>
      </c>
      <c r="Y966" s="9">
        <f>IF(OR(LEFT(K966,4)="LVAX",LEFT(K966,6)="MV15AX",LEFT(K966,4)="CTAX",LEFT(K966,2)="W|"),2*N966*O966,0)</f>
        <v/>
      </c>
      <c r="Z966" s="9" t="inlineStr"/>
    </row>
    <row r="967">
      <c r="A967" s="9" t="inlineStr">
        <is>
          <t>B-C-0100</t>
        </is>
      </c>
      <c r="B967" s="9" t="inlineStr">
        <is>
          <t>B</t>
        </is>
      </c>
      <c r="C967" s="9" t="inlineStr">
        <is>
          <t>ACC</t>
        </is>
      </c>
      <c r="D967" s="9" t="inlineStr">
        <is>
          <t>CT / VT</t>
        </is>
      </c>
      <c r="E967" s="9" t="inlineStr">
        <is>
          <t>R4</t>
        </is>
      </c>
      <c r="F967" s="9" t="inlineStr">
        <is>
          <t>R4: ACC electrical (VFD) e-house (60 x 120 ft)</t>
        </is>
      </c>
      <c r="G967" s="9" t="inlineStr">
        <is>
          <t>VFD-L4</t>
        </is>
      </c>
      <c r="H967" s="9" t="inlineStr">
        <is>
          <t>R4 VFD lineup 4 (23 drives, fed from T-R4-4)</t>
        </is>
      </c>
      <c r="I967" s="9" t="inlineStr">
        <is>
          <t>Control</t>
        </is>
      </c>
      <c r="J967" s="9" t="inlineStr">
        <is>
          <t>Control cable 600 V Type TC-ER, Cu #10 AWG (CT / VT circuits)</t>
        </is>
      </c>
      <c r="K967" s="9" t="inlineStr">
        <is>
          <t>CTCT|4/C|10</t>
        </is>
      </c>
      <c r="L967" s="9" t="inlineStr">
        <is>
          <t>4/C</t>
        </is>
      </c>
      <c r="M967" s="9" t="inlineStr">
        <is>
          <t>10</t>
        </is>
      </c>
      <c r="N967" s="9" t="n">
        <v>1</v>
      </c>
      <c r="O967" s="9" t="n">
        <v>1</v>
      </c>
      <c r="P967" s="9" t="n"/>
      <c r="Q967" s="9" t="n"/>
      <c r="R967" s="9" t="n"/>
      <c r="S967" s="9" t="inlineStr">
        <is>
          <t>Tray</t>
        </is>
      </c>
      <c r="T967" s="10" t="n">
        <v>0</v>
      </c>
      <c r="U967" s="10" t="n">
        <v>81</v>
      </c>
      <c r="V967" s="10">
        <f>ROUNDUP((T967+U967+2*'Read Me'!$B$13)*(1+'Read Me'!$B$12),-1)</f>
        <v/>
      </c>
      <c r="W967" s="10">
        <f>V967*N967*O967</f>
        <v/>
      </c>
      <c r="X967" s="9">
        <f>IF(LEFT(I967,2)="MV",2*N967*IF(L967="1/C",O967,1),0)</f>
        <v/>
      </c>
      <c r="Y967" s="9">
        <f>IF(OR(LEFT(K967,4)="LVAX",LEFT(K967,6)="MV15AX",LEFT(K967,4)="CTAX",LEFT(K967,2)="W|"),2*N967*O967,0)</f>
        <v/>
      </c>
      <c r="Z967" s="9" t="inlineStr"/>
    </row>
    <row r="968">
      <c r="A968" s="9" t="inlineStr">
        <is>
          <t>B-C-0101</t>
        </is>
      </c>
      <c r="B968" s="9" t="inlineStr">
        <is>
          <t>B</t>
        </is>
      </c>
      <c r="C968" s="9" t="inlineStr">
        <is>
          <t>ACC</t>
        </is>
      </c>
      <c r="D968" s="9" t="inlineStr">
        <is>
          <t>Control</t>
        </is>
      </c>
      <c r="E968" s="9" t="inlineStr">
        <is>
          <t>R4</t>
        </is>
      </c>
      <c r="F968" s="9" t="inlineStr">
        <is>
          <t>R4: ACC electrical (VFD) e-house (60 x 120 ft)</t>
        </is>
      </c>
      <c r="G968" s="9" t="inlineStr">
        <is>
          <t>R4</t>
        </is>
      </c>
      <c r="H968" s="9" t="inlineStr">
        <is>
          <t>R4: ACC electrical (VFD) e-house (60 x 120 ft)</t>
        </is>
      </c>
      <c r="I968" s="9" t="inlineStr">
        <is>
          <t>Control</t>
        </is>
      </c>
      <c r="J968" s="9" t="inlineStr">
        <is>
          <t>Control cable 600 V Type TC-ER, Cu #14 AWG, PVC jacket</t>
        </is>
      </c>
      <c r="K968" s="9" t="inlineStr">
        <is>
          <t>CT|7/C|14</t>
        </is>
      </c>
      <c r="L968" s="9" t="inlineStr">
        <is>
          <t>7/C</t>
        </is>
      </c>
      <c r="M968" s="9" t="inlineStr">
        <is>
          <t>14</t>
        </is>
      </c>
      <c r="N968" s="9" t="n">
        <v>1</v>
      </c>
      <c r="O968" s="9" t="n">
        <v>1</v>
      </c>
      <c r="P968" s="9" t="n"/>
      <c r="Q968" s="9" t="n"/>
      <c r="R968" s="9" t="n"/>
      <c r="S968" s="9" t="inlineStr">
        <is>
          <t>Tray</t>
        </is>
      </c>
      <c r="T968" s="10" t="n">
        <v>0</v>
      </c>
      <c r="U968" s="10" t="n">
        <v>72</v>
      </c>
      <c r="V968" s="10">
        <f>ROUNDUP((T968+U968+2*'Read Me'!$B$13)*(1+'Read Me'!$B$12),-1)</f>
        <v/>
      </c>
      <c r="W968" s="10">
        <f>V968*N968*O968</f>
        <v/>
      </c>
      <c r="X968" s="9">
        <f>IF(LEFT(I968,2)="MV",2*N968*IF(L968="1/C",O968,1),0)</f>
        <v/>
      </c>
      <c r="Y968" s="9">
        <f>IF(OR(LEFT(K968,4)="LVAX",LEFT(K968,6)="MV15AX",LEFT(K968,4)="CTAX",LEFT(K968,2)="W|"),2*N968*O968,0)</f>
        <v/>
      </c>
      <c r="Z968" s="9" t="inlineStr"/>
    </row>
    <row r="969">
      <c r="A969" s="9" t="inlineStr">
        <is>
          <t>B-C-0102</t>
        </is>
      </c>
      <c r="B969" s="9" t="inlineStr">
        <is>
          <t>B</t>
        </is>
      </c>
      <c r="C969" s="9" t="inlineStr">
        <is>
          <t>ACC</t>
        </is>
      </c>
      <c r="D969" s="9" t="inlineStr">
        <is>
          <t>Control</t>
        </is>
      </c>
      <c r="E969" s="9" t="inlineStr">
        <is>
          <t>R4</t>
        </is>
      </c>
      <c r="F969" s="9" t="inlineStr">
        <is>
          <t>R4: ACC electrical (VFD) e-house (60 x 120 ft)</t>
        </is>
      </c>
      <c r="G969" s="9" t="inlineStr">
        <is>
          <t>R4</t>
        </is>
      </c>
      <c r="H969" s="9" t="inlineStr">
        <is>
          <t>R4: ACC electrical (VFD) e-house (60 x 120 ft)</t>
        </is>
      </c>
      <c r="I969" s="9" t="inlineStr">
        <is>
          <t>Control</t>
        </is>
      </c>
      <c r="J969" s="9" t="inlineStr">
        <is>
          <t>Control cable 600 V Type TC-ER, Cu #14 AWG, PVC jacket</t>
        </is>
      </c>
      <c r="K969" s="9" t="inlineStr">
        <is>
          <t>CT|7/C|14</t>
        </is>
      </c>
      <c r="L969" s="9" t="inlineStr">
        <is>
          <t>7/C</t>
        </is>
      </c>
      <c r="M969" s="9" t="inlineStr">
        <is>
          <t>14</t>
        </is>
      </c>
      <c r="N969" s="9" t="n">
        <v>1</v>
      </c>
      <c r="O969" s="9" t="n">
        <v>1</v>
      </c>
      <c r="P969" s="9" t="n"/>
      <c r="Q969" s="9" t="n"/>
      <c r="R969" s="9" t="n"/>
      <c r="S969" s="9" t="inlineStr">
        <is>
          <t>Tray</t>
        </is>
      </c>
      <c r="T969" s="10" t="n">
        <v>0</v>
      </c>
      <c r="U969" s="10" t="n">
        <v>72</v>
      </c>
      <c r="V969" s="10">
        <f>ROUNDUP((T969+U969+2*'Read Me'!$B$13)*(1+'Read Me'!$B$12),-1)</f>
        <v/>
      </c>
      <c r="W969" s="10">
        <f>V969*N969*O969</f>
        <v/>
      </c>
      <c r="X969" s="9">
        <f>IF(LEFT(I969,2)="MV",2*N969*IF(L969="1/C",O969,1),0)</f>
        <v/>
      </c>
      <c r="Y969" s="9">
        <f>IF(OR(LEFT(K969,4)="LVAX",LEFT(K969,6)="MV15AX",LEFT(K969,4)="CTAX",LEFT(K969,2)="W|"),2*N969*O969,0)</f>
        <v/>
      </c>
      <c r="Z969" s="9" t="inlineStr"/>
    </row>
    <row r="970">
      <c r="A970" s="9" t="inlineStr">
        <is>
          <t>B-C-0103</t>
        </is>
      </c>
      <c r="B970" s="9" t="inlineStr">
        <is>
          <t>B</t>
        </is>
      </c>
      <c r="C970" s="9" t="inlineStr">
        <is>
          <t>ACC</t>
        </is>
      </c>
      <c r="D970" s="9" t="inlineStr">
        <is>
          <t>Control</t>
        </is>
      </c>
      <c r="E970" s="9" t="inlineStr">
        <is>
          <t>R4</t>
        </is>
      </c>
      <c r="F970" s="9" t="inlineStr">
        <is>
          <t>R4: ACC electrical (VFD) e-house (60 x 120 ft)</t>
        </is>
      </c>
      <c r="G970" s="9" t="inlineStr">
        <is>
          <t>R4</t>
        </is>
      </c>
      <c r="H970" s="9" t="inlineStr">
        <is>
          <t>R4: ACC electrical (VFD) e-house (60 x 120 ft)</t>
        </is>
      </c>
      <c r="I970" s="9" t="inlineStr">
        <is>
          <t>Control</t>
        </is>
      </c>
      <c r="J970" s="9" t="inlineStr">
        <is>
          <t>Control cable 600 V Type TC-ER, Cu #14 AWG, PVC jacket</t>
        </is>
      </c>
      <c r="K970" s="9" t="inlineStr">
        <is>
          <t>CT|12/C|14</t>
        </is>
      </c>
      <c r="L970" s="9" t="inlineStr">
        <is>
          <t>12/C</t>
        </is>
      </c>
      <c r="M970" s="9" t="inlineStr">
        <is>
          <t>14</t>
        </is>
      </c>
      <c r="N970" s="9" t="n">
        <v>1</v>
      </c>
      <c r="O970" s="9" t="n">
        <v>1</v>
      </c>
      <c r="P970" s="9" t="n"/>
      <c r="Q970" s="9" t="n"/>
      <c r="R970" s="9" t="n"/>
      <c r="S970" s="9" t="inlineStr">
        <is>
          <t>Tray</t>
        </is>
      </c>
      <c r="T970" s="10" t="n">
        <v>0</v>
      </c>
      <c r="U970" s="10" t="n">
        <v>72</v>
      </c>
      <c r="V970" s="10">
        <f>ROUNDUP((T970+U970+2*'Read Me'!$B$13)*(1+'Read Me'!$B$12),-1)</f>
        <v/>
      </c>
      <c r="W970" s="10">
        <f>V970*N970*O970</f>
        <v/>
      </c>
      <c r="X970" s="9">
        <f>IF(LEFT(I970,2)="MV",2*N970*IF(L970="1/C",O970,1),0)</f>
        <v/>
      </c>
      <c r="Y970" s="9">
        <f>IF(OR(LEFT(K970,4)="LVAX",LEFT(K970,6)="MV15AX",LEFT(K970,4)="CTAX",LEFT(K970,2)="W|"),2*N970*O970,0)</f>
        <v/>
      </c>
      <c r="Z970" s="9" t="inlineStr"/>
    </row>
    <row r="971">
      <c r="A971" s="9" t="inlineStr">
        <is>
          <t>B-C-0104</t>
        </is>
      </c>
      <c r="B971" s="9" t="inlineStr">
        <is>
          <t>B</t>
        </is>
      </c>
      <c r="C971" s="9" t="inlineStr">
        <is>
          <t>ACC</t>
        </is>
      </c>
      <c r="D971" s="9" t="inlineStr">
        <is>
          <t>Control</t>
        </is>
      </c>
      <c r="E971" s="9" t="inlineStr">
        <is>
          <t>R4</t>
        </is>
      </c>
      <c r="F971" s="9" t="inlineStr">
        <is>
          <t>R4: ACC electrical (VFD) e-house (60 x 120 ft)</t>
        </is>
      </c>
      <c r="G971" s="9" t="inlineStr">
        <is>
          <t>R4</t>
        </is>
      </c>
      <c r="H971" s="9" t="inlineStr">
        <is>
          <t>R4: ACC electrical (VFD) e-house (60 x 120 ft)</t>
        </is>
      </c>
      <c r="I971" s="9" t="inlineStr">
        <is>
          <t>Control</t>
        </is>
      </c>
      <c r="J971" s="9" t="inlineStr">
        <is>
          <t>Control cable 600 V Type TC-ER, Cu #14 AWG, PVC jacket</t>
        </is>
      </c>
      <c r="K971" s="9" t="inlineStr">
        <is>
          <t>CT|12/C|14</t>
        </is>
      </c>
      <c r="L971" s="9" t="inlineStr">
        <is>
          <t>12/C</t>
        </is>
      </c>
      <c r="M971" s="9" t="inlineStr">
        <is>
          <t>14</t>
        </is>
      </c>
      <c r="N971" s="9" t="n">
        <v>1</v>
      </c>
      <c r="O971" s="9" t="n">
        <v>1</v>
      </c>
      <c r="P971" s="9" t="n"/>
      <c r="Q971" s="9" t="n"/>
      <c r="R971" s="9" t="n"/>
      <c r="S971" s="9" t="inlineStr">
        <is>
          <t>Tray</t>
        </is>
      </c>
      <c r="T971" s="10" t="n">
        <v>0</v>
      </c>
      <c r="U971" s="10" t="n">
        <v>72</v>
      </c>
      <c r="V971" s="10">
        <f>ROUNDUP((T971+U971+2*'Read Me'!$B$13)*(1+'Read Me'!$B$12),-1)</f>
        <v/>
      </c>
      <c r="W971" s="10">
        <f>V971*N971*O971</f>
        <v/>
      </c>
      <c r="X971" s="9">
        <f>IF(LEFT(I971,2)="MV",2*N971*IF(L971="1/C",O971,1),0)</f>
        <v/>
      </c>
      <c r="Y971" s="9">
        <f>IF(OR(LEFT(K971,4)="LVAX",LEFT(K971,6)="MV15AX",LEFT(K971,4)="CTAX",LEFT(K971,2)="W|"),2*N971*O971,0)</f>
        <v/>
      </c>
      <c r="Z971" s="9" t="inlineStr"/>
    </row>
    <row r="972">
      <c r="A972" s="9" t="inlineStr">
        <is>
          <t>B-C-0105</t>
        </is>
      </c>
      <c r="B972" s="9" t="inlineStr">
        <is>
          <t>B</t>
        </is>
      </c>
      <c r="C972" s="9" t="inlineStr">
        <is>
          <t>ACC</t>
        </is>
      </c>
      <c r="D972" s="9" t="inlineStr">
        <is>
          <t>Control</t>
        </is>
      </c>
      <c r="E972" s="9" t="inlineStr">
        <is>
          <t>R4</t>
        </is>
      </c>
      <c r="F972" s="9" t="inlineStr">
        <is>
          <t>R4: ACC electrical (VFD) e-house (60 x 120 ft)</t>
        </is>
      </c>
      <c r="G972" s="9" t="inlineStr">
        <is>
          <t>R4</t>
        </is>
      </c>
      <c r="H972" s="9" t="inlineStr">
        <is>
          <t>R4: ACC electrical (VFD) e-house (60 x 120 ft)</t>
        </is>
      </c>
      <c r="I972" s="9" t="inlineStr">
        <is>
          <t>Control</t>
        </is>
      </c>
      <c r="J972" s="9" t="inlineStr">
        <is>
          <t>Control cable 600 V Type TC-ER, Cu #14 AWG, PVC jacket</t>
        </is>
      </c>
      <c r="K972" s="9" t="inlineStr">
        <is>
          <t>CT|12/C|14</t>
        </is>
      </c>
      <c r="L972" s="9" t="inlineStr">
        <is>
          <t>12/C</t>
        </is>
      </c>
      <c r="M972" s="9" t="inlineStr">
        <is>
          <t>14</t>
        </is>
      </c>
      <c r="N972" s="9" t="n">
        <v>1</v>
      </c>
      <c r="O972" s="9" t="n">
        <v>1</v>
      </c>
      <c r="P972" s="9" t="n"/>
      <c r="Q972" s="9" t="n"/>
      <c r="R972" s="9" t="n"/>
      <c r="S972" s="9" t="inlineStr">
        <is>
          <t>Tray</t>
        </is>
      </c>
      <c r="T972" s="10" t="n">
        <v>0</v>
      </c>
      <c r="U972" s="10" t="n">
        <v>72</v>
      </c>
      <c r="V972" s="10">
        <f>ROUNDUP((T972+U972+2*'Read Me'!$B$13)*(1+'Read Me'!$B$12),-1)</f>
        <v/>
      </c>
      <c r="W972" s="10">
        <f>V972*N972*O972</f>
        <v/>
      </c>
      <c r="X972" s="9">
        <f>IF(LEFT(I972,2)="MV",2*N972*IF(L972="1/C",O972,1),0)</f>
        <v/>
      </c>
      <c r="Y972" s="9">
        <f>IF(OR(LEFT(K972,4)="LVAX",LEFT(K972,6)="MV15AX",LEFT(K972,4)="CTAX",LEFT(K972,2)="W|"),2*N972*O972,0)</f>
        <v/>
      </c>
      <c r="Z972" s="9" t="inlineStr"/>
    </row>
    <row r="973">
      <c r="A973" s="9" t="inlineStr">
        <is>
          <t>B-C-0106</t>
        </is>
      </c>
      <c r="B973" s="9" t="inlineStr">
        <is>
          <t>B</t>
        </is>
      </c>
      <c r="C973" s="9" t="inlineStr">
        <is>
          <t>ACC</t>
        </is>
      </c>
      <c r="D973" s="9" t="inlineStr">
        <is>
          <t>Control</t>
        </is>
      </c>
      <c r="E973" s="9" t="inlineStr">
        <is>
          <t>R4</t>
        </is>
      </c>
      <c r="F973" s="9" t="inlineStr">
        <is>
          <t>R4: ACC electrical (VFD) e-house (60 x 120 ft)</t>
        </is>
      </c>
      <c r="G973" s="9" t="inlineStr">
        <is>
          <t>R4</t>
        </is>
      </c>
      <c r="H973" s="9" t="inlineStr">
        <is>
          <t>R4: ACC electrical (VFD) e-house (60 x 120 ft)</t>
        </is>
      </c>
      <c r="I973" s="9" t="inlineStr">
        <is>
          <t>Control</t>
        </is>
      </c>
      <c r="J973" s="9" t="inlineStr">
        <is>
          <t>Control cable 600 V Type TC-ER, Cu #14 AWG, PVC jacket</t>
        </is>
      </c>
      <c r="K973" s="9" t="inlineStr">
        <is>
          <t>CT|12/C|14</t>
        </is>
      </c>
      <c r="L973" s="9" t="inlineStr">
        <is>
          <t>12/C</t>
        </is>
      </c>
      <c r="M973" s="9" t="inlineStr">
        <is>
          <t>14</t>
        </is>
      </c>
      <c r="N973" s="9" t="n">
        <v>1</v>
      </c>
      <c r="O973" s="9" t="n">
        <v>1</v>
      </c>
      <c r="P973" s="9" t="n"/>
      <c r="Q973" s="9" t="n"/>
      <c r="R973" s="9" t="n"/>
      <c r="S973" s="9" t="inlineStr">
        <is>
          <t>Tray</t>
        </is>
      </c>
      <c r="T973" s="10" t="n">
        <v>0</v>
      </c>
      <c r="U973" s="10" t="n">
        <v>72</v>
      </c>
      <c r="V973" s="10">
        <f>ROUNDUP((T973+U973+2*'Read Me'!$B$13)*(1+'Read Me'!$B$12),-1)</f>
        <v/>
      </c>
      <c r="W973" s="10">
        <f>V973*N973*O973</f>
        <v/>
      </c>
      <c r="X973" s="9">
        <f>IF(LEFT(I973,2)="MV",2*N973*IF(L973="1/C",O973,1),0)</f>
        <v/>
      </c>
      <c r="Y973" s="9">
        <f>IF(OR(LEFT(K973,4)="LVAX",LEFT(K973,6)="MV15AX",LEFT(K973,4)="CTAX",LEFT(K973,2)="W|"),2*N973*O973,0)</f>
        <v/>
      </c>
      <c r="Z973" s="9" t="inlineStr"/>
    </row>
    <row r="974">
      <c r="A974" s="9" t="inlineStr">
        <is>
          <t>B-C-0107</t>
        </is>
      </c>
      <c r="B974" s="9" t="inlineStr">
        <is>
          <t>B</t>
        </is>
      </c>
      <c r="C974" s="9" t="inlineStr">
        <is>
          <t>ACC</t>
        </is>
      </c>
      <c r="D974" s="9" t="inlineStr">
        <is>
          <t>Control</t>
        </is>
      </c>
      <c r="E974" s="9" t="inlineStr">
        <is>
          <t>R4</t>
        </is>
      </c>
      <c r="F974" s="9" t="inlineStr">
        <is>
          <t>R4: ACC electrical (VFD) e-house (60 x 120 ft)</t>
        </is>
      </c>
      <c r="G974" s="9" t="inlineStr">
        <is>
          <t>R4</t>
        </is>
      </c>
      <c r="H974" s="9" t="inlineStr">
        <is>
          <t>R4: ACC electrical (VFD) e-house (60 x 120 ft)</t>
        </is>
      </c>
      <c r="I974" s="9" t="inlineStr">
        <is>
          <t>Control</t>
        </is>
      </c>
      <c r="J974" s="9" t="inlineStr">
        <is>
          <t>Control cable 600 V Type TC-ER, Cu #14 AWG, PVC jacket</t>
        </is>
      </c>
      <c r="K974" s="9" t="inlineStr">
        <is>
          <t>CT|12/C|14</t>
        </is>
      </c>
      <c r="L974" s="9" t="inlineStr">
        <is>
          <t>12/C</t>
        </is>
      </c>
      <c r="M974" s="9" t="inlineStr">
        <is>
          <t>14</t>
        </is>
      </c>
      <c r="N974" s="9" t="n">
        <v>1</v>
      </c>
      <c r="O974" s="9" t="n">
        <v>1</v>
      </c>
      <c r="P974" s="9" t="n"/>
      <c r="Q974" s="9" t="n"/>
      <c r="R974" s="9" t="n"/>
      <c r="S974" s="9" t="inlineStr">
        <is>
          <t>Tray</t>
        </is>
      </c>
      <c r="T974" s="10" t="n">
        <v>0</v>
      </c>
      <c r="U974" s="10" t="n">
        <v>72</v>
      </c>
      <c r="V974" s="10">
        <f>ROUNDUP((T974+U974+2*'Read Me'!$B$13)*(1+'Read Me'!$B$12),-1)</f>
        <v/>
      </c>
      <c r="W974" s="10">
        <f>V974*N974*O974</f>
        <v/>
      </c>
      <c r="X974" s="9">
        <f>IF(LEFT(I974,2)="MV",2*N974*IF(L974="1/C",O974,1),0)</f>
        <v/>
      </c>
      <c r="Y974" s="9">
        <f>IF(OR(LEFT(K974,4)="LVAX",LEFT(K974,6)="MV15AX",LEFT(K974,4)="CTAX",LEFT(K974,2)="W|"),2*N974*O974,0)</f>
        <v/>
      </c>
      <c r="Z974" s="9" t="inlineStr"/>
    </row>
    <row r="975">
      <c r="A975" s="9" t="inlineStr">
        <is>
          <t>B-C-0108</t>
        </is>
      </c>
      <c r="B975" s="9" t="inlineStr">
        <is>
          <t>B</t>
        </is>
      </c>
      <c r="C975" s="9" t="inlineStr">
        <is>
          <t>ACC</t>
        </is>
      </c>
      <c r="D975" s="9" t="inlineStr">
        <is>
          <t>Control</t>
        </is>
      </c>
      <c r="E975" s="9" t="inlineStr">
        <is>
          <t>R4</t>
        </is>
      </c>
      <c r="F975" s="9" t="inlineStr">
        <is>
          <t>R4: ACC electrical (VFD) e-house (60 x 120 ft)</t>
        </is>
      </c>
      <c r="G975" s="9" t="inlineStr">
        <is>
          <t>R4</t>
        </is>
      </c>
      <c r="H975" s="9" t="inlineStr">
        <is>
          <t>R4: ACC electrical (VFD) e-house (60 x 120 ft)</t>
        </is>
      </c>
      <c r="I975" s="9" t="inlineStr">
        <is>
          <t>Control</t>
        </is>
      </c>
      <c r="J975" s="9" t="inlineStr">
        <is>
          <t>Control cable 600 V Type TC-ER, Cu #14 AWG, PVC jacket</t>
        </is>
      </c>
      <c r="K975" s="9" t="inlineStr">
        <is>
          <t>CT|12/C|14</t>
        </is>
      </c>
      <c r="L975" s="9" t="inlineStr">
        <is>
          <t>12/C</t>
        </is>
      </c>
      <c r="M975" s="9" t="inlineStr">
        <is>
          <t>14</t>
        </is>
      </c>
      <c r="N975" s="9" t="n">
        <v>1</v>
      </c>
      <c r="O975" s="9" t="n">
        <v>1</v>
      </c>
      <c r="P975" s="9" t="n"/>
      <c r="Q975" s="9" t="n"/>
      <c r="R975" s="9" t="n"/>
      <c r="S975" s="9" t="inlineStr">
        <is>
          <t>Tray</t>
        </is>
      </c>
      <c r="T975" s="10" t="n">
        <v>0</v>
      </c>
      <c r="U975" s="10" t="n">
        <v>72</v>
      </c>
      <c r="V975" s="10">
        <f>ROUNDUP((T975+U975+2*'Read Me'!$B$13)*(1+'Read Me'!$B$12),-1)</f>
        <v/>
      </c>
      <c r="W975" s="10">
        <f>V975*N975*O975</f>
        <v/>
      </c>
      <c r="X975" s="9">
        <f>IF(LEFT(I975,2)="MV",2*N975*IF(L975="1/C",O975,1),0)</f>
        <v/>
      </c>
      <c r="Y975" s="9">
        <f>IF(OR(LEFT(K975,4)="LVAX",LEFT(K975,6)="MV15AX",LEFT(K975,4)="CTAX",LEFT(K975,2)="W|"),2*N975*O975,0)</f>
        <v/>
      </c>
      <c r="Z975" s="9" t="inlineStr"/>
    </row>
    <row r="976">
      <c r="A976" s="9" t="inlineStr">
        <is>
          <t>B-C-0109</t>
        </is>
      </c>
      <c r="B976" s="9" t="inlineStr">
        <is>
          <t>B</t>
        </is>
      </c>
      <c r="C976" s="9" t="inlineStr">
        <is>
          <t>ACC</t>
        </is>
      </c>
      <c r="D976" s="9" t="inlineStr">
        <is>
          <t>Control</t>
        </is>
      </c>
      <c r="E976" s="9" t="inlineStr">
        <is>
          <t>R4</t>
        </is>
      </c>
      <c r="F976" s="9" t="inlineStr">
        <is>
          <t>R4: ACC electrical (VFD) e-house (60 x 120 ft)</t>
        </is>
      </c>
      <c r="G976" s="9" t="inlineStr"/>
      <c r="H976" s="9" t="inlineStr">
        <is>
          <t>T-R4-1: 13.8/0.48 kV</t>
        </is>
      </c>
      <c r="I976" s="9" t="inlineStr">
        <is>
          <t>Control</t>
        </is>
      </c>
      <c r="J976" s="9" t="inlineStr">
        <is>
          <t>Control cable 600 V Type TC-ER, Cu #14 AWG, PVC jacket</t>
        </is>
      </c>
      <c r="K976" s="9" t="inlineStr">
        <is>
          <t>CT|7/C|14</t>
        </is>
      </c>
      <c r="L976" s="9" t="inlineStr">
        <is>
          <t>7/C</t>
        </is>
      </c>
      <c r="M976" s="9" t="inlineStr">
        <is>
          <t>14</t>
        </is>
      </c>
      <c r="N976" s="9" t="n">
        <v>1</v>
      </c>
      <c r="O976" s="9" t="n">
        <v>1</v>
      </c>
      <c r="P976" s="9" t="n"/>
      <c r="Q976" s="9" t="n"/>
      <c r="R976" s="9" t="n"/>
      <c r="S976" s="9" t="inlineStr">
        <is>
          <t>Duct bank</t>
        </is>
      </c>
      <c r="T976" s="10" t="n">
        <v>146</v>
      </c>
      <c r="U976" s="10" t="n">
        <v>69</v>
      </c>
      <c r="V976" s="10">
        <f>ROUNDUP((T976+U976+2*'Read Me'!$B$13)*(1+'Read Me'!$B$12),-1)</f>
        <v/>
      </c>
      <c r="W976" s="10">
        <f>V976*N976*O976</f>
        <v/>
      </c>
      <c r="X976" s="9">
        <f>IF(LEFT(I976,2)="MV",2*N976*IF(L976="1/C",O976,1),0)</f>
        <v/>
      </c>
      <c r="Y976" s="9">
        <f>IF(OR(LEFT(K976,4)="LVAX",LEFT(K976,6)="MV15AX",LEFT(K976,4)="CTAX",LEFT(K976,2)="W|"),2*N976*O976,0)</f>
        <v/>
      </c>
      <c r="Z976" s="9" t="inlineStr"/>
    </row>
    <row r="977">
      <c r="A977" s="9" t="inlineStr">
        <is>
          <t>B-C-0110</t>
        </is>
      </c>
      <c r="B977" s="9" t="inlineStr">
        <is>
          <t>B</t>
        </is>
      </c>
      <c r="C977" s="9" t="inlineStr">
        <is>
          <t>ACC</t>
        </is>
      </c>
      <c r="D977" s="9" t="inlineStr">
        <is>
          <t>Control</t>
        </is>
      </c>
      <c r="E977" s="9" t="inlineStr">
        <is>
          <t>R4</t>
        </is>
      </c>
      <c r="F977" s="9" t="inlineStr">
        <is>
          <t>R4: ACC electrical (VFD) e-house (60 x 120 ft)</t>
        </is>
      </c>
      <c r="G977" s="9" t="inlineStr"/>
      <c r="H977" s="9" t="inlineStr">
        <is>
          <t>T-R4-1: 13.8/0.48 kV</t>
        </is>
      </c>
      <c r="I977" s="9" t="inlineStr">
        <is>
          <t>Control</t>
        </is>
      </c>
      <c r="J977" s="9" t="inlineStr">
        <is>
          <t>Control cable 600 V Type TC-ER, Cu #14 AWG, PVC jacket</t>
        </is>
      </c>
      <c r="K977" s="9" t="inlineStr">
        <is>
          <t>CT|12/C|14</t>
        </is>
      </c>
      <c r="L977" s="9" t="inlineStr">
        <is>
          <t>12/C</t>
        </is>
      </c>
      <c r="M977" s="9" t="inlineStr">
        <is>
          <t>14</t>
        </is>
      </c>
      <c r="N977" s="9" t="n">
        <v>1</v>
      </c>
      <c r="O977" s="9" t="n">
        <v>1</v>
      </c>
      <c r="P977" s="9" t="n"/>
      <c r="Q977" s="9" t="n"/>
      <c r="R977" s="9" t="n"/>
      <c r="S977" s="9" t="inlineStr">
        <is>
          <t>Duct bank</t>
        </is>
      </c>
      <c r="T977" s="10" t="n">
        <v>146</v>
      </c>
      <c r="U977" s="10" t="n">
        <v>69</v>
      </c>
      <c r="V977" s="10">
        <f>ROUNDUP((T977+U977+2*'Read Me'!$B$13)*(1+'Read Me'!$B$12),-1)</f>
        <v/>
      </c>
      <c r="W977" s="10">
        <f>V977*N977*O977</f>
        <v/>
      </c>
      <c r="X977" s="9">
        <f>IF(LEFT(I977,2)="MV",2*N977*IF(L977="1/C",O977,1),0)</f>
        <v/>
      </c>
      <c r="Y977" s="9">
        <f>IF(OR(LEFT(K977,4)="LVAX",LEFT(K977,6)="MV15AX",LEFT(K977,4)="CTAX",LEFT(K977,2)="W|"),2*N977*O977,0)</f>
        <v/>
      </c>
      <c r="Z977" s="9" t="inlineStr"/>
    </row>
    <row r="978">
      <c r="A978" s="9" t="inlineStr">
        <is>
          <t>B-C-0111</t>
        </is>
      </c>
      <c r="B978" s="9" t="inlineStr">
        <is>
          <t>B</t>
        </is>
      </c>
      <c r="C978" s="9" t="inlineStr">
        <is>
          <t>ACC</t>
        </is>
      </c>
      <c r="D978" s="9" t="inlineStr">
        <is>
          <t>CT / VT</t>
        </is>
      </c>
      <c r="E978" s="9" t="inlineStr">
        <is>
          <t>R4</t>
        </is>
      </c>
      <c r="F978" s="9" t="inlineStr">
        <is>
          <t>R4: ACC electrical (VFD) e-house (60 x 120 ft)</t>
        </is>
      </c>
      <c r="G978" s="9" t="inlineStr"/>
      <c r="H978" s="9" t="inlineStr">
        <is>
          <t>T-R4-1: 13.8/0.48 kV</t>
        </is>
      </c>
      <c r="I978" s="9" t="inlineStr">
        <is>
          <t>Control</t>
        </is>
      </c>
      <c r="J978" s="9" t="inlineStr">
        <is>
          <t>Control cable 600 V Type TC-ER, Cu #10 AWG (CT / VT circuits)</t>
        </is>
      </c>
      <c r="K978" s="9" t="inlineStr">
        <is>
          <t>CTCT|4/C|10</t>
        </is>
      </c>
      <c r="L978" s="9" t="inlineStr">
        <is>
          <t>4/C</t>
        </is>
      </c>
      <c r="M978" s="9" t="inlineStr">
        <is>
          <t>10</t>
        </is>
      </c>
      <c r="N978" s="9" t="n">
        <v>1</v>
      </c>
      <c r="O978" s="9" t="n">
        <v>1</v>
      </c>
      <c r="P978" s="9" t="n"/>
      <c r="Q978" s="9" t="n"/>
      <c r="R978" s="9" t="n"/>
      <c r="S978" s="9" t="inlineStr">
        <is>
          <t>Duct bank</t>
        </is>
      </c>
      <c r="T978" s="10" t="n">
        <v>146</v>
      </c>
      <c r="U978" s="10" t="n">
        <v>69</v>
      </c>
      <c r="V978" s="10">
        <f>ROUNDUP((T978+U978+2*'Read Me'!$B$13)*(1+'Read Me'!$B$12),-1)</f>
        <v/>
      </c>
      <c r="W978" s="10">
        <f>V978*N978*O978</f>
        <v/>
      </c>
      <c r="X978" s="9">
        <f>IF(LEFT(I978,2)="MV",2*N978*IF(L978="1/C",O978,1),0)</f>
        <v/>
      </c>
      <c r="Y978" s="9">
        <f>IF(OR(LEFT(K978,4)="LVAX",LEFT(K978,6)="MV15AX",LEFT(K978,4)="CTAX",LEFT(K978,2)="W|"),2*N978*O978,0)</f>
        <v/>
      </c>
      <c r="Z978" s="9" t="inlineStr"/>
    </row>
    <row r="979">
      <c r="A979" s="9" t="inlineStr">
        <is>
          <t>B-C-0112</t>
        </is>
      </c>
      <c r="B979" s="9" t="inlineStr">
        <is>
          <t>B</t>
        </is>
      </c>
      <c r="C979" s="9" t="inlineStr">
        <is>
          <t>ACC</t>
        </is>
      </c>
      <c r="D979" s="9" t="inlineStr">
        <is>
          <t>CT / VT</t>
        </is>
      </c>
      <c r="E979" s="9" t="inlineStr">
        <is>
          <t>R4</t>
        </is>
      </c>
      <c r="F979" s="9" t="inlineStr">
        <is>
          <t>R4: ACC electrical (VFD) e-house (60 x 120 ft)</t>
        </is>
      </c>
      <c r="G979" s="9" t="inlineStr"/>
      <c r="H979" s="9" t="inlineStr">
        <is>
          <t>T-R4-1: 13.8/0.48 kV</t>
        </is>
      </c>
      <c r="I979" s="9" t="inlineStr">
        <is>
          <t>Control</t>
        </is>
      </c>
      <c r="J979" s="9" t="inlineStr">
        <is>
          <t>Control cable 600 V Type TC-ER, Cu #10 AWG (CT / VT circuits)</t>
        </is>
      </c>
      <c r="K979" s="9" t="inlineStr">
        <is>
          <t>CTCT|4/C|10</t>
        </is>
      </c>
      <c r="L979" s="9" t="inlineStr">
        <is>
          <t>4/C</t>
        </is>
      </c>
      <c r="M979" s="9" t="inlineStr">
        <is>
          <t>10</t>
        </is>
      </c>
      <c r="N979" s="9" t="n">
        <v>1</v>
      </c>
      <c r="O979" s="9" t="n">
        <v>1</v>
      </c>
      <c r="P979" s="9" t="n"/>
      <c r="Q979" s="9" t="n"/>
      <c r="R979" s="9" t="n"/>
      <c r="S979" s="9" t="inlineStr">
        <is>
          <t>Duct bank</t>
        </is>
      </c>
      <c r="T979" s="10" t="n">
        <v>146</v>
      </c>
      <c r="U979" s="10" t="n">
        <v>69</v>
      </c>
      <c r="V979" s="10">
        <f>ROUNDUP((T979+U979+2*'Read Me'!$B$13)*(1+'Read Me'!$B$12),-1)</f>
        <v/>
      </c>
      <c r="W979" s="10">
        <f>V979*N979*O979</f>
        <v/>
      </c>
      <c r="X979" s="9">
        <f>IF(LEFT(I979,2)="MV",2*N979*IF(L979="1/C",O979,1),0)</f>
        <v/>
      </c>
      <c r="Y979" s="9">
        <f>IF(OR(LEFT(K979,4)="LVAX",LEFT(K979,6)="MV15AX",LEFT(K979,4)="CTAX",LEFT(K979,2)="W|"),2*N979*O979,0)</f>
        <v/>
      </c>
      <c r="Z979" s="9" t="inlineStr"/>
    </row>
    <row r="980">
      <c r="A980" s="9" t="inlineStr">
        <is>
          <t>B-C-0113</t>
        </is>
      </c>
      <c r="B980" s="9" t="inlineStr">
        <is>
          <t>B</t>
        </is>
      </c>
      <c r="C980" s="9" t="inlineStr">
        <is>
          <t>ACC</t>
        </is>
      </c>
      <c r="D980" s="9" t="inlineStr">
        <is>
          <t>Control</t>
        </is>
      </c>
      <c r="E980" s="9" t="inlineStr">
        <is>
          <t>R4</t>
        </is>
      </c>
      <c r="F980" s="9" t="inlineStr">
        <is>
          <t>R4: ACC electrical (VFD) e-house (60 x 120 ft)</t>
        </is>
      </c>
      <c r="G980" s="9" t="inlineStr"/>
      <c r="H980" s="9" t="inlineStr">
        <is>
          <t>T-R4-2: 13.8/0.48 kV</t>
        </is>
      </c>
      <c r="I980" s="9" t="inlineStr">
        <is>
          <t>Control</t>
        </is>
      </c>
      <c r="J980" s="9" t="inlineStr">
        <is>
          <t>Control cable 600 V Type TC-ER, Cu #14 AWG, PVC jacket</t>
        </is>
      </c>
      <c r="K980" s="9" t="inlineStr">
        <is>
          <t>CT|7/C|14</t>
        </is>
      </c>
      <c r="L980" s="9" t="inlineStr">
        <is>
          <t>7/C</t>
        </is>
      </c>
      <c r="M980" s="9" t="inlineStr">
        <is>
          <t>14</t>
        </is>
      </c>
      <c r="N980" s="9" t="n">
        <v>1</v>
      </c>
      <c r="O980" s="9" t="n">
        <v>1</v>
      </c>
      <c r="P980" s="9" t="n"/>
      <c r="Q980" s="9" t="n"/>
      <c r="R980" s="9" t="n"/>
      <c r="S980" s="9" t="inlineStr">
        <is>
          <t>Duct bank</t>
        </is>
      </c>
      <c r="T980" s="10" t="n">
        <v>172</v>
      </c>
      <c r="U980" s="10" t="n">
        <v>69</v>
      </c>
      <c r="V980" s="10">
        <f>ROUNDUP((T980+U980+2*'Read Me'!$B$13)*(1+'Read Me'!$B$12),-1)</f>
        <v/>
      </c>
      <c r="W980" s="10">
        <f>V980*N980*O980</f>
        <v/>
      </c>
      <c r="X980" s="9">
        <f>IF(LEFT(I980,2)="MV",2*N980*IF(L980="1/C",O980,1),0)</f>
        <v/>
      </c>
      <c r="Y980" s="9">
        <f>IF(OR(LEFT(K980,4)="LVAX",LEFT(K980,6)="MV15AX",LEFT(K980,4)="CTAX",LEFT(K980,2)="W|"),2*N980*O980,0)</f>
        <v/>
      </c>
      <c r="Z980" s="9" t="inlineStr"/>
    </row>
    <row r="981">
      <c r="A981" s="9" t="inlineStr">
        <is>
          <t>B-C-0114</t>
        </is>
      </c>
      <c r="B981" s="9" t="inlineStr">
        <is>
          <t>B</t>
        </is>
      </c>
      <c r="C981" s="9" t="inlineStr">
        <is>
          <t>ACC</t>
        </is>
      </c>
      <c r="D981" s="9" t="inlineStr">
        <is>
          <t>Control</t>
        </is>
      </c>
      <c r="E981" s="9" t="inlineStr">
        <is>
          <t>R4</t>
        </is>
      </c>
      <c r="F981" s="9" t="inlineStr">
        <is>
          <t>R4: ACC electrical (VFD) e-house (60 x 120 ft)</t>
        </is>
      </c>
      <c r="G981" s="9" t="inlineStr"/>
      <c r="H981" s="9" t="inlineStr">
        <is>
          <t>T-R4-2: 13.8/0.48 kV</t>
        </is>
      </c>
      <c r="I981" s="9" t="inlineStr">
        <is>
          <t>Control</t>
        </is>
      </c>
      <c r="J981" s="9" t="inlineStr">
        <is>
          <t>Control cable 600 V Type TC-ER, Cu #14 AWG, PVC jacket</t>
        </is>
      </c>
      <c r="K981" s="9" t="inlineStr">
        <is>
          <t>CT|12/C|14</t>
        </is>
      </c>
      <c r="L981" s="9" t="inlineStr">
        <is>
          <t>12/C</t>
        </is>
      </c>
      <c r="M981" s="9" t="inlineStr">
        <is>
          <t>14</t>
        </is>
      </c>
      <c r="N981" s="9" t="n">
        <v>1</v>
      </c>
      <c r="O981" s="9" t="n">
        <v>1</v>
      </c>
      <c r="P981" s="9" t="n"/>
      <c r="Q981" s="9" t="n"/>
      <c r="R981" s="9" t="n"/>
      <c r="S981" s="9" t="inlineStr">
        <is>
          <t>Duct bank</t>
        </is>
      </c>
      <c r="T981" s="10" t="n">
        <v>172</v>
      </c>
      <c r="U981" s="10" t="n">
        <v>69</v>
      </c>
      <c r="V981" s="10">
        <f>ROUNDUP((T981+U981+2*'Read Me'!$B$13)*(1+'Read Me'!$B$12),-1)</f>
        <v/>
      </c>
      <c r="W981" s="10">
        <f>V981*N981*O981</f>
        <v/>
      </c>
      <c r="X981" s="9">
        <f>IF(LEFT(I981,2)="MV",2*N981*IF(L981="1/C",O981,1),0)</f>
        <v/>
      </c>
      <c r="Y981" s="9">
        <f>IF(OR(LEFT(K981,4)="LVAX",LEFT(K981,6)="MV15AX",LEFT(K981,4)="CTAX",LEFT(K981,2)="W|"),2*N981*O981,0)</f>
        <v/>
      </c>
      <c r="Z981" s="9" t="inlineStr"/>
    </row>
    <row r="982">
      <c r="A982" s="9" t="inlineStr">
        <is>
          <t>B-C-0115</t>
        </is>
      </c>
      <c r="B982" s="9" t="inlineStr">
        <is>
          <t>B</t>
        </is>
      </c>
      <c r="C982" s="9" t="inlineStr">
        <is>
          <t>ACC</t>
        </is>
      </c>
      <c r="D982" s="9" t="inlineStr">
        <is>
          <t>CT / VT</t>
        </is>
      </c>
      <c r="E982" s="9" t="inlineStr">
        <is>
          <t>R4</t>
        </is>
      </c>
      <c r="F982" s="9" t="inlineStr">
        <is>
          <t>R4: ACC electrical (VFD) e-house (60 x 120 ft)</t>
        </is>
      </c>
      <c r="G982" s="9" t="inlineStr"/>
      <c r="H982" s="9" t="inlineStr">
        <is>
          <t>T-R4-2: 13.8/0.48 kV</t>
        </is>
      </c>
      <c r="I982" s="9" t="inlineStr">
        <is>
          <t>Control</t>
        </is>
      </c>
      <c r="J982" s="9" t="inlineStr">
        <is>
          <t>Control cable 600 V Type TC-ER, Cu #10 AWG (CT / VT circuits)</t>
        </is>
      </c>
      <c r="K982" s="9" t="inlineStr">
        <is>
          <t>CTCT|4/C|10</t>
        </is>
      </c>
      <c r="L982" s="9" t="inlineStr">
        <is>
          <t>4/C</t>
        </is>
      </c>
      <c r="M982" s="9" t="inlineStr">
        <is>
          <t>10</t>
        </is>
      </c>
      <c r="N982" s="9" t="n">
        <v>1</v>
      </c>
      <c r="O982" s="9" t="n">
        <v>1</v>
      </c>
      <c r="P982" s="9" t="n"/>
      <c r="Q982" s="9" t="n"/>
      <c r="R982" s="9" t="n"/>
      <c r="S982" s="9" t="inlineStr">
        <is>
          <t>Duct bank</t>
        </is>
      </c>
      <c r="T982" s="10" t="n">
        <v>172</v>
      </c>
      <c r="U982" s="10" t="n">
        <v>69</v>
      </c>
      <c r="V982" s="10">
        <f>ROUNDUP((T982+U982+2*'Read Me'!$B$13)*(1+'Read Me'!$B$12),-1)</f>
        <v/>
      </c>
      <c r="W982" s="10">
        <f>V982*N982*O982</f>
        <v/>
      </c>
      <c r="X982" s="9">
        <f>IF(LEFT(I982,2)="MV",2*N982*IF(L982="1/C",O982,1),0)</f>
        <v/>
      </c>
      <c r="Y982" s="9">
        <f>IF(OR(LEFT(K982,4)="LVAX",LEFT(K982,6)="MV15AX",LEFT(K982,4)="CTAX",LEFT(K982,2)="W|"),2*N982*O982,0)</f>
        <v/>
      </c>
      <c r="Z982" s="9" t="inlineStr"/>
    </row>
    <row r="983">
      <c r="A983" s="9" t="inlineStr">
        <is>
          <t>B-C-0116</t>
        </is>
      </c>
      <c r="B983" s="9" t="inlineStr">
        <is>
          <t>B</t>
        </is>
      </c>
      <c r="C983" s="9" t="inlineStr">
        <is>
          <t>ACC</t>
        </is>
      </c>
      <c r="D983" s="9" t="inlineStr">
        <is>
          <t>CT / VT</t>
        </is>
      </c>
      <c r="E983" s="9" t="inlineStr">
        <is>
          <t>R4</t>
        </is>
      </c>
      <c r="F983" s="9" t="inlineStr">
        <is>
          <t>R4: ACC electrical (VFD) e-house (60 x 120 ft)</t>
        </is>
      </c>
      <c r="G983" s="9" t="inlineStr"/>
      <c r="H983" s="9" t="inlineStr">
        <is>
          <t>T-R4-2: 13.8/0.48 kV</t>
        </is>
      </c>
      <c r="I983" s="9" t="inlineStr">
        <is>
          <t>Control</t>
        </is>
      </c>
      <c r="J983" s="9" t="inlineStr">
        <is>
          <t>Control cable 600 V Type TC-ER, Cu #10 AWG (CT / VT circuits)</t>
        </is>
      </c>
      <c r="K983" s="9" t="inlineStr">
        <is>
          <t>CTCT|4/C|10</t>
        </is>
      </c>
      <c r="L983" s="9" t="inlineStr">
        <is>
          <t>4/C</t>
        </is>
      </c>
      <c r="M983" s="9" t="inlineStr">
        <is>
          <t>10</t>
        </is>
      </c>
      <c r="N983" s="9" t="n">
        <v>1</v>
      </c>
      <c r="O983" s="9" t="n">
        <v>1</v>
      </c>
      <c r="P983" s="9" t="n"/>
      <c r="Q983" s="9" t="n"/>
      <c r="R983" s="9" t="n"/>
      <c r="S983" s="9" t="inlineStr">
        <is>
          <t>Duct bank</t>
        </is>
      </c>
      <c r="T983" s="10" t="n">
        <v>172</v>
      </c>
      <c r="U983" s="10" t="n">
        <v>69</v>
      </c>
      <c r="V983" s="10">
        <f>ROUNDUP((T983+U983+2*'Read Me'!$B$13)*(1+'Read Me'!$B$12),-1)</f>
        <v/>
      </c>
      <c r="W983" s="10">
        <f>V983*N983*O983</f>
        <v/>
      </c>
      <c r="X983" s="9">
        <f>IF(LEFT(I983,2)="MV",2*N983*IF(L983="1/C",O983,1),0)</f>
        <v/>
      </c>
      <c r="Y983" s="9">
        <f>IF(OR(LEFT(K983,4)="LVAX",LEFT(K983,6)="MV15AX",LEFT(K983,4)="CTAX",LEFT(K983,2)="W|"),2*N983*O983,0)</f>
        <v/>
      </c>
      <c r="Z983" s="9" t="inlineStr"/>
    </row>
    <row r="984">
      <c r="A984" s="9" t="inlineStr">
        <is>
          <t>B-C-0117</t>
        </is>
      </c>
      <c r="B984" s="9" t="inlineStr">
        <is>
          <t>B</t>
        </is>
      </c>
      <c r="C984" s="9" t="inlineStr">
        <is>
          <t>ACC</t>
        </is>
      </c>
      <c r="D984" s="9" t="inlineStr">
        <is>
          <t>Control</t>
        </is>
      </c>
      <c r="E984" s="9" t="inlineStr">
        <is>
          <t>R4</t>
        </is>
      </c>
      <c r="F984" s="9" t="inlineStr">
        <is>
          <t>R4: ACC electrical (VFD) e-house (60 x 120 ft)</t>
        </is>
      </c>
      <c r="G984" s="9" t="inlineStr"/>
      <c r="H984" s="9" t="inlineStr">
        <is>
          <t>T-R4-3: 13.8/0.48 kV</t>
        </is>
      </c>
      <c r="I984" s="9" t="inlineStr">
        <is>
          <t>Control</t>
        </is>
      </c>
      <c r="J984" s="9" t="inlineStr">
        <is>
          <t>Control cable 600 V Type TC-ER, Cu #14 AWG, PVC jacket</t>
        </is>
      </c>
      <c r="K984" s="9" t="inlineStr">
        <is>
          <t>CT|7/C|14</t>
        </is>
      </c>
      <c r="L984" s="9" t="inlineStr">
        <is>
          <t>7/C</t>
        </is>
      </c>
      <c r="M984" s="9" t="inlineStr">
        <is>
          <t>14</t>
        </is>
      </c>
      <c r="N984" s="9" t="n">
        <v>1</v>
      </c>
      <c r="O984" s="9" t="n">
        <v>1</v>
      </c>
      <c r="P984" s="9" t="n"/>
      <c r="Q984" s="9" t="n"/>
      <c r="R984" s="9" t="n"/>
      <c r="S984" s="9" t="inlineStr">
        <is>
          <t>Duct bank</t>
        </is>
      </c>
      <c r="T984" s="10" t="n">
        <v>201</v>
      </c>
      <c r="U984" s="10" t="n">
        <v>56</v>
      </c>
      <c r="V984" s="10">
        <f>ROUNDUP((T984+U984+2*'Read Me'!$B$13)*(1+'Read Me'!$B$12),-1)</f>
        <v/>
      </c>
      <c r="W984" s="10">
        <f>V984*N984*O984</f>
        <v/>
      </c>
      <c r="X984" s="9">
        <f>IF(LEFT(I984,2)="MV",2*N984*IF(L984="1/C",O984,1),0)</f>
        <v/>
      </c>
      <c r="Y984" s="9">
        <f>IF(OR(LEFT(K984,4)="LVAX",LEFT(K984,6)="MV15AX",LEFT(K984,4)="CTAX",LEFT(K984,2)="W|"),2*N984*O984,0)</f>
        <v/>
      </c>
      <c r="Z984" s="9" t="inlineStr"/>
    </row>
    <row r="985">
      <c r="A985" s="9" t="inlineStr">
        <is>
          <t>B-C-0118</t>
        </is>
      </c>
      <c r="B985" s="9" t="inlineStr">
        <is>
          <t>B</t>
        </is>
      </c>
      <c r="C985" s="9" t="inlineStr">
        <is>
          <t>ACC</t>
        </is>
      </c>
      <c r="D985" s="9" t="inlineStr">
        <is>
          <t>Control</t>
        </is>
      </c>
      <c r="E985" s="9" t="inlineStr">
        <is>
          <t>R4</t>
        </is>
      </c>
      <c r="F985" s="9" t="inlineStr">
        <is>
          <t>R4: ACC electrical (VFD) e-house (60 x 120 ft)</t>
        </is>
      </c>
      <c r="G985" s="9" t="inlineStr"/>
      <c r="H985" s="9" t="inlineStr">
        <is>
          <t>T-R4-3: 13.8/0.48 kV</t>
        </is>
      </c>
      <c r="I985" s="9" t="inlineStr">
        <is>
          <t>Control</t>
        </is>
      </c>
      <c r="J985" s="9" t="inlineStr">
        <is>
          <t>Control cable 600 V Type TC-ER, Cu #14 AWG, PVC jacket</t>
        </is>
      </c>
      <c r="K985" s="9" t="inlineStr">
        <is>
          <t>CT|12/C|14</t>
        </is>
      </c>
      <c r="L985" s="9" t="inlineStr">
        <is>
          <t>12/C</t>
        </is>
      </c>
      <c r="M985" s="9" t="inlineStr">
        <is>
          <t>14</t>
        </is>
      </c>
      <c r="N985" s="9" t="n">
        <v>1</v>
      </c>
      <c r="O985" s="9" t="n">
        <v>1</v>
      </c>
      <c r="P985" s="9" t="n"/>
      <c r="Q985" s="9" t="n"/>
      <c r="R985" s="9" t="n"/>
      <c r="S985" s="9" t="inlineStr">
        <is>
          <t>Duct bank</t>
        </is>
      </c>
      <c r="T985" s="10" t="n">
        <v>201</v>
      </c>
      <c r="U985" s="10" t="n">
        <v>56</v>
      </c>
      <c r="V985" s="10">
        <f>ROUNDUP((T985+U985+2*'Read Me'!$B$13)*(1+'Read Me'!$B$12),-1)</f>
        <v/>
      </c>
      <c r="W985" s="10">
        <f>V985*N985*O985</f>
        <v/>
      </c>
      <c r="X985" s="9">
        <f>IF(LEFT(I985,2)="MV",2*N985*IF(L985="1/C",O985,1),0)</f>
        <v/>
      </c>
      <c r="Y985" s="9">
        <f>IF(OR(LEFT(K985,4)="LVAX",LEFT(K985,6)="MV15AX",LEFT(K985,4)="CTAX",LEFT(K985,2)="W|"),2*N985*O985,0)</f>
        <v/>
      </c>
      <c r="Z985" s="9" t="inlineStr"/>
    </row>
    <row r="986">
      <c r="A986" s="9" t="inlineStr">
        <is>
          <t>B-C-0119</t>
        </is>
      </c>
      <c r="B986" s="9" t="inlineStr">
        <is>
          <t>B</t>
        </is>
      </c>
      <c r="C986" s="9" t="inlineStr">
        <is>
          <t>ACC</t>
        </is>
      </c>
      <c r="D986" s="9" t="inlineStr">
        <is>
          <t>CT / VT</t>
        </is>
      </c>
      <c r="E986" s="9" t="inlineStr">
        <is>
          <t>R4</t>
        </is>
      </c>
      <c r="F986" s="9" t="inlineStr">
        <is>
          <t>R4: ACC electrical (VFD) e-house (60 x 120 ft)</t>
        </is>
      </c>
      <c r="G986" s="9" t="inlineStr"/>
      <c r="H986" s="9" t="inlineStr">
        <is>
          <t>T-R4-3: 13.8/0.48 kV</t>
        </is>
      </c>
      <c r="I986" s="9" t="inlineStr">
        <is>
          <t>Control</t>
        </is>
      </c>
      <c r="J986" s="9" t="inlineStr">
        <is>
          <t>Control cable 600 V Type TC-ER, Cu #10 AWG (CT / VT circuits)</t>
        </is>
      </c>
      <c r="K986" s="9" t="inlineStr">
        <is>
          <t>CTCT|4/C|10</t>
        </is>
      </c>
      <c r="L986" s="9" t="inlineStr">
        <is>
          <t>4/C</t>
        </is>
      </c>
      <c r="M986" s="9" t="inlineStr">
        <is>
          <t>10</t>
        </is>
      </c>
      <c r="N986" s="9" t="n">
        <v>1</v>
      </c>
      <c r="O986" s="9" t="n">
        <v>1</v>
      </c>
      <c r="P986" s="9" t="n"/>
      <c r="Q986" s="9" t="n"/>
      <c r="R986" s="9" t="n"/>
      <c r="S986" s="9" t="inlineStr">
        <is>
          <t>Duct bank</t>
        </is>
      </c>
      <c r="T986" s="10" t="n">
        <v>201</v>
      </c>
      <c r="U986" s="10" t="n">
        <v>56</v>
      </c>
      <c r="V986" s="10">
        <f>ROUNDUP((T986+U986+2*'Read Me'!$B$13)*(1+'Read Me'!$B$12),-1)</f>
        <v/>
      </c>
      <c r="W986" s="10">
        <f>V986*N986*O986</f>
        <v/>
      </c>
      <c r="X986" s="9">
        <f>IF(LEFT(I986,2)="MV",2*N986*IF(L986="1/C",O986,1),0)</f>
        <v/>
      </c>
      <c r="Y986" s="9">
        <f>IF(OR(LEFT(K986,4)="LVAX",LEFT(K986,6)="MV15AX",LEFT(K986,4)="CTAX",LEFT(K986,2)="W|"),2*N986*O986,0)</f>
        <v/>
      </c>
      <c r="Z986" s="9" t="inlineStr"/>
    </row>
    <row r="987">
      <c r="A987" s="9" t="inlineStr">
        <is>
          <t>B-C-0120</t>
        </is>
      </c>
      <c r="B987" s="9" t="inlineStr">
        <is>
          <t>B</t>
        </is>
      </c>
      <c r="C987" s="9" t="inlineStr">
        <is>
          <t>ACC</t>
        </is>
      </c>
      <c r="D987" s="9" t="inlineStr">
        <is>
          <t>CT / VT</t>
        </is>
      </c>
      <c r="E987" s="9" t="inlineStr">
        <is>
          <t>R4</t>
        </is>
      </c>
      <c r="F987" s="9" t="inlineStr">
        <is>
          <t>R4: ACC electrical (VFD) e-house (60 x 120 ft)</t>
        </is>
      </c>
      <c r="G987" s="9" t="inlineStr"/>
      <c r="H987" s="9" t="inlineStr">
        <is>
          <t>T-R4-3: 13.8/0.48 kV</t>
        </is>
      </c>
      <c r="I987" s="9" t="inlineStr">
        <is>
          <t>Control</t>
        </is>
      </c>
      <c r="J987" s="9" t="inlineStr">
        <is>
          <t>Control cable 600 V Type TC-ER, Cu #10 AWG (CT / VT circuits)</t>
        </is>
      </c>
      <c r="K987" s="9" t="inlineStr">
        <is>
          <t>CTCT|4/C|10</t>
        </is>
      </c>
      <c r="L987" s="9" t="inlineStr">
        <is>
          <t>4/C</t>
        </is>
      </c>
      <c r="M987" s="9" t="inlineStr">
        <is>
          <t>10</t>
        </is>
      </c>
      <c r="N987" s="9" t="n">
        <v>1</v>
      </c>
      <c r="O987" s="9" t="n">
        <v>1</v>
      </c>
      <c r="P987" s="9" t="n"/>
      <c r="Q987" s="9" t="n"/>
      <c r="R987" s="9" t="n"/>
      <c r="S987" s="9" t="inlineStr">
        <is>
          <t>Duct bank</t>
        </is>
      </c>
      <c r="T987" s="10" t="n">
        <v>201</v>
      </c>
      <c r="U987" s="10" t="n">
        <v>56</v>
      </c>
      <c r="V987" s="10">
        <f>ROUNDUP((T987+U987+2*'Read Me'!$B$13)*(1+'Read Me'!$B$12),-1)</f>
        <v/>
      </c>
      <c r="W987" s="10">
        <f>V987*N987*O987</f>
        <v/>
      </c>
      <c r="X987" s="9">
        <f>IF(LEFT(I987,2)="MV",2*N987*IF(L987="1/C",O987,1),0)</f>
        <v/>
      </c>
      <c r="Y987" s="9">
        <f>IF(OR(LEFT(K987,4)="LVAX",LEFT(K987,6)="MV15AX",LEFT(K987,4)="CTAX",LEFT(K987,2)="W|"),2*N987*O987,0)</f>
        <v/>
      </c>
      <c r="Z987" s="9" t="inlineStr"/>
    </row>
    <row r="988">
      <c r="A988" s="9" t="inlineStr">
        <is>
          <t>B-C-0121</t>
        </is>
      </c>
      <c r="B988" s="9" t="inlineStr">
        <is>
          <t>B</t>
        </is>
      </c>
      <c r="C988" s="9" t="inlineStr">
        <is>
          <t>ACC</t>
        </is>
      </c>
      <c r="D988" s="9" t="inlineStr">
        <is>
          <t>Control</t>
        </is>
      </c>
      <c r="E988" s="9" t="inlineStr">
        <is>
          <t>R4</t>
        </is>
      </c>
      <c r="F988" s="9" t="inlineStr">
        <is>
          <t>R4: ACC electrical (VFD) e-house (60 x 120 ft)</t>
        </is>
      </c>
      <c r="G988" s="9" t="inlineStr"/>
      <c r="H988" s="9" t="inlineStr">
        <is>
          <t>T-R4-4: 13.8/0.48 kV</t>
        </is>
      </c>
      <c r="I988" s="9" t="inlineStr">
        <is>
          <t>Control</t>
        </is>
      </c>
      <c r="J988" s="9" t="inlineStr">
        <is>
          <t>Control cable 600 V Type TC-ER, Cu #14 AWG, PVC jacket</t>
        </is>
      </c>
      <c r="K988" s="9" t="inlineStr">
        <is>
          <t>CT|7/C|14</t>
        </is>
      </c>
      <c r="L988" s="9" t="inlineStr">
        <is>
          <t>7/C</t>
        </is>
      </c>
      <c r="M988" s="9" t="inlineStr">
        <is>
          <t>14</t>
        </is>
      </c>
      <c r="N988" s="9" t="n">
        <v>1</v>
      </c>
      <c r="O988" s="9" t="n">
        <v>1</v>
      </c>
      <c r="P988" s="9" t="n"/>
      <c r="Q988" s="9" t="n"/>
      <c r="R988" s="9" t="n"/>
      <c r="S988" s="9" t="inlineStr">
        <is>
          <t>Duct bank</t>
        </is>
      </c>
      <c r="T988" s="10" t="n">
        <v>195</v>
      </c>
      <c r="U988" s="10" t="n">
        <v>82</v>
      </c>
      <c r="V988" s="10">
        <f>ROUNDUP((T988+U988+2*'Read Me'!$B$13)*(1+'Read Me'!$B$12),-1)</f>
        <v/>
      </c>
      <c r="W988" s="10">
        <f>V988*N988*O988</f>
        <v/>
      </c>
      <c r="X988" s="9">
        <f>IF(LEFT(I988,2)="MV",2*N988*IF(L988="1/C",O988,1),0)</f>
        <v/>
      </c>
      <c r="Y988" s="9">
        <f>IF(OR(LEFT(K988,4)="LVAX",LEFT(K988,6)="MV15AX",LEFT(K988,4)="CTAX",LEFT(K988,2)="W|"),2*N988*O988,0)</f>
        <v/>
      </c>
      <c r="Z988" s="9" t="inlineStr"/>
    </row>
    <row r="989">
      <c r="A989" s="9" t="inlineStr">
        <is>
          <t>B-C-0122</t>
        </is>
      </c>
      <c r="B989" s="9" t="inlineStr">
        <is>
          <t>B</t>
        </is>
      </c>
      <c r="C989" s="9" t="inlineStr">
        <is>
          <t>ACC</t>
        </is>
      </c>
      <c r="D989" s="9" t="inlineStr">
        <is>
          <t>Control</t>
        </is>
      </c>
      <c r="E989" s="9" t="inlineStr">
        <is>
          <t>R4</t>
        </is>
      </c>
      <c r="F989" s="9" t="inlineStr">
        <is>
          <t>R4: ACC electrical (VFD) e-house (60 x 120 ft)</t>
        </is>
      </c>
      <c r="G989" s="9" t="inlineStr"/>
      <c r="H989" s="9" t="inlineStr">
        <is>
          <t>T-R4-4: 13.8/0.48 kV</t>
        </is>
      </c>
      <c r="I989" s="9" t="inlineStr">
        <is>
          <t>Control</t>
        </is>
      </c>
      <c r="J989" s="9" t="inlineStr">
        <is>
          <t>Control cable 600 V Type TC-ER, Cu #14 AWG, PVC jacket</t>
        </is>
      </c>
      <c r="K989" s="9" t="inlineStr">
        <is>
          <t>CT|12/C|14</t>
        </is>
      </c>
      <c r="L989" s="9" t="inlineStr">
        <is>
          <t>12/C</t>
        </is>
      </c>
      <c r="M989" s="9" t="inlineStr">
        <is>
          <t>14</t>
        </is>
      </c>
      <c r="N989" s="9" t="n">
        <v>1</v>
      </c>
      <c r="O989" s="9" t="n">
        <v>1</v>
      </c>
      <c r="P989" s="9" t="n"/>
      <c r="Q989" s="9" t="n"/>
      <c r="R989" s="9" t="n"/>
      <c r="S989" s="9" t="inlineStr">
        <is>
          <t>Duct bank</t>
        </is>
      </c>
      <c r="T989" s="10" t="n">
        <v>195</v>
      </c>
      <c r="U989" s="10" t="n">
        <v>82</v>
      </c>
      <c r="V989" s="10">
        <f>ROUNDUP((T989+U989+2*'Read Me'!$B$13)*(1+'Read Me'!$B$12),-1)</f>
        <v/>
      </c>
      <c r="W989" s="10">
        <f>V989*N989*O989</f>
        <v/>
      </c>
      <c r="X989" s="9">
        <f>IF(LEFT(I989,2)="MV",2*N989*IF(L989="1/C",O989,1),0)</f>
        <v/>
      </c>
      <c r="Y989" s="9">
        <f>IF(OR(LEFT(K989,4)="LVAX",LEFT(K989,6)="MV15AX",LEFT(K989,4)="CTAX",LEFT(K989,2)="W|"),2*N989*O989,0)</f>
        <v/>
      </c>
      <c r="Z989" s="9" t="inlineStr"/>
    </row>
    <row r="990">
      <c r="A990" s="9" t="inlineStr">
        <is>
          <t>B-C-0123</t>
        </is>
      </c>
      <c r="B990" s="9" t="inlineStr">
        <is>
          <t>B</t>
        </is>
      </c>
      <c r="C990" s="9" t="inlineStr">
        <is>
          <t>ACC</t>
        </is>
      </c>
      <c r="D990" s="9" t="inlineStr">
        <is>
          <t>CT / VT</t>
        </is>
      </c>
      <c r="E990" s="9" t="inlineStr">
        <is>
          <t>R4</t>
        </is>
      </c>
      <c r="F990" s="9" t="inlineStr">
        <is>
          <t>R4: ACC electrical (VFD) e-house (60 x 120 ft)</t>
        </is>
      </c>
      <c r="G990" s="9" t="inlineStr"/>
      <c r="H990" s="9" t="inlineStr">
        <is>
          <t>T-R4-4: 13.8/0.48 kV</t>
        </is>
      </c>
      <c r="I990" s="9" t="inlineStr">
        <is>
          <t>Control</t>
        </is>
      </c>
      <c r="J990" s="9" t="inlineStr">
        <is>
          <t>Control cable 600 V Type TC-ER, Cu #10 AWG (CT / VT circuits)</t>
        </is>
      </c>
      <c r="K990" s="9" t="inlineStr">
        <is>
          <t>CTCT|4/C|10</t>
        </is>
      </c>
      <c r="L990" s="9" t="inlineStr">
        <is>
          <t>4/C</t>
        </is>
      </c>
      <c r="M990" s="9" t="inlineStr">
        <is>
          <t>10</t>
        </is>
      </c>
      <c r="N990" s="9" t="n">
        <v>1</v>
      </c>
      <c r="O990" s="9" t="n">
        <v>1</v>
      </c>
      <c r="P990" s="9" t="n"/>
      <c r="Q990" s="9" t="n"/>
      <c r="R990" s="9" t="n"/>
      <c r="S990" s="9" t="inlineStr">
        <is>
          <t>Duct bank</t>
        </is>
      </c>
      <c r="T990" s="10" t="n">
        <v>195</v>
      </c>
      <c r="U990" s="10" t="n">
        <v>82</v>
      </c>
      <c r="V990" s="10">
        <f>ROUNDUP((T990+U990+2*'Read Me'!$B$13)*(1+'Read Me'!$B$12),-1)</f>
        <v/>
      </c>
      <c r="W990" s="10">
        <f>V990*N990*O990</f>
        <v/>
      </c>
      <c r="X990" s="9">
        <f>IF(LEFT(I990,2)="MV",2*N990*IF(L990="1/C",O990,1),0)</f>
        <v/>
      </c>
      <c r="Y990" s="9">
        <f>IF(OR(LEFT(K990,4)="LVAX",LEFT(K990,6)="MV15AX",LEFT(K990,4)="CTAX",LEFT(K990,2)="W|"),2*N990*O990,0)</f>
        <v/>
      </c>
      <c r="Z990" s="9" t="inlineStr"/>
    </row>
    <row r="991">
      <c r="A991" s="9" t="inlineStr">
        <is>
          <t>B-C-0124</t>
        </is>
      </c>
      <c r="B991" s="9" t="inlineStr">
        <is>
          <t>B</t>
        </is>
      </c>
      <c r="C991" s="9" t="inlineStr">
        <is>
          <t>ACC</t>
        </is>
      </c>
      <c r="D991" s="9" t="inlineStr">
        <is>
          <t>CT / VT</t>
        </is>
      </c>
      <c r="E991" s="9" t="inlineStr">
        <is>
          <t>R4</t>
        </is>
      </c>
      <c r="F991" s="9" t="inlineStr">
        <is>
          <t>R4: ACC electrical (VFD) e-house (60 x 120 ft)</t>
        </is>
      </c>
      <c r="G991" s="9" t="inlineStr"/>
      <c r="H991" s="9" t="inlineStr">
        <is>
          <t>T-R4-4: 13.8/0.48 kV</t>
        </is>
      </c>
      <c r="I991" s="9" t="inlineStr">
        <is>
          <t>Control</t>
        </is>
      </c>
      <c r="J991" s="9" t="inlineStr">
        <is>
          <t>Control cable 600 V Type TC-ER, Cu #10 AWG (CT / VT circuits)</t>
        </is>
      </c>
      <c r="K991" s="9" t="inlineStr">
        <is>
          <t>CTCT|4/C|10</t>
        </is>
      </c>
      <c r="L991" s="9" t="inlineStr">
        <is>
          <t>4/C</t>
        </is>
      </c>
      <c r="M991" s="9" t="inlineStr">
        <is>
          <t>10</t>
        </is>
      </c>
      <c r="N991" s="9" t="n">
        <v>1</v>
      </c>
      <c r="O991" s="9" t="n">
        <v>1</v>
      </c>
      <c r="P991" s="9" t="n"/>
      <c r="Q991" s="9" t="n"/>
      <c r="R991" s="9" t="n"/>
      <c r="S991" s="9" t="inlineStr">
        <is>
          <t>Duct bank</t>
        </is>
      </c>
      <c r="T991" s="10" t="n">
        <v>195</v>
      </c>
      <c r="U991" s="10" t="n">
        <v>82</v>
      </c>
      <c r="V991" s="10">
        <f>ROUNDUP((T991+U991+2*'Read Me'!$B$13)*(1+'Read Me'!$B$12),-1)</f>
        <v/>
      </c>
      <c r="W991" s="10">
        <f>V991*N991*O991</f>
        <v/>
      </c>
      <c r="X991" s="9">
        <f>IF(LEFT(I991,2)="MV",2*N991*IF(L991="1/C",O991,1),0)</f>
        <v/>
      </c>
      <c r="Y991" s="9">
        <f>IF(OR(LEFT(K991,4)="LVAX",LEFT(K991,6)="MV15AX",LEFT(K991,4)="CTAX",LEFT(K991,2)="W|"),2*N991*O991,0)</f>
        <v/>
      </c>
      <c r="Z991" s="9" t="inlineStr"/>
    </row>
    <row r="992">
      <c r="A992" s="9" t="inlineStr">
        <is>
          <t>B-C-0125</t>
        </is>
      </c>
      <c r="B992" s="9" t="inlineStr">
        <is>
          <t>B</t>
        </is>
      </c>
      <c r="C992" s="9" t="inlineStr">
        <is>
          <t>ACC</t>
        </is>
      </c>
      <c r="D992" s="9" t="inlineStr">
        <is>
          <t>Control</t>
        </is>
      </c>
      <c r="E992" s="9" t="inlineStr">
        <is>
          <t>R4</t>
        </is>
      </c>
      <c r="F992" s="9" t="inlineStr">
        <is>
          <t>R4: ACC electrical (VFD) e-house (60 x 120 ft)</t>
        </is>
      </c>
      <c r="G992" s="9" t="inlineStr">
        <is>
          <t>VAC-A/B</t>
        </is>
      </c>
      <c r="H992" s="9" t="inlineStr">
        <is>
          <t>VAC-A/B: ACC air-removal vacuum pumps</t>
        </is>
      </c>
      <c r="I992" s="9" t="inlineStr">
        <is>
          <t>Control</t>
        </is>
      </c>
      <c r="J992" s="9" t="inlineStr">
        <is>
          <t>Control cable 600 V Type TC-ER, Cu #14 AWG, PVC jacket</t>
        </is>
      </c>
      <c r="K992" s="9" t="inlineStr">
        <is>
          <t>CT|7/C|14</t>
        </is>
      </c>
      <c r="L992" s="9" t="inlineStr">
        <is>
          <t>7/C</t>
        </is>
      </c>
      <c r="M992" s="9" t="inlineStr">
        <is>
          <t>14</t>
        </is>
      </c>
      <c r="N992" s="9" t="n">
        <v>1</v>
      </c>
      <c r="O992" s="9" t="n">
        <v>1</v>
      </c>
      <c r="P992" s="9" t="n"/>
      <c r="Q992" s="9" t="n"/>
      <c r="R992" s="9" t="n"/>
      <c r="S992" s="9" t="inlineStr">
        <is>
          <t>Tray</t>
        </is>
      </c>
      <c r="T992" s="10" t="n">
        <v>539</v>
      </c>
      <c r="U992" s="10" t="n">
        <v>72</v>
      </c>
      <c r="V992" s="10">
        <f>ROUNDUP((T992+U992+2*'Read Me'!$B$13)*(1+'Read Me'!$B$12),-1)</f>
        <v/>
      </c>
      <c r="W992" s="10">
        <f>V992*N992*O992</f>
        <v/>
      </c>
      <c r="X992" s="9">
        <f>IF(LEFT(I992,2)="MV",2*N992*IF(L992="1/C",O992,1),0)</f>
        <v/>
      </c>
      <c r="Y992" s="9">
        <f>IF(OR(LEFT(K992,4)="LVAX",LEFT(K992,6)="MV15AX",LEFT(K992,4)="CTAX",LEFT(K992,2)="W|"),2*N992*O992,0)</f>
        <v/>
      </c>
      <c r="Z992" s="9" t="inlineStr"/>
    </row>
    <row r="993">
      <c r="A993" s="9" t="inlineStr">
        <is>
          <t>B-C-0126</t>
        </is>
      </c>
      <c r="B993" s="9" t="inlineStr">
        <is>
          <t>B</t>
        </is>
      </c>
      <c r="C993" s="9" t="inlineStr">
        <is>
          <t>ACC</t>
        </is>
      </c>
      <c r="D993" s="9" t="inlineStr">
        <is>
          <t>Control</t>
        </is>
      </c>
      <c r="E993" s="9" t="inlineStr">
        <is>
          <t>R4</t>
        </is>
      </c>
      <c r="F993" s="9" t="inlineStr">
        <is>
          <t>R4: ACC electrical (VFD) e-house (60 x 120 ft)</t>
        </is>
      </c>
      <c r="G993" s="9" t="inlineStr">
        <is>
          <t>VAC-A/B</t>
        </is>
      </c>
      <c r="H993" s="9" t="inlineStr">
        <is>
          <t>VAC-A/B: ACC air-removal vacuum pumps</t>
        </is>
      </c>
      <c r="I993" s="9" t="inlineStr">
        <is>
          <t>Control</t>
        </is>
      </c>
      <c r="J993" s="9" t="inlineStr">
        <is>
          <t>Control cable 600 V Type TC-ER, Cu #14 AWG, PVC jacket</t>
        </is>
      </c>
      <c r="K993" s="9" t="inlineStr">
        <is>
          <t>CT|7/C|14</t>
        </is>
      </c>
      <c r="L993" s="9" t="inlineStr">
        <is>
          <t>7/C</t>
        </is>
      </c>
      <c r="M993" s="9" t="inlineStr">
        <is>
          <t>14</t>
        </is>
      </c>
      <c r="N993" s="9" t="n">
        <v>1</v>
      </c>
      <c r="O993" s="9" t="n">
        <v>1</v>
      </c>
      <c r="P993" s="9" t="n"/>
      <c r="Q993" s="9" t="n"/>
      <c r="R993" s="9" t="n"/>
      <c r="S993" s="9" t="inlineStr">
        <is>
          <t>Tray</t>
        </is>
      </c>
      <c r="T993" s="10" t="n">
        <v>539</v>
      </c>
      <c r="U993" s="10" t="n">
        <v>72</v>
      </c>
      <c r="V993" s="10">
        <f>ROUNDUP((T993+U993+2*'Read Me'!$B$13)*(1+'Read Me'!$B$12),-1)</f>
        <v/>
      </c>
      <c r="W993" s="10">
        <f>V993*N993*O993</f>
        <v/>
      </c>
      <c r="X993" s="9">
        <f>IF(LEFT(I993,2)="MV",2*N993*IF(L993="1/C",O993,1),0)</f>
        <v/>
      </c>
      <c r="Y993" s="9">
        <f>IF(OR(LEFT(K993,4)="LVAX",LEFT(K993,6)="MV15AX",LEFT(K993,4)="CTAX",LEFT(K993,2)="W|"),2*N993*O993,0)</f>
        <v/>
      </c>
      <c r="Z993" s="9" t="inlineStr"/>
    </row>
    <row r="994">
      <c r="A994" s="9" t="inlineStr">
        <is>
          <t>B-C-0127</t>
        </is>
      </c>
      <c r="B994" s="9" t="inlineStr">
        <is>
          <t>B</t>
        </is>
      </c>
      <c r="C994" s="9" t="inlineStr">
        <is>
          <t>ACC</t>
        </is>
      </c>
      <c r="D994" s="9" t="inlineStr">
        <is>
          <t>Control</t>
        </is>
      </c>
      <c r="E994" s="9" t="inlineStr">
        <is>
          <t>R4</t>
        </is>
      </c>
      <c r="F994" s="9" t="inlineStr">
        <is>
          <t>R4: ACC electrical (VFD) e-house (60 x 120 ft)</t>
        </is>
      </c>
      <c r="G994" s="9" t="inlineStr">
        <is>
          <t>VAC-A/B</t>
        </is>
      </c>
      <c r="H994" s="9" t="inlineStr">
        <is>
          <t>VAC-A/B: ACC air-removal vacuum pumps</t>
        </is>
      </c>
      <c r="I994" s="9" t="inlineStr">
        <is>
          <t>Control</t>
        </is>
      </c>
      <c r="J994" s="9" t="inlineStr">
        <is>
          <t>Control cable 600 V Type TC-ER, Cu #14 AWG, PVC jacket</t>
        </is>
      </c>
      <c r="K994" s="9" t="inlineStr">
        <is>
          <t>CT|12/C|14</t>
        </is>
      </c>
      <c r="L994" s="9" t="inlineStr">
        <is>
          <t>12/C</t>
        </is>
      </c>
      <c r="M994" s="9" t="inlineStr">
        <is>
          <t>14</t>
        </is>
      </c>
      <c r="N994" s="9" t="n">
        <v>1</v>
      </c>
      <c r="O994" s="9" t="n">
        <v>1</v>
      </c>
      <c r="P994" s="9" t="n"/>
      <c r="Q994" s="9" t="n"/>
      <c r="R994" s="9" t="n"/>
      <c r="S994" s="9" t="inlineStr">
        <is>
          <t>Tray</t>
        </is>
      </c>
      <c r="T994" s="10" t="n">
        <v>539</v>
      </c>
      <c r="U994" s="10" t="n">
        <v>72</v>
      </c>
      <c r="V994" s="10">
        <f>ROUNDUP((T994+U994+2*'Read Me'!$B$13)*(1+'Read Me'!$B$12),-1)</f>
        <v/>
      </c>
      <c r="W994" s="10">
        <f>V994*N994*O994</f>
        <v/>
      </c>
      <c r="X994" s="9">
        <f>IF(LEFT(I994,2)="MV",2*N994*IF(L994="1/C",O994,1),0)</f>
        <v/>
      </c>
      <c r="Y994" s="9">
        <f>IF(OR(LEFT(K994,4)="LVAX",LEFT(K994,6)="MV15AX",LEFT(K994,4)="CTAX",LEFT(K994,2)="W|"),2*N994*O994,0)</f>
        <v/>
      </c>
      <c r="Z994" s="9" t="inlineStr"/>
    </row>
    <row r="995">
      <c r="A995" s="9" t="inlineStr">
        <is>
          <t>B-C-0128</t>
        </is>
      </c>
      <c r="B995" s="9" t="inlineStr">
        <is>
          <t>B</t>
        </is>
      </c>
      <c r="C995" s="9" t="inlineStr">
        <is>
          <t>ACC</t>
        </is>
      </c>
      <c r="D995" s="9" t="inlineStr">
        <is>
          <t>Control</t>
        </is>
      </c>
      <c r="E995" s="9" t="inlineStr">
        <is>
          <t>R4</t>
        </is>
      </c>
      <c r="F995" s="9" t="inlineStr">
        <is>
          <t>R4: ACC electrical (VFD) e-house (60 x 120 ft)</t>
        </is>
      </c>
      <c r="G995" s="9" t="inlineStr">
        <is>
          <t>VAC-A/B</t>
        </is>
      </c>
      <c r="H995" s="9" t="inlineStr">
        <is>
          <t>VAC-A/B: ACC air-removal vacuum pumps</t>
        </is>
      </c>
      <c r="I995" s="9" t="inlineStr">
        <is>
          <t>Control</t>
        </is>
      </c>
      <c r="J995" s="9" t="inlineStr">
        <is>
          <t>Control cable 600 V Type TC-ER, Cu #14 AWG, PVC jacket</t>
        </is>
      </c>
      <c r="K995" s="9" t="inlineStr">
        <is>
          <t>CT|12/C|14</t>
        </is>
      </c>
      <c r="L995" s="9" t="inlineStr">
        <is>
          <t>12/C</t>
        </is>
      </c>
      <c r="M995" s="9" t="inlineStr">
        <is>
          <t>14</t>
        </is>
      </c>
      <c r="N995" s="9" t="n">
        <v>1</v>
      </c>
      <c r="O995" s="9" t="n">
        <v>1</v>
      </c>
      <c r="P995" s="9" t="n"/>
      <c r="Q995" s="9" t="n"/>
      <c r="R995" s="9" t="n"/>
      <c r="S995" s="9" t="inlineStr">
        <is>
          <t>Tray</t>
        </is>
      </c>
      <c r="T995" s="10" t="n">
        <v>539</v>
      </c>
      <c r="U995" s="10" t="n">
        <v>72</v>
      </c>
      <c r="V995" s="10">
        <f>ROUNDUP((T995+U995+2*'Read Me'!$B$13)*(1+'Read Me'!$B$12),-1)</f>
        <v/>
      </c>
      <c r="W995" s="10">
        <f>V995*N995*O995</f>
        <v/>
      </c>
      <c r="X995" s="9">
        <f>IF(LEFT(I995,2)="MV",2*N995*IF(L995="1/C",O995,1),0)</f>
        <v/>
      </c>
      <c r="Y995" s="9">
        <f>IF(OR(LEFT(K995,4)="LVAX",LEFT(K995,6)="MV15AX",LEFT(K995,4)="CTAX",LEFT(K995,2)="W|"),2*N995*O995,0)</f>
        <v/>
      </c>
      <c r="Z995" s="9" t="inlineStr"/>
    </row>
    <row r="996">
      <c r="A996" s="9" t="inlineStr">
        <is>
          <t>B-C-0129</t>
        </is>
      </c>
      <c r="B996" s="9" t="inlineStr">
        <is>
          <t>B</t>
        </is>
      </c>
      <c r="C996" s="9" t="inlineStr">
        <is>
          <t>ACC</t>
        </is>
      </c>
      <c r="D996" s="9" t="inlineStr">
        <is>
          <t>Control</t>
        </is>
      </c>
      <c r="E996" s="9" t="inlineStr">
        <is>
          <t>R4</t>
        </is>
      </c>
      <c r="F996" s="9" t="inlineStr">
        <is>
          <t>R4: ACC electrical (VFD) e-house (60 x 120 ft)</t>
        </is>
      </c>
      <c r="G996" s="9" t="inlineStr">
        <is>
          <t>VAC-A/B</t>
        </is>
      </c>
      <c r="H996" s="9" t="inlineStr">
        <is>
          <t>VAC-A/B: ACC air-removal vacuum pumps</t>
        </is>
      </c>
      <c r="I996" s="9" t="inlineStr">
        <is>
          <t>Control</t>
        </is>
      </c>
      <c r="J996" s="9" t="inlineStr">
        <is>
          <t>Control cable 600 V Type TC-ER, Cu #14 AWG, PVC jacket</t>
        </is>
      </c>
      <c r="K996" s="9" t="inlineStr">
        <is>
          <t>CT|12/C|14</t>
        </is>
      </c>
      <c r="L996" s="9" t="inlineStr">
        <is>
          <t>12/C</t>
        </is>
      </c>
      <c r="M996" s="9" t="inlineStr">
        <is>
          <t>14</t>
        </is>
      </c>
      <c r="N996" s="9" t="n">
        <v>1</v>
      </c>
      <c r="O996" s="9" t="n">
        <v>1</v>
      </c>
      <c r="P996" s="9" t="n"/>
      <c r="Q996" s="9" t="n"/>
      <c r="R996" s="9" t="n"/>
      <c r="S996" s="9" t="inlineStr">
        <is>
          <t>Tray</t>
        </is>
      </c>
      <c r="T996" s="10" t="n">
        <v>539</v>
      </c>
      <c r="U996" s="10" t="n">
        <v>72</v>
      </c>
      <c r="V996" s="10">
        <f>ROUNDUP((T996+U996+2*'Read Me'!$B$13)*(1+'Read Me'!$B$12),-1)</f>
        <v/>
      </c>
      <c r="W996" s="10">
        <f>V996*N996*O996</f>
        <v/>
      </c>
      <c r="X996" s="9">
        <f>IF(LEFT(I996,2)="MV",2*N996*IF(L996="1/C",O996,1),0)</f>
        <v/>
      </c>
      <c r="Y996" s="9">
        <f>IF(OR(LEFT(K996,4)="LVAX",LEFT(K996,6)="MV15AX",LEFT(K996,4)="CTAX",LEFT(K996,2)="W|"),2*N996*O996,0)</f>
        <v/>
      </c>
      <c r="Z996" s="9" t="inlineStr"/>
    </row>
    <row r="997">
      <c r="A997" s="9" t="inlineStr">
        <is>
          <t>B-C-0130</t>
        </is>
      </c>
      <c r="B997" s="9" t="inlineStr">
        <is>
          <t>B</t>
        </is>
      </c>
      <c r="C997" s="9" t="inlineStr">
        <is>
          <t>ACC</t>
        </is>
      </c>
      <c r="D997" s="9" t="inlineStr">
        <is>
          <t>Control</t>
        </is>
      </c>
      <c r="E997" s="9" t="inlineStr">
        <is>
          <t>R4</t>
        </is>
      </c>
      <c r="F997" s="9" t="inlineStr">
        <is>
          <t>R4: ACC electrical (VFD) e-house (60 x 120 ft)</t>
        </is>
      </c>
      <c r="G997" s="9" t="inlineStr">
        <is>
          <t>VAC-A/B</t>
        </is>
      </c>
      <c r="H997" s="9" t="inlineStr">
        <is>
          <t>VAC-A/B: ACC air-removal vacuum pumps</t>
        </is>
      </c>
      <c r="I997" s="9" t="inlineStr">
        <is>
          <t>Control</t>
        </is>
      </c>
      <c r="J997" s="9" t="inlineStr">
        <is>
          <t>Control cable 600 V Type TC-ER, Cu #14 AWG, PVC jacket</t>
        </is>
      </c>
      <c r="K997" s="9" t="inlineStr">
        <is>
          <t>CT|12/C|14</t>
        </is>
      </c>
      <c r="L997" s="9" t="inlineStr">
        <is>
          <t>12/C</t>
        </is>
      </c>
      <c r="M997" s="9" t="inlineStr">
        <is>
          <t>14</t>
        </is>
      </c>
      <c r="N997" s="9" t="n">
        <v>1</v>
      </c>
      <c r="O997" s="9" t="n">
        <v>1</v>
      </c>
      <c r="P997" s="9" t="n"/>
      <c r="Q997" s="9" t="n"/>
      <c r="R997" s="9" t="n"/>
      <c r="S997" s="9" t="inlineStr">
        <is>
          <t>Tray</t>
        </is>
      </c>
      <c r="T997" s="10" t="n">
        <v>539</v>
      </c>
      <c r="U997" s="10" t="n">
        <v>72</v>
      </c>
      <c r="V997" s="10">
        <f>ROUNDUP((T997+U997+2*'Read Me'!$B$13)*(1+'Read Me'!$B$12),-1)</f>
        <v/>
      </c>
      <c r="W997" s="10">
        <f>V997*N997*O997</f>
        <v/>
      </c>
      <c r="X997" s="9">
        <f>IF(LEFT(I997,2)="MV",2*N997*IF(L997="1/C",O997,1),0)</f>
        <v/>
      </c>
      <c r="Y997" s="9">
        <f>IF(OR(LEFT(K997,4)="LVAX",LEFT(K997,6)="MV15AX",LEFT(K997,4)="CTAX",LEFT(K997,2)="W|"),2*N997*O997,0)</f>
        <v/>
      </c>
      <c r="Z997" s="9" t="inlineStr"/>
    </row>
    <row r="998">
      <c r="A998" s="9" t="inlineStr">
        <is>
          <t>B-C-0131</t>
        </is>
      </c>
      <c r="B998" s="9" t="inlineStr">
        <is>
          <t>B</t>
        </is>
      </c>
      <c r="C998" s="9" t="inlineStr">
        <is>
          <t>ACC</t>
        </is>
      </c>
      <c r="D998" s="9" t="inlineStr">
        <is>
          <t>Control</t>
        </is>
      </c>
      <c r="E998" s="9" t="inlineStr">
        <is>
          <t>R4</t>
        </is>
      </c>
      <c r="F998" s="9" t="inlineStr">
        <is>
          <t>R4: ACC electrical (VFD) e-house (60 x 120 ft)</t>
        </is>
      </c>
      <c r="G998" s="9" t="inlineStr">
        <is>
          <t>VAC-A/B</t>
        </is>
      </c>
      <c r="H998" s="9" t="inlineStr">
        <is>
          <t>VAC-A/B: ACC air-removal vacuum pumps</t>
        </is>
      </c>
      <c r="I998" s="9" t="inlineStr">
        <is>
          <t>Control</t>
        </is>
      </c>
      <c r="J998" s="9" t="inlineStr">
        <is>
          <t>Control cable 600 V Type TC-ER, Cu #14 AWG, PVC jacket</t>
        </is>
      </c>
      <c r="K998" s="9" t="inlineStr">
        <is>
          <t>CT|12/C|14</t>
        </is>
      </c>
      <c r="L998" s="9" t="inlineStr">
        <is>
          <t>12/C</t>
        </is>
      </c>
      <c r="M998" s="9" t="inlineStr">
        <is>
          <t>14</t>
        </is>
      </c>
      <c r="N998" s="9" t="n">
        <v>1</v>
      </c>
      <c r="O998" s="9" t="n">
        <v>1</v>
      </c>
      <c r="P998" s="9" t="n"/>
      <c r="Q998" s="9" t="n"/>
      <c r="R998" s="9" t="n"/>
      <c r="S998" s="9" t="inlineStr">
        <is>
          <t>Tray</t>
        </is>
      </c>
      <c r="T998" s="10" t="n">
        <v>539</v>
      </c>
      <c r="U998" s="10" t="n">
        <v>72</v>
      </c>
      <c r="V998" s="10">
        <f>ROUNDUP((T998+U998+2*'Read Me'!$B$13)*(1+'Read Me'!$B$12),-1)</f>
        <v/>
      </c>
      <c r="W998" s="10">
        <f>V998*N998*O998</f>
        <v/>
      </c>
      <c r="X998" s="9">
        <f>IF(LEFT(I998,2)="MV",2*N998*IF(L998="1/C",O998,1),0)</f>
        <v/>
      </c>
      <c r="Y998" s="9">
        <f>IF(OR(LEFT(K998,4)="LVAX",LEFT(K998,6)="MV15AX",LEFT(K998,4)="CTAX",LEFT(K998,2)="W|"),2*N998*O998,0)</f>
        <v/>
      </c>
      <c r="Z998" s="9" t="inlineStr"/>
    </row>
    <row r="999">
      <c r="A999" s="9" t="inlineStr">
        <is>
          <t>B-C-0132</t>
        </is>
      </c>
      <c r="B999" s="9" t="inlineStr">
        <is>
          <t>B</t>
        </is>
      </c>
      <c r="C999" s="9" t="inlineStr">
        <is>
          <t>ACC</t>
        </is>
      </c>
      <c r="D999" s="9" t="inlineStr">
        <is>
          <t>Control</t>
        </is>
      </c>
      <c r="E999" s="9" t="inlineStr">
        <is>
          <t>R4</t>
        </is>
      </c>
      <c r="F999" s="9" t="inlineStr">
        <is>
          <t>R4: ACC electrical (VFD) e-house (60 x 120 ft)</t>
        </is>
      </c>
      <c r="G999" s="9" t="inlineStr">
        <is>
          <t>VAC-A/B</t>
        </is>
      </c>
      <c r="H999" s="9" t="inlineStr">
        <is>
          <t>VAC-A/B: ACC air-removal vacuum pumps</t>
        </is>
      </c>
      <c r="I999" s="9" t="inlineStr">
        <is>
          <t>Control</t>
        </is>
      </c>
      <c r="J999" s="9" t="inlineStr">
        <is>
          <t>Control cable 600 V Type TC-ER, Cu #14 AWG, PVC jacket</t>
        </is>
      </c>
      <c r="K999" s="9" t="inlineStr">
        <is>
          <t>CT|12/C|14</t>
        </is>
      </c>
      <c r="L999" s="9" t="inlineStr">
        <is>
          <t>12/C</t>
        </is>
      </c>
      <c r="M999" s="9" t="inlineStr">
        <is>
          <t>14</t>
        </is>
      </c>
      <c r="N999" s="9" t="n">
        <v>1</v>
      </c>
      <c r="O999" s="9" t="n">
        <v>1</v>
      </c>
      <c r="P999" s="9" t="n"/>
      <c r="Q999" s="9" t="n"/>
      <c r="R999" s="9" t="n"/>
      <c r="S999" s="9" t="inlineStr">
        <is>
          <t>Tray</t>
        </is>
      </c>
      <c r="T999" s="10" t="n">
        <v>539</v>
      </c>
      <c r="U999" s="10" t="n">
        <v>72</v>
      </c>
      <c r="V999" s="10">
        <f>ROUNDUP((T999+U999+2*'Read Me'!$B$13)*(1+'Read Me'!$B$12),-1)</f>
        <v/>
      </c>
      <c r="W999" s="10">
        <f>V999*N999*O999</f>
        <v/>
      </c>
      <c r="X999" s="9">
        <f>IF(LEFT(I999,2)="MV",2*N999*IF(L999="1/C",O999,1),0)</f>
        <v/>
      </c>
      <c r="Y999" s="9">
        <f>IF(OR(LEFT(K999,4)="LVAX",LEFT(K999,6)="MV15AX",LEFT(K999,4)="CTAX",LEFT(K999,2)="W|"),2*N999*O999,0)</f>
        <v/>
      </c>
      <c r="Z999" s="9" t="inlineStr"/>
    </row>
    <row r="1000">
      <c r="A1000" s="9" t="inlineStr">
        <is>
          <t>B-F-0001</t>
        </is>
      </c>
      <c r="B1000" s="9" t="inlineStr">
        <is>
          <t>B</t>
        </is>
      </c>
      <c r="C1000" s="9" t="inlineStr">
        <is>
          <t>ACC</t>
        </is>
      </c>
      <c r="D1000" s="9" t="inlineStr">
        <is>
          <t>Plant network / DCS fibre</t>
        </is>
      </c>
      <c r="E1000" s="9" t="inlineStr">
        <is>
          <t>CR</t>
        </is>
      </c>
      <c r="F1000" s="9" t="inlineStr">
        <is>
          <t>Control / admin building (main control room)</t>
        </is>
      </c>
      <c r="G1000" s="9" t="inlineStr">
        <is>
          <t>R4</t>
        </is>
      </c>
      <c r="H1000" s="9" t="inlineStr">
        <is>
          <t>R4: ACC electrical (VFD) e-house (60 x 120 ft)</t>
        </is>
      </c>
      <c r="I1000" s="9" t="inlineStr">
        <is>
          <t>Fibre / data</t>
        </is>
      </c>
      <c r="J1000" s="9" t="inlineStr">
        <is>
          <t>Fibre optic, single-mode, 12-fibre, armored, orange jacket</t>
        </is>
      </c>
      <c r="K1000" s="9" t="inlineStr">
        <is>
          <t>FO|12 SM|-</t>
        </is>
      </c>
      <c r="L1000" s="9" t="inlineStr">
        <is>
          <t>12 SM</t>
        </is>
      </c>
      <c r="M1000" s="9" t="inlineStr">
        <is>
          <t>-</t>
        </is>
      </c>
      <c r="N1000" s="9" t="n">
        <v>1</v>
      </c>
      <c r="O1000" s="9" t="n">
        <v>1</v>
      </c>
      <c r="P1000" s="9" t="n"/>
      <c r="Q1000" s="9" t="n"/>
      <c r="R1000" s="9" t="n"/>
      <c r="S1000" s="9" t="inlineStr">
        <is>
          <t>Duct bank</t>
        </is>
      </c>
      <c r="T1000" s="10" t="n">
        <v>2112</v>
      </c>
      <c r="U1000" s="10" t="n">
        <v>86</v>
      </c>
      <c r="V1000" s="10">
        <f>ROUNDUP((T1000+U1000+2*'Read Me'!$B$13)*(1+'Read Me'!$B$12),-1)</f>
        <v/>
      </c>
      <c r="W1000" s="10">
        <f>V1000*N1000*O1000</f>
        <v/>
      </c>
      <c r="X1000" s="9">
        <f>IF(LEFT(I1000,2)="MV",2*N1000*IF(L1000="1/C",O1000,1),0)</f>
        <v/>
      </c>
      <c r="Y1000" s="9">
        <f>IF(OR(LEFT(K1000,4)="LVAX",LEFT(K1000,6)="MV15AX",LEFT(K1000,4)="CTAX",LEFT(K1000,2)="W|"),2*N1000*O1000,0)</f>
        <v/>
      </c>
      <c r="Z1000" s="9" t="inlineStr"/>
    </row>
    <row r="1001">
      <c r="A1001" s="9" t="inlineStr">
        <is>
          <t>B-FA-0001</t>
        </is>
      </c>
      <c r="B1001" s="9" t="inlineStr">
        <is>
          <t>B</t>
        </is>
      </c>
      <c r="C1001" s="9" t="inlineStr">
        <is>
          <t>ACC</t>
        </is>
      </c>
      <c r="D1001" s="9" t="inlineStr">
        <is>
          <t>Fire alarm / F&amp;G loop (to the local FACP / F&amp;G node)</t>
        </is>
      </c>
      <c r="E1001" s="9" t="inlineStr">
        <is>
          <t>R4</t>
        </is>
      </c>
      <c r="F1001" s="9" t="inlineStr">
        <is>
          <t>R4: ACC electrical (VFD) e-house (60 x 120 ft)</t>
        </is>
      </c>
      <c r="G1001" s="9" t="inlineStr"/>
      <c r="H1001" s="9" t="inlineStr">
        <is>
          <t>R4 480 V switchgear + vacuum-pump MCC</t>
        </is>
      </c>
      <c r="I1001" s="9" t="inlineStr">
        <is>
          <t>Fire alarm</t>
        </is>
      </c>
      <c r="J1001" s="9" t="inlineStr">
        <is>
          <t>Fire alarm FPLR 2/C #14 shielded, red jacket (NEC 760)</t>
        </is>
      </c>
      <c r="K1001" s="9" t="inlineStr">
        <is>
          <t>FA|2/C|14</t>
        </is>
      </c>
      <c r="L1001" s="9" t="inlineStr">
        <is>
          <t>2/C</t>
        </is>
      </c>
      <c r="M1001" s="9" t="inlineStr">
        <is>
          <t>14</t>
        </is>
      </c>
      <c r="N1001" s="9" t="n">
        <v>1</v>
      </c>
      <c r="O1001" s="9" t="n">
        <v>1</v>
      </c>
      <c r="P1001" s="9" t="n"/>
      <c r="Q1001" s="9" t="n"/>
      <c r="R1001" s="9" t="n"/>
      <c r="S1001" s="9" t="inlineStr">
        <is>
          <t>Tray</t>
        </is>
      </c>
      <c r="T1001" s="10" t="n">
        <v>5</v>
      </c>
      <c r="U1001" s="10" t="n">
        <v>86</v>
      </c>
      <c r="V1001" s="10">
        <f>ROUNDUP((T1001+U1001+2*'Read Me'!$B$13)*(1+'Read Me'!$B$12),-1)</f>
        <v/>
      </c>
      <c r="W1001" s="10">
        <f>V1001*N1001*O1001</f>
        <v/>
      </c>
      <c r="X1001" s="9">
        <f>IF(LEFT(I1001,2)="MV",2*N1001*IF(L1001="1/C",O1001,1),0)</f>
        <v/>
      </c>
      <c r="Y1001" s="9">
        <f>IF(OR(LEFT(K1001,4)="LVAX",LEFT(K1001,6)="MV15AX",LEFT(K1001,4)="CTAX",LEFT(K1001,2)="W|"),2*N1001*O1001,0)</f>
        <v/>
      </c>
      <c r="Z1001" s="9" t="inlineStr"/>
    </row>
    <row r="1002">
      <c r="A1002" s="9" t="inlineStr">
        <is>
          <t>B-FA-0002</t>
        </is>
      </c>
      <c r="B1002" s="9" t="inlineStr">
        <is>
          <t>B</t>
        </is>
      </c>
      <c r="C1002" s="9" t="inlineStr">
        <is>
          <t>ACC</t>
        </is>
      </c>
      <c r="D1002" s="9" t="inlineStr">
        <is>
          <t>Fire alarm / F&amp;G loop (to the local FACP / F&amp;G node)</t>
        </is>
      </c>
      <c r="E1002" s="9" t="inlineStr">
        <is>
          <t>R4</t>
        </is>
      </c>
      <c r="F1002" s="9" t="inlineStr">
        <is>
          <t>R4: ACC electrical (VFD) e-house (60 x 120 ft)</t>
        </is>
      </c>
      <c r="G1002" s="9" t="inlineStr">
        <is>
          <t>R4</t>
        </is>
      </c>
      <c r="H1002" s="9" t="inlineStr">
        <is>
          <t>R4: ACC electrical (VFD) e-house (60 x 120 ft)</t>
        </is>
      </c>
      <c r="I1002" s="9" t="inlineStr">
        <is>
          <t>Fire alarm</t>
        </is>
      </c>
      <c r="J1002" s="9" t="inlineStr">
        <is>
          <t>Fire alarm FPLR 2/C #14 shielded, red jacket (NEC 760)</t>
        </is>
      </c>
      <c r="K1002" s="9" t="inlineStr">
        <is>
          <t>FA|2/C|14</t>
        </is>
      </c>
      <c r="L1002" s="9" t="inlineStr">
        <is>
          <t>2/C</t>
        </is>
      </c>
      <c r="M1002" s="9" t="inlineStr">
        <is>
          <t>14</t>
        </is>
      </c>
      <c r="N1002" s="9" t="n">
        <v>1</v>
      </c>
      <c r="O1002" s="9" t="n">
        <v>1</v>
      </c>
      <c r="P1002" s="9" t="n"/>
      <c r="Q1002" s="9" t="n"/>
      <c r="R1002" s="9" t="n"/>
      <c r="S1002" s="9" t="inlineStr">
        <is>
          <t>Tray</t>
        </is>
      </c>
      <c r="T1002" s="10" t="n">
        <v>0</v>
      </c>
      <c r="U1002" s="10" t="n">
        <v>72</v>
      </c>
      <c r="V1002" s="10">
        <f>ROUNDUP((T1002+U1002+2*'Read Me'!$B$13)*(1+'Read Me'!$B$12),-1)</f>
        <v/>
      </c>
      <c r="W1002" s="10">
        <f>V1002*N1002*O1002</f>
        <v/>
      </c>
      <c r="X1002" s="9">
        <f>IF(LEFT(I1002,2)="MV",2*N1002*IF(L1002="1/C",O1002,1),0)</f>
        <v/>
      </c>
      <c r="Y1002" s="9">
        <f>IF(OR(LEFT(K1002,4)="LVAX",LEFT(K1002,6)="MV15AX",LEFT(K1002,4)="CTAX",LEFT(K1002,2)="W|"),2*N1002*O1002,0)</f>
        <v/>
      </c>
      <c r="Z1002" s="9" t="inlineStr"/>
    </row>
    <row r="1003">
      <c r="A1003" s="9" t="inlineStr">
        <is>
          <t>B-I-0001</t>
        </is>
      </c>
      <c r="B1003" s="9" t="inlineStr">
        <is>
          <t>B</t>
        </is>
      </c>
      <c r="C1003" s="9" t="inlineStr">
        <is>
          <t>ACC</t>
        </is>
      </c>
      <c r="D1003" s="9" t="inlineStr">
        <is>
          <t>Instrumentation</t>
        </is>
      </c>
      <c r="E1003" s="9" t="inlineStr">
        <is>
          <t>R4</t>
        </is>
      </c>
      <c r="F1003" s="9" t="inlineStr">
        <is>
          <t>R4: ACC electrical (VFD) e-house (60 x 120 ft)</t>
        </is>
      </c>
      <c r="G1003" s="9" t="inlineStr">
        <is>
          <t>ACC</t>
        </is>
      </c>
      <c r="H1003" s="9" t="inlineStr">
        <is>
          <t>Air-cooled condenser, 80 cells (steam-cycle heat rejection)</t>
        </is>
      </c>
      <c r="I1003" s="9" t="inlineStr">
        <is>
          <t>Instrumentation</t>
        </is>
      </c>
      <c r="J1003" s="9" t="inlineStr">
        <is>
          <t>Instrumentation PLTC / TC-ER 300 V, #18 twisted shielded pairs, overall shield</t>
        </is>
      </c>
      <c r="K1003" s="9" t="inlineStr">
        <is>
          <t>PLTC|4 pr|18</t>
        </is>
      </c>
      <c r="L1003" s="9" t="inlineStr">
        <is>
          <t>4 pr</t>
        </is>
      </c>
      <c r="M1003" s="9" t="inlineStr">
        <is>
          <t>18</t>
        </is>
      </c>
      <c r="N1003" s="9" t="n">
        <v>1</v>
      </c>
      <c r="O1003" s="9" t="n">
        <v>1</v>
      </c>
      <c r="P1003" s="9" t="n"/>
      <c r="Q1003" s="9" t="n"/>
      <c r="R1003" s="9" t="n"/>
      <c r="S1003" s="9" t="inlineStr">
        <is>
          <t>Tray</t>
        </is>
      </c>
      <c r="T1003" s="10" t="n">
        <v>234</v>
      </c>
      <c r="U1003" s="10" t="n">
        <v>72</v>
      </c>
      <c r="V1003" s="10">
        <f>ROUNDUP((T1003+U1003+2*'Read Me'!$B$13)*(1+'Read Me'!$B$12),-1)</f>
        <v/>
      </c>
      <c r="W1003" s="10">
        <f>V1003*N1003*O1003</f>
        <v/>
      </c>
      <c r="X1003" s="9">
        <f>IF(LEFT(I1003,2)="MV",2*N1003*IF(L1003="1/C",O1003,1),0)</f>
        <v/>
      </c>
      <c r="Y1003" s="9">
        <f>IF(OR(LEFT(K1003,4)="LVAX",LEFT(K1003,6)="MV15AX",LEFT(K1003,4)="CTAX",LEFT(K1003,2)="W|"),2*N1003*O1003,0)</f>
        <v/>
      </c>
      <c r="Z1003" s="9" t="inlineStr"/>
    </row>
    <row r="1004">
      <c r="A1004" s="9" t="inlineStr">
        <is>
          <t>B-I-0002</t>
        </is>
      </c>
      <c r="B1004" s="9" t="inlineStr">
        <is>
          <t>B</t>
        </is>
      </c>
      <c r="C1004" s="9" t="inlineStr">
        <is>
          <t>ACC</t>
        </is>
      </c>
      <c r="D1004" s="9" t="inlineStr">
        <is>
          <t>Instrumentation</t>
        </is>
      </c>
      <c r="E1004" s="9" t="inlineStr">
        <is>
          <t>R4</t>
        </is>
      </c>
      <c r="F1004" s="9" t="inlineStr">
        <is>
          <t>R4: ACC electrical (VFD) e-house (60 x 120 ft)</t>
        </is>
      </c>
      <c r="G1004" s="9" t="inlineStr">
        <is>
          <t>AUXC</t>
        </is>
      </c>
      <c r="H1004" s="9" t="inlineStr">
        <is>
          <t>Aux dry coolers AUXC-F01..12 (closed cooling water)</t>
        </is>
      </c>
      <c r="I1004" s="9" t="inlineStr">
        <is>
          <t>Instrumentation</t>
        </is>
      </c>
      <c r="J1004" s="9" t="inlineStr">
        <is>
          <t>Instrumentation PLTC / TC-ER 300 V, #18 twisted shielded pairs, overall shield</t>
        </is>
      </c>
      <c r="K1004" s="9" t="inlineStr">
        <is>
          <t>PLTC|4 pr|18</t>
        </is>
      </c>
      <c r="L1004" s="9" t="inlineStr">
        <is>
          <t>4 pr</t>
        </is>
      </c>
      <c r="M1004" s="9" t="inlineStr">
        <is>
          <t>18</t>
        </is>
      </c>
      <c r="N1004" s="9" t="n">
        <v>1</v>
      </c>
      <c r="O1004" s="9" t="n">
        <v>1</v>
      </c>
      <c r="P1004" s="9" t="n"/>
      <c r="Q1004" s="9" t="n"/>
      <c r="R1004" s="9" t="n"/>
      <c r="S1004" s="9" t="inlineStr">
        <is>
          <t>Tray</t>
        </is>
      </c>
      <c r="T1004" s="10" t="n">
        <v>687</v>
      </c>
      <c r="U1004" s="10" t="n">
        <v>114</v>
      </c>
      <c r="V1004" s="10">
        <f>ROUNDUP((T1004+U1004+2*'Read Me'!$B$13)*(1+'Read Me'!$B$12),-1)</f>
        <v/>
      </c>
      <c r="W1004" s="10">
        <f>V1004*N1004*O1004</f>
        <v/>
      </c>
      <c r="X1004" s="9">
        <f>IF(LEFT(I1004,2)="MV",2*N1004*IF(L1004="1/C",O1004,1),0)</f>
        <v/>
      </c>
      <c r="Y1004" s="9">
        <f>IF(OR(LEFT(K1004,4)="LVAX",LEFT(K1004,6)="MV15AX",LEFT(K1004,4)="CTAX",LEFT(K1004,2)="W|"),2*N1004*O1004,0)</f>
        <v/>
      </c>
      <c r="Z1004" s="9" t="inlineStr"/>
    </row>
    <row r="1005">
      <c r="A1005" s="9" t="inlineStr">
        <is>
          <t>B-I-0003</t>
        </is>
      </c>
      <c r="B1005" s="9" t="inlineStr">
        <is>
          <t>B</t>
        </is>
      </c>
      <c r="C1005" s="9" t="inlineStr">
        <is>
          <t>ACC</t>
        </is>
      </c>
      <c r="D1005" s="9" t="inlineStr">
        <is>
          <t>Instrumentation</t>
        </is>
      </c>
      <c r="E1005" s="9" t="inlineStr">
        <is>
          <t>R4</t>
        </is>
      </c>
      <c r="F1005" s="9" t="inlineStr">
        <is>
          <t>R4: ACC electrical (VFD) e-house (60 x 120 ft)</t>
        </is>
      </c>
      <c r="G1005" s="9" t="inlineStr">
        <is>
          <t>CCW-A/B</t>
        </is>
      </c>
      <c r="H1005" s="9" t="inlineStr">
        <is>
          <t>CCW-A/B: closed cooling water pumps</t>
        </is>
      </c>
      <c r="I1005" s="9" t="inlineStr">
        <is>
          <t>Instrumentation</t>
        </is>
      </c>
      <c r="J1005" s="9" t="inlineStr">
        <is>
          <t>Instrumentation PLTC / TC-ER 300 V, #18 twisted shielded pairs, overall shield</t>
        </is>
      </c>
      <c r="K1005" s="9" t="inlineStr">
        <is>
          <t>PLTC|4 pr|18</t>
        </is>
      </c>
      <c r="L1005" s="9" t="inlineStr">
        <is>
          <t>4 pr</t>
        </is>
      </c>
      <c r="M1005" s="9" t="inlineStr">
        <is>
          <t>18</t>
        </is>
      </c>
      <c r="N1005" s="9" t="n">
        <v>1</v>
      </c>
      <c r="O1005" s="9" t="n">
        <v>1</v>
      </c>
      <c r="P1005" s="9" t="n"/>
      <c r="Q1005" s="9" t="n"/>
      <c r="R1005" s="9" t="n"/>
      <c r="S1005" s="9" t="inlineStr">
        <is>
          <t>Tray</t>
        </is>
      </c>
      <c r="T1005" s="10" t="n">
        <v>696</v>
      </c>
      <c r="U1005" s="10" t="n">
        <v>78</v>
      </c>
      <c r="V1005" s="10">
        <f>ROUNDUP((T1005+U1005+2*'Read Me'!$B$13)*(1+'Read Me'!$B$12),-1)</f>
        <v/>
      </c>
      <c r="W1005" s="10">
        <f>V1005*N1005*O1005</f>
        <v/>
      </c>
      <c r="X1005" s="9">
        <f>IF(LEFT(I1005,2)="MV",2*N1005*IF(L1005="1/C",O1005,1),0)</f>
        <v/>
      </c>
      <c r="Y1005" s="9">
        <f>IF(OR(LEFT(K1005,4)="LVAX",LEFT(K1005,6)="MV15AX",LEFT(K1005,4)="CTAX",LEFT(K1005,2)="W|"),2*N1005*O1005,0)</f>
        <v/>
      </c>
      <c r="Z1005" s="9" t="inlineStr"/>
    </row>
    <row r="1006">
      <c r="A1006" s="9" t="inlineStr">
        <is>
          <t>B-I-0004</t>
        </is>
      </c>
      <c r="B1006" s="9" t="inlineStr">
        <is>
          <t>B</t>
        </is>
      </c>
      <c r="C1006" s="9" t="inlineStr">
        <is>
          <t>ACC</t>
        </is>
      </c>
      <c r="D1006" s="9" t="inlineStr">
        <is>
          <t>Instrumentation</t>
        </is>
      </c>
      <c r="E1006" s="9" t="inlineStr">
        <is>
          <t>R4</t>
        </is>
      </c>
      <c r="F1006" s="9" t="inlineStr">
        <is>
          <t>R4: ACC electrical (VFD) e-house (60 x 120 ft)</t>
        </is>
      </c>
      <c r="G1006" s="9" t="inlineStr">
        <is>
          <t>CCW-A/B</t>
        </is>
      </c>
      <c r="H1006" s="9" t="inlineStr">
        <is>
          <t>CCW-A/B: closed cooling water pumps</t>
        </is>
      </c>
      <c r="I1006" s="9" t="inlineStr">
        <is>
          <t>Instrumentation</t>
        </is>
      </c>
      <c r="J1006" s="9" t="inlineStr">
        <is>
          <t>Instrumentation PLTC / TC-ER 300 V, #18 twisted shielded pairs, overall shield</t>
        </is>
      </c>
      <c r="K1006" s="9" t="inlineStr">
        <is>
          <t>PLTC|12 pr|18</t>
        </is>
      </c>
      <c r="L1006" s="9" t="inlineStr">
        <is>
          <t>12 pr</t>
        </is>
      </c>
      <c r="M1006" s="9" t="inlineStr">
        <is>
          <t>18</t>
        </is>
      </c>
      <c r="N1006" s="9" t="n">
        <v>1</v>
      </c>
      <c r="O1006" s="9" t="n">
        <v>1</v>
      </c>
      <c r="P1006" s="9" t="n"/>
      <c r="Q1006" s="9" t="n"/>
      <c r="R1006" s="9" t="n"/>
      <c r="S1006" s="9" t="inlineStr">
        <is>
          <t>Tray</t>
        </is>
      </c>
      <c r="T1006" s="10" t="n">
        <v>696</v>
      </c>
      <c r="U1006" s="10" t="n">
        <v>78</v>
      </c>
      <c r="V1006" s="10">
        <f>ROUNDUP((T1006+U1006+2*'Read Me'!$B$13)*(1+'Read Me'!$B$12),-1)</f>
        <v/>
      </c>
      <c r="W1006" s="10">
        <f>V1006*N1006*O1006</f>
        <v/>
      </c>
      <c r="X1006" s="9">
        <f>IF(LEFT(I1006,2)="MV",2*N1006*IF(L1006="1/C",O1006,1),0)</f>
        <v/>
      </c>
      <c r="Y1006" s="9">
        <f>IF(OR(LEFT(K1006,4)="LVAX",LEFT(K1006,6)="MV15AX",LEFT(K1006,4)="CTAX",LEFT(K1006,2)="W|"),2*N1006*O1006,0)</f>
        <v/>
      </c>
      <c r="Z1006" s="9" t="inlineStr"/>
    </row>
    <row r="1007">
      <c r="A1007" s="9" t="inlineStr">
        <is>
          <t>B-I-0005</t>
        </is>
      </c>
      <c r="B1007" s="9" t="inlineStr">
        <is>
          <t>B</t>
        </is>
      </c>
      <c r="C1007" s="9" t="inlineStr">
        <is>
          <t>ACC</t>
        </is>
      </c>
      <c r="D1007" s="9" t="inlineStr">
        <is>
          <t>Instrumentation</t>
        </is>
      </c>
      <c r="E1007" s="9" t="inlineStr">
        <is>
          <t>R4</t>
        </is>
      </c>
      <c r="F1007" s="9" t="inlineStr">
        <is>
          <t>R4: ACC electrical (VFD) e-house (60 x 120 ft)</t>
        </is>
      </c>
      <c r="G1007" s="9" t="inlineStr">
        <is>
          <t>CP-A/B/C</t>
        </is>
      </c>
      <c r="H1007" s="9" t="inlineStr">
        <is>
          <t>CP-A/B/C: condensate pumps (4.16 kV)</t>
        </is>
      </c>
      <c r="I1007" s="9" t="inlineStr">
        <is>
          <t>Instrumentation</t>
        </is>
      </c>
      <c r="J1007" s="9" t="inlineStr">
        <is>
          <t>Instrumentation PLTC / TC-ER 300 V, #18 twisted shielded pairs, overall shield</t>
        </is>
      </c>
      <c r="K1007" s="9" t="inlineStr">
        <is>
          <t>PLTC|4 pr|18</t>
        </is>
      </c>
      <c r="L1007" s="9" t="inlineStr">
        <is>
          <t>4 pr</t>
        </is>
      </c>
      <c r="M1007" s="9" t="inlineStr">
        <is>
          <t>18</t>
        </is>
      </c>
      <c r="N1007" s="9" t="n">
        <v>1</v>
      </c>
      <c r="O1007" s="9" t="n">
        <v>1</v>
      </c>
      <c r="P1007" s="9" t="n"/>
      <c r="Q1007" s="9" t="n"/>
      <c r="R1007" s="9" t="n"/>
      <c r="S1007" s="9" t="inlineStr">
        <is>
          <t>Tray</t>
        </is>
      </c>
      <c r="T1007" s="10" t="n">
        <v>539</v>
      </c>
      <c r="U1007" s="10" t="n">
        <v>116</v>
      </c>
      <c r="V1007" s="10">
        <f>ROUNDUP((T1007+U1007+2*'Read Me'!$B$13)*(1+'Read Me'!$B$12),-1)</f>
        <v/>
      </c>
      <c r="W1007" s="10">
        <f>V1007*N1007*O1007</f>
        <v/>
      </c>
      <c r="X1007" s="9">
        <f>IF(LEFT(I1007,2)="MV",2*N1007*IF(L1007="1/C",O1007,1),0)</f>
        <v/>
      </c>
      <c r="Y1007" s="9">
        <f>IF(OR(LEFT(K1007,4)="LVAX",LEFT(K1007,6)="MV15AX",LEFT(K1007,4)="CTAX",LEFT(K1007,2)="W|"),2*N1007*O1007,0)</f>
        <v/>
      </c>
      <c r="Z1007" s="9" t="inlineStr"/>
    </row>
    <row r="1008">
      <c r="A1008" s="9" t="inlineStr">
        <is>
          <t>B-I-0006</t>
        </is>
      </c>
      <c r="B1008" s="9" t="inlineStr">
        <is>
          <t>B</t>
        </is>
      </c>
      <c r="C1008" s="9" t="inlineStr">
        <is>
          <t>ACC</t>
        </is>
      </c>
      <c r="D1008" s="9" t="inlineStr">
        <is>
          <t>Instrumentation</t>
        </is>
      </c>
      <c r="E1008" s="9" t="inlineStr">
        <is>
          <t>R4</t>
        </is>
      </c>
      <c r="F1008" s="9" t="inlineStr">
        <is>
          <t>R4: ACC electrical (VFD) e-house (60 x 120 ft)</t>
        </is>
      </c>
      <c r="G1008" s="9" t="inlineStr">
        <is>
          <t>CP-A/B/C</t>
        </is>
      </c>
      <c r="H1008" s="9" t="inlineStr">
        <is>
          <t>CP-A/B/C: condensate pumps (4.16 kV)</t>
        </is>
      </c>
      <c r="I1008" s="9" t="inlineStr">
        <is>
          <t>Instrumentation</t>
        </is>
      </c>
      <c r="J1008" s="9" t="inlineStr">
        <is>
          <t>Instrumentation PLTC / TC-ER 300 V, #18 twisted shielded pairs, overall shield</t>
        </is>
      </c>
      <c r="K1008" s="9" t="inlineStr">
        <is>
          <t>PLTC|12 pr|18</t>
        </is>
      </c>
      <c r="L1008" s="9" t="inlineStr">
        <is>
          <t>12 pr</t>
        </is>
      </c>
      <c r="M1008" s="9" t="inlineStr">
        <is>
          <t>18</t>
        </is>
      </c>
      <c r="N1008" s="9" t="n">
        <v>1</v>
      </c>
      <c r="O1008" s="9" t="n">
        <v>1</v>
      </c>
      <c r="P1008" s="9" t="n"/>
      <c r="Q1008" s="9" t="n"/>
      <c r="R1008" s="9" t="n"/>
      <c r="S1008" s="9" t="inlineStr">
        <is>
          <t>Tray</t>
        </is>
      </c>
      <c r="T1008" s="10" t="n">
        <v>539</v>
      </c>
      <c r="U1008" s="10" t="n">
        <v>116</v>
      </c>
      <c r="V1008" s="10">
        <f>ROUNDUP((T1008+U1008+2*'Read Me'!$B$13)*(1+'Read Me'!$B$12),-1)</f>
        <v/>
      </c>
      <c r="W1008" s="10">
        <f>V1008*N1008*O1008</f>
        <v/>
      </c>
      <c r="X1008" s="9">
        <f>IF(LEFT(I1008,2)="MV",2*N1008*IF(L1008="1/C",O1008,1),0)</f>
        <v/>
      </c>
      <c r="Y1008" s="9">
        <f>IF(OR(LEFT(K1008,4)="LVAX",LEFT(K1008,6)="MV15AX",LEFT(K1008,4)="CTAX",LEFT(K1008,2)="W|"),2*N1008*O1008,0)</f>
        <v/>
      </c>
      <c r="Z1008" s="9" t="inlineStr"/>
    </row>
    <row r="1009">
      <c r="A1009" s="9" t="inlineStr">
        <is>
          <t>B-I-0007</t>
        </is>
      </c>
      <c r="B1009" s="9" t="inlineStr">
        <is>
          <t>B</t>
        </is>
      </c>
      <c r="C1009" s="9" t="inlineStr">
        <is>
          <t>ACC</t>
        </is>
      </c>
      <c r="D1009" s="9" t="inlineStr">
        <is>
          <t>Instrumentation</t>
        </is>
      </c>
      <c r="E1009" s="9" t="inlineStr">
        <is>
          <t>R4</t>
        </is>
      </c>
      <c r="F1009" s="9" t="inlineStr">
        <is>
          <t>R4: ACC electrical (VFD) e-house (60 x 120 ft)</t>
        </is>
      </c>
      <c r="G1009" s="9" t="inlineStr"/>
      <c r="H1009" s="9" t="inlineStr">
        <is>
          <t>Condensate storage tank</t>
        </is>
      </c>
      <c r="I1009" s="9" t="inlineStr">
        <is>
          <t>Instrumentation</t>
        </is>
      </c>
      <c r="J1009" s="9" t="inlineStr">
        <is>
          <t>Instrumentation PLTC / TC-ER 300 V, #18 twisted shielded pairs, overall shield</t>
        </is>
      </c>
      <c r="K1009" s="9" t="inlineStr">
        <is>
          <t>PLTC|4 pr|18</t>
        </is>
      </c>
      <c r="L1009" s="9" t="inlineStr">
        <is>
          <t>4 pr</t>
        </is>
      </c>
      <c r="M1009" s="9" t="inlineStr">
        <is>
          <t>18</t>
        </is>
      </c>
      <c r="N1009" s="9" t="n">
        <v>1</v>
      </c>
      <c r="O1009" s="9" t="n">
        <v>1</v>
      </c>
      <c r="P1009" s="9" t="n"/>
      <c r="Q1009" s="9" t="n"/>
      <c r="R1009" s="9" t="n"/>
      <c r="S1009" s="9" t="inlineStr">
        <is>
          <t>Tray</t>
        </is>
      </c>
      <c r="T1009" s="10" t="n">
        <v>417</v>
      </c>
      <c r="U1009" s="10" t="n">
        <v>86</v>
      </c>
      <c r="V1009" s="10">
        <f>ROUNDUP((T1009+U1009+2*'Read Me'!$B$13)*(1+'Read Me'!$B$12),-1)</f>
        <v/>
      </c>
      <c r="W1009" s="10">
        <f>V1009*N1009*O1009</f>
        <v/>
      </c>
      <c r="X1009" s="9">
        <f>IF(LEFT(I1009,2)="MV",2*N1009*IF(L1009="1/C",O1009,1),0)</f>
        <v/>
      </c>
      <c r="Y1009" s="9">
        <f>IF(OR(LEFT(K1009,4)="LVAX",LEFT(K1009,6)="MV15AX",LEFT(K1009,4)="CTAX",LEFT(K1009,2)="W|"),2*N1009*O1009,0)</f>
        <v/>
      </c>
      <c r="Z1009" s="9" t="inlineStr"/>
    </row>
    <row r="1010">
      <c r="A1010" s="9" t="inlineStr">
        <is>
          <t>B-I-0008</t>
        </is>
      </c>
      <c r="B1010" s="9" t="inlineStr">
        <is>
          <t>B</t>
        </is>
      </c>
      <c r="C1010" s="9" t="inlineStr">
        <is>
          <t>ACC</t>
        </is>
      </c>
      <c r="D1010" s="9" t="inlineStr">
        <is>
          <t>Instrumentation</t>
        </is>
      </c>
      <c r="E1010" s="9" t="inlineStr">
        <is>
          <t>R4</t>
        </is>
      </c>
      <c r="F1010" s="9" t="inlineStr">
        <is>
          <t>R4: ACC electrical (VFD) e-house (60 x 120 ft)</t>
        </is>
      </c>
      <c r="G1010" s="9" t="inlineStr"/>
      <c r="H1010" s="9" t="inlineStr">
        <is>
          <t>Condensate storage tank</t>
        </is>
      </c>
      <c r="I1010" s="9" t="inlineStr">
        <is>
          <t>Instrumentation</t>
        </is>
      </c>
      <c r="J1010" s="9" t="inlineStr">
        <is>
          <t>Instrumentation PLTC / TC-ER 300 V, #18 twisted shielded pairs, overall shield</t>
        </is>
      </c>
      <c r="K1010" s="9" t="inlineStr">
        <is>
          <t>PLTC|12 pr|18</t>
        </is>
      </c>
      <c r="L1010" s="9" t="inlineStr">
        <is>
          <t>12 pr</t>
        </is>
      </c>
      <c r="M1010" s="9" t="inlineStr">
        <is>
          <t>18</t>
        </is>
      </c>
      <c r="N1010" s="9" t="n">
        <v>1</v>
      </c>
      <c r="O1010" s="9" t="n">
        <v>1</v>
      </c>
      <c r="P1010" s="9" t="n"/>
      <c r="Q1010" s="9" t="n"/>
      <c r="R1010" s="9" t="n"/>
      <c r="S1010" s="9" t="inlineStr">
        <is>
          <t>Tray</t>
        </is>
      </c>
      <c r="T1010" s="10" t="n">
        <v>417</v>
      </c>
      <c r="U1010" s="10" t="n">
        <v>86</v>
      </c>
      <c r="V1010" s="10">
        <f>ROUNDUP((T1010+U1010+2*'Read Me'!$B$13)*(1+'Read Me'!$B$12),-1)</f>
        <v/>
      </c>
      <c r="W1010" s="10">
        <f>V1010*N1010*O1010</f>
        <v/>
      </c>
      <c r="X1010" s="9">
        <f>IF(LEFT(I1010,2)="MV",2*N1010*IF(L1010="1/C",O1010,1),0)</f>
        <v/>
      </c>
      <c r="Y1010" s="9">
        <f>IF(OR(LEFT(K1010,4)="LVAX",LEFT(K1010,6)="MV15AX",LEFT(K1010,4)="CTAX",LEFT(K1010,2)="W|"),2*N1010*O1010,0)</f>
        <v/>
      </c>
      <c r="Z1010" s="9" t="inlineStr"/>
    </row>
    <row r="1011">
      <c r="A1011" s="9" t="inlineStr">
        <is>
          <t>B-I-0009</t>
        </is>
      </c>
      <c r="B1011" s="9" t="inlineStr">
        <is>
          <t>B</t>
        </is>
      </c>
      <c r="C1011" s="9" t="inlineStr">
        <is>
          <t>ACC</t>
        </is>
      </c>
      <c r="D1011" s="9" t="inlineStr">
        <is>
          <t>Instrumentation</t>
        </is>
      </c>
      <c r="E1011" s="9" t="inlineStr">
        <is>
          <t>R4</t>
        </is>
      </c>
      <c r="F1011" s="9" t="inlineStr">
        <is>
          <t>R4: ACC electrical (VFD) e-house (60 x 120 ft)</t>
        </is>
      </c>
      <c r="G1011" s="9" t="inlineStr">
        <is>
          <t>VFD-L1</t>
        </is>
      </c>
      <c r="H1011" s="9" t="inlineStr">
        <is>
          <t>R4 VFD lineup 1 (23 drives, fed from T-R4-1)</t>
        </is>
      </c>
      <c r="I1011" s="9" t="inlineStr">
        <is>
          <t>Instrumentation</t>
        </is>
      </c>
      <c r="J1011" s="9" t="inlineStr">
        <is>
          <t>Instrumentation PLTC / TC-ER 300 V, #18 twisted shielded pairs, overall shield</t>
        </is>
      </c>
      <c r="K1011" s="9" t="inlineStr">
        <is>
          <t>PLTC|4 pr|18</t>
        </is>
      </c>
      <c r="L1011" s="9" t="inlineStr">
        <is>
          <t>4 pr</t>
        </is>
      </c>
      <c r="M1011" s="9" t="inlineStr">
        <is>
          <t>18</t>
        </is>
      </c>
      <c r="N1011" s="9" t="n">
        <v>1</v>
      </c>
      <c r="O1011" s="9" t="n">
        <v>1</v>
      </c>
      <c r="P1011" s="9" t="n"/>
      <c r="Q1011" s="9" t="n"/>
      <c r="R1011" s="9" t="n"/>
      <c r="S1011" s="9" t="inlineStr">
        <is>
          <t>Tray</t>
        </is>
      </c>
      <c r="T1011" s="10" t="n">
        <v>5</v>
      </c>
      <c r="U1011" s="10" t="n">
        <v>94</v>
      </c>
      <c r="V1011" s="10">
        <f>ROUNDUP((T1011+U1011+2*'Read Me'!$B$13)*(1+'Read Me'!$B$12),-1)</f>
        <v/>
      </c>
      <c r="W1011" s="10">
        <f>V1011*N1011*O1011</f>
        <v/>
      </c>
      <c r="X1011" s="9">
        <f>IF(LEFT(I1011,2)="MV",2*N1011*IF(L1011="1/C",O1011,1),0)</f>
        <v/>
      </c>
      <c r="Y1011" s="9">
        <f>IF(OR(LEFT(K1011,4)="LVAX",LEFT(K1011,6)="MV15AX",LEFT(K1011,4)="CTAX",LEFT(K1011,2)="W|"),2*N1011*O1011,0)</f>
        <v/>
      </c>
      <c r="Z1011" s="9" t="inlineStr"/>
    </row>
    <row r="1012">
      <c r="A1012" s="9" t="inlineStr">
        <is>
          <t>B-I-0010</t>
        </is>
      </c>
      <c r="B1012" s="9" t="inlineStr">
        <is>
          <t>B</t>
        </is>
      </c>
      <c r="C1012" s="9" t="inlineStr">
        <is>
          <t>ACC</t>
        </is>
      </c>
      <c r="D1012" s="9" t="inlineStr">
        <is>
          <t>Instrumentation</t>
        </is>
      </c>
      <c r="E1012" s="9" t="inlineStr">
        <is>
          <t>R4</t>
        </is>
      </c>
      <c r="F1012" s="9" t="inlineStr">
        <is>
          <t>R4: ACC electrical (VFD) e-house (60 x 120 ft)</t>
        </is>
      </c>
      <c r="G1012" s="9" t="inlineStr">
        <is>
          <t>VFD-L2</t>
        </is>
      </c>
      <c r="H1012" s="9" t="inlineStr">
        <is>
          <t>R4 VFD lineup 2 (23 drives, fed from T-R4-2)</t>
        </is>
      </c>
      <c r="I1012" s="9" t="inlineStr">
        <is>
          <t>Instrumentation</t>
        </is>
      </c>
      <c r="J1012" s="9" t="inlineStr">
        <is>
          <t>Instrumentation PLTC / TC-ER 300 V, #18 twisted shielded pairs, overall shield</t>
        </is>
      </c>
      <c r="K1012" s="9" t="inlineStr">
        <is>
          <t>PLTC|4 pr|18</t>
        </is>
      </c>
      <c r="L1012" s="9" t="inlineStr">
        <is>
          <t>4 pr</t>
        </is>
      </c>
      <c r="M1012" s="9" t="inlineStr">
        <is>
          <t>18</t>
        </is>
      </c>
      <c r="N1012" s="9" t="n">
        <v>1</v>
      </c>
      <c r="O1012" s="9" t="n">
        <v>1</v>
      </c>
      <c r="P1012" s="9" t="n"/>
      <c r="Q1012" s="9" t="n"/>
      <c r="R1012" s="9" t="n"/>
      <c r="S1012" s="9" t="inlineStr">
        <is>
          <t>Tray</t>
        </is>
      </c>
      <c r="T1012" s="10" t="n">
        <v>5</v>
      </c>
      <c r="U1012" s="10" t="n">
        <v>106</v>
      </c>
      <c r="V1012" s="10">
        <f>ROUNDUP((T1012+U1012+2*'Read Me'!$B$13)*(1+'Read Me'!$B$12),-1)</f>
        <v/>
      </c>
      <c r="W1012" s="10">
        <f>V1012*N1012*O1012</f>
        <v/>
      </c>
      <c r="X1012" s="9">
        <f>IF(LEFT(I1012,2)="MV",2*N1012*IF(L1012="1/C",O1012,1),0)</f>
        <v/>
      </c>
      <c r="Y1012" s="9">
        <f>IF(OR(LEFT(K1012,4)="LVAX",LEFT(K1012,6)="MV15AX",LEFT(K1012,4)="CTAX",LEFT(K1012,2)="W|"),2*N1012*O1012,0)</f>
        <v/>
      </c>
      <c r="Z1012" s="9" t="inlineStr"/>
    </row>
    <row r="1013">
      <c r="A1013" s="9" t="inlineStr">
        <is>
          <t>B-I-0011</t>
        </is>
      </c>
      <c r="B1013" s="9" t="inlineStr">
        <is>
          <t>B</t>
        </is>
      </c>
      <c r="C1013" s="9" t="inlineStr">
        <is>
          <t>ACC</t>
        </is>
      </c>
      <c r="D1013" s="9" t="inlineStr">
        <is>
          <t>Instrumentation</t>
        </is>
      </c>
      <c r="E1013" s="9" t="inlineStr">
        <is>
          <t>R4</t>
        </is>
      </c>
      <c r="F1013" s="9" t="inlineStr">
        <is>
          <t>R4: ACC electrical (VFD) e-house (60 x 120 ft)</t>
        </is>
      </c>
      <c r="G1013" s="9" t="inlineStr">
        <is>
          <t>VFD-L3</t>
        </is>
      </c>
      <c r="H1013" s="9" t="inlineStr">
        <is>
          <t>R4 VFD lineup 3 (23 drives, fed from T-R4-3)</t>
        </is>
      </c>
      <c r="I1013" s="9" t="inlineStr">
        <is>
          <t>Instrumentation</t>
        </is>
      </c>
      <c r="J1013" s="9" t="inlineStr">
        <is>
          <t>Instrumentation PLTC / TC-ER 300 V, #18 twisted shielded pairs, overall shield</t>
        </is>
      </c>
      <c r="K1013" s="9" t="inlineStr">
        <is>
          <t>PLTC|4 pr|18</t>
        </is>
      </c>
      <c r="L1013" s="9" t="inlineStr">
        <is>
          <t>4 pr</t>
        </is>
      </c>
      <c r="M1013" s="9" t="inlineStr">
        <is>
          <t>18</t>
        </is>
      </c>
      <c r="N1013" s="9" t="n">
        <v>1</v>
      </c>
      <c r="O1013" s="9" t="n">
        <v>1</v>
      </c>
      <c r="P1013" s="9" t="n"/>
      <c r="Q1013" s="9" t="n"/>
      <c r="R1013" s="9" t="n"/>
      <c r="S1013" s="9" t="inlineStr">
        <is>
          <t>Tray</t>
        </is>
      </c>
      <c r="T1013" s="10" t="n">
        <v>0</v>
      </c>
      <c r="U1013" s="10" t="n">
        <v>93</v>
      </c>
      <c r="V1013" s="10">
        <f>ROUNDUP((T1013+U1013+2*'Read Me'!$B$13)*(1+'Read Me'!$B$12),-1)</f>
        <v/>
      </c>
      <c r="W1013" s="10">
        <f>V1013*N1013*O1013</f>
        <v/>
      </c>
      <c r="X1013" s="9">
        <f>IF(LEFT(I1013,2)="MV",2*N1013*IF(L1013="1/C",O1013,1),0)</f>
        <v/>
      </c>
      <c r="Y1013" s="9">
        <f>IF(OR(LEFT(K1013,4)="LVAX",LEFT(K1013,6)="MV15AX",LEFT(K1013,4)="CTAX",LEFT(K1013,2)="W|"),2*N1013*O1013,0)</f>
        <v/>
      </c>
      <c r="Z1013" s="9" t="inlineStr"/>
    </row>
    <row r="1014">
      <c r="A1014" s="9" t="inlineStr">
        <is>
          <t>B-I-0012</t>
        </is>
      </c>
      <c r="B1014" s="9" t="inlineStr">
        <is>
          <t>B</t>
        </is>
      </c>
      <c r="C1014" s="9" t="inlineStr">
        <is>
          <t>ACC</t>
        </is>
      </c>
      <c r="D1014" s="9" t="inlineStr">
        <is>
          <t>Instrumentation</t>
        </is>
      </c>
      <c r="E1014" s="9" t="inlineStr">
        <is>
          <t>R4</t>
        </is>
      </c>
      <c r="F1014" s="9" t="inlineStr">
        <is>
          <t>R4: ACC electrical (VFD) e-house (60 x 120 ft)</t>
        </is>
      </c>
      <c r="G1014" s="9" t="inlineStr">
        <is>
          <t>VFD-L4</t>
        </is>
      </c>
      <c r="H1014" s="9" t="inlineStr">
        <is>
          <t>R4 VFD lineup 4 (23 drives, fed from T-R4-4)</t>
        </is>
      </c>
      <c r="I1014" s="9" t="inlineStr">
        <is>
          <t>Instrumentation</t>
        </is>
      </c>
      <c r="J1014" s="9" t="inlineStr">
        <is>
          <t>Instrumentation PLTC / TC-ER 300 V, #18 twisted shielded pairs, overall shield</t>
        </is>
      </c>
      <c r="K1014" s="9" t="inlineStr">
        <is>
          <t>PLTC|4 pr|18</t>
        </is>
      </c>
      <c r="L1014" s="9" t="inlineStr">
        <is>
          <t>4 pr</t>
        </is>
      </c>
      <c r="M1014" s="9" t="inlineStr">
        <is>
          <t>18</t>
        </is>
      </c>
      <c r="N1014" s="9" t="n">
        <v>1</v>
      </c>
      <c r="O1014" s="9" t="n">
        <v>1</v>
      </c>
      <c r="P1014" s="9" t="n"/>
      <c r="Q1014" s="9" t="n"/>
      <c r="R1014" s="9" t="n"/>
      <c r="S1014" s="9" t="inlineStr">
        <is>
          <t>Tray</t>
        </is>
      </c>
      <c r="T1014" s="10" t="n">
        <v>0</v>
      </c>
      <c r="U1014" s="10" t="n">
        <v>81</v>
      </c>
      <c r="V1014" s="10">
        <f>ROUNDUP((T1014+U1014+2*'Read Me'!$B$13)*(1+'Read Me'!$B$12),-1)</f>
        <v/>
      </c>
      <c r="W1014" s="10">
        <f>V1014*N1014*O1014</f>
        <v/>
      </c>
      <c r="X1014" s="9">
        <f>IF(LEFT(I1014,2)="MV",2*N1014*IF(L1014="1/C",O1014,1),0)</f>
        <v/>
      </c>
      <c r="Y1014" s="9">
        <f>IF(OR(LEFT(K1014,4)="LVAX",LEFT(K1014,6)="MV15AX",LEFT(K1014,4)="CTAX",LEFT(K1014,2)="W|"),2*N1014*O1014,0)</f>
        <v/>
      </c>
      <c r="Z1014" s="9" t="inlineStr"/>
    </row>
    <row r="1015">
      <c r="A1015" s="9" t="inlineStr">
        <is>
          <t>B-I-0013</t>
        </is>
      </c>
      <c r="B1015" s="9" t="inlineStr">
        <is>
          <t>B</t>
        </is>
      </c>
      <c r="C1015" s="9" t="inlineStr">
        <is>
          <t>ACC</t>
        </is>
      </c>
      <c r="D1015" s="9" t="inlineStr">
        <is>
          <t>Instrumentation</t>
        </is>
      </c>
      <c r="E1015" s="9" t="inlineStr">
        <is>
          <t>R4</t>
        </is>
      </c>
      <c r="F1015" s="9" t="inlineStr">
        <is>
          <t>R4: ACC electrical (VFD) e-house (60 x 120 ft)</t>
        </is>
      </c>
      <c r="G1015" s="9" t="inlineStr"/>
      <c r="H1015" s="9" t="inlineStr">
        <is>
          <t>T-R4-1: 13.8/0.48 kV</t>
        </is>
      </c>
      <c r="I1015" s="9" t="inlineStr">
        <is>
          <t>Instrumentation</t>
        </is>
      </c>
      <c r="J1015" s="9" t="inlineStr">
        <is>
          <t>Instrumentation PLTC / TC-ER 300 V, #18 twisted shielded pairs, overall shield</t>
        </is>
      </c>
      <c r="K1015" s="9" t="inlineStr">
        <is>
          <t>PLTC|4 pr|18</t>
        </is>
      </c>
      <c r="L1015" s="9" t="inlineStr">
        <is>
          <t>4 pr</t>
        </is>
      </c>
      <c r="M1015" s="9" t="inlineStr">
        <is>
          <t>18</t>
        </is>
      </c>
      <c r="N1015" s="9" t="n">
        <v>1</v>
      </c>
      <c r="O1015" s="9" t="n">
        <v>1</v>
      </c>
      <c r="P1015" s="9" t="n"/>
      <c r="Q1015" s="9" t="n"/>
      <c r="R1015" s="9" t="n"/>
      <c r="S1015" s="9" t="inlineStr">
        <is>
          <t>Duct bank</t>
        </is>
      </c>
      <c r="T1015" s="10" t="n">
        <v>146</v>
      </c>
      <c r="U1015" s="10" t="n">
        <v>69</v>
      </c>
      <c r="V1015" s="10">
        <f>ROUNDUP((T1015+U1015+2*'Read Me'!$B$13)*(1+'Read Me'!$B$12),-1)</f>
        <v/>
      </c>
      <c r="W1015" s="10">
        <f>V1015*N1015*O1015</f>
        <v/>
      </c>
      <c r="X1015" s="9">
        <f>IF(LEFT(I1015,2)="MV",2*N1015*IF(L1015="1/C",O1015,1),0)</f>
        <v/>
      </c>
      <c r="Y1015" s="9">
        <f>IF(OR(LEFT(K1015,4)="LVAX",LEFT(K1015,6)="MV15AX",LEFT(K1015,4)="CTAX",LEFT(K1015,2)="W|"),2*N1015*O1015,0)</f>
        <v/>
      </c>
      <c r="Z1015" s="9" t="inlineStr"/>
    </row>
    <row r="1016">
      <c r="A1016" s="9" t="inlineStr">
        <is>
          <t>B-I-0014</t>
        </is>
      </c>
      <c r="B1016" s="9" t="inlineStr">
        <is>
          <t>B</t>
        </is>
      </c>
      <c r="C1016" s="9" t="inlineStr">
        <is>
          <t>ACC</t>
        </is>
      </c>
      <c r="D1016" s="9" t="inlineStr">
        <is>
          <t>Instrumentation</t>
        </is>
      </c>
      <c r="E1016" s="9" t="inlineStr">
        <is>
          <t>R4</t>
        </is>
      </c>
      <c r="F1016" s="9" t="inlineStr">
        <is>
          <t>R4: ACC electrical (VFD) e-house (60 x 120 ft)</t>
        </is>
      </c>
      <c r="G1016" s="9" t="inlineStr"/>
      <c r="H1016" s="9" t="inlineStr">
        <is>
          <t>T-R4-2: 13.8/0.48 kV</t>
        </is>
      </c>
      <c r="I1016" s="9" t="inlineStr">
        <is>
          <t>Instrumentation</t>
        </is>
      </c>
      <c r="J1016" s="9" t="inlineStr">
        <is>
          <t>Instrumentation PLTC / TC-ER 300 V, #18 twisted shielded pairs, overall shield</t>
        </is>
      </c>
      <c r="K1016" s="9" t="inlineStr">
        <is>
          <t>PLTC|4 pr|18</t>
        </is>
      </c>
      <c r="L1016" s="9" t="inlineStr">
        <is>
          <t>4 pr</t>
        </is>
      </c>
      <c r="M1016" s="9" t="inlineStr">
        <is>
          <t>18</t>
        </is>
      </c>
      <c r="N1016" s="9" t="n">
        <v>1</v>
      </c>
      <c r="O1016" s="9" t="n">
        <v>1</v>
      </c>
      <c r="P1016" s="9" t="n"/>
      <c r="Q1016" s="9" t="n"/>
      <c r="R1016" s="9" t="n"/>
      <c r="S1016" s="9" t="inlineStr">
        <is>
          <t>Duct bank</t>
        </is>
      </c>
      <c r="T1016" s="10" t="n">
        <v>172</v>
      </c>
      <c r="U1016" s="10" t="n">
        <v>69</v>
      </c>
      <c r="V1016" s="10">
        <f>ROUNDUP((T1016+U1016+2*'Read Me'!$B$13)*(1+'Read Me'!$B$12),-1)</f>
        <v/>
      </c>
      <c r="W1016" s="10">
        <f>V1016*N1016*O1016</f>
        <v/>
      </c>
      <c r="X1016" s="9">
        <f>IF(LEFT(I1016,2)="MV",2*N1016*IF(L1016="1/C",O1016,1),0)</f>
        <v/>
      </c>
      <c r="Y1016" s="9">
        <f>IF(OR(LEFT(K1016,4)="LVAX",LEFT(K1016,6)="MV15AX",LEFT(K1016,4)="CTAX",LEFT(K1016,2)="W|"),2*N1016*O1016,0)</f>
        <v/>
      </c>
      <c r="Z1016" s="9" t="inlineStr"/>
    </row>
    <row r="1017">
      <c r="A1017" s="9" t="inlineStr">
        <is>
          <t>B-I-0015</t>
        </is>
      </c>
      <c r="B1017" s="9" t="inlineStr">
        <is>
          <t>B</t>
        </is>
      </c>
      <c r="C1017" s="9" t="inlineStr">
        <is>
          <t>ACC</t>
        </is>
      </c>
      <c r="D1017" s="9" t="inlineStr">
        <is>
          <t>Instrumentation</t>
        </is>
      </c>
      <c r="E1017" s="9" t="inlineStr">
        <is>
          <t>R4</t>
        </is>
      </c>
      <c r="F1017" s="9" t="inlineStr">
        <is>
          <t>R4: ACC electrical (VFD) e-house (60 x 120 ft)</t>
        </is>
      </c>
      <c r="G1017" s="9" t="inlineStr"/>
      <c r="H1017" s="9" t="inlineStr">
        <is>
          <t>T-R4-3: 13.8/0.48 kV</t>
        </is>
      </c>
      <c r="I1017" s="9" t="inlineStr">
        <is>
          <t>Instrumentation</t>
        </is>
      </c>
      <c r="J1017" s="9" t="inlineStr">
        <is>
          <t>Instrumentation PLTC / TC-ER 300 V, #18 twisted shielded pairs, overall shield</t>
        </is>
      </c>
      <c r="K1017" s="9" t="inlineStr">
        <is>
          <t>PLTC|4 pr|18</t>
        </is>
      </c>
      <c r="L1017" s="9" t="inlineStr">
        <is>
          <t>4 pr</t>
        </is>
      </c>
      <c r="M1017" s="9" t="inlineStr">
        <is>
          <t>18</t>
        </is>
      </c>
      <c r="N1017" s="9" t="n">
        <v>1</v>
      </c>
      <c r="O1017" s="9" t="n">
        <v>1</v>
      </c>
      <c r="P1017" s="9" t="n"/>
      <c r="Q1017" s="9" t="n"/>
      <c r="R1017" s="9" t="n"/>
      <c r="S1017" s="9" t="inlineStr">
        <is>
          <t>Duct bank</t>
        </is>
      </c>
      <c r="T1017" s="10" t="n">
        <v>201</v>
      </c>
      <c r="U1017" s="10" t="n">
        <v>56</v>
      </c>
      <c r="V1017" s="10">
        <f>ROUNDUP((T1017+U1017+2*'Read Me'!$B$13)*(1+'Read Me'!$B$12),-1)</f>
        <v/>
      </c>
      <c r="W1017" s="10">
        <f>V1017*N1017*O1017</f>
        <v/>
      </c>
      <c r="X1017" s="9">
        <f>IF(LEFT(I1017,2)="MV",2*N1017*IF(L1017="1/C",O1017,1),0)</f>
        <v/>
      </c>
      <c r="Y1017" s="9">
        <f>IF(OR(LEFT(K1017,4)="LVAX",LEFT(K1017,6)="MV15AX",LEFT(K1017,4)="CTAX",LEFT(K1017,2)="W|"),2*N1017*O1017,0)</f>
        <v/>
      </c>
      <c r="Z1017" s="9" t="inlineStr"/>
    </row>
    <row r="1018">
      <c r="A1018" s="9" t="inlineStr">
        <is>
          <t>B-I-0016</t>
        </is>
      </c>
      <c r="B1018" s="9" t="inlineStr">
        <is>
          <t>B</t>
        </is>
      </c>
      <c r="C1018" s="9" t="inlineStr">
        <is>
          <t>ACC</t>
        </is>
      </c>
      <c r="D1018" s="9" t="inlineStr">
        <is>
          <t>Instrumentation</t>
        </is>
      </c>
      <c r="E1018" s="9" t="inlineStr">
        <is>
          <t>R4</t>
        </is>
      </c>
      <c r="F1018" s="9" t="inlineStr">
        <is>
          <t>R4: ACC electrical (VFD) e-house (60 x 120 ft)</t>
        </is>
      </c>
      <c r="G1018" s="9" t="inlineStr"/>
      <c r="H1018" s="9" t="inlineStr">
        <is>
          <t>T-R4-4: 13.8/0.48 kV</t>
        </is>
      </c>
      <c r="I1018" s="9" t="inlineStr">
        <is>
          <t>Instrumentation</t>
        </is>
      </c>
      <c r="J1018" s="9" t="inlineStr">
        <is>
          <t>Instrumentation PLTC / TC-ER 300 V, #18 twisted shielded pairs, overall shield</t>
        </is>
      </c>
      <c r="K1018" s="9" t="inlineStr">
        <is>
          <t>PLTC|4 pr|18</t>
        </is>
      </c>
      <c r="L1018" s="9" t="inlineStr">
        <is>
          <t>4 pr</t>
        </is>
      </c>
      <c r="M1018" s="9" t="inlineStr">
        <is>
          <t>18</t>
        </is>
      </c>
      <c r="N1018" s="9" t="n">
        <v>1</v>
      </c>
      <c r="O1018" s="9" t="n">
        <v>1</v>
      </c>
      <c r="P1018" s="9" t="n"/>
      <c r="Q1018" s="9" t="n"/>
      <c r="R1018" s="9" t="n"/>
      <c r="S1018" s="9" t="inlineStr">
        <is>
          <t>Duct bank</t>
        </is>
      </c>
      <c r="T1018" s="10" t="n">
        <v>195</v>
      </c>
      <c r="U1018" s="10" t="n">
        <v>82</v>
      </c>
      <c r="V1018" s="10">
        <f>ROUNDUP((T1018+U1018+2*'Read Me'!$B$13)*(1+'Read Me'!$B$12),-1)</f>
        <v/>
      </c>
      <c r="W1018" s="10">
        <f>V1018*N1018*O1018</f>
        <v/>
      </c>
      <c r="X1018" s="9">
        <f>IF(LEFT(I1018,2)="MV",2*N1018*IF(L1018="1/C",O1018,1),0)</f>
        <v/>
      </c>
      <c r="Y1018" s="9">
        <f>IF(OR(LEFT(K1018,4)="LVAX",LEFT(K1018,6)="MV15AX",LEFT(K1018,4)="CTAX",LEFT(K1018,2)="W|"),2*N1018*O1018,0)</f>
        <v/>
      </c>
      <c r="Z1018" s="9" t="inlineStr"/>
    </row>
    <row r="1019">
      <c r="A1019" s="9" t="inlineStr">
        <is>
          <t>B-I-0017</t>
        </is>
      </c>
      <c r="B1019" s="9" t="inlineStr">
        <is>
          <t>B</t>
        </is>
      </c>
      <c r="C1019" s="9" t="inlineStr">
        <is>
          <t>ACC</t>
        </is>
      </c>
      <c r="D1019" s="9" t="inlineStr">
        <is>
          <t>Instrumentation</t>
        </is>
      </c>
      <c r="E1019" s="9" t="inlineStr">
        <is>
          <t>R4</t>
        </is>
      </c>
      <c r="F1019" s="9" t="inlineStr">
        <is>
          <t>R4: ACC electrical (VFD) e-house (60 x 120 ft)</t>
        </is>
      </c>
      <c r="G1019" s="9" t="inlineStr">
        <is>
          <t>VAC-A/B</t>
        </is>
      </c>
      <c r="H1019" s="9" t="inlineStr">
        <is>
          <t>VAC-A/B: ACC air-removal vacuum pumps</t>
        </is>
      </c>
      <c r="I1019" s="9" t="inlineStr">
        <is>
          <t>Instrumentation</t>
        </is>
      </c>
      <c r="J1019" s="9" t="inlineStr">
        <is>
          <t>Instrumentation PLTC / TC-ER 300 V, #18 twisted shielded pairs, overall shield</t>
        </is>
      </c>
      <c r="K1019" s="9" t="inlineStr">
        <is>
          <t>PLTC|4 pr|18</t>
        </is>
      </c>
      <c r="L1019" s="9" t="inlineStr">
        <is>
          <t>4 pr</t>
        </is>
      </c>
      <c r="M1019" s="9" t="inlineStr">
        <is>
          <t>18</t>
        </is>
      </c>
      <c r="N1019" s="9" t="n">
        <v>1</v>
      </c>
      <c r="O1019" s="9" t="n">
        <v>1</v>
      </c>
      <c r="P1019" s="9" t="n"/>
      <c r="Q1019" s="9" t="n"/>
      <c r="R1019" s="9" t="n"/>
      <c r="S1019" s="9" t="inlineStr">
        <is>
          <t>Tray</t>
        </is>
      </c>
      <c r="T1019" s="10" t="n">
        <v>539</v>
      </c>
      <c r="U1019" s="10" t="n">
        <v>72</v>
      </c>
      <c r="V1019" s="10">
        <f>ROUNDUP((T1019+U1019+2*'Read Me'!$B$13)*(1+'Read Me'!$B$12),-1)</f>
        <v/>
      </c>
      <c r="W1019" s="10">
        <f>V1019*N1019*O1019</f>
        <v/>
      </c>
      <c r="X1019" s="9">
        <f>IF(LEFT(I1019,2)="MV",2*N1019*IF(L1019="1/C",O1019,1),0)</f>
        <v/>
      </c>
      <c r="Y1019" s="9">
        <f>IF(OR(LEFT(K1019,4)="LVAX",LEFT(K1019,6)="MV15AX",LEFT(K1019,4)="CTAX",LEFT(K1019,2)="W|"),2*N1019*O1019,0)</f>
        <v/>
      </c>
      <c r="Z1019" s="9" t="inlineStr"/>
    </row>
    <row r="1020">
      <c r="A1020" s="9" t="inlineStr">
        <is>
          <t>B-I-0018</t>
        </is>
      </c>
      <c r="B1020" s="9" t="inlineStr">
        <is>
          <t>B</t>
        </is>
      </c>
      <c r="C1020" s="9" t="inlineStr">
        <is>
          <t>ACC</t>
        </is>
      </c>
      <c r="D1020" s="9" t="inlineStr">
        <is>
          <t>Instrumentation</t>
        </is>
      </c>
      <c r="E1020" s="9" t="inlineStr">
        <is>
          <t>R4</t>
        </is>
      </c>
      <c r="F1020" s="9" t="inlineStr">
        <is>
          <t>R4: ACC electrical (VFD) e-house (60 x 120 ft)</t>
        </is>
      </c>
      <c r="G1020" s="9" t="inlineStr">
        <is>
          <t>VAC-A/B</t>
        </is>
      </c>
      <c r="H1020" s="9" t="inlineStr">
        <is>
          <t>VAC-A/B: ACC air-removal vacuum pumps</t>
        </is>
      </c>
      <c r="I1020" s="9" t="inlineStr">
        <is>
          <t>Instrumentation</t>
        </is>
      </c>
      <c r="J1020" s="9" t="inlineStr">
        <is>
          <t>Instrumentation PLTC / TC-ER 300 V, #18 twisted shielded pairs, overall shield</t>
        </is>
      </c>
      <c r="K1020" s="9" t="inlineStr">
        <is>
          <t>PLTC|4 pr|18</t>
        </is>
      </c>
      <c r="L1020" s="9" t="inlineStr">
        <is>
          <t>4 pr</t>
        </is>
      </c>
      <c r="M1020" s="9" t="inlineStr">
        <is>
          <t>18</t>
        </is>
      </c>
      <c r="N1020" s="9" t="n">
        <v>1</v>
      </c>
      <c r="O1020" s="9" t="n">
        <v>1</v>
      </c>
      <c r="P1020" s="9" t="n"/>
      <c r="Q1020" s="9" t="n"/>
      <c r="R1020" s="9" t="n"/>
      <c r="S1020" s="9" t="inlineStr">
        <is>
          <t>Tray</t>
        </is>
      </c>
      <c r="T1020" s="10" t="n">
        <v>539</v>
      </c>
      <c r="U1020" s="10" t="n">
        <v>72</v>
      </c>
      <c r="V1020" s="10">
        <f>ROUNDUP((T1020+U1020+2*'Read Me'!$B$13)*(1+'Read Me'!$B$12),-1)</f>
        <v/>
      </c>
      <c r="W1020" s="10">
        <f>V1020*N1020*O1020</f>
        <v/>
      </c>
      <c r="X1020" s="9">
        <f>IF(LEFT(I1020,2)="MV",2*N1020*IF(L1020="1/C",O1020,1),0)</f>
        <v/>
      </c>
      <c r="Y1020" s="9">
        <f>IF(OR(LEFT(K1020,4)="LVAX",LEFT(K1020,6)="MV15AX",LEFT(K1020,4)="CTAX",LEFT(K1020,2)="W|"),2*N1020*O1020,0)</f>
        <v/>
      </c>
      <c r="Z1020" s="9" t="inlineStr"/>
    </row>
    <row r="1021">
      <c r="A1021" s="9" t="inlineStr">
        <is>
          <t>B-I-0019</t>
        </is>
      </c>
      <c r="B1021" s="9" t="inlineStr">
        <is>
          <t>B</t>
        </is>
      </c>
      <c r="C1021" s="9" t="inlineStr">
        <is>
          <t>ACC</t>
        </is>
      </c>
      <c r="D1021" s="9" t="inlineStr">
        <is>
          <t>Instrumentation</t>
        </is>
      </c>
      <c r="E1021" s="9" t="inlineStr">
        <is>
          <t>R4</t>
        </is>
      </c>
      <c r="F1021" s="9" t="inlineStr">
        <is>
          <t>R4: ACC electrical (VFD) e-house (60 x 120 ft)</t>
        </is>
      </c>
      <c r="G1021" s="9" t="inlineStr">
        <is>
          <t>VAC-A/B</t>
        </is>
      </c>
      <c r="H1021" s="9" t="inlineStr">
        <is>
          <t>VAC-A/B: ACC air-removal vacuum pumps</t>
        </is>
      </c>
      <c r="I1021" s="9" t="inlineStr">
        <is>
          <t>Instrumentation</t>
        </is>
      </c>
      <c r="J1021" s="9" t="inlineStr">
        <is>
          <t>Instrumentation PLTC / TC-ER 300 V, #18 twisted shielded pairs, overall shield</t>
        </is>
      </c>
      <c r="K1021" s="9" t="inlineStr">
        <is>
          <t>PLTC|12 pr|18</t>
        </is>
      </c>
      <c r="L1021" s="9" t="inlineStr">
        <is>
          <t>12 pr</t>
        </is>
      </c>
      <c r="M1021" s="9" t="inlineStr">
        <is>
          <t>18</t>
        </is>
      </c>
      <c r="N1021" s="9" t="n">
        <v>1</v>
      </c>
      <c r="O1021" s="9" t="n">
        <v>1</v>
      </c>
      <c r="P1021" s="9" t="n"/>
      <c r="Q1021" s="9" t="n"/>
      <c r="R1021" s="9" t="n"/>
      <c r="S1021" s="9" t="inlineStr">
        <is>
          <t>Tray</t>
        </is>
      </c>
      <c r="T1021" s="10" t="n">
        <v>539</v>
      </c>
      <c r="U1021" s="10" t="n">
        <v>72</v>
      </c>
      <c r="V1021" s="10">
        <f>ROUNDUP((T1021+U1021+2*'Read Me'!$B$13)*(1+'Read Me'!$B$12),-1)</f>
        <v/>
      </c>
      <c r="W1021" s="10">
        <f>V1021*N1021*O1021</f>
        <v/>
      </c>
      <c r="X1021" s="9">
        <f>IF(LEFT(I1021,2)="MV",2*N1021*IF(L1021="1/C",O1021,1),0)</f>
        <v/>
      </c>
      <c r="Y1021" s="9">
        <f>IF(OR(LEFT(K1021,4)="LVAX",LEFT(K1021,6)="MV15AX",LEFT(K1021,4)="CTAX",LEFT(K1021,2)="W|"),2*N1021*O1021,0)</f>
        <v/>
      </c>
      <c r="Z1021" s="9" t="inlineStr"/>
    </row>
    <row r="1022">
      <c r="A1022" s="9" t="inlineStr">
        <is>
          <t>B-I-0020</t>
        </is>
      </c>
      <c r="B1022" s="9" t="inlineStr">
        <is>
          <t>B</t>
        </is>
      </c>
      <c r="C1022" s="9" t="inlineStr">
        <is>
          <t>ACC</t>
        </is>
      </c>
      <c r="D1022" s="9" t="inlineStr">
        <is>
          <t>Instrumentation</t>
        </is>
      </c>
      <c r="E1022" s="9" t="inlineStr">
        <is>
          <t>R4</t>
        </is>
      </c>
      <c r="F1022" s="9" t="inlineStr">
        <is>
          <t>R4: ACC electrical (VFD) e-house (60 x 120 ft)</t>
        </is>
      </c>
      <c r="G1022" s="9" t="inlineStr">
        <is>
          <t>VAC-A/B</t>
        </is>
      </c>
      <c r="H1022" s="9" t="inlineStr">
        <is>
          <t>VAC-A/B: ACC air-removal vacuum pumps</t>
        </is>
      </c>
      <c r="I1022" s="9" t="inlineStr">
        <is>
          <t>Instrumentation</t>
        </is>
      </c>
      <c r="J1022" s="9" t="inlineStr">
        <is>
          <t>Instrumentation PLTC / TC-ER 300 V, #18 twisted shielded pairs, overall shield</t>
        </is>
      </c>
      <c r="K1022" s="9" t="inlineStr">
        <is>
          <t>PLTC|12 pr|18</t>
        </is>
      </c>
      <c r="L1022" s="9" t="inlineStr">
        <is>
          <t>12 pr</t>
        </is>
      </c>
      <c r="M1022" s="9" t="inlineStr">
        <is>
          <t>18</t>
        </is>
      </c>
      <c r="N1022" s="9" t="n">
        <v>1</v>
      </c>
      <c r="O1022" s="9" t="n">
        <v>1</v>
      </c>
      <c r="P1022" s="9" t="n"/>
      <c r="Q1022" s="9" t="n"/>
      <c r="R1022" s="9" t="n"/>
      <c r="S1022" s="9" t="inlineStr">
        <is>
          <t>Tray</t>
        </is>
      </c>
      <c r="T1022" s="10" t="n">
        <v>539</v>
      </c>
      <c r="U1022" s="10" t="n">
        <v>72</v>
      </c>
      <c r="V1022" s="10">
        <f>ROUNDUP((T1022+U1022+2*'Read Me'!$B$13)*(1+'Read Me'!$B$12),-1)</f>
        <v/>
      </c>
      <c r="W1022" s="10">
        <f>V1022*N1022*O1022</f>
        <v/>
      </c>
      <c r="X1022" s="9">
        <f>IF(LEFT(I1022,2)="MV",2*N1022*IF(L1022="1/C",O1022,1),0)</f>
        <v/>
      </c>
      <c r="Y1022" s="9">
        <f>IF(OR(LEFT(K1022,4)="LVAX",LEFT(K1022,6)="MV15AX",LEFT(K1022,4)="CTAX",LEFT(K1022,2)="W|"),2*N1022*O1022,0)</f>
        <v/>
      </c>
      <c r="Z1022" s="9" t="inlineStr"/>
    </row>
    <row r="1023">
      <c r="A1023" s="9" t="inlineStr">
        <is>
          <t>B-I-0021</t>
        </is>
      </c>
      <c r="B1023" s="9" t="inlineStr">
        <is>
          <t>B</t>
        </is>
      </c>
      <c r="C1023" s="9" t="inlineStr">
        <is>
          <t>ACC</t>
        </is>
      </c>
      <c r="D1023" s="9" t="inlineStr">
        <is>
          <t>Instrumentation</t>
        </is>
      </c>
      <c r="E1023" s="9" t="inlineStr">
        <is>
          <t>R4</t>
        </is>
      </c>
      <c r="F1023" s="9" t="inlineStr">
        <is>
          <t>R4: ACC electrical (VFD) e-house (60 x 120 ft)</t>
        </is>
      </c>
      <c r="G1023" s="9" t="inlineStr">
        <is>
          <t>VAC-A/B</t>
        </is>
      </c>
      <c r="H1023" s="9" t="inlineStr">
        <is>
          <t>VAC-A/B: ACC air-removal vacuum pumps</t>
        </is>
      </c>
      <c r="I1023" s="9" t="inlineStr">
        <is>
          <t>Instrumentation</t>
        </is>
      </c>
      <c r="J1023" s="9" t="inlineStr">
        <is>
          <t>Instrumentation PLTC / TC-ER 300 V, #18 twisted shielded pairs, overall shield</t>
        </is>
      </c>
      <c r="K1023" s="9" t="inlineStr">
        <is>
          <t>PLTC|12 pr|18</t>
        </is>
      </c>
      <c r="L1023" s="9" t="inlineStr">
        <is>
          <t>12 pr</t>
        </is>
      </c>
      <c r="M1023" s="9" t="inlineStr">
        <is>
          <t>18</t>
        </is>
      </c>
      <c r="N1023" s="9" t="n">
        <v>1</v>
      </c>
      <c r="O1023" s="9" t="n">
        <v>1</v>
      </c>
      <c r="P1023" s="9" t="n"/>
      <c r="Q1023" s="9" t="n"/>
      <c r="R1023" s="9" t="n"/>
      <c r="S1023" s="9" t="inlineStr">
        <is>
          <t>Tray</t>
        </is>
      </c>
      <c r="T1023" s="10" t="n">
        <v>539</v>
      </c>
      <c r="U1023" s="10" t="n">
        <v>72</v>
      </c>
      <c r="V1023" s="10">
        <f>ROUNDUP((T1023+U1023+2*'Read Me'!$B$13)*(1+'Read Me'!$B$12),-1)</f>
        <v/>
      </c>
      <c r="W1023" s="10">
        <f>V1023*N1023*O1023</f>
        <v/>
      </c>
      <c r="X1023" s="9">
        <f>IF(LEFT(I1023,2)="MV",2*N1023*IF(L1023="1/C",O1023,1),0)</f>
        <v/>
      </c>
      <c r="Y1023" s="9">
        <f>IF(OR(LEFT(K1023,4)="LVAX",LEFT(K1023,6)="MV15AX",LEFT(K1023,4)="CTAX",LEFT(K1023,2)="W|"),2*N1023*O1023,0)</f>
        <v/>
      </c>
      <c r="Z1023" s="9" t="inlineStr"/>
    </row>
    <row r="1024">
      <c r="A1024" s="9" t="inlineStr">
        <is>
          <t>B-I-0022</t>
        </is>
      </c>
      <c r="B1024" s="9" t="inlineStr">
        <is>
          <t>B</t>
        </is>
      </c>
      <c r="C1024" s="9" t="inlineStr">
        <is>
          <t>ACC</t>
        </is>
      </c>
      <c r="D1024" s="9" t="inlineStr">
        <is>
          <t>Instrumentation</t>
        </is>
      </c>
      <c r="E1024" s="9" t="inlineStr">
        <is>
          <t>R4</t>
        </is>
      </c>
      <c r="F1024" s="9" t="inlineStr">
        <is>
          <t>R4: ACC electrical (VFD) e-house (60 x 120 ft)</t>
        </is>
      </c>
      <c r="G1024" s="9" t="inlineStr">
        <is>
          <t>VAC-A/B</t>
        </is>
      </c>
      <c r="H1024" s="9" t="inlineStr">
        <is>
          <t>VAC-A/B: ACC air-removal vacuum pumps</t>
        </is>
      </c>
      <c r="I1024" s="9" t="inlineStr">
        <is>
          <t>Instrumentation</t>
        </is>
      </c>
      <c r="J1024" s="9" t="inlineStr">
        <is>
          <t>Instrumentation PLTC / TC-ER 300 V, #18 twisted shielded pairs, overall shield</t>
        </is>
      </c>
      <c r="K1024" s="9" t="inlineStr">
        <is>
          <t>PLTC|12 pr|18</t>
        </is>
      </c>
      <c r="L1024" s="9" t="inlineStr">
        <is>
          <t>12 pr</t>
        </is>
      </c>
      <c r="M1024" s="9" t="inlineStr">
        <is>
          <t>18</t>
        </is>
      </c>
      <c r="N1024" s="9" t="n">
        <v>1</v>
      </c>
      <c r="O1024" s="9" t="n">
        <v>1</v>
      </c>
      <c r="P1024" s="9" t="n"/>
      <c r="Q1024" s="9" t="n"/>
      <c r="R1024" s="9" t="n"/>
      <c r="S1024" s="9" t="inlineStr">
        <is>
          <t>Tray</t>
        </is>
      </c>
      <c r="T1024" s="10" t="n">
        <v>539</v>
      </c>
      <c r="U1024" s="10" t="n">
        <v>72</v>
      </c>
      <c r="V1024" s="10">
        <f>ROUNDUP((T1024+U1024+2*'Read Me'!$B$13)*(1+'Read Me'!$B$12),-1)</f>
        <v/>
      </c>
      <c r="W1024" s="10">
        <f>V1024*N1024*O1024</f>
        <v/>
      </c>
      <c r="X1024" s="9">
        <f>IF(LEFT(I1024,2)="MV",2*N1024*IF(L1024="1/C",O1024,1),0)</f>
        <v/>
      </c>
      <c r="Y1024" s="9">
        <f>IF(OR(LEFT(K1024,4)="LVAX",LEFT(K1024,6)="MV15AX",LEFT(K1024,4)="CTAX",LEFT(K1024,2)="W|"),2*N1024*O1024,0)</f>
        <v/>
      </c>
      <c r="Z1024" s="9" t="inlineStr"/>
    </row>
    <row r="1025">
      <c r="A1025" s="9" t="inlineStr">
        <is>
          <t>B-I-0023</t>
        </is>
      </c>
      <c r="B1025" s="9" t="inlineStr">
        <is>
          <t>B</t>
        </is>
      </c>
      <c r="C1025" s="9" t="inlineStr">
        <is>
          <t>ACC</t>
        </is>
      </c>
      <c r="D1025" s="9" t="inlineStr">
        <is>
          <t>Instrumentation</t>
        </is>
      </c>
      <c r="E1025" s="9" t="inlineStr">
        <is>
          <t>R4</t>
        </is>
      </c>
      <c r="F1025" s="9" t="inlineStr">
        <is>
          <t>R4: ACC electrical (VFD) e-house (60 x 120 ft)</t>
        </is>
      </c>
      <c r="G1025" s="9" t="inlineStr">
        <is>
          <t>VAC-A/B</t>
        </is>
      </c>
      <c r="H1025" s="9" t="inlineStr">
        <is>
          <t>VAC-A/B: ACC air-removal vacuum pumps</t>
        </is>
      </c>
      <c r="I1025" s="9" t="inlineStr">
        <is>
          <t>Instrumentation</t>
        </is>
      </c>
      <c r="J1025" s="9" t="inlineStr">
        <is>
          <t>Instrumentation PLTC / TC-ER 300 V, #18 twisted shielded pairs, overall shield</t>
        </is>
      </c>
      <c r="K1025" s="9" t="inlineStr">
        <is>
          <t>PLTC|12 pr|18</t>
        </is>
      </c>
      <c r="L1025" s="9" t="inlineStr">
        <is>
          <t>12 pr</t>
        </is>
      </c>
      <c r="M1025" s="9" t="inlineStr">
        <is>
          <t>18</t>
        </is>
      </c>
      <c r="N1025" s="9" t="n">
        <v>1</v>
      </c>
      <c r="O1025" s="9" t="n">
        <v>1</v>
      </c>
      <c r="P1025" s="9" t="n"/>
      <c r="Q1025" s="9" t="n"/>
      <c r="R1025" s="9" t="n"/>
      <c r="S1025" s="9" t="inlineStr">
        <is>
          <t>Tray</t>
        </is>
      </c>
      <c r="T1025" s="10" t="n">
        <v>539</v>
      </c>
      <c r="U1025" s="10" t="n">
        <v>72</v>
      </c>
      <c r="V1025" s="10">
        <f>ROUNDUP((T1025+U1025+2*'Read Me'!$B$13)*(1+'Read Me'!$B$12),-1)</f>
        <v/>
      </c>
      <c r="W1025" s="10">
        <f>V1025*N1025*O1025</f>
        <v/>
      </c>
      <c r="X1025" s="9">
        <f>IF(LEFT(I1025,2)="MV",2*N1025*IF(L1025="1/C",O1025,1),0)</f>
        <v/>
      </c>
      <c r="Y1025" s="9">
        <f>IF(OR(LEFT(K1025,4)="LVAX",LEFT(K1025,6)="MV15AX",LEFT(K1025,4)="CTAX",LEFT(K1025,2)="W|"),2*N1025*O1025,0)</f>
        <v/>
      </c>
      <c r="Z1025" s="9" t="inlineStr"/>
    </row>
    <row r="1026">
      <c r="A1026" s="9" t="inlineStr">
        <is>
          <t>B-I-0024</t>
        </is>
      </c>
      <c r="B1026" s="9" t="inlineStr">
        <is>
          <t>B</t>
        </is>
      </c>
      <c r="C1026" s="9" t="inlineStr">
        <is>
          <t>ACC</t>
        </is>
      </c>
      <c r="D1026" s="9" t="inlineStr">
        <is>
          <t>Instrumentation</t>
        </is>
      </c>
      <c r="E1026" s="9" t="inlineStr">
        <is>
          <t>R4</t>
        </is>
      </c>
      <c r="F1026" s="9" t="inlineStr">
        <is>
          <t>R4: ACC electrical (VFD) e-house (60 x 120 ft)</t>
        </is>
      </c>
      <c r="G1026" s="9" t="inlineStr">
        <is>
          <t>VAC-A/B</t>
        </is>
      </c>
      <c r="H1026" s="9" t="inlineStr">
        <is>
          <t>VAC-A/B: ACC air-removal vacuum pumps</t>
        </is>
      </c>
      <c r="I1026" s="9" t="inlineStr">
        <is>
          <t>Instrumentation</t>
        </is>
      </c>
      <c r="J1026" s="9" t="inlineStr">
        <is>
          <t>Instrumentation PLTC / TC-ER 300 V, #18 twisted shielded pairs, overall shield</t>
        </is>
      </c>
      <c r="K1026" s="9" t="inlineStr">
        <is>
          <t>PLTC|12 pr|18</t>
        </is>
      </c>
      <c r="L1026" s="9" t="inlineStr">
        <is>
          <t>12 pr</t>
        </is>
      </c>
      <c r="M1026" s="9" t="inlineStr">
        <is>
          <t>18</t>
        </is>
      </c>
      <c r="N1026" s="9" t="n">
        <v>1</v>
      </c>
      <c r="O1026" s="9" t="n">
        <v>1</v>
      </c>
      <c r="P1026" s="9" t="n"/>
      <c r="Q1026" s="9" t="n"/>
      <c r="R1026" s="9" t="n"/>
      <c r="S1026" s="9" t="inlineStr">
        <is>
          <t>Tray</t>
        </is>
      </c>
      <c r="T1026" s="10" t="n">
        <v>539</v>
      </c>
      <c r="U1026" s="10" t="n">
        <v>72</v>
      </c>
      <c r="V1026" s="10">
        <f>ROUNDUP((T1026+U1026+2*'Read Me'!$B$13)*(1+'Read Me'!$B$12),-1)</f>
        <v/>
      </c>
      <c r="W1026" s="10">
        <f>V1026*N1026*O1026</f>
        <v/>
      </c>
      <c r="X1026" s="9">
        <f>IF(LEFT(I1026,2)="MV",2*N1026*IF(L1026="1/C",O1026,1),0)</f>
        <v/>
      </c>
      <c r="Y1026" s="9">
        <f>IF(OR(LEFT(K1026,4)="LVAX",LEFT(K1026,6)="MV15AX",LEFT(K1026,4)="CTAX",LEFT(K1026,2)="W|"),2*N1026*O1026,0)</f>
        <v/>
      </c>
      <c r="Z1026" s="9" t="inlineStr"/>
    </row>
    <row r="1027">
      <c r="A1027" s="9" t="inlineStr">
        <is>
          <t>B-I-0025</t>
        </is>
      </c>
      <c r="B1027" s="9" t="inlineStr">
        <is>
          <t>B</t>
        </is>
      </c>
      <c r="C1027" s="9" t="inlineStr">
        <is>
          <t>ACC</t>
        </is>
      </c>
      <c r="D1027" s="9" t="inlineStr">
        <is>
          <t>Instrumentation</t>
        </is>
      </c>
      <c r="E1027" s="9" t="inlineStr">
        <is>
          <t>R4</t>
        </is>
      </c>
      <c r="F1027" s="9" t="inlineStr">
        <is>
          <t>R4: ACC electrical (VFD) e-house (60 x 120 ft)</t>
        </is>
      </c>
      <c r="G1027" s="9" t="inlineStr">
        <is>
          <t>VAC-A/B</t>
        </is>
      </c>
      <c r="H1027" s="9" t="inlineStr">
        <is>
          <t>VAC-A/B: ACC air-removal vacuum pumps</t>
        </is>
      </c>
      <c r="I1027" s="9" t="inlineStr">
        <is>
          <t>Instrumentation</t>
        </is>
      </c>
      <c r="J1027" s="9" t="inlineStr">
        <is>
          <t>Instrumentation PLTC / TC-ER 300 V, #18 twisted shielded pairs, overall shield</t>
        </is>
      </c>
      <c r="K1027" s="9" t="inlineStr">
        <is>
          <t>PLTC|12 pr|18</t>
        </is>
      </c>
      <c r="L1027" s="9" t="inlineStr">
        <is>
          <t>12 pr</t>
        </is>
      </c>
      <c r="M1027" s="9" t="inlineStr">
        <is>
          <t>18</t>
        </is>
      </c>
      <c r="N1027" s="9" t="n">
        <v>1</v>
      </c>
      <c r="O1027" s="9" t="n">
        <v>1</v>
      </c>
      <c r="P1027" s="9" t="n"/>
      <c r="Q1027" s="9" t="n"/>
      <c r="R1027" s="9" t="n"/>
      <c r="S1027" s="9" t="inlineStr">
        <is>
          <t>Tray</t>
        </is>
      </c>
      <c r="T1027" s="10" t="n">
        <v>539</v>
      </c>
      <c r="U1027" s="10" t="n">
        <v>72</v>
      </c>
      <c r="V1027" s="10">
        <f>ROUNDUP((T1027+U1027+2*'Read Me'!$B$13)*(1+'Read Me'!$B$12),-1)</f>
        <v/>
      </c>
      <c r="W1027" s="10">
        <f>V1027*N1027*O1027</f>
        <v/>
      </c>
      <c r="X1027" s="9">
        <f>IF(LEFT(I1027,2)="MV",2*N1027*IF(L1027="1/C",O1027,1),0)</f>
        <v/>
      </c>
      <c r="Y1027" s="9">
        <f>IF(OR(LEFT(K1027,4)="LVAX",LEFT(K1027,6)="MV15AX",LEFT(K1027,4)="CTAX",LEFT(K1027,2)="W|"),2*N1027*O1027,0)</f>
        <v/>
      </c>
      <c r="Z1027" s="9" t="inlineStr"/>
    </row>
    <row r="1028">
      <c r="A1028" s="9" t="inlineStr">
        <is>
          <t>B-I-0026</t>
        </is>
      </c>
      <c r="B1028" s="9" t="inlineStr">
        <is>
          <t>B</t>
        </is>
      </c>
      <c r="C1028" s="9" t="inlineStr">
        <is>
          <t>ACC</t>
        </is>
      </c>
      <c r="D1028" s="9" t="inlineStr">
        <is>
          <t>Instrumentation</t>
        </is>
      </c>
      <c r="E1028" s="9" t="inlineStr">
        <is>
          <t>R4</t>
        </is>
      </c>
      <c r="F1028" s="9" t="inlineStr">
        <is>
          <t>R4: ACC electrical (VFD) e-house (60 x 120 ft)</t>
        </is>
      </c>
      <c r="G1028" s="9" t="inlineStr">
        <is>
          <t>VAC-A/B</t>
        </is>
      </c>
      <c r="H1028" s="9" t="inlineStr">
        <is>
          <t>VAC-A/B: ACC air-removal vacuum pumps</t>
        </is>
      </c>
      <c r="I1028" s="9" t="inlineStr">
        <is>
          <t>Instrumentation</t>
        </is>
      </c>
      <c r="J1028" s="9" t="inlineStr">
        <is>
          <t>Instrumentation PLTC / TC-ER 300 V, #18 twisted shielded pairs, overall shield</t>
        </is>
      </c>
      <c r="K1028" s="9" t="inlineStr">
        <is>
          <t>PLTC|12 pr|18</t>
        </is>
      </c>
      <c r="L1028" s="9" t="inlineStr">
        <is>
          <t>12 pr</t>
        </is>
      </c>
      <c r="M1028" s="9" t="inlineStr">
        <is>
          <t>18</t>
        </is>
      </c>
      <c r="N1028" s="9" t="n">
        <v>1</v>
      </c>
      <c r="O1028" s="9" t="n">
        <v>1</v>
      </c>
      <c r="P1028" s="9" t="n"/>
      <c r="Q1028" s="9" t="n"/>
      <c r="R1028" s="9" t="n"/>
      <c r="S1028" s="9" t="inlineStr">
        <is>
          <t>Tray</t>
        </is>
      </c>
      <c r="T1028" s="10" t="n">
        <v>539</v>
      </c>
      <c r="U1028" s="10" t="n">
        <v>72</v>
      </c>
      <c r="V1028" s="10">
        <f>ROUNDUP((T1028+U1028+2*'Read Me'!$B$13)*(1+'Read Me'!$B$12),-1)</f>
        <v/>
      </c>
      <c r="W1028" s="10">
        <f>V1028*N1028*O1028</f>
        <v/>
      </c>
      <c r="X1028" s="9">
        <f>IF(LEFT(I1028,2)="MV",2*N1028*IF(L1028="1/C",O1028,1),0)</f>
        <v/>
      </c>
      <c r="Y1028" s="9">
        <f>IF(OR(LEFT(K1028,4)="LVAX",LEFT(K1028,6)="MV15AX",LEFT(K1028,4)="CTAX",LEFT(K1028,2)="W|"),2*N1028*O1028,0)</f>
        <v/>
      </c>
      <c r="Z1028" s="9" t="inlineStr"/>
    </row>
    <row r="1029">
      <c r="A1029" s="9" t="inlineStr">
        <is>
          <t>B-P-0001</t>
        </is>
      </c>
      <c r="B1029" s="9" t="inlineStr">
        <is>
          <t>B</t>
        </is>
      </c>
      <c r="C1029" s="9" t="inlineStr">
        <is>
          <t>ACC</t>
        </is>
      </c>
      <c r="D1029" s="9" t="inlineStr">
        <is>
          <t>ACC fan F01 motor (VFD output)</t>
        </is>
      </c>
      <c r="E1029" s="9" t="inlineStr">
        <is>
          <t>R4</t>
        </is>
      </c>
      <c r="F1029" s="9" t="inlineStr">
        <is>
          <t>R4: ACC electrical (VFD) e-house (60 x 120 ft)</t>
        </is>
      </c>
      <c r="G1029" s="9" t="inlineStr">
        <is>
          <t>ACC-F01</t>
        </is>
      </c>
      <c r="H1029" s="9" t="inlineStr">
        <is>
          <t>ACC fan motor F01</t>
        </is>
      </c>
      <c r="I1029" s="9" t="inlineStr">
        <is>
          <t>LV 600 V</t>
        </is>
      </c>
      <c r="J1029" s="9" t="inlineStr">
        <is>
          <t>VFD cable 600 V 3/C Cu XHHW-2, 3 symmetrical grounds, overall Cu tape shield, TC-ER</t>
        </is>
      </c>
      <c r="K1029" s="9" t="inlineStr">
        <is>
          <t>VFD|3/C+3G|350</t>
        </is>
      </c>
      <c r="L1029" s="9" t="inlineStr">
        <is>
          <t>3/C+3G</t>
        </is>
      </c>
      <c r="M1029" s="9" t="inlineStr">
        <is>
          <t>350 kcmil</t>
        </is>
      </c>
      <c r="N1029" s="9" t="n">
        <v>1</v>
      </c>
      <c r="O1029" s="9" t="n">
        <v>1</v>
      </c>
      <c r="P1029" s="9" t="n">
        <v>480</v>
      </c>
      <c r="Q1029" s="9" t="n">
        <v>150</v>
      </c>
      <c r="R1029" s="9" t="n">
        <v>212</v>
      </c>
      <c r="S1029" s="9" t="inlineStr">
        <is>
          <t>Tray</t>
        </is>
      </c>
      <c r="T1029" s="10" t="n">
        <v>623</v>
      </c>
      <c r="U1029" s="10" t="n">
        <v>72</v>
      </c>
      <c r="V1029" s="10">
        <f>ROUNDUP((T1029+U1029+2*'Read Me'!$B$13)*(1+'Read Me'!$B$12),-1)</f>
        <v/>
      </c>
      <c r="W1029" s="10">
        <f>V1029*N1029*O1029</f>
        <v/>
      </c>
      <c r="X1029" s="9">
        <f>IF(LEFT(I1029,2)="MV",2*N1029*IF(L1029="1/C",O1029,1),0)</f>
        <v/>
      </c>
      <c r="Y1029" s="9">
        <f>IF(OR(LEFT(K1029,4)="LVAX",LEFT(K1029,6)="MV15AX",LEFT(K1029,4)="CTAX",LEFT(K1029,2)="W|"),2*N1029*O1029,0)</f>
        <v/>
      </c>
      <c r="Z1029" s="9" t="inlineStr">
        <is>
          <t>VD 2.1 %</t>
        </is>
      </c>
    </row>
    <row r="1030">
      <c r="A1030" s="9" t="inlineStr">
        <is>
          <t>B-P-0002</t>
        </is>
      </c>
      <c r="B1030" s="9" t="inlineStr">
        <is>
          <t>B</t>
        </is>
      </c>
      <c r="C1030" s="9" t="inlineStr">
        <is>
          <t>ACC</t>
        </is>
      </c>
      <c r="D1030" s="9" t="inlineStr">
        <is>
          <t>ACC fan F02 motor (VFD output)</t>
        </is>
      </c>
      <c r="E1030" s="9" t="inlineStr">
        <is>
          <t>R4</t>
        </is>
      </c>
      <c r="F1030" s="9" t="inlineStr">
        <is>
          <t>R4: ACC electrical (VFD) e-house (60 x 120 ft)</t>
        </is>
      </c>
      <c r="G1030" s="9" t="inlineStr">
        <is>
          <t>ACC-F02</t>
        </is>
      </c>
      <c r="H1030" s="9" t="inlineStr">
        <is>
          <t>ACC fan motor F02</t>
        </is>
      </c>
      <c r="I1030" s="9" t="inlineStr">
        <is>
          <t>LV 600 V</t>
        </is>
      </c>
      <c r="J1030" s="9" t="inlineStr">
        <is>
          <t>VFD cable 600 V 3/C Cu XHHW-2, 3 symmetrical grounds, overall Cu tape shield, TC-ER</t>
        </is>
      </c>
      <c r="K1030" s="9" t="inlineStr">
        <is>
          <t>VFD|3/C+3G|350</t>
        </is>
      </c>
      <c r="L1030" s="9" t="inlineStr">
        <is>
          <t>3/C+3G</t>
        </is>
      </c>
      <c r="M1030" s="9" t="inlineStr">
        <is>
          <t>350 kcmil</t>
        </is>
      </c>
      <c r="N1030" s="9" t="n">
        <v>1</v>
      </c>
      <c r="O1030" s="9" t="n">
        <v>1</v>
      </c>
      <c r="P1030" s="9" t="n">
        <v>480</v>
      </c>
      <c r="Q1030" s="9" t="n">
        <v>150</v>
      </c>
      <c r="R1030" s="9" t="n">
        <v>212</v>
      </c>
      <c r="S1030" s="9" t="inlineStr">
        <is>
          <t>Tray</t>
        </is>
      </c>
      <c r="T1030" s="10" t="n">
        <v>591</v>
      </c>
      <c r="U1030" s="10" t="n">
        <v>72</v>
      </c>
      <c r="V1030" s="10">
        <f>ROUNDUP((T1030+U1030+2*'Read Me'!$B$13)*(1+'Read Me'!$B$12),-1)</f>
        <v/>
      </c>
      <c r="W1030" s="10">
        <f>V1030*N1030*O1030</f>
        <v/>
      </c>
      <c r="X1030" s="9">
        <f>IF(LEFT(I1030,2)="MV",2*N1030*IF(L1030="1/C",O1030,1),0)</f>
        <v/>
      </c>
      <c r="Y1030" s="9">
        <f>IF(OR(LEFT(K1030,4)="LVAX",LEFT(K1030,6)="MV15AX",LEFT(K1030,4)="CTAX",LEFT(K1030,2)="W|"),2*N1030*O1030,0)</f>
        <v/>
      </c>
      <c r="Z1030" s="9" t="inlineStr">
        <is>
          <t>VD 2.1 %</t>
        </is>
      </c>
    </row>
    <row r="1031">
      <c r="A1031" s="9" t="inlineStr">
        <is>
          <t>B-P-0003</t>
        </is>
      </c>
      <c r="B1031" s="9" t="inlineStr">
        <is>
          <t>B</t>
        </is>
      </c>
      <c r="C1031" s="9" t="inlineStr">
        <is>
          <t>ACC</t>
        </is>
      </c>
      <c r="D1031" s="9" t="inlineStr">
        <is>
          <t>ACC fan F03 motor (VFD output)</t>
        </is>
      </c>
      <c r="E1031" s="9" t="inlineStr">
        <is>
          <t>R4</t>
        </is>
      </c>
      <c r="F1031" s="9" t="inlineStr">
        <is>
          <t>R4: ACC electrical (VFD) e-house (60 x 120 ft)</t>
        </is>
      </c>
      <c r="G1031" s="9" t="inlineStr">
        <is>
          <t>ACC-F03</t>
        </is>
      </c>
      <c r="H1031" s="9" t="inlineStr">
        <is>
          <t>ACC fan motor F03</t>
        </is>
      </c>
      <c r="I1031" s="9" t="inlineStr">
        <is>
          <t>LV 600 V</t>
        </is>
      </c>
      <c r="J1031" s="9" t="inlineStr">
        <is>
          <t>VFD cable 600 V 3/C Cu XHHW-2, 3 symmetrical grounds, overall Cu tape shield, TC-ER</t>
        </is>
      </c>
      <c r="K1031" s="9" t="inlineStr">
        <is>
          <t>VFD|3/C+3G|350</t>
        </is>
      </c>
      <c r="L1031" s="9" t="inlineStr">
        <is>
          <t>3/C+3G</t>
        </is>
      </c>
      <c r="M1031" s="9" t="inlineStr">
        <is>
          <t>350 kcmil</t>
        </is>
      </c>
      <c r="N1031" s="9" t="n">
        <v>1</v>
      </c>
      <c r="O1031" s="9" t="n">
        <v>1</v>
      </c>
      <c r="P1031" s="9" t="n">
        <v>480</v>
      </c>
      <c r="Q1031" s="9" t="n">
        <v>150</v>
      </c>
      <c r="R1031" s="9" t="n">
        <v>212</v>
      </c>
      <c r="S1031" s="9" t="inlineStr">
        <is>
          <t>Tray</t>
        </is>
      </c>
      <c r="T1031" s="10" t="n">
        <v>559</v>
      </c>
      <c r="U1031" s="10" t="n">
        <v>72</v>
      </c>
      <c r="V1031" s="10">
        <f>ROUNDUP((T1031+U1031+2*'Read Me'!$B$13)*(1+'Read Me'!$B$12),-1)</f>
        <v/>
      </c>
      <c r="W1031" s="10">
        <f>V1031*N1031*O1031</f>
        <v/>
      </c>
      <c r="X1031" s="9">
        <f>IF(LEFT(I1031,2)="MV",2*N1031*IF(L1031="1/C",O1031,1),0)</f>
        <v/>
      </c>
      <c r="Y1031" s="9">
        <f>IF(OR(LEFT(K1031,4)="LVAX",LEFT(K1031,6)="MV15AX",LEFT(K1031,4)="CTAX",LEFT(K1031,2)="W|"),2*N1031*O1031,0)</f>
        <v/>
      </c>
      <c r="Z1031" s="9" t="inlineStr">
        <is>
          <t>VD 2.0 %</t>
        </is>
      </c>
    </row>
    <row r="1032">
      <c r="A1032" s="9" t="inlineStr">
        <is>
          <t>B-P-0004</t>
        </is>
      </c>
      <c r="B1032" s="9" t="inlineStr">
        <is>
          <t>B</t>
        </is>
      </c>
      <c r="C1032" s="9" t="inlineStr">
        <is>
          <t>ACC</t>
        </is>
      </c>
      <c r="D1032" s="9" t="inlineStr">
        <is>
          <t>ACC fan F04 motor (VFD output)</t>
        </is>
      </c>
      <c r="E1032" s="9" t="inlineStr">
        <is>
          <t>R4</t>
        </is>
      </c>
      <c r="F1032" s="9" t="inlineStr">
        <is>
          <t>R4: ACC electrical (VFD) e-house (60 x 120 ft)</t>
        </is>
      </c>
      <c r="G1032" s="9" t="inlineStr">
        <is>
          <t>ACC-F04</t>
        </is>
      </c>
      <c r="H1032" s="9" t="inlineStr">
        <is>
          <t>ACC fan motor F04</t>
        </is>
      </c>
      <c r="I1032" s="9" t="inlineStr">
        <is>
          <t>LV 600 V</t>
        </is>
      </c>
      <c r="J1032" s="9" t="inlineStr">
        <is>
          <t>VFD cable 600 V 3/C Cu XHHW-2, 3 symmetrical grounds, overall Cu tape shield, TC-ER</t>
        </is>
      </c>
      <c r="K1032" s="9" t="inlineStr">
        <is>
          <t>VFD|3/C+3G|350</t>
        </is>
      </c>
      <c r="L1032" s="9" t="inlineStr">
        <is>
          <t>3/C+3G</t>
        </is>
      </c>
      <c r="M1032" s="9" t="inlineStr">
        <is>
          <t>350 kcmil</t>
        </is>
      </c>
      <c r="N1032" s="9" t="n">
        <v>1</v>
      </c>
      <c r="O1032" s="9" t="n">
        <v>1</v>
      </c>
      <c r="P1032" s="9" t="n">
        <v>480</v>
      </c>
      <c r="Q1032" s="9" t="n">
        <v>150</v>
      </c>
      <c r="R1032" s="9" t="n">
        <v>212</v>
      </c>
      <c r="S1032" s="9" t="inlineStr">
        <is>
          <t>Tray</t>
        </is>
      </c>
      <c r="T1032" s="10" t="n">
        <v>527</v>
      </c>
      <c r="U1032" s="10" t="n">
        <v>72</v>
      </c>
      <c r="V1032" s="10">
        <f>ROUNDUP((T1032+U1032+2*'Read Me'!$B$13)*(1+'Read Me'!$B$12),-1)</f>
        <v/>
      </c>
      <c r="W1032" s="10">
        <f>V1032*N1032*O1032</f>
        <v/>
      </c>
      <c r="X1032" s="9">
        <f>IF(LEFT(I1032,2)="MV",2*N1032*IF(L1032="1/C",O1032,1),0)</f>
        <v/>
      </c>
      <c r="Y1032" s="9">
        <f>IF(OR(LEFT(K1032,4)="LVAX",LEFT(K1032,6)="MV15AX",LEFT(K1032,4)="CTAX",LEFT(K1032,2)="W|"),2*N1032*O1032,0)</f>
        <v/>
      </c>
      <c r="Z1032" s="9" t="inlineStr">
        <is>
          <t>VD 1.9 %</t>
        </is>
      </c>
    </row>
    <row r="1033">
      <c r="A1033" s="9" t="inlineStr">
        <is>
          <t>B-P-0005</t>
        </is>
      </c>
      <c r="B1033" s="9" t="inlineStr">
        <is>
          <t>B</t>
        </is>
      </c>
      <c r="C1033" s="9" t="inlineStr">
        <is>
          <t>ACC</t>
        </is>
      </c>
      <c r="D1033" s="9" t="inlineStr">
        <is>
          <t>ACC fan F05 motor (VFD output)</t>
        </is>
      </c>
      <c r="E1033" s="9" t="inlineStr">
        <is>
          <t>R4</t>
        </is>
      </c>
      <c r="F1033" s="9" t="inlineStr">
        <is>
          <t>R4: ACC electrical (VFD) e-house (60 x 120 ft)</t>
        </is>
      </c>
      <c r="G1033" s="9" t="inlineStr">
        <is>
          <t>ACC-F05</t>
        </is>
      </c>
      <c r="H1033" s="9" t="inlineStr">
        <is>
          <t>ACC fan motor F05</t>
        </is>
      </c>
      <c r="I1033" s="9" t="inlineStr">
        <is>
          <t>LV 600 V</t>
        </is>
      </c>
      <c r="J1033" s="9" t="inlineStr">
        <is>
          <t>VFD cable 600 V 3/C Cu XHHW-2, 3 symmetrical grounds, overall Cu tape shield, TC-ER</t>
        </is>
      </c>
      <c r="K1033" s="9" t="inlineStr">
        <is>
          <t>VFD|3/C+3G|350</t>
        </is>
      </c>
      <c r="L1033" s="9" t="inlineStr">
        <is>
          <t>3/C+3G</t>
        </is>
      </c>
      <c r="M1033" s="9" t="inlineStr">
        <is>
          <t>350 kcmil</t>
        </is>
      </c>
      <c r="N1033" s="9" t="n">
        <v>1</v>
      </c>
      <c r="O1033" s="9" t="n">
        <v>1</v>
      </c>
      <c r="P1033" s="9" t="n">
        <v>480</v>
      </c>
      <c r="Q1033" s="9" t="n">
        <v>150</v>
      </c>
      <c r="R1033" s="9" t="n">
        <v>212</v>
      </c>
      <c r="S1033" s="9" t="inlineStr">
        <is>
          <t>Tray</t>
        </is>
      </c>
      <c r="T1033" s="10" t="n">
        <v>495</v>
      </c>
      <c r="U1033" s="10" t="n">
        <v>72</v>
      </c>
      <c r="V1033" s="10">
        <f>ROUNDUP((T1033+U1033+2*'Read Me'!$B$13)*(1+'Read Me'!$B$12),-1)</f>
        <v/>
      </c>
      <c r="W1033" s="10">
        <f>V1033*N1033*O1033</f>
        <v/>
      </c>
      <c r="X1033" s="9">
        <f>IF(LEFT(I1033,2)="MV",2*N1033*IF(L1033="1/C",O1033,1),0)</f>
        <v/>
      </c>
      <c r="Y1033" s="9">
        <f>IF(OR(LEFT(K1033,4)="LVAX",LEFT(K1033,6)="MV15AX",LEFT(K1033,4)="CTAX",LEFT(K1033,2)="W|"),2*N1033*O1033,0)</f>
        <v/>
      </c>
      <c r="Z1033" s="9" t="inlineStr">
        <is>
          <t>VD 1.8 %</t>
        </is>
      </c>
    </row>
    <row r="1034">
      <c r="A1034" s="9" t="inlineStr">
        <is>
          <t>B-P-0006</t>
        </is>
      </c>
      <c r="B1034" s="9" t="inlineStr">
        <is>
          <t>B</t>
        </is>
      </c>
      <c r="C1034" s="9" t="inlineStr">
        <is>
          <t>ACC</t>
        </is>
      </c>
      <c r="D1034" s="9" t="inlineStr">
        <is>
          <t>ACC fan F06 motor (VFD output)</t>
        </is>
      </c>
      <c r="E1034" s="9" t="inlineStr">
        <is>
          <t>R4</t>
        </is>
      </c>
      <c r="F1034" s="9" t="inlineStr">
        <is>
          <t>R4: ACC electrical (VFD) e-house (60 x 120 ft)</t>
        </is>
      </c>
      <c r="G1034" s="9" t="inlineStr">
        <is>
          <t>ACC-F06</t>
        </is>
      </c>
      <c r="H1034" s="9" t="inlineStr">
        <is>
          <t>ACC fan motor F06</t>
        </is>
      </c>
      <c r="I1034" s="9" t="inlineStr">
        <is>
          <t>LV 600 V</t>
        </is>
      </c>
      <c r="J1034" s="9" t="inlineStr">
        <is>
          <t>VFD cable 600 V 3/C Cu XHHW-2, 3 symmetrical grounds, overall Cu tape shield, TC-ER</t>
        </is>
      </c>
      <c r="K1034" s="9" t="inlineStr">
        <is>
          <t>VFD|3/C+3G|350</t>
        </is>
      </c>
      <c r="L1034" s="9" t="inlineStr">
        <is>
          <t>3/C+3G</t>
        </is>
      </c>
      <c r="M1034" s="9" t="inlineStr">
        <is>
          <t>350 kcmil</t>
        </is>
      </c>
      <c r="N1034" s="9" t="n">
        <v>1</v>
      </c>
      <c r="O1034" s="9" t="n">
        <v>1</v>
      </c>
      <c r="P1034" s="9" t="n">
        <v>480</v>
      </c>
      <c r="Q1034" s="9" t="n">
        <v>150</v>
      </c>
      <c r="R1034" s="9" t="n">
        <v>212</v>
      </c>
      <c r="S1034" s="9" t="inlineStr">
        <is>
          <t>Tray</t>
        </is>
      </c>
      <c r="T1034" s="10" t="n">
        <v>495</v>
      </c>
      <c r="U1034" s="10" t="n">
        <v>72</v>
      </c>
      <c r="V1034" s="10">
        <f>ROUNDUP((T1034+U1034+2*'Read Me'!$B$13)*(1+'Read Me'!$B$12),-1)</f>
        <v/>
      </c>
      <c r="W1034" s="10">
        <f>V1034*N1034*O1034</f>
        <v/>
      </c>
      <c r="X1034" s="9">
        <f>IF(LEFT(I1034,2)="MV",2*N1034*IF(L1034="1/C",O1034,1),0)</f>
        <v/>
      </c>
      <c r="Y1034" s="9">
        <f>IF(OR(LEFT(K1034,4)="LVAX",LEFT(K1034,6)="MV15AX",LEFT(K1034,4)="CTAX",LEFT(K1034,2)="W|"),2*N1034*O1034,0)</f>
        <v/>
      </c>
      <c r="Z1034" s="9" t="inlineStr">
        <is>
          <t>VD 1.8 %</t>
        </is>
      </c>
    </row>
    <row r="1035">
      <c r="A1035" s="9" t="inlineStr">
        <is>
          <t>B-P-0007</t>
        </is>
      </c>
      <c r="B1035" s="9" t="inlineStr">
        <is>
          <t>B</t>
        </is>
      </c>
      <c r="C1035" s="9" t="inlineStr">
        <is>
          <t>ACC</t>
        </is>
      </c>
      <c r="D1035" s="9" t="inlineStr">
        <is>
          <t>ACC fan F07 motor (VFD output)</t>
        </is>
      </c>
      <c r="E1035" s="9" t="inlineStr">
        <is>
          <t>R4</t>
        </is>
      </c>
      <c r="F1035" s="9" t="inlineStr">
        <is>
          <t>R4: ACC electrical (VFD) e-house (60 x 120 ft)</t>
        </is>
      </c>
      <c r="G1035" s="9" t="inlineStr">
        <is>
          <t>ACC-F07</t>
        </is>
      </c>
      <c r="H1035" s="9" t="inlineStr">
        <is>
          <t>ACC fan motor F07</t>
        </is>
      </c>
      <c r="I1035" s="9" t="inlineStr">
        <is>
          <t>LV 600 V</t>
        </is>
      </c>
      <c r="J1035" s="9" t="inlineStr">
        <is>
          <t>VFD cable 600 V 3/C Cu XHHW-2, 3 symmetrical grounds, overall Cu tape shield, TC-ER</t>
        </is>
      </c>
      <c r="K1035" s="9" t="inlineStr">
        <is>
          <t>VFD|3/C+3G|350</t>
        </is>
      </c>
      <c r="L1035" s="9" t="inlineStr">
        <is>
          <t>3/C+3G</t>
        </is>
      </c>
      <c r="M1035" s="9" t="inlineStr">
        <is>
          <t>350 kcmil</t>
        </is>
      </c>
      <c r="N1035" s="9" t="n">
        <v>1</v>
      </c>
      <c r="O1035" s="9" t="n">
        <v>1</v>
      </c>
      <c r="P1035" s="9" t="n">
        <v>480</v>
      </c>
      <c r="Q1035" s="9" t="n">
        <v>150</v>
      </c>
      <c r="R1035" s="9" t="n">
        <v>212</v>
      </c>
      <c r="S1035" s="9" t="inlineStr">
        <is>
          <t>Tray</t>
        </is>
      </c>
      <c r="T1035" s="10" t="n">
        <v>527</v>
      </c>
      <c r="U1035" s="10" t="n">
        <v>72</v>
      </c>
      <c r="V1035" s="10">
        <f>ROUNDUP((T1035+U1035+2*'Read Me'!$B$13)*(1+'Read Me'!$B$12),-1)</f>
        <v/>
      </c>
      <c r="W1035" s="10">
        <f>V1035*N1035*O1035</f>
        <v/>
      </c>
      <c r="X1035" s="9">
        <f>IF(LEFT(I1035,2)="MV",2*N1035*IF(L1035="1/C",O1035,1),0)</f>
        <v/>
      </c>
      <c r="Y1035" s="9">
        <f>IF(OR(LEFT(K1035,4)="LVAX",LEFT(K1035,6)="MV15AX",LEFT(K1035,4)="CTAX",LEFT(K1035,2)="W|"),2*N1035*O1035,0)</f>
        <v/>
      </c>
      <c r="Z1035" s="9" t="inlineStr">
        <is>
          <t>VD 1.9 %</t>
        </is>
      </c>
    </row>
    <row r="1036">
      <c r="A1036" s="9" t="inlineStr">
        <is>
          <t>B-P-0008</t>
        </is>
      </c>
      <c r="B1036" s="9" t="inlineStr">
        <is>
          <t>B</t>
        </is>
      </c>
      <c r="C1036" s="9" t="inlineStr">
        <is>
          <t>ACC</t>
        </is>
      </c>
      <c r="D1036" s="9" t="inlineStr">
        <is>
          <t>ACC fan F08 motor (VFD output)</t>
        </is>
      </c>
      <c r="E1036" s="9" t="inlineStr">
        <is>
          <t>R4</t>
        </is>
      </c>
      <c r="F1036" s="9" t="inlineStr">
        <is>
          <t>R4: ACC electrical (VFD) e-house (60 x 120 ft)</t>
        </is>
      </c>
      <c r="G1036" s="9" t="inlineStr">
        <is>
          <t>ACC-F08</t>
        </is>
      </c>
      <c r="H1036" s="9" t="inlineStr">
        <is>
          <t>ACC fan motor F08</t>
        </is>
      </c>
      <c r="I1036" s="9" t="inlineStr">
        <is>
          <t>LV 600 V</t>
        </is>
      </c>
      <c r="J1036" s="9" t="inlineStr">
        <is>
          <t>VFD cable 600 V 3/C Cu XHHW-2, 3 symmetrical grounds, overall Cu tape shield, TC-ER</t>
        </is>
      </c>
      <c r="K1036" s="9" t="inlineStr">
        <is>
          <t>VFD|3/C+3G|350</t>
        </is>
      </c>
      <c r="L1036" s="9" t="inlineStr">
        <is>
          <t>3/C+3G</t>
        </is>
      </c>
      <c r="M1036" s="9" t="inlineStr">
        <is>
          <t>350 kcmil</t>
        </is>
      </c>
      <c r="N1036" s="9" t="n">
        <v>1</v>
      </c>
      <c r="O1036" s="9" t="n">
        <v>1</v>
      </c>
      <c r="P1036" s="9" t="n">
        <v>480</v>
      </c>
      <c r="Q1036" s="9" t="n">
        <v>150</v>
      </c>
      <c r="R1036" s="9" t="n">
        <v>212</v>
      </c>
      <c r="S1036" s="9" t="inlineStr">
        <is>
          <t>Tray</t>
        </is>
      </c>
      <c r="T1036" s="10" t="n">
        <v>559</v>
      </c>
      <c r="U1036" s="10" t="n">
        <v>72</v>
      </c>
      <c r="V1036" s="10">
        <f>ROUNDUP((T1036+U1036+2*'Read Me'!$B$13)*(1+'Read Me'!$B$12),-1)</f>
        <v/>
      </c>
      <c r="W1036" s="10">
        <f>V1036*N1036*O1036</f>
        <v/>
      </c>
      <c r="X1036" s="9">
        <f>IF(LEFT(I1036,2)="MV",2*N1036*IF(L1036="1/C",O1036,1),0)</f>
        <v/>
      </c>
      <c r="Y1036" s="9">
        <f>IF(OR(LEFT(K1036,4)="LVAX",LEFT(K1036,6)="MV15AX",LEFT(K1036,4)="CTAX",LEFT(K1036,2)="W|"),2*N1036*O1036,0)</f>
        <v/>
      </c>
      <c r="Z1036" s="9" t="inlineStr">
        <is>
          <t>VD 2.0 %</t>
        </is>
      </c>
    </row>
    <row r="1037">
      <c r="A1037" s="9" t="inlineStr">
        <is>
          <t>B-P-0009</t>
        </is>
      </c>
      <c r="B1037" s="9" t="inlineStr">
        <is>
          <t>B</t>
        </is>
      </c>
      <c r="C1037" s="9" t="inlineStr">
        <is>
          <t>ACC</t>
        </is>
      </c>
      <c r="D1037" s="9" t="inlineStr">
        <is>
          <t>ACC fan F09 motor (VFD output)</t>
        </is>
      </c>
      <c r="E1037" s="9" t="inlineStr">
        <is>
          <t>R4</t>
        </is>
      </c>
      <c r="F1037" s="9" t="inlineStr">
        <is>
          <t>R4: ACC electrical (VFD) e-house (60 x 120 ft)</t>
        </is>
      </c>
      <c r="G1037" s="9" t="inlineStr">
        <is>
          <t>ACC-F09</t>
        </is>
      </c>
      <c r="H1037" s="9" t="inlineStr">
        <is>
          <t>ACC fan motor F09</t>
        </is>
      </c>
      <c r="I1037" s="9" t="inlineStr">
        <is>
          <t>LV 600 V</t>
        </is>
      </c>
      <c r="J1037" s="9" t="inlineStr">
        <is>
          <t>VFD cable 600 V 3/C Cu XHHW-2, 3 symmetrical grounds, overall Cu tape shield, TC-ER</t>
        </is>
      </c>
      <c r="K1037" s="9" t="inlineStr">
        <is>
          <t>VFD|3/C+3G|350</t>
        </is>
      </c>
      <c r="L1037" s="9" t="inlineStr">
        <is>
          <t>3/C+3G</t>
        </is>
      </c>
      <c r="M1037" s="9" t="inlineStr">
        <is>
          <t>350 kcmil</t>
        </is>
      </c>
      <c r="N1037" s="9" t="n">
        <v>1</v>
      </c>
      <c r="O1037" s="9" t="n">
        <v>1</v>
      </c>
      <c r="P1037" s="9" t="n">
        <v>480</v>
      </c>
      <c r="Q1037" s="9" t="n">
        <v>150</v>
      </c>
      <c r="R1037" s="9" t="n">
        <v>212</v>
      </c>
      <c r="S1037" s="9" t="inlineStr">
        <is>
          <t>Tray</t>
        </is>
      </c>
      <c r="T1037" s="10" t="n">
        <v>591</v>
      </c>
      <c r="U1037" s="10" t="n">
        <v>72</v>
      </c>
      <c r="V1037" s="10">
        <f>ROUNDUP((T1037+U1037+2*'Read Me'!$B$13)*(1+'Read Me'!$B$12),-1)</f>
        <v/>
      </c>
      <c r="W1037" s="10">
        <f>V1037*N1037*O1037</f>
        <v/>
      </c>
      <c r="X1037" s="9">
        <f>IF(LEFT(I1037,2)="MV",2*N1037*IF(L1037="1/C",O1037,1),0)</f>
        <v/>
      </c>
      <c r="Y1037" s="9">
        <f>IF(OR(LEFT(K1037,4)="LVAX",LEFT(K1037,6)="MV15AX",LEFT(K1037,4)="CTAX",LEFT(K1037,2)="W|"),2*N1037*O1037,0)</f>
        <v/>
      </c>
      <c r="Z1037" s="9" t="inlineStr">
        <is>
          <t>VD 2.1 %</t>
        </is>
      </c>
    </row>
    <row r="1038">
      <c r="A1038" s="9" t="inlineStr">
        <is>
          <t>B-P-0010</t>
        </is>
      </c>
      <c r="B1038" s="9" t="inlineStr">
        <is>
          <t>B</t>
        </is>
      </c>
      <c r="C1038" s="9" t="inlineStr">
        <is>
          <t>ACC</t>
        </is>
      </c>
      <c r="D1038" s="9" t="inlineStr">
        <is>
          <t>ACC fan F10 motor (VFD output)</t>
        </is>
      </c>
      <c r="E1038" s="9" t="inlineStr">
        <is>
          <t>R4</t>
        </is>
      </c>
      <c r="F1038" s="9" t="inlineStr">
        <is>
          <t>R4: ACC electrical (VFD) e-house (60 x 120 ft)</t>
        </is>
      </c>
      <c r="G1038" s="9" t="inlineStr">
        <is>
          <t>ACC-F10</t>
        </is>
      </c>
      <c r="H1038" s="9" t="inlineStr">
        <is>
          <t>ACC fan motor F10</t>
        </is>
      </c>
      <c r="I1038" s="9" t="inlineStr">
        <is>
          <t>LV 600 V</t>
        </is>
      </c>
      <c r="J1038" s="9" t="inlineStr">
        <is>
          <t>VFD cable 600 V 3/C Cu XHHW-2, 3 symmetrical grounds, overall Cu tape shield, TC-ER</t>
        </is>
      </c>
      <c r="K1038" s="9" t="inlineStr">
        <is>
          <t>VFD|3/C+3G|350</t>
        </is>
      </c>
      <c r="L1038" s="9" t="inlineStr">
        <is>
          <t>3/C+3G</t>
        </is>
      </c>
      <c r="M1038" s="9" t="inlineStr">
        <is>
          <t>350 kcmil</t>
        </is>
      </c>
      <c r="N1038" s="9" t="n">
        <v>1</v>
      </c>
      <c r="O1038" s="9" t="n">
        <v>1</v>
      </c>
      <c r="P1038" s="9" t="n">
        <v>480</v>
      </c>
      <c r="Q1038" s="9" t="n">
        <v>150</v>
      </c>
      <c r="R1038" s="9" t="n">
        <v>212</v>
      </c>
      <c r="S1038" s="9" t="inlineStr">
        <is>
          <t>Tray</t>
        </is>
      </c>
      <c r="T1038" s="10" t="n">
        <v>623</v>
      </c>
      <c r="U1038" s="10" t="n">
        <v>72</v>
      </c>
      <c r="V1038" s="10">
        <f>ROUNDUP((T1038+U1038+2*'Read Me'!$B$13)*(1+'Read Me'!$B$12),-1)</f>
        <v/>
      </c>
      <c r="W1038" s="10">
        <f>V1038*N1038*O1038</f>
        <v/>
      </c>
      <c r="X1038" s="9">
        <f>IF(LEFT(I1038,2)="MV",2*N1038*IF(L1038="1/C",O1038,1),0)</f>
        <v/>
      </c>
      <c r="Y1038" s="9">
        <f>IF(OR(LEFT(K1038,4)="LVAX",LEFT(K1038,6)="MV15AX",LEFT(K1038,4)="CTAX",LEFT(K1038,2)="W|"),2*N1038*O1038,0)</f>
        <v/>
      </c>
      <c r="Z1038" s="9" t="inlineStr">
        <is>
          <t>VD 2.1 %</t>
        </is>
      </c>
    </row>
    <row r="1039">
      <c r="A1039" s="9" t="inlineStr">
        <is>
          <t>B-P-0011</t>
        </is>
      </c>
      <c r="B1039" s="9" t="inlineStr">
        <is>
          <t>B</t>
        </is>
      </c>
      <c r="C1039" s="9" t="inlineStr">
        <is>
          <t>ACC</t>
        </is>
      </c>
      <c r="D1039" s="9" t="inlineStr">
        <is>
          <t>ACC fan F11 motor (VFD output)</t>
        </is>
      </c>
      <c r="E1039" s="9" t="inlineStr">
        <is>
          <t>R4</t>
        </is>
      </c>
      <c r="F1039" s="9" t="inlineStr">
        <is>
          <t>R4: ACC electrical (VFD) e-house (60 x 120 ft)</t>
        </is>
      </c>
      <c r="G1039" s="9" t="inlineStr">
        <is>
          <t>ACC-F11</t>
        </is>
      </c>
      <c r="H1039" s="9" t="inlineStr">
        <is>
          <t>ACC fan motor F11</t>
        </is>
      </c>
      <c r="I1039" s="9" t="inlineStr">
        <is>
          <t>LV 600 V</t>
        </is>
      </c>
      <c r="J1039" s="9" t="inlineStr">
        <is>
          <t>VFD cable 600 V 3/C Cu XHHW-2, 3 symmetrical grounds, overall Cu tape shield, TC-ER</t>
        </is>
      </c>
      <c r="K1039" s="9" t="inlineStr">
        <is>
          <t>VFD|3/C+3G|350</t>
        </is>
      </c>
      <c r="L1039" s="9" t="inlineStr">
        <is>
          <t>3/C+3G</t>
        </is>
      </c>
      <c r="M1039" s="9" t="inlineStr">
        <is>
          <t>350 kcmil</t>
        </is>
      </c>
      <c r="N1039" s="9" t="n">
        <v>1</v>
      </c>
      <c r="O1039" s="9" t="n">
        <v>1</v>
      </c>
      <c r="P1039" s="9" t="n">
        <v>480</v>
      </c>
      <c r="Q1039" s="9" t="n">
        <v>150</v>
      </c>
      <c r="R1039" s="9" t="n">
        <v>212</v>
      </c>
      <c r="S1039" s="9" t="inlineStr">
        <is>
          <t>Tray</t>
        </is>
      </c>
      <c r="T1039" s="10" t="n">
        <v>573</v>
      </c>
      <c r="U1039" s="10" t="n">
        <v>72</v>
      </c>
      <c r="V1039" s="10">
        <f>ROUNDUP((T1039+U1039+2*'Read Me'!$B$13)*(1+'Read Me'!$B$12),-1)</f>
        <v/>
      </c>
      <c r="W1039" s="10">
        <f>V1039*N1039*O1039</f>
        <v/>
      </c>
      <c r="X1039" s="9">
        <f>IF(LEFT(I1039,2)="MV",2*N1039*IF(L1039="1/C",O1039,1),0)</f>
        <v/>
      </c>
      <c r="Y1039" s="9">
        <f>IF(OR(LEFT(K1039,4)="LVAX",LEFT(K1039,6)="MV15AX",LEFT(K1039,4)="CTAX",LEFT(K1039,2)="W|"),2*N1039*O1039,0)</f>
        <v/>
      </c>
      <c r="Z1039" s="9" t="inlineStr">
        <is>
          <t>VD 2.0 %</t>
        </is>
      </c>
    </row>
    <row r="1040">
      <c r="A1040" s="9" t="inlineStr">
        <is>
          <t>B-P-0012</t>
        </is>
      </c>
      <c r="B1040" s="9" t="inlineStr">
        <is>
          <t>B</t>
        </is>
      </c>
      <c r="C1040" s="9" t="inlineStr">
        <is>
          <t>ACC</t>
        </is>
      </c>
      <c r="D1040" s="9" t="inlineStr">
        <is>
          <t>ACC fan F12 motor (VFD output)</t>
        </is>
      </c>
      <c r="E1040" s="9" t="inlineStr">
        <is>
          <t>R4</t>
        </is>
      </c>
      <c r="F1040" s="9" t="inlineStr">
        <is>
          <t>R4: ACC electrical (VFD) e-house (60 x 120 ft)</t>
        </is>
      </c>
      <c r="G1040" s="9" t="inlineStr">
        <is>
          <t>ACC-F12</t>
        </is>
      </c>
      <c r="H1040" s="9" t="inlineStr">
        <is>
          <t>ACC fan motor F12</t>
        </is>
      </c>
      <c r="I1040" s="9" t="inlineStr">
        <is>
          <t>LV 600 V</t>
        </is>
      </c>
      <c r="J1040" s="9" t="inlineStr">
        <is>
          <t>VFD cable 600 V 3/C Cu XHHW-2, 3 symmetrical grounds, overall Cu tape shield, TC-ER</t>
        </is>
      </c>
      <c r="K1040" s="9" t="inlineStr">
        <is>
          <t>VFD|3/C+3G|350</t>
        </is>
      </c>
      <c r="L1040" s="9" t="inlineStr">
        <is>
          <t>3/C+3G</t>
        </is>
      </c>
      <c r="M1040" s="9" t="inlineStr">
        <is>
          <t>350 kcmil</t>
        </is>
      </c>
      <c r="N1040" s="9" t="n">
        <v>1</v>
      </c>
      <c r="O1040" s="9" t="n">
        <v>1</v>
      </c>
      <c r="P1040" s="9" t="n">
        <v>480</v>
      </c>
      <c r="Q1040" s="9" t="n">
        <v>150</v>
      </c>
      <c r="R1040" s="9" t="n">
        <v>212</v>
      </c>
      <c r="S1040" s="9" t="inlineStr">
        <is>
          <t>Tray</t>
        </is>
      </c>
      <c r="T1040" s="10" t="n">
        <v>541</v>
      </c>
      <c r="U1040" s="10" t="n">
        <v>72</v>
      </c>
      <c r="V1040" s="10">
        <f>ROUNDUP((T1040+U1040+2*'Read Me'!$B$13)*(1+'Read Me'!$B$12),-1)</f>
        <v/>
      </c>
      <c r="W1040" s="10">
        <f>V1040*N1040*O1040</f>
        <v/>
      </c>
      <c r="X1040" s="9">
        <f>IF(LEFT(I1040,2)="MV",2*N1040*IF(L1040="1/C",O1040,1),0)</f>
        <v/>
      </c>
      <c r="Y1040" s="9">
        <f>IF(OR(LEFT(K1040,4)="LVAX",LEFT(K1040,6)="MV15AX",LEFT(K1040,4)="CTAX",LEFT(K1040,2)="W|"),2*N1040*O1040,0)</f>
        <v/>
      </c>
      <c r="Z1040" s="9" t="inlineStr">
        <is>
          <t>VD 1.9 %</t>
        </is>
      </c>
    </row>
    <row r="1041">
      <c r="A1041" s="9" t="inlineStr">
        <is>
          <t>B-P-0013</t>
        </is>
      </c>
      <c r="B1041" s="9" t="inlineStr">
        <is>
          <t>B</t>
        </is>
      </c>
      <c r="C1041" s="9" t="inlineStr">
        <is>
          <t>ACC</t>
        </is>
      </c>
      <c r="D1041" s="9" t="inlineStr">
        <is>
          <t>ACC fan F13 motor (VFD output)</t>
        </is>
      </c>
      <c r="E1041" s="9" t="inlineStr">
        <is>
          <t>R4</t>
        </is>
      </c>
      <c r="F1041" s="9" t="inlineStr">
        <is>
          <t>R4: ACC electrical (VFD) e-house (60 x 120 ft)</t>
        </is>
      </c>
      <c r="G1041" s="9" t="inlineStr">
        <is>
          <t>ACC-F13</t>
        </is>
      </c>
      <c r="H1041" s="9" t="inlineStr">
        <is>
          <t>ACC fan motor F13</t>
        </is>
      </c>
      <c r="I1041" s="9" t="inlineStr">
        <is>
          <t>LV 600 V</t>
        </is>
      </c>
      <c r="J1041" s="9" t="inlineStr">
        <is>
          <t>VFD cable 600 V 3/C Cu XHHW-2, 3 symmetrical grounds, overall Cu tape shield, TC-ER</t>
        </is>
      </c>
      <c r="K1041" s="9" t="inlineStr">
        <is>
          <t>VFD|3/C+3G|350</t>
        </is>
      </c>
      <c r="L1041" s="9" t="inlineStr">
        <is>
          <t>3/C+3G</t>
        </is>
      </c>
      <c r="M1041" s="9" t="inlineStr">
        <is>
          <t>350 kcmil</t>
        </is>
      </c>
      <c r="N1041" s="9" t="n">
        <v>1</v>
      </c>
      <c r="O1041" s="9" t="n">
        <v>1</v>
      </c>
      <c r="P1041" s="9" t="n">
        <v>480</v>
      </c>
      <c r="Q1041" s="9" t="n">
        <v>150</v>
      </c>
      <c r="R1041" s="9" t="n">
        <v>212</v>
      </c>
      <c r="S1041" s="9" t="inlineStr">
        <is>
          <t>Tray</t>
        </is>
      </c>
      <c r="T1041" s="10" t="n">
        <v>509</v>
      </c>
      <c r="U1041" s="10" t="n">
        <v>72</v>
      </c>
      <c r="V1041" s="10">
        <f>ROUNDUP((T1041+U1041+2*'Read Me'!$B$13)*(1+'Read Me'!$B$12),-1)</f>
        <v/>
      </c>
      <c r="W1041" s="10">
        <f>V1041*N1041*O1041</f>
        <v/>
      </c>
      <c r="X1041" s="9">
        <f>IF(LEFT(I1041,2)="MV",2*N1041*IF(L1041="1/C",O1041,1),0)</f>
        <v/>
      </c>
      <c r="Y1041" s="9">
        <f>IF(OR(LEFT(K1041,4)="LVAX",LEFT(K1041,6)="MV15AX",LEFT(K1041,4)="CTAX",LEFT(K1041,2)="W|"),2*N1041*O1041,0)</f>
        <v/>
      </c>
      <c r="Z1041" s="9" t="inlineStr">
        <is>
          <t>VD 1.8 %</t>
        </is>
      </c>
    </row>
    <row r="1042">
      <c r="A1042" s="9" t="inlineStr">
        <is>
          <t>B-P-0014</t>
        </is>
      </c>
      <c r="B1042" s="9" t="inlineStr">
        <is>
          <t>B</t>
        </is>
      </c>
      <c r="C1042" s="9" t="inlineStr">
        <is>
          <t>ACC</t>
        </is>
      </c>
      <c r="D1042" s="9" t="inlineStr">
        <is>
          <t>ACC fan F14 motor (VFD output)</t>
        </is>
      </c>
      <c r="E1042" s="9" t="inlineStr">
        <is>
          <t>R4</t>
        </is>
      </c>
      <c r="F1042" s="9" t="inlineStr">
        <is>
          <t>R4: ACC electrical (VFD) e-house (60 x 120 ft)</t>
        </is>
      </c>
      <c r="G1042" s="9" t="inlineStr">
        <is>
          <t>ACC-F14</t>
        </is>
      </c>
      <c r="H1042" s="9" t="inlineStr">
        <is>
          <t>ACC fan motor F14</t>
        </is>
      </c>
      <c r="I1042" s="9" t="inlineStr">
        <is>
          <t>LV 600 V</t>
        </is>
      </c>
      <c r="J1042" s="9" t="inlineStr">
        <is>
          <t>VFD cable 600 V 3/C Cu XHHW-2, 3 symmetrical grounds, overall Cu tape shield, TC-ER</t>
        </is>
      </c>
      <c r="K1042" s="9" t="inlineStr">
        <is>
          <t>VFD|3/C+3G|350</t>
        </is>
      </c>
      <c r="L1042" s="9" t="inlineStr">
        <is>
          <t>3/C+3G</t>
        </is>
      </c>
      <c r="M1042" s="9" t="inlineStr">
        <is>
          <t>350 kcmil</t>
        </is>
      </c>
      <c r="N1042" s="9" t="n">
        <v>1</v>
      </c>
      <c r="O1042" s="9" t="n">
        <v>1</v>
      </c>
      <c r="P1042" s="9" t="n">
        <v>480</v>
      </c>
      <c r="Q1042" s="9" t="n">
        <v>150</v>
      </c>
      <c r="R1042" s="9" t="n">
        <v>212</v>
      </c>
      <c r="S1042" s="9" t="inlineStr">
        <is>
          <t>Tray</t>
        </is>
      </c>
      <c r="T1042" s="10" t="n">
        <v>477</v>
      </c>
      <c r="U1042" s="10" t="n">
        <v>72</v>
      </c>
      <c r="V1042" s="10">
        <f>ROUNDUP((T1042+U1042+2*'Read Me'!$B$13)*(1+'Read Me'!$B$12),-1)</f>
        <v/>
      </c>
      <c r="W1042" s="10">
        <f>V1042*N1042*O1042</f>
        <v/>
      </c>
      <c r="X1042" s="9">
        <f>IF(LEFT(I1042,2)="MV",2*N1042*IF(L1042="1/C",O1042,1),0)</f>
        <v/>
      </c>
      <c r="Y1042" s="9">
        <f>IF(OR(LEFT(K1042,4)="LVAX",LEFT(K1042,6)="MV15AX",LEFT(K1042,4)="CTAX",LEFT(K1042,2)="W|"),2*N1042*O1042,0)</f>
        <v/>
      </c>
      <c r="Z1042" s="9" t="inlineStr">
        <is>
          <t>VD 1.7 %</t>
        </is>
      </c>
    </row>
    <row r="1043">
      <c r="A1043" s="9" t="inlineStr">
        <is>
          <t>B-P-0015</t>
        </is>
      </c>
      <c r="B1043" s="9" t="inlineStr">
        <is>
          <t>B</t>
        </is>
      </c>
      <c r="C1043" s="9" t="inlineStr">
        <is>
          <t>ACC</t>
        </is>
      </c>
      <c r="D1043" s="9" t="inlineStr">
        <is>
          <t>ACC fan F15 motor (VFD output)</t>
        </is>
      </c>
      <c r="E1043" s="9" t="inlineStr">
        <is>
          <t>R4</t>
        </is>
      </c>
      <c r="F1043" s="9" t="inlineStr">
        <is>
          <t>R4: ACC electrical (VFD) e-house (60 x 120 ft)</t>
        </is>
      </c>
      <c r="G1043" s="9" t="inlineStr">
        <is>
          <t>ACC-F15</t>
        </is>
      </c>
      <c r="H1043" s="9" t="inlineStr">
        <is>
          <t>ACC fan motor F15</t>
        </is>
      </c>
      <c r="I1043" s="9" t="inlineStr">
        <is>
          <t>LV 600 V</t>
        </is>
      </c>
      <c r="J1043" s="9" t="inlineStr">
        <is>
          <t>VFD cable 600 V 3/C Cu XHHW-2, 3 symmetrical grounds, overall Cu tape shield, TC-ER</t>
        </is>
      </c>
      <c r="K1043" s="9" t="inlineStr">
        <is>
          <t>VFD|3/C+3G|350</t>
        </is>
      </c>
      <c r="L1043" s="9" t="inlineStr">
        <is>
          <t>3/C+3G</t>
        </is>
      </c>
      <c r="M1043" s="9" t="inlineStr">
        <is>
          <t>350 kcmil</t>
        </is>
      </c>
      <c r="N1043" s="9" t="n">
        <v>1</v>
      </c>
      <c r="O1043" s="9" t="n">
        <v>1</v>
      </c>
      <c r="P1043" s="9" t="n">
        <v>480</v>
      </c>
      <c r="Q1043" s="9" t="n">
        <v>150</v>
      </c>
      <c r="R1043" s="9" t="n">
        <v>212</v>
      </c>
      <c r="S1043" s="9" t="inlineStr">
        <is>
          <t>Tray</t>
        </is>
      </c>
      <c r="T1043" s="10" t="n">
        <v>445</v>
      </c>
      <c r="U1043" s="10" t="n">
        <v>72</v>
      </c>
      <c r="V1043" s="10">
        <f>ROUNDUP((T1043+U1043+2*'Read Me'!$B$13)*(1+'Read Me'!$B$12),-1)</f>
        <v/>
      </c>
      <c r="W1043" s="10">
        <f>V1043*N1043*O1043</f>
        <v/>
      </c>
      <c r="X1043" s="9">
        <f>IF(LEFT(I1043,2)="MV",2*N1043*IF(L1043="1/C",O1043,1),0)</f>
        <v/>
      </c>
      <c r="Y1043" s="9">
        <f>IF(OR(LEFT(K1043,4)="LVAX",LEFT(K1043,6)="MV15AX",LEFT(K1043,4)="CTAX",LEFT(K1043,2)="W|"),2*N1043*O1043,0)</f>
        <v/>
      </c>
      <c r="Z1043" s="9" t="inlineStr">
        <is>
          <t>VD 1.6 %</t>
        </is>
      </c>
    </row>
    <row r="1044">
      <c r="A1044" s="9" t="inlineStr">
        <is>
          <t>B-P-0016</t>
        </is>
      </c>
      <c r="B1044" s="9" t="inlineStr">
        <is>
          <t>B</t>
        </is>
      </c>
      <c r="C1044" s="9" t="inlineStr">
        <is>
          <t>ACC</t>
        </is>
      </c>
      <c r="D1044" s="9" t="inlineStr">
        <is>
          <t>ACC fan F16 motor (VFD output)</t>
        </is>
      </c>
      <c r="E1044" s="9" t="inlineStr">
        <is>
          <t>R4</t>
        </is>
      </c>
      <c r="F1044" s="9" t="inlineStr">
        <is>
          <t>R4: ACC electrical (VFD) e-house (60 x 120 ft)</t>
        </is>
      </c>
      <c r="G1044" s="9" t="inlineStr">
        <is>
          <t>ACC-F16</t>
        </is>
      </c>
      <c r="H1044" s="9" t="inlineStr">
        <is>
          <t>ACC fan motor F16</t>
        </is>
      </c>
      <c r="I1044" s="9" t="inlineStr">
        <is>
          <t>LV 600 V</t>
        </is>
      </c>
      <c r="J1044" s="9" t="inlineStr">
        <is>
          <t>VFD cable 600 V 3/C Cu XHHW-2, 3 symmetrical grounds, overall Cu tape shield, TC-ER</t>
        </is>
      </c>
      <c r="K1044" s="9" t="inlineStr">
        <is>
          <t>VFD|3/C+3G|350</t>
        </is>
      </c>
      <c r="L1044" s="9" t="inlineStr">
        <is>
          <t>3/C+3G</t>
        </is>
      </c>
      <c r="M1044" s="9" t="inlineStr">
        <is>
          <t>350 kcmil</t>
        </is>
      </c>
      <c r="N1044" s="9" t="n">
        <v>1</v>
      </c>
      <c r="O1044" s="9" t="n">
        <v>1</v>
      </c>
      <c r="P1044" s="9" t="n">
        <v>480</v>
      </c>
      <c r="Q1044" s="9" t="n">
        <v>150</v>
      </c>
      <c r="R1044" s="9" t="n">
        <v>212</v>
      </c>
      <c r="S1044" s="9" t="inlineStr">
        <is>
          <t>Tray</t>
        </is>
      </c>
      <c r="T1044" s="10" t="n">
        <v>445</v>
      </c>
      <c r="U1044" s="10" t="n">
        <v>72</v>
      </c>
      <c r="V1044" s="10">
        <f>ROUNDUP((T1044+U1044+2*'Read Me'!$B$13)*(1+'Read Me'!$B$12),-1)</f>
        <v/>
      </c>
      <c r="W1044" s="10">
        <f>V1044*N1044*O1044</f>
        <v/>
      </c>
      <c r="X1044" s="9">
        <f>IF(LEFT(I1044,2)="MV",2*N1044*IF(L1044="1/C",O1044,1),0)</f>
        <v/>
      </c>
      <c r="Y1044" s="9">
        <f>IF(OR(LEFT(K1044,4)="LVAX",LEFT(K1044,6)="MV15AX",LEFT(K1044,4)="CTAX",LEFT(K1044,2)="W|"),2*N1044*O1044,0)</f>
        <v/>
      </c>
      <c r="Z1044" s="9" t="inlineStr">
        <is>
          <t>VD 1.6 %</t>
        </is>
      </c>
    </row>
    <row r="1045">
      <c r="A1045" s="9" t="inlineStr">
        <is>
          <t>B-P-0017</t>
        </is>
      </c>
      <c r="B1045" s="9" t="inlineStr">
        <is>
          <t>B</t>
        </is>
      </c>
      <c r="C1045" s="9" t="inlineStr">
        <is>
          <t>ACC</t>
        </is>
      </c>
      <c r="D1045" s="9" t="inlineStr">
        <is>
          <t>ACC fan F17 motor (VFD output)</t>
        </is>
      </c>
      <c r="E1045" s="9" t="inlineStr">
        <is>
          <t>R4</t>
        </is>
      </c>
      <c r="F1045" s="9" t="inlineStr">
        <is>
          <t>R4: ACC electrical (VFD) e-house (60 x 120 ft)</t>
        </is>
      </c>
      <c r="G1045" s="9" t="inlineStr">
        <is>
          <t>ACC-F17</t>
        </is>
      </c>
      <c r="H1045" s="9" t="inlineStr">
        <is>
          <t>ACC fan motor F17</t>
        </is>
      </c>
      <c r="I1045" s="9" t="inlineStr">
        <is>
          <t>LV 600 V</t>
        </is>
      </c>
      <c r="J1045" s="9" t="inlineStr">
        <is>
          <t>VFD cable 600 V 3/C Cu XHHW-2, 3 symmetrical grounds, overall Cu tape shield, TC-ER</t>
        </is>
      </c>
      <c r="K1045" s="9" t="inlineStr">
        <is>
          <t>VFD|3/C+3G|350</t>
        </is>
      </c>
      <c r="L1045" s="9" t="inlineStr">
        <is>
          <t>3/C+3G</t>
        </is>
      </c>
      <c r="M1045" s="9" t="inlineStr">
        <is>
          <t>350 kcmil</t>
        </is>
      </c>
      <c r="N1045" s="9" t="n">
        <v>1</v>
      </c>
      <c r="O1045" s="9" t="n">
        <v>1</v>
      </c>
      <c r="P1045" s="9" t="n">
        <v>480</v>
      </c>
      <c r="Q1045" s="9" t="n">
        <v>150</v>
      </c>
      <c r="R1045" s="9" t="n">
        <v>212</v>
      </c>
      <c r="S1045" s="9" t="inlineStr">
        <is>
          <t>Tray</t>
        </is>
      </c>
      <c r="T1045" s="10" t="n">
        <v>477</v>
      </c>
      <c r="U1045" s="10" t="n">
        <v>72</v>
      </c>
      <c r="V1045" s="10">
        <f>ROUNDUP((T1045+U1045+2*'Read Me'!$B$13)*(1+'Read Me'!$B$12),-1)</f>
        <v/>
      </c>
      <c r="W1045" s="10">
        <f>V1045*N1045*O1045</f>
        <v/>
      </c>
      <c r="X1045" s="9">
        <f>IF(LEFT(I1045,2)="MV",2*N1045*IF(L1045="1/C",O1045,1),0)</f>
        <v/>
      </c>
      <c r="Y1045" s="9">
        <f>IF(OR(LEFT(K1045,4)="LVAX",LEFT(K1045,6)="MV15AX",LEFT(K1045,4)="CTAX",LEFT(K1045,2)="W|"),2*N1045*O1045,0)</f>
        <v/>
      </c>
      <c r="Z1045" s="9" t="inlineStr">
        <is>
          <t>VD 1.7 %</t>
        </is>
      </c>
    </row>
    <row r="1046">
      <c r="A1046" s="9" t="inlineStr">
        <is>
          <t>B-P-0018</t>
        </is>
      </c>
      <c r="B1046" s="9" t="inlineStr">
        <is>
          <t>B</t>
        </is>
      </c>
      <c r="C1046" s="9" t="inlineStr">
        <is>
          <t>ACC</t>
        </is>
      </c>
      <c r="D1046" s="9" t="inlineStr">
        <is>
          <t>ACC fan F18 motor (VFD output)</t>
        </is>
      </c>
      <c r="E1046" s="9" t="inlineStr">
        <is>
          <t>R4</t>
        </is>
      </c>
      <c r="F1046" s="9" t="inlineStr">
        <is>
          <t>R4: ACC electrical (VFD) e-house (60 x 120 ft)</t>
        </is>
      </c>
      <c r="G1046" s="9" t="inlineStr">
        <is>
          <t>ACC-F18</t>
        </is>
      </c>
      <c r="H1046" s="9" t="inlineStr">
        <is>
          <t>ACC fan motor F18</t>
        </is>
      </c>
      <c r="I1046" s="9" t="inlineStr">
        <is>
          <t>LV 600 V</t>
        </is>
      </c>
      <c r="J1046" s="9" t="inlineStr">
        <is>
          <t>VFD cable 600 V 3/C Cu XHHW-2, 3 symmetrical grounds, overall Cu tape shield, TC-ER</t>
        </is>
      </c>
      <c r="K1046" s="9" t="inlineStr">
        <is>
          <t>VFD|3/C+3G|350</t>
        </is>
      </c>
      <c r="L1046" s="9" t="inlineStr">
        <is>
          <t>3/C+3G</t>
        </is>
      </c>
      <c r="M1046" s="9" t="inlineStr">
        <is>
          <t>350 kcmil</t>
        </is>
      </c>
      <c r="N1046" s="9" t="n">
        <v>1</v>
      </c>
      <c r="O1046" s="9" t="n">
        <v>1</v>
      </c>
      <c r="P1046" s="9" t="n">
        <v>480</v>
      </c>
      <c r="Q1046" s="9" t="n">
        <v>150</v>
      </c>
      <c r="R1046" s="9" t="n">
        <v>212</v>
      </c>
      <c r="S1046" s="9" t="inlineStr">
        <is>
          <t>Tray</t>
        </is>
      </c>
      <c r="T1046" s="10" t="n">
        <v>509</v>
      </c>
      <c r="U1046" s="10" t="n">
        <v>72</v>
      </c>
      <c r="V1046" s="10">
        <f>ROUNDUP((T1046+U1046+2*'Read Me'!$B$13)*(1+'Read Me'!$B$12),-1)</f>
        <v/>
      </c>
      <c r="W1046" s="10">
        <f>V1046*N1046*O1046</f>
        <v/>
      </c>
      <c r="X1046" s="9">
        <f>IF(LEFT(I1046,2)="MV",2*N1046*IF(L1046="1/C",O1046,1),0)</f>
        <v/>
      </c>
      <c r="Y1046" s="9">
        <f>IF(OR(LEFT(K1046,4)="LVAX",LEFT(K1046,6)="MV15AX",LEFT(K1046,4)="CTAX",LEFT(K1046,2)="W|"),2*N1046*O1046,0)</f>
        <v/>
      </c>
      <c r="Z1046" s="9" t="inlineStr">
        <is>
          <t>VD 1.8 %</t>
        </is>
      </c>
    </row>
    <row r="1047">
      <c r="A1047" s="9" t="inlineStr">
        <is>
          <t>B-P-0019</t>
        </is>
      </c>
      <c r="B1047" s="9" t="inlineStr">
        <is>
          <t>B</t>
        </is>
      </c>
      <c r="C1047" s="9" t="inlineStr">
        <is>
          <t>ACC</t>
        </is>
      </c>
      <c r="D1047" s="9" t="inlineStr">
        <is>
          <t>ACC fan F19 motor (VFD output)</t>
        </is>
      </c>
      <c r="E1047" s="9" t="inlineStr">
        <is>
          <t>R4</t>
        </is>
      </c>
      <c r="F1047" s="9" t="inlineStr">
        <is>
          <t>R4: ACC electrical (VFD) e-house (60 x 120 ft)</t>
        </is>
      </c>
      <c r="G1047" s="9" t="inlineStr">
        <is>
          <t>ACC-F19</t>
        </is>
      </c>
      <c r="H1047" s="9" t="inlineStr">
        <is>
          <t>ACC fan motor F19</t>
        </is>
      </c>
      <c r="I1047" s="9" t="inlineStr">
        <is>
          <t>LV 600 V</t>
        </is>
      </c>
      <c r="J1047" s="9" t="inlineStr">
        <is>
          <t>VFD cable 600 V 3/C Cu XHHW-2, 3 symmetrical grounds, overall Cu tape shield, TC-ER</t>
        </is>
      </c>
      <c r="K1047" s="9" t="inlineStr">
        <is>
          <t>VFD|3/C+3G|350</t>
        </is>
      </c>
      <c r="L1047" s="9" t="inlineStr">
        <is>
          <t>3/C+3G</t>
        </is>
      </c>
      <c r="M1047" s="9" t="inlineStr">
        <is>
          <t>350 kcmil</t>
        </is>
      </c>
      <c r="N1047" s="9" t="n">
        <v>1</v>
      </c>
      <c r="O1047" s="9" t="n">
        <v>1</v>
      </c>
      <c r="P1047" s="9" t="n">
        <v>480</v>
      </c>
      <c r="Q1047" s="9" t="n">
        <v>150</v>
      </c>
      <c r="R1047" s="9" t="n">
        <v>212</v>
      </c>
      <c r="S1047" s="9" t="inlineStr">
        <is>
          <t>Tray</t>
        </is>
      </c>
      <c r="T1047" s="10" t="n">
        <v>541</v>
      </c>
      <c r="U1047" s="10" t="n">
        <v>72</v>
      </c>
      <c r="V1047" s="10">
        <f>ROUNDUP((T1047+U1047+2*'Read Me'!$B$13)*(1+'Read Me'!$B$12),-1)</f>
        <v/>
      </c>
      <c r="W1047" s="10">
        <f>V1047*N1047*O1047</f>
        <v/>
      </c>
      <c r="X1047" s="9">
        <f>IF(LEFT(I1047,2)="MV",2*N1047*IF(L1047="1/C",O1047,1),0)</f>
        <v/>
      </c>
      <c r="Y1047" s="9">
        <f>IF(OR(LEFT(K1047,4)="LVAX",LEFT(K1047,6)="MV15AX",LEFT(K1047,4)="CTAX",LEFT(K1047,2)="W|"),2*N1047*O1047,0)</f>
        <v/>
      </c>
      <c r="Z1047" s="9" t="inlineStr">
        <is>
          <t>VD 1.9 %</t>
        </is>
      </c>
    </row>
    <row r="1048">
      <c r="A1048" s="9" t="inlineStr">
        <is>
          <t>B-P-0020</t>
        </is>
      </c>
      <c r="B1048" s="9" t="inlineStr">
        <is>
          <t>B</t>
        </is>
      </c>
      <c r="C1048" s="9" t="inlineStr">
        <is>
          <t>ACC</t>
        </is>
      </c>
      <c r="D1048" s="9" t="inlineStr">
        <is>
          <t>ACC fan F20 motor (VFD output)</t>
        </is>
      </c>
      <c r="E1048" s="9" t="inlineStr">
        <is>
          <t>R4</t>
        </is>
      </c>
      <c r="F1048" s="9" t="inlineStr">
        <is>
          <t>R4: ACC electrical (VFD) e-house (60 x 120 ft)</t>
        </is>
      </c>
      <c r="G1048" s="9" t="inlineStr">
        <is>
          <t>ACC-F20</t>
        </is>
      </c>
      <c r="H1048" s="9" t="inlineStr">
        <is>
          <t>ACC fan motor F20</t>
        </is>
      </c>
      <c r="I1048" s="9" t="inlineStr">
        <is>
          <t>LV 600 V</t>
        </is>
      </c>
      <c r="J1048" s="9" t="inlineStr">
        <is>
          <t>VFD cable 600 V 3/C Cu XHHW-2, 3 symmetrical grounds, overall Cu tape shield, TC-ER</t>
        </is>
      </c>
      <c r="K1048" s="9" t="inlineStr">
        <is>
          <t>VFD|3/C+3G|350</t>
        </is>
      </c>
      <c r="L1048" s="9" t="inlineStr">
        <is>
          <t>3/C+3G</t>
        </is>
      </c>
      <c r="M1048" s="9" t="inlineStr">
        <is>
          <t>350 kcmil</t>
        </is>
      </c>
      <c r="N1048" s="9" t="n">
        <v>1</v>
      </c>
      <c r="O1048" s="9" t="n">
        <v>1</v>
      </c>
      <c r="P1048" s="9" t="n">
        <v>480</v>
      </c>
      <c r="Q1048" s="9" t="n">
        <v>150</v>
      </c>
      <c r="R1048" s="9" t="n">
        <v>212</v>
      </c>
      <c r="S1048" s="9" t="inlineStr">
        <is>
          <t>Tray</t>
        </is>
      </c>
      <c r="T1048" s="10" t="n">
        <v>573</v>
      </c>
      <c r="U1048" s="10" t="n">
        <v>72</v>
      </c>
      <c r="V1048" s="10">
        <f>ROUNDUP((T1048+U1048+2*'Read Me'!$B$13)*(1+'Read Me'!$B$12),-1)</f>
        <v/>
      </c>
      <c r="W1048" s="10">
        <f>V1048*N1048*O1048</f>
        <v/>
      </c>
      <c r="X1048" s="9">
        <f>IF(LEFT(I1048,2)="MV",2*N1048*IF(L1048="1/C",O1048,1),0)</f>
        <v/>
      </c>
      <c r="Y1048" s="9">
        <f>IF(OR(LEFT(K1048,4)="LVAX",LEFT(K1048,6)="MV15AX",LEFT(K1048,4)="CTAX",LEFT(K1048,2)="W|"),2*N1048*O1048,0)</f>
        <v/>
      </c>
      <c r="Z1048" s="9" t="inlineStr">
        <is>
          <t>VD 2.0 %</t>
        </is>
      </c>
    </row>
    <row r="1049">
      <c r="A1049" s="9" t="inlineStr">
        <is>
          <t>B-P-0021</t>
        </is>
      </c>
      <c r="B1049" s="9" t="inlineStr">
        <is>
          <t>B</t>
        </is>
      </c>
      <c r="C1049" s="9" t="inlineStr">
        <is>
          <t>ACC</t>
        </is>
      </c>
      <c r="D1049" s="9" t="inlineStr">
        <is>
          <t>ACC fan F21 motor (VFD output)</t>
        </is>
      </c>
      <c r="E1049" s="9" t="inlineStr">
        <is>
          <t>R4</t>
        </is>
      </c>
      <c r="F1049" s="9" t="inlineStr">
        <is>
          <t>R4: ACC electrical (VFD) e-house (60 x 120 ft)</t>
        </is>
      </c>
      <c r="G1049" s="9" t="inlineStr">
        <is>
          <t>ACC-F21</t>
        </is>
      </c>
      <c r="H1049" s="9" t="inlineStr">
        <is>
          <t>ACC fan motor F21</t>
        </is>
      </c>
      <c r="I1049" s="9" t="inlineStr">
        <is>
          <t>LV 600 V</t>
        </is>
      </c>
      <c r="J1049" s="9" t="inlineStr">
        <is>
          <t>VFD cable 600 V 3/C Cu XHHW-2, 3 symmetrical grounds, overall Cu tape shield, TC-ER</t>
        </is>
      </c>
      <c r="K1049" s="9" t="inlineStr">
        <is>
          <t>VFD|3/C+3G|350</t>
        </is>
      </c>
      <c r="L1049" s="9" t="inlineStr">
        <is>
          <t>3/C+3G</t>
        </is>
      </c>
      <c r="M1049" s="9" t="inlineStr">
        <is>
          <t>350 kcmil</t>
        </is>
      </c>
      <c r="N1049" s="9" t="n">
        <v>1</v>
      </c>
      <c r="O1049" s="9" t="n">
        <v>1</v>
      </c>
      <c r="P1049" s="9" t="n">
        <v>480</v>
      </c>
      <c r="Q1049" s="9" t="n">
        <v>150</v>
      </c>
      <c r="R1049" s="9" t="n">
        <v>212</v>
      </c>
      <c r="S1049" s="9" t="inlineStr">
        <is>
          <t>Tray</t>
        </is>
      </c>
      <c r="T1049" s="10" t="n">
        <v>523</v>
      </c>
      <c r="U1049" s="10" t="n">
        <v>72</v>
      </c>
      <c r="V1049" s="10">
        <f>ROUNDUP((T1049+U1049+2*'Read Me'!$B$13)*(1+'Read Me'!$B$12),-1)</f>
        <v/>
      </c>
      <c r="W1049" s="10">
        <f>V1049*N1049*O1049</f>
        <v/>
      </c>
      <c r="X1049" s="9">
        <f>IF(LEFT(I1049,2)="MV",2*N1049*IF(L1049="1/C",O1049,1),0)</f>
        <v/>
      </c>
      <c r="Y1049" s="9">
        <f>IF(OR(LEFT(K1049,4)="LVAX",LEFT(K1049,6)="MV15AX",LEFT(K1049,4)="CTAX",LEFT(K1049,2)="W|"),2*N1049*O1049,0)</f>
        <v/>
      </c>
      <c r="Z1049" s="9" t="inlineStr">
        <is>
          <t>VD 1.8 %</t>
        </is>
      </c>
    </row>
    <row r="1050">
      <c r="A1050" s="9" t="inlineStr">
        <is>
          <t>B-P-0022</t>
        </is>
      </c>
      <c r="B1050" s="9" t="inlineStr">
        <is>
          <t>B</t>
        </is>
      </c>
      <c r="C1050" s="9" t="inlineStr">
        <is>
          <t>ACC</t>
        </is>
      </c>
      <c r="D1050" s="9" t="inlineStr">
        <is>
          <t>ACC fan F22 motor (VFD output)</t>
        </is>
      </c>
      <c r="E1050" s="9" t="inlineStr">
        <is>
          <t>R4</t>
        </is>
      </c>
      <c r="F1050" s="9" t="inlineStr">
        <is>
          <t>R4: ACC electrical (VFD) e-house (60 x 120 ft)</t>
        </is>
      </c>
      <c r="G1050" s="9" t="inlineStr">
        <is>
          <t>ACC-F22</t>
        </is>
      </c>
      <c r="H1050" s="9" t="inlineStr">
        <is>
          <t>ACC fan motor F22</t>
        </is>
      </c>
      <c r="I1050" s="9" t="inlineStr">
        <is>
          <t>LV 600 V</t>
        </is>
      </c>
      <c r="J1050" s="9" t="inlineStr">
        <is>
          <t>VFD cable 600 V 3/C Cu XHHW-2, 3 symmetrical grounds, overall Cu tape shield, TC-ER</t>
        </is>
      </c>
      <c r="K1050" s="9" t="inlineStr">
        <is>
          <t>VFD|3/C+3G|350</t>
        </is>
      </c>
      <c r="L1050" s="9" t="inlineStr">
        <is>
          <t>3/C+3G</t>
        </is>
      </c>
      <c r="M1050" s="9" t="inlineStr">
        <is>
          <t>350 kcmil</t>
        </is>
      </c>
      <c r="N1050" s="9" t="n">
        <v>1</v>
      </c>
      <c r="O1050" s="9" t="n">
        <v>1</v>
      </c>
      <c r="P1050" s="9" t="n">
        <v>480</v>
      </c>
      <c r="Q1050" s="9" t="n">
        <v>150</v>
      </c>
      <c r="R1050" s="9" t="n">
        <v>212</v>
      </c>
      <c r="S1050" s="9" t="inlineStr">
        <is>
          <t>Tray</t>
        </is>
      </c>
      <c r="T1050" s="10" t="n">
        <v>491</v>
      </c>
      <c r="U1050" s="10" t="n">
        <v>72</v>
      </c>
      <c r="V1050" s="10">
        <f>ROUNDUP((T1050+U1050+2*'Read Me'!$B$13)*(1+'Read Me'!$B$12),-1)</f>
        <v/>
      </c>
      <c r="W1050" s="10">
        <f>V1050*N1050*O1050</f>
        <v/>
      </c>
      <c r="X1050" s="9">
        <f>IF(LEFT(I1050,2)="MV",2*N1050*IF(L1050="1/C",O1050,1),0)</f>
        <v/>
      </c>
      <c r="Y1050" s="9">
        <f>IF(OR(LEFT(K1050,4)="LVAX",LEFT(K1050,6)="MV15AX",LEFT(K1050,4)="CTAX",LEFT(K1050,2)="W|"),2*N1050*O1050,0)</f>
        <v/>
      </c>
      <c r="Z1050" s="9" t="inlineStr">
        <is>
          <t>VD 1.7 %</t>
        </is>
      </c>
    </row>
    <row r="1051">
      <c r="A1051" s="9" t="inlineStr">
        <is>
          <t>B-P-0023</t>
        </is>
      </c>
      <c r="B1051" s="9" t="inlineStr">
        <is>
          <t>B</t>
        </is>
      </c>
      <c r="C1051" s="9" t="inlineStr">
        <is>
          <t>ACC</t>
        </is>
      </c>
      <c r="D1051" s="9" t="inlineStr">
        <is>
          <t>ACC fan F23 motor (VFD output)</t>
        </is>
      </c>
      <c r="E1051" s="9" t="inlineStr">
        <is>
          <t>R4</t>
        </is>
      </c>
      <c r="F1051" s="9" t="inlineStr">
        <is>
          <t>R4: ACC electrical (VFD) e-house (60 x 120 ft)</t>
        </is>
      </c>
      <c r="G1051" s="9" t="inlineStr">
        <is>
          <t>ACC-F23</t>
        </is>
      </c>
      <c r="H1051" s="9" t="inlineStr">
        <is>
          <t>ACC fan motor F23</t>
        </is>
      </c>
      <c r="I1051" s="9" t="inlineStr">
        <is>
          <t>LV 600 V</t>
        </is>
      </c>
      <c r="J1051" s="9" t="inlineStr">
        <is>
          <t>VFD cable 600 V 3/C Cu XHHW-2, 3 symmetrical grounds, overall Cu tape shield, TC-ER</t>
        </is>
      </c>
      <c r="K1051" s="9" t="inlineStr">
        <is>
          <t>VFD|3/C+3G|350</t>
        </is>
      </c>
      <c r="L1051" s="9" t="inlineStr">
        <is>
          <t>3/C+3G</t>
        </is>
      </c>
      <c r="M1051" s="9" t="inlineStr">
        <is>
          <t>350 kcmil</t>
        </is>
      </c>
      <c r="N1051" s="9" t="n">
        <v>1</v>
      </c>
      <c r="O1051" s="9" t="n">
        <v>1</v>
      </c>
      <c r="P1051" s="9" t="n">
        <v>480</v>
      </c>
      <c r="Q1051" s="9" t="n">
        <v>150</v>
      </c>
      <c r="R1051" s="9" t="n">
        <v>212</v>
      </c>
      <c r="S1051" s="9" t="inlineStr">
        <is>
          <t>Tray</t>
        </is>
      </c>
      <c r="T1051" s="10" t="n">
        <v>459</v>
      </c>
      <c r="U1051" s="10" t="n">
        <v>72</v>
      </c>
      <c r="V1051" s="10">
        <f>ROUNDUP((T1051+U1051+2*'Read Me'!$B$13)*(1+'Read Me'!$B$12),-1)</f>
        <v/>
      </c>
      <c r="W1051" s="10">
        <f>V1051*N1051*O1051</f>
        <v/>
      </c>
      <c r="X1051" s="9">
        <f>IF(LEFT(I1051,2)="MV",2*N1051*IF(L1051="1/C",O1051,1),0)</f>
        <v/>
      </c>
      <c r="Y1051" s="9">
        <f>IF(OR(LEFT(K1051,4)="LVAX",LEFT(K1051,6)="MV15AX",LEFT(K1051,4)="CTAX",LEFT(K1051,2)="W|"),2*N1051*O1051,0)</f>
        <v/>
      </c>
      <c r="Z1051" s="9" t="inlineStr">
        <is>
          <t>VD 1.6 %</t>
        </is>
      </c>
    </row>
    <row r="1052">
      <c r="A1052" s="9" t="inlineStr">
        <is>
          <t>B-P-0024</t>
        </is>
      </c>
      <c r="B1052" s="9" t="inlineStr">
        <is>
          <t>B</t>
        </is>
      </c>
      <c r="C1052" s="9" t="inlineStr">
        <is>
          <t>ACC</t>
        </is>
      </c>
      <c r="D1052" s="9" t="inlineStr">
        <is>
          <t>ACC fan F24 motor (VFD output)</t>
        </is>
      </c>
      <c r="E1052" s="9" t="inlineStr">
        <is>
          <t>R4</t>
        </is>
      </c>
      <c r="F1052" s="9" t="inlineStr">
        <is>
          <t>R4: ACC electrical (VFD) e-house (60 x 120 ft)</t>
        </is>
      </c>
      <c r="G1052" s="9" t="inlineStr">
        <is>
          <t>ACC-F24</t>
        </is>
      </c>
      <c r="H1052" s="9" t="inlineStr">
        <is>
          <t>ACC fan motor F24</t>
        </is>
      </c>
      <c r="I1052" s="9" t="inlineStr">
        <is>
          <t>LV 600 V</t>
        </is>
      </c>
      <c r="J1052" s="9" t="inlineStr">
        <is>
          <t>VFD cable 600 V 3/C Cu XHHW-2, 3 symmetrical grounds, overall Cu tape shield, TC-ER</t>
        </is>
      </c>
      <c r="K1052" s="9" t="inlineStr">
        <is>
          <t>VFD|3/C+3G|350</t>
        </is>
      </c>
      <c r="L1052" s="9" t="inlineStr">
        <is>
          <t>3/C+3G</t>
        </is>
      </c>
      <c r="M1052" s="9" t="inlineStr">
        <is>
          <t>350 kcmil</t>
        </is>
      </c>
      <c r="N1052" s="9" t="n">
        <v>1</v>
      </c>
      <c r="O1052" s="9" t="n">
        <v>1</v>
      </c>
      <c r="P1052" s="9" t="n">
        <v>480</v>
      </c>
      <c r="Q1052" s="9" t="n">
        <v>150</v>
      </c>
      <c r="R1052" s="9" t="n">
        <v>212</v>
      </c>
      <c r="S1052" s="9" t="inlineStr">
        <is>
          <t>Tray</t>
        </is>
      </c>
      <c r="T1052" s="10" t="n">
        <v>427</v>
      </c>
      <c r="U1052" s="10" t="n">
        <v>72</v>
      </c>
      <c r="V1052" s="10">
        <f>ROUNDUP((T1052+U1052+2*'Read Me'!$B$13)*(1+'Read Me'!$B$12),-1)</f>
        <v/>
      </c>
      <c r="W1052" s="10">
        <f>V1052*N1052*O1052</f>
        <v/>
      </c>
      <c r="X1052" s="9">
        <f>IF(LEFT(I1052,2)="MV",2*N1052*IF(L1052="1/C",O1052,1),0)</f>
        <v/>
      </c>
      <c r="Y1052" s="9">
        <f>IF(OR(LEFT(K1052,4)="LVAX",LEFT(K1052,6)="MV15AX",LEFT(K1052,4)="CTAX",LEFT(K1052,2)="W|"),2*N1052*O1052,0)</f>
        <v/>
      </c>
      <c r="Z1052" s="9" t="inlineStr">
        <is>
          <t>VD 1.5 %</t>
        </is>
      </c>
    </row>
    <row r="1053">
      <c r="A1053" s="9" t="inlineStr">
        <is>
          <t>B-P-0025</t>
        </is>
      </c>
      <c r="B1053" s="9" t="inlineStr">
        <is>
          <t>B</t>
        </is>
      </c>
      <c r="C1053" s="9" t="inlineStr">
        <is>
          <t>ACC</t>
        </is>
      </c>
      <c r="D1053" s="9" t="inlineStr">
        <is>
          <t>ACC fan F25 motor (VFD output)</t>
        </is>
      </c>
      <c r="E1053" s="9" t="inlineStr">
        <is>
          <t>R4</t>
        </is>
      </c>
      <c r="F1053" s="9" t="inlineStr">
        <is>
          <t>R4: ACC electrical (VFD) e-house (60 x 120 ft)</t>
        </is>
      </c>
      <c r="G1053" s="9" t="inlineStr">
        <is>
          <t>ACC-F25</t>
        </is>
      </c>
      <c r="H1053" s="9" t="inlineStr">
        <is>
          <t>ACC fan motor F25</t>
        </is>
      </c>
      <c r="I1053" s="9" t="inlineStr">
        <is>
          <t>LV 600 V</t>
        </is>
      </c>
      <c r="J1053" s="9" t="inlineStr">
        <is>
          <t>VFD cable 600 V 3/C Cu XHHW-2, 3 symmetrical grounds, overall Cu tape shield, TC-ER</t>
        </is>
      </c>
      <c r="K1053" s="9" t="inlineStr">
        <is>
          <t>VFD|3/C+3G|350</t>
        </is>
      </c>
      <c r="L1053" s="9" t="inlineStr">
        <is>
          <t>3/C+3G</t>
        </is>
      </c>
      <c r="M1053" s="9" t="inlineStr">
        <is>
          <t>350 kcmil</t>
        </is>
      </c>
      <c r="N1053" s="9" t="n">
        <v>1</v>
      </c>
      <c r="O1053" s="9" t="n">
        <v>1</v>
      </c>
      <c r="P1053" s="9" t="n">
        <v>480</v>
      </c>
      <c r="Q1053" s="9" t="n">
        <v>150</v>
      </c>
      <c r="R1053" s="9" t="n">
        <v>212</v>
      </c>
      <c r="S1053" s="9" t="inlineStr">
        <is>
          <t>Tray</t>
        </is>
      </c>
      <c r="T1053" s="10" t="n">
        <v>395</v>
      </c>
      <c r="U1053" s="10" t="n">
        <v>72</v>
      </c>
      <c r="V1053" s="10">
        <f>ROUNDUP((T1053+U1053+2*'Read Me'!$B$13)*(1+'Read Me'!$B$12),-1)</f>
        <v/>
      </c>
      <c r="W1053" s="10">
        <f>V1053*N1053*O1053</f>
        <v/>
      </c>
      <c r="X1053" s="9">
        <f>IF(LEFT(I1053,2)="MV",2*N1053*IF(L1053="1/C",O1053,1),0)</f>
        <v/>
      </c>
      <c r="Y1053" s="9">
        <f>IF(OR(LEFT(K1053,4)="LVAX",LEFT(K1053,6)="MV15AX",LEFT(K1053,4)="CTAX",LEFT(K1053,2)="W|"),2*N1053*O1053,0)</f>
        <v/>
      </c>
      <c r="Z1053" s="9" t="inlineStr">
        <is>
          <t>VD 1.4 %</t>
        </is>
      </c>
    </row>
    <row r="1054">
      <c r="A1054" s="9" t="inlineStr">
        <is>
          <t>B-P-0026</t>
        </is>
      </c>
      <c r="B1054" s="9" t="inlineStr">
        <is>
          <t>B</t>
        </is>
      </c>
      <c r="C1054" s="9" t="inlineStr">
        <is>
          <t>ACC</t>
        </is>
      </c>
      <c r="D1054" s="9" t="inlineStr">
        <is>
          <t>ACC fan F26 motor (VFD output)</t>
        </is>
      </c>
      <c r="E1054" s="9" t="inlineStr">
        <is>
          <t>R4</t>
        </is>
      </c>
      <c r="F1054" s="9" t="inlineStr">
        <is>
          <t>R4: ACC electrical (VFD) e-house (60 x 120 ft)</t>
        </is>
      </c>
      <c r="G1054" s="9" t="inlineStr">
        <is>
          <t>ACC-F26</t>
        </is>
      </c>
      <c r="H1054" s="9" t="inlineStr">
        <is>
          <t>ACC fan motor F26</t>
        </is>
      </c>
      <c r="I1054" s="9" t="inlineStr">
        <is>
          <t>LV 600 V</t>
        </is>
      </c>
      <c r="J1054" s="9" t="inlineStr">
        <is>
          <t>VFD cable 600 V 3/C Cu XHHW-2, 3 symmetrical grounds, overall Cu tape shield, TC-ER</t>
        </is>
      </c>
      <c r="K1054" s="9" t="inlineStr">
        <is>
          <t>VFD|3/C+3G|350</t>
        </is>
      </c>
      <c r="L1054" s="9" t="inlineStr">
        <is>
          <t>3/C+3G</t>
        </is>
      </c>
      <c r="M1054" s="9" t="inlineStr">
        <is>
          <t>350 kcmil</t>
        </is>
      </c>
      <c r="N1054" s="9" t="n">
        <v>1</v>
      </c>
      <c r="O1054" s="9" t="n">
        <v>1</v>
      </c>
      <c r="P1054" s="9" t="n">
        <v>480</v>
      </c>
      <c r="Q1054" s="9" t="n">
        <v>150</v>
      </c>
      <c r="R1054" s="9" t="n">
        <v>212</v>
      </c>
      <c r="S1054" s="9" t="inlineStr">
        <is>
          <t>Tray</t>
        </is>
      </c>
      <c r="T1054" s="10" t="n">
        <v>395</v>
      </c>
      <c r="U1054" s="10" t="n">
        <v>72</v>
      </c>
      <c r="V1054" s="10">
        <f>ROUNDUP((T1054+U1054+2*'Read Me'!$B$13)*(1+'Read Me'!$B$12),-1)</f>
        <v/>
      </c>
      <c r="W1054" s="10">
        <f>V1054*N1054*O1054</f>
        <v/>
      </c>
      <c r="X1054" s="9">
        <f>IF(LEFT(I1054,2)="MV",2*N1054*IF(L1054="1/C",O1054,1),0)</f>
        <v/>
      </c>
      <c r="Y1054" s="9">
        <f>IF(OR(LEFT(K1054,4)="LVAX",LEFT(K1054,6)="MV15AX",LEFT(K1054,4)="CTAX",LEFT(K1054,2)="W|"),2*N1054*O1054,0)</f>
        <v/>
      </c>
      <c r="Z1054" s="9" t="inlineStr">
        <is>
          <t>VD 1.4 %</t>
        </is>
      </c>
    </row>
    <row r="1055">
      <c r="A1055" s="9" t="inlineStr">
        <is>
          <t>B-P-0027</t>
        </is>
      </c>
      <c r="B1055" s="9" t="inlineStr">
        <is>
          <t>B</t>
        </is>
      </c>
      <c r="C1055" s="9" t="inlineStr">
        <is>
          <t>ACC</t>
        </is>
      </c>
      <c r="D1055" s="9" t="inlineStr">
        <is>
          <t>ACC fan F27 motor (VFD output)</t>
        </is>
      </c>
      <c r="E1055" s="9" t="inlineStr">
        <is>
          <t>R4</t>
        </is>
      </c>
      <c r="F1055" s="9" t="inlineStr">
        <is>
          <t>R4: ACC electrical (VFD) e-house (60 x 120 ft)</t>
        </is>
      </c>
      <c r="G1055" s="9" t="inlineStr">
        <is>
          <t>ACC-F27</t>
        </is>
      </c>
      <c r="H1055" s="9" t="inlineStr">
        <is>
          <t>ACC fan motor F27</t>
        </is>
      </c>
      <c r="I1055" s="9" t="inlineStr">
        <is>
          <t>LV 600 V</t>
        </is>
      </c>
      <c r="J1055" s="9" t="inlineStr">
        <is>
          <t>VFD cable 600 V 3/C Cu XHHW-2, 3 symmetrical grounds, overall Cu tape shield, TC-ER</t>
        </is>
      </c>
      <c r="K1055" s="9" t="inlineStr">
        <is>
          <t>VFD|3/C+3G|350</t>
        </is>
      </c>
      <c r="L1055" s="9" t="inlineStr">
        <is>
          <t>3/C+3G</t>
        </is>
      </c>
      <c r="M1055" s="9" t="inlineStr">
        <is>
          <t>350 kcmil</t>
        </is>
      </c>
      <c r="N1055" s="9" t="n">
        <v>1</v>
      </c>
      <c r="O1055" s="9" t="n">
        <v>1</v>
      </c>
      <c r="P1055" s="9" t="n">
        <v>480</v>
      </c>
      <c r="Q1055" s="9" t="n">
        <v>150</v>
      </c>
      <c r="R1055" s="9" t="n">
        <v>212</v>
      </c>
      <c r="S1055" s="9" t="inlineStr">
        <is>
          <t>Tray</t>
        </is>
      </c>
      <c r="T1055" s="10" t="n">
        <v>427</v>
      </c>
      <c r="U1055" s="10" t="n">
        <v>72</v>
      </c>
      <c r="V1055" s="10">
        <f>ROUNDUP((T1055+U1055+2*'Read Me'!$B$13)*(1+'Read Me'!$B$12),-1)</f>
        <v/>
      </c>
      <c r="W1055" s="10">
        <f>V1055*N1055*O1055</f>
        <v/>
      </c>
      <c r="X1055" s="9">
        <f>IF(LEFT(I1055,2)="MV",2*N1055*IF(L1055="1/C",O1055,1),0)</f>
        <v/>
      </c>
      <c r="Y1055" s="9">
        <f>IF(OR(LEFT(K1055,4)="LVAX",LEFT(K1055,6)="MV15AX",LEFT(K1055,4)="CTAX",LEFT(K1055,2)="W|"),2*N1055*O1055,0)</f>
        <v/>
      </c>
      <c r="Z1055" s="9" t="inlineStr">
        <is>
          <t>VD 1.5 %</t>
        </is>
      </c>
    </row>
    <row r="1056">
      <c r="A1056" s="9" t="inlineStr">
        <is>
          <t>B-P-0028</t>
        </is>
      </c>
      <c r="B1056" s="9" t="inlineStr">
        <is>
          <t>B</t>
        </is>
      </c>
      <c r="C1056" s="9" t="inlineStr">
        <is>
          <t>ACC</t>
        </is>
      </c>
      <c r="D1056" s="9" t="inlineStr">
        <is>
          <t>ACC fan F28 motor (VFD output)</t>
        </is>
      </c>
      <c r="E1056" s="9" t="inlineStr">
        <is>
          <t>R4</t>
        </is>
      </c>
      <c r="F1056" s="9" t="inlineStr">
        <is>
          <t>R4: ACC electrical (VFD) e-house (60 x 120 ft)</t>
        </is>
      </c>
      <c r="G1056" s="9" t="inlineStr">
        <is>
          <t>ACC-F28</t>
        </is>
      </c>
      <c r="H1056" s="9" t="inlineStr">
        <is>
          <t>ACC fan motor F28</t>
        </is>
      </c>
      <c r="I1056" s="9" t="inlineStr">
        <is>
          <t>LV 600 V</t>
        </is>
      </c>
      <c r="J1056" s="9" t="inlineStr">
        <is>
          <t>VFD cable 600 V 3/C Cu XHHW-2, 3 symmetrical grounds, overall Cu tape shield, TC-ER</t>
        </is>
      </c>
      <c r="K1056" s="9" t="inlineStr">
        <is>
          <t>VFD|3/C+3G|350</t>
        </is>
      </c>
      <c r="L1056" s="9" t="inlineStr">
        <is>
          <t>3/C+3G</t>
        </is>
      </c>
      <c r="M1056" s="9" t="inlineStr">
        <is>
          <t>350 kcmil</t>
        </is>
      </c>
      <c r="N1056" s="9" t="n">
        <v>1</v>
      </c>
      <c r="O1056" s="9" t="n">
        <v>1</v>
      </c>
      <c r="P1056" s="9" t="n">
        <v>480</v>
      </c>
      <c r="Q1056" s="9" t="n">
        <v>150</v>
      </c>
      <c r="R1056" s="9" t="n">
        <v>212</v>
      </c>
      <c r="S1056" s="9" t="inlineStr">
        <is>
          <t>Tray</t>
        </is>
      </c>
      <c r="T1056" s="10" t="n">
        <v>459</v>
      </c>
      <c r="U1056" s="10" t="n">
        <v>72</v>
      </c>
      <c r="V1056" s="10">
        <f>ROUNDUP((T1056+U1056+2*'Read Me'!$B$13)*(1+'Read Me'!$B$12),-1)</f>
        <v/>
      </c>
      <c r="W1056" s="10">
        <f>V1056*N1056*O1056</f>
        <v/>
      </c>
      <c r="X1056" s="9">
        <f>IF(LEFT(I1056,2)="MV",2*N1056*IF(L1056="1/C",O1056,1),0)</f>
        <v/>
      </c>
      <c r="Y1056" s="9">
        <f>IF(OR(LEFT(K1056,4)="LVAX",LEFT(K1056,6)="MV15AX",LEFT(K1056,4)="CTAX",LEFT(K1056,2)="W|"),2*N1056*O1056,0)</f>
        <v/>
      </c>
      <c r="Z1056" s="9" t="inlineStr">
        <is>
          <t>VD 1.6 %</t>
        </is>
      </c>
    </row>
    <row r="1057">
      <c r="A1057" s="9" t="inlineStr">
        <is>
          <t>B-P-0029</t>
        </is>
      </c>
      <c r="B1057" s="9" t="inlineStr">
        <is>
          <t>B</t>
        </is>
      </c>
      <c r="C1057" s="9" t="inlineStr">
        <is>
          <t>ACC</t>
        </is>
      </c>
      <c r="D1057" s="9" t="inlineStr">
        <is>
          <t>ACC fan F29 motor (VFD output)</t>
        </is>
      </c>
      <c r="E1057" s="9" t="inlineStr">
        <is>
          <t>R4</t>
        </is>
      </c>
      <c r="F1057" s="9" t="inlineStr">
        <is>
          <t>R4: ACC electrical (VFD) e-house (60 x 120 ft)</t>
        </is>
      </c>
      <c r="G1057" s="9" t="inlineStr">
        <is>
          <t>ACC-F29</t>
        </is>
      </c>
      <c r="H1057" s="9" t="inlineStr">
        <is>
          <t>ACC fan motor F29</t>
        </is>
      </c>
      <c r="I1057" s="9" t="inlineStr">
        <is>
          <t>LV 600 V</t>
        </is>
      </c>
      <c r="J1057" s="9" t="inlineStr">
        <is>
          <t>VFD cable 600 V 3/C Cu XHHW-2, 3 symmetrical grounds, overall Cu tape shield, TC-ER</t>
        </is>
      </c>
      <c r="K1057" s="9" t="inlineStr">
        <is>
          <t>VFD|3/C+3G|350</t>
        </is>
      </c>
      <c r="L1057" s="9" t="inlineStr">
        <is>
          <t>3/C+3G</t>
        </is>
      </c>
      <c r="M1057" s="9" t="inlineStr">
        <is>
          <t>350 kcmil</t>
        </is>
      </c>
      <c r="N1057" s="9" t="n">
        <v>1</v>
      </c>
      <c r="O1057" s="9" t="n">
        <v>1</v>
      </c>
      <c r="P1057" s="9" t="n">
        <v>480</v>
      </c>
      <c r="Q1057" s="9" t="n">
        <v>150</v>
      </c>
      <c r="R1057" s="9" t="n">
        <v>212</v>
      </c>
      <c r="S1057" s="9" t="inlineStr">
        <is>
          <t>Tray</t>
        </is>
      </c>
      <c r="T1057" s="10" t="n">
        <v>491</v>
      </c>
      <c r="U1057" s="10" t="n">
        <v>72</v>
      </c>
      <c r="V1057" s="10">
        <f>ROUNDUP((T1057+U1057+2*'Read Me'!$B$13)*(1+'Read Me'!$B$12),-1)</f>
        <v/>
      </c>
      <c r="W1057" s="10">
        <f>V1057*N1057*O1057</f>
        <v/>
      </c>
      <c r="X1057" s="9">
        <f>IF(LEFT(I1057,2)="MV",2*N1057*IF(L1057="1/C",O1057,1),0)</f>
        <v/>
      </c>
      <c r="Y1057" s="9">
        <f>IF(OR(LEFT(K1057,4)="LVAX",LEFT(K1057,6)="MV15AX",LEFT(K1057,4)="CTAX",LEFT(K1057,2)="W|"),2*N1057*O1057,0)</f>
        <v/>
      </c>
      <c r="Z1057" s="9" t="inlineStr">
        <is>
          <t>VD 1.7 %</t>
        </is>
      </c>
    </row>
    <row r="1058">
      <c r="A1058" s="9" t="inlineStr">
        <is>
          <t>B-P-0030</t>
        </is>
      </c>
      <c r="B1058" s="9" t="inlineStr">
        <is>
          <t>B</t>
        </is>
      </c>
      <c r="C1058" s="9" t="inlineStr">
        <is>
          <t>ACC</t>
        </is>
      </c>
      <c r="D1058" s="9" t="inlineStr">
        <is>
          <t>ACC fan F30 motor (VFD output)</t>
        </is>
      </c>
      <c r="E1058" s="9" t="inlineStr">
        <is>
          <t>R4</t>
        </is>
      </c>
      <c r="F1058" s="9" t="inlineStr">
        <is>
          <t>R4: ACC electrical (VFD) e-house (60 x 120 ft)</t>
        </is>
      </c>
      <c r="G1058" s="9" t="inlineStr">
        <is>
          <t>ACC-F30</t>
        </is>
      </c>
      <c r="H1058" s="9" t="inlineStr">
        <is>
          <t>ACC fan motor F30</t>
        </is>
      </c>
      <c r="I1058" s="9" t="inlineStr">
        <is>
          <t>LV 600 V</t>
        </is>
      </c>
      <c r="J1058" s="9" t="inlineStr">
        <is>
          <t>VFD cable 600 V 3/C Cu XHHW-2, 3 symmetrical grounds, overall Cu tape shield, TC-ER</t>
        </is>
      </c>
      <c r="K1058" s="9" t="inlineStr">
        <is>
          <t>VFD|3/C+3G|350</t>
        </is>
      </c>
      <c r="L1058" s="9" t="inlineStr">
        <is>
          <t>3/C+3G</t>
        </is>
      </c>
      <c r="M1058" s="9" t="inlineStr">
        <is>
          <t>350 kcmil</t>
        </is>
      </c>
      <c r="N1058" s="9" t="n">
        <v>1</v>
      </c>
      <c r="O1058" s="9" t="n">
        <v>1</v>
      </c>
      <c r="P1058" s="9" t="n">
        <v>480</v>
      </c>
      <c r="Q1058" s="9" t="n">
        <v>150</v>
      </c>
      <c r="R1058" s="9" t="n">
        <v>212</v>
      </c>
      <c r="S1058" s="9" t="inlineStr">
        <is>
          <t>Tray</t>
        </is>
      </c>
      <c r="T1058" s="10" t="n">
        <v>523</v>
      </c>
      <c r="U1058" s="10" t="n">
        <v>72</v>
      </c>
      <c r="V1058" s="10">
        <f>ROUNDUP((T1058+U1058+2*'Read Me'!$B$13)*(1+'Read Me'!$B$12),-1)</f>
        <v/>
      </c>
      <c r="W1058" s="10">
        <f>V1058*N1058*O1058</f>
        <v/>
      </c>
      <c r="X1058" s="9">
        <f>IF(LEFT(I1058,2)="MV",2*N1058*IF(L1058="1/C",O1058,1),0)</f>
        <v/>
      </c>
      <c r="Y1058" s="9">
        <f>IF(OR(LEFT(K1058,4)="LVAX",LEFT(K1058,6)="MV15AX",LEFT(K1058,4)="CTAX",LEFT(K1058,2)="W|"),2*N1058*O1058,0)</f>
        <v/>
      </c>
      <c r="Z1058" s="9" t="inlineStr">
        <is>
          <t>VD 1.8 %</t>
        </is>
      </c>
    </row>
    <row r="1059">
      <c r="A1059" s="9" t="inlineStr">
        <is>
          <t>B-P-0031</t>
        </is>
      </c>
      <c r="B1059" s="9" t="inlineStr">
        <is>
          <t>B</t>
        </is>
      </c>
      <c r="C1059" s="9" t="inlineStr">
        <is>
          <t>ACC</t>
        </is>
      </c>
      <c r="D1059" s="9" t="inlineStr">
        <is>
          <t>ACC fan F31 motor (VFD output)</t>
        </is>
      </c>
      <c r="E1059" s="9" t="inlineStr">
        <is>
          <t>R4</t>
        </is>
      </c>
      <c r="F1059" s="9" t="inlineStr">
        <is>
          <t>R4: ACC electrical (VFD) e-house (60 x 120 ft)</t>
        </is>
      </c>
      <c r="G1059" s="9" t="inlineStr">
        <is>
          <t>ACC-F31</t>
        </is>
      </c>
      <c r="H1059" s="9" t="inlineStr">
        <is>
          <t>ACC fan motor F31</t>
        </is>
      </c>
      <c r="I1059" s="9" t="inlineStr">
        <is>
          <t>LV 600 V</t>
        </is>
      </c>
      <c r="J1059" s="9" t="inlineStr">
        <is>
          <t>VFD cable 600 V 3/C Cu XHHW-2, 3 symmetrical grounds, overall Cu tape shield, TC-ER</t>
        </is>
      </c>
      <c r="K1059" s="9" t="inlineStr">
        <is>
          <t>VFD|3/C+3G|350</t>
        </is>
      </c>
      <c r="L1059" s="9" t="inlineStr">
        <is>
          <t>3/C+3G</t>
        </is>
      </c>
      <c r="M1059" s="9" t="inlineStr">
        <is>
          <t>350 kcmil</t>
        </is>
      </c>
      <c r="N1059" s="9" t="n">
        <v>1</v>
      </c>
      <c r="O1059" s="9" t="n">
        <v>1</v>
      </c>
      <c r="P1059" s="9" t="n">
        <v>480</v>
      </c>
      <c r="Q1059" s="9" t="n">
        <v>150</v>
      </c>
      <c r="R1059" s="9" t="n">
        <v>212</v>
      </c>
      <c r="S1059" s="9" t="inlineStr">
        <is>
          <t>Tray</t>
        </is>
      </c>
      <c r="T1059" s="10" t="n">
        <v>473</v>
      </c>
      <c r="U1059" s="10" t="n">
        <v>72</v>
      </c>
      <c r="V1059" s="10">
        <f>ROUNDUP((T1059+U1059+2*'Read Me'!$B$13)*(1+'Read Me'!$B$12),-1)</f>
        <v/>
      </c>
      <c r="W1059" s="10">
        <f>V1059*N1059*O1059</f>
        <v/>
      </c>
      <c r="X1059" s="9">
        <f>IF(LEFT(I1059,2)="MV",2*N1059*IF(L1059="1/C",O1059,1),0)</f>
        <v/>
      </c>
      <c r="Y1059" s="9">
        <f>IF(OR(LEFT(K1059,4)="LVAX",LEFT(K1059,6)="MV15AX",LEFT(K1059,4)="CTAX",LEFT(K1059,2)="W|"),2*N1059*O1059,0)</f>
        <v/>
      </c>
      <c r="Z1059" s="9" t="inlineStr">
        <is>
          <t>VD 1.7 %</t>
        </is>
      </c>
    </row>
    <row r="1060">
      <c r="A1060" s="9" t="inlineStr">
        <is>
          <t>B-P-0032</t>
        </is>
      </c>
      <c r="B1060" s="9" t="inlineStr">
        <is>
          <t>B</t>
        </is>
      </c>
      <c r="C1060" s="9" t="inlineStr">
        <is>
          <t>ACC</t>
        </is>
      </c>
      <c r="D1060" s="9" t="inlineStr">
        <is>
          <t>ACC fan F32 motor (VFD output)</t>
        </is>
      </c>
      <c r="E1060" s="9" t="inlineStr">
        <is>
          <t>R4</t>
        </is>
      </c>
      <c r="F1060" s="9" t="inlineStr">
        <is>
          <t>R4: ACC electrical (VFD) e-house (60 x 120 ft)</t>
        </is>
      </c>
      <c r="G1060" s="9" t="inlineStr">
        <is>
          <t>ACC-F32</t>
        </is>
      </c>
      <c r="H1060" s="9" t="inlineStr">
        <is>
          <t>ACC fan motor F32</t>
        </is>
      </c>
      <c r="I1060" s="9" t="inlineStr">
        <is>
          <t>LV 600 V</t>
        </is>
      </c>
      <c r="J1060" s="9" t="inlineStr">
        <is>
          <t>VFD cable 600 V 3/C Cu XHHW-2, 3 symmetrical grounds, overall Cu tape shield, TC-ER</t>
        </is>
      </c>
      <c r="K1060" s="9" t="inlineStr">
        <is>
          <t>VFD|3/C+3G|350</t>
        </is>
      </c>
      <c r="L1060" s="9" t="inlineStr">
        <is>
          <t>3/C+3G</t>
        </is>
      </c>
      <c r="M1060" s="9" t="inlineStr">
        <is>
          <t>350 kcmil</t>
        </is>
      </c>
      <c r="N1060" s="9" t="n">
        <v>1</v>
      </c>
      <c r="O1060" s="9" t="n">
        <v>1</v>
      </c>
      <c r="P1060" s="9" t="n">
        <v>480</v>
      </c>
      <c r="Q1060" s="9" t="n">
        <v>150</v>
      </c>
      <c r="R1060" s="9" t="n">
        <v>212</v>
      </c>
      <c r="S1060" s="9" t="inlineStr">
        <is>
          <t>Tray</t>
        </is>
      </c>
      <c r="T1060" s="10" t="n">
        <v>441</v>
      </c>
      <c r="U1060" s="10" t="n">
        <v>72</v>
      </c>
      <c r="V1060" s="10">
        <f>ROUNDUP((T1060+U1060+2*'Read Me'!$B$13)*(1+'Read Me'!$B$12),-1)</f>
        <v/>
      </c>
      <c r="W1060" s="10">
        <f>V1060*N1060*O1060</f>
        <v/>
      </c>
      <c r="X1060" s="9">
        <f>IF(LEFT(I1060,2)="MV",2*N1060*IF(L1060="1/C",O1060,1),0)</f>
        <v/>
      </c>
      <c r="Y1060" s="9">
        <f>IF(OR(LEFT(K1060,4)="LVAX",LEFT(K1060,6)="MV15AX",LEFT(K1060,4)="CTAX",LEFT(K1060,2)="W|"),2*N1060*O1060,0)</f>
        <v/>
      </c>
      <c r="Z1060" s="9" t="inlineStr">
        <is>
          <t>VD 1.6 %</t>
        </is>
      </c>
    </row>
    <row r="1061">
      <c r="A1061" s="9" t="inlineStr">
        <is>
          <t>B-P-0033</t>
        </is>
      </c>
      <c r="B1061" s="9" t="inlineStr">
        <is>
          <t>B</t>
        </is>
      </c>
      <c r="C1061" s="9" t="inlineStr">
        <is>
          <t>ACC</t>
        </is>
      </c>
      <c r="D1061" s="9" t="inlineStr">
        <is>
          <t>ACC fan F33 motor (VFD output)</t>
        </is>
      </c>
      <c r="E1061" s="9" t="inlineStr">
        <is>
          <t>R4</t>
        </is>
      </c>
      <c r="F1061" s="9" t="inlineStr">
        <is>
          <t>R4: ACC electrical (VFD) e-house (60 x 120 ft)</t>
        </is>
      </c>
      <c r="G1061" s="9" t="inlineStr">
        <is>
          <t>ACC-F33</t>
        </is>
      </c>
      <c r="H1061" s="9" t="inlineStr">
        <is>
          <t>ACC fan motor F33</t>
        </is>
      </c>
      <c r="I1061" s="9" t="inlineStr">
        <is>
          <t>LV 600 V</t>
        </is>
      </c>
      <c r="J1061" s="9" t="inlineStr">
        <is>
          <t>VFD cable 600 V 3/C Cu XHHW-2, 3 symmetrical grounds, overall Cu tape shield, TC-ER</t>
        </is>
      </c>
      <c r="K1061" s="9" t="inlineStr">
        <is>
          <t>VFD|3/C+3G|350</t>
        </is>
      </c>
      <c r="L1061" s="9" t="inlineStr">
        <is>
          <t>3/C+3G</t>
        </is>
      </c>
      <c r="M1061" s="9" t="inlineStr">
        <is>
          <t>350 kcmil</t>
        </is>
      </c>
      <c r="N1061" s="9" t="n">
        <v>1</v>
      </c>
      <c r="O1061" s="9" t="n">
        <v>1</v>
      </c>
      <c r="P1061" s="9" t="n">
        <v>480</v>
      </c>
      <c r="Q1061" s="9" t="n">
        <v>150</v>
      </c>
      <c r="R1061" s="9" t="n">
        <v>212</v>
      </c>
      <c r="S1061" s="9" t="inlineStr">
        <is>
          <t>Tray</t>
        </is>
      </c>
      <c r="T1061" s="10" t="n">
        <v>409</v>
      </c>
      <c r="U1061" s="10" t="n">
        <v>72</v>
      </c>
      <c r="V1061" s="10">
        <f>ROUNDUP((T1061+U1061+2*'Read Me'!$B$13)*(1+'Read Me'!$B$12),-1)</f>
        <v/>
      </c>
      <c r="W1061" s="10">
        <f>V1061*N1061*O1061</f>
        <v/>
      </c>
      <c r="X1061" s="9">
        <f>IF(LEFT(I1061,2)="MV",2*N1061*IF(L1061="1/C",O1061,1),0)</f>
        <v/>
      </c>
      <c r="Y1061" s="9">
        <f>IF(OR(LEFT(K1061,4)="LVAX",LEFT(K1061,6)="MV15AX",LEFT(K1061,4)="CTAX",LEFT(K1061,2)="W|"),2*N1061*O1061,0)</f>
        <v/>
      </c>
      <c r="Z1061" s="9" t="inlineStr">
        <is>
          <t>VD 1.5 %</t>
        </is>
      </c>
    </row>
    <row r="1062">
      <c r="A1062" s="9" t="inlineStr">
        <is>
          <t>B-P-0034</t>
        </is>
      </c>
      <c r="B1062" s="9" t="inlineStr">
        <is>
          <t>B</t>
        </is>
      </c>
      <c r="C1062" s="9" t="inlineStr">
        <is>
          <t>ACC</t>
        </is>
      </c>
      <c r="D1062" s="9" t="inlineStr">
        <is>
          <t>ACC fan F34 motor (VFD output)</t>
        </is>
      </c>
      <c r="E1062" s="9" t="inlineStr">
        <is>
          <t>R4</t>
        </is>
      </c>
      <c r="F1062" s="9" t="inlineStr">
        <is>
          <t>R4: ACC electrical (VFD) e-house (60 x 120 ft)</t>
        </is>
      </c>
      <c r="G1062" s="9" t="inlineStr">
        <is>
          <t>ACC-F34</t>
        </is>
      </c>
      <c r="H1062" s="9" t="inlineStr">
        <is>
          <t>ACC fan motor F34</t>
        </is>
      </c>
      <c r="I1062" s="9" t="inlineStr">
        <is>
          <t>LV 600 V</t>
        </is>
      </c>
      <c r="J1062" s="9" t="inlineStr">
        <is>
          <t>VFD cable 600 V 3/C Cu XHHW-2, 3 symmetrical grounds, overall Cu tape shield, TC-ER</t>
        </is>
      </c>
      <c r="K1062" s="9" t="inlineStr">
        <is>
          <t>VFD|3/C+3G|350</t>
        </is>
      </c>
      <c r="L1062" s="9" t="inlineStr">
        <is>
          <t>3/C+3G</t>
        </is>
      </c>
      <c r="M1062" s="9" t="inlineStr">
        <is>
          <t>350 kcmil</t>
        </is>
      </c>
      <c r="N1062" s="9" t="n">
        <v>1</v>
      </c>
      <c r="O1062" s="9" t="n">
        <v>1</v>
      </c>
      <c r="P1062" s="9" t="n">
        <v>480</v>
      </c>
      <c r="Q1062" s="9" t="n">
        <v>150</v>
      </c>
      <c r="R1062" s="9" t="n">
        <v>212</v>
      </c>
      <c r="S1062" s="9" t="inlineStr">
        <is>
          <t>Tray</t>
        </is>
      </c>
      <c r="T1062" s="10" t="n">
        <v>377</v>
      </c>
      <c r="U1062" s="10" t="n">
        <v>72</v>
      </c>
      <c r="V1062" s="10">
        <f>ROUNDUP((T1062+U1062+2*'Read Me'!$B$13)*(1+'Read Me'!$B$12),-1)</f>
        <v/>
      </c>
      <c r="W1062" s="10">
        <f>V1062*N1062*O1062</f>
        <v/>
      </c>
      <c r="X1062" s="9">
        <f>IF(LEFT(I1062,2)="MV",2*N1062*IF(L1062="1/C",O1062,1),0)</f>
        <v/>
      </c>
      <c r="Y1062" s="9">
        <f>IF(OR(LEFT(K1062,4)="LVAX",LEFT(K1062,6)="MV15AX",LEFT(K1062,4)="CTAX",LEFT(K1062,2)="W|"),2*N1062*O1062,0)</f>
        <v/>
      </c>
      <c r="Z1062" s="9" t="inlineStr">
        <is>
          <t>VD 1.4 %</t>
        </is>
      </c>
    </row>
    <row r="1063">
      <c r="A1063" s="9" t="inlineStr">
        <is>
          <t>B-P-0035</t>
        </is>
      </c>
      <c r="B1063" s="9" t="inlineStr">
        <is>
          <t>B</t>
        </is>
      </c>
      <c r="C1063" s="9" t="inlineStr">
        <is>
          <t>ACC</t>
        </is>
      </c>
      <c r="D1063" s="9" t="inlineStr">
        <is>
          <t>ACC fan F35 motor (VFD output)</t>
        </is>
      </c>
      <c r="E1063" s="9" t="inlineStr">
        <is>
          <t>R4</t>
        </is>
      </c>
      <c r="F1063" s="9" t="inlineStr">
        <is>
          <t>R4: ACC electrical (VFD) e-house (60 x 120 ft)</t>
        </is>
      </c>
      <c r="G1063" s="9" t="inlineStr">
        <is>
          <t>ACC-F35</t>
        </is>
      </c>
      <c r="H1063" s="9" t="inlineStr">
        <is>
          <t>ACC fan motor F35</t>
        </is>
      </c>
      <c r="I1063" s="9" t="inlineStr">
        <is>
          <t>LV 600 V</t>
        </is>
      </c>
      <c r="J1063" s="9" t="inlineStr">
        <is>
          <t>VFD cable 600 V 3/C Cu XHHW-2, 3 symmetrical grounds, overall Cu tape shield, TC-ER</t>
        </is>
      </c>
      <c r="K1063" s="9" t="inlineStr">
        <is>
          <t>VFD|3/C+3G|350</t>
        </is>
      </c>
      <c r="L1063" s="9" t="inlineStr">
        <is>
          <t>3/C+3G</t>
        </is>
      </c>
      <c r="M1063" s="9" t="inlineStr">
        <is>
          <t>350 kcmil</t>
        </is>
      </c>
      <c r="N1063" s="9" t="n">
        <v>1</v>
      </c>
      <c r="O1063" s="9" t="n">
        <v>1</v>
      </c>
      <c r="P1063" s="9" t="n">
        <v>480</v>
      </c>
      <c r="Q1063" s="9" t="n">
        <v>150</v>
      </c>
      <c r="R1063" s="9" t="n">
        <v>212</v>
      </c>
      <c r="S1063" s="9" t="inlineStr">
        <is>
          <t>Tray</t>
        </is>
      </c>
      <c r="T1063" s="10" t="n">
        <v>345</v>
      </c>
      <c r="U1063" s="10" t="n">
        <v>72</v>
      </c>
      <c r="V1063" s="10">
        <f>ROUNDUP((T1063+U1063+2*'Read Me'!$B$13)*(1+'Read Me'!$B$12),-1)</f>
        <v/>
      </c>
      <c r="W1063" s="10">
        <f>V1063*N1063*O1063</f>
        <v/>
      </c>
      <c r="X1063" s="9">
        <f>IF(LEFT(I1063,2)="MV",2*N1063*IF(L1063="1/C",O1063,1),0)</f>
        <v/>
      </c>
      <c r="Y1063" s="9">
        <f>IF(OR(LEFT(K1063,4)="LVAX",LEFT(K1063,6)="MV15AX",LEFT(K1063,4)="CTAX",LEFT(K1063,2)="W|"),2*N1063*O1063,0)</f>
        <v/>
      </c>
      <c r="Z1063" s="9" t="inlineStr">
        <is>
          <t>VD 1.3 %</t>
        </is>
      </c>
    </row>
    <row r="1064">
      <c r="A1064" s="9" t="inlineStr">
        <is>
          <t>B-P-0036</t>
        </is>
      </c>
      <c r="B1064" s="9" t="inlineStr">
        <is>
          <t>B</t>
        </is>
      </c>
      <c r="C1064" s="9" t="inlineStr">
        <is>
          <t>ACC</t>
        </is>
      </c>
      <c r="D1064" s="9" t="inlineStr">
        <is>
          <t>ACC fan F36 motor (VFD output)</t>
        </is>
      </c>
      <c r="E1064" s="9" t="inlineStr">
        <is>
          <t>R4</t>
        </is>
      </c>
      <c r="F1064" s="9" t="inlineStr">
        <is>
          <t>R4: ACC electrical (VFD) e-house (60 x 120 ft)</t>
        </is>
      </c>
      <c r="G1064" s="9" t="inlineStr">
        <is>
          <t>ACC-F36</t>
        </is>
      </c>
      <c r="H1064" s="9" t="inlineStr">
        <is>
          <t>ACC fan motor F36</t>
        </is>
      </c>
      <c r="I1064" s="9" t="inlineStr">
        <is>
          <t>LV 600 V</t>
        </is>
      </c>
      <c r="J1064" s="9" t="inlineStr">
        <is>
          <t>VFD cable 600 V 3/C Cu XHHW-2, 3 symmetrical grounds, overall Cu tape shield, TC-ER</t>
        </is>
      </c>
      <c r="K1064" s="9" t="inlineStr">
        <is>
          <t>VFD|3/C+3G|350</t>
        </is>
      </c>
      <c r="L1064" s="9" t="inlineStr">
        <is>
          <t>3/C+3G</t>
        </is>
      </c>
      <c r="M1064" s="9" t="inlineStr">
        <is>
          <t>350 kcmil</t>
        </is>
      </c>
      <c r="N1064" s="9" t="n">
        <v>1</v>
      </c>
      <c r="O1064" s="9" t="n">
        <v>1</v>
      </c>
      <c r="P1064" s="9" t="n">
        <v>480</v>
      </c>
      <c r="Q1064" s="9" t="n">
        <v>150</v>
      </c>
      <c r="R1064" s="9" t="n">
        <v>212</v>
      </c>
      <c r="S1064" s="9" t="inlineStr">
        <is>
          <t>Tray</t>
        </is>
      </c>
      <c r="T1064" s="10" t="n">
        <v>345</v>
      </c>
      <c r="U1064" s="10" t="n">
        <v>72</v>
      </c>
      <c r="V1064" s="10">
        <f>ROUNDUP((T1064+U1064+2*'Read Me'!$B$13)*(1+'Read Me'!$B$12),-1)</f>
        <v/>
      </c>
      <c r="W1064" s="10">
        <f>V1064*N1064*O1064</f>
        <v/>
      </c>
      <c r="X1064" s="9">
        <f>IF(LEFT(I1064,2)="MV",2*N1064*IF(L1064="1/C",O1064,1),0)</f>
        <v/>
      </c>
      <c r="Y1064" s="9">
        <f>IF(OR(LEFT(K1064,4)="LVAX",LEFT(K1064,6)="MV15AX",LEFT(K1064,4)="CTAX",LEFT(K1064,2)="W|"),2*N1064*O1064,0)</f>
        <v/>
      </c>
      <c r="Z1064" s="9" t="inlineStr">
        <is>
          <t>VD 1.3 %</t>
        </is>
      </c>
    </row>
    <row r="1065">
      <c r="A1065" s="9" t="inlineStr">
        <is>
          <t>B-P-0037</t>
        </is>
      </c>
      <c r="B1065" s="9" t="inlineStr">
        <is>
          <t>B</t>
        </is>
      </c>
      <c r="C1065" s="9" t="inlineStr">
        <is>
          <t>ACC</t>
        </is>
      </c>
      <c r="D1065" s="9" t="inlineStr">
        <is>
          <t>ACC fan F37 motor (VFD output)</t>
        </is>
      </c>
      <c r="E1065" s="9" t="inlineStr">
        <is>
          <t>R4</t>
        </is>
      </c>
      <c r="F1065" s="9" t="inlineStr">
        <is>
          <t>R4: ACC electrical (VFD) e-house (60 x 120 ft)</t>
        </is>
      </c>
      <c r="G1065" s="9" t="inlineStr">
        <is>
          <t>ACC-F37</t>
        </is>
      </c>
      <c r="H1065" s="9" t="inlineStr">
        <is>
          <t>ACC fan motor F37</t>
        </is>
      </c>
      <c r="I1065" s="9" t="inlineStr">
        <is>
          <t>LV 600 V</t>
        </is>
      </c>
      <c r="J1065" s="9" t="inlineStr">
        <is>
          <t>VFD cable 600 V 3/C Cu XHHW-2, 3 symmetrical grounds, overall Cu tape shield, TC-ER</t>
        </is>
      </c>
      <c r="K1065" s="9" t="inlineStr">
        <is>
          <t>VFD|3/C+3G|350</t>
        </is>
      </c>
      <c r="L1065" s="9" t="inlineStr">
        <is>
          <t>3/C+3G</t>
        </is>
      </c>
      <c r="M1065" s="9" t="inlineStr">
        <is>
          <t>350 kcmil</t>
        </is>
      </c>
      <c r="N1065" s="9" t="n">
        <v>1</v>
      </c>
      <c r="O1065" s="9" t="n">
        <v>1</v>
      </c>
      <c r="P1065" s="9" t="n">
        <v>480</v>
      </c>
      <c r="Q1065" s="9" t="n">
        <v>150</v>
      </c>
      <c r="R1065" s="9" t="n">
        <v>212</v>
      </c>
      <c r="S1065" s="9" t="inlineStr">
        <is>
          <t>Tray</t>
        </is>
      </c>
      <c r="T1065" s="10" t="n">
        <v>377</v>
      </c>
      <c r="U1065" s="10" t="n">
        <v>72</v>
      </c>
      <c r="V1065" s="10">
        <f>ROUNDUP((T1065+U1065+2*'Read Me'!$B$13)*(1+'Read Me'!$B$12),-1)</f>
        <v/>
      </c>
      <c r="W1065" s="10">
        <f>V1065*N1065*O1065</f>
        <v/>
      </c>
      <c r="X1065" s="9">
        <f>IF(LEFT(I1065,2)="MV",2*N1065*IF(L1065="1/C",O1065,1),0)</f>
        <v/>
      </c>
      <c r="Y1065" s="9">
        <f>IF(OR(LEFT(K1065,4)="LVAX",LEFT(K1065,6)="MV15AX",LEFT(K1065,4)="CTAX",LEFT(K1065,2)="W|"),2*N1065*O1065,0)</f>
        <v/>
      </c>
      <c r="Z1065" s="9" t="inlineStr">
        <is>
          <t>VD 1.4 %</t>
        </is>
      </c>
    </row>
    <row r="1066">
      <c r="A1066" s="9" t="inlineStr">
        <is>
          <t>B-P-0038</t>
        </is>
      </c>
      <c r="B1066" s="9" t="inlineStr">
        <is>
          <t>B</t>
        </is>
      </c>
      <c r="C1066" s="9" t="inlineStr">
        <is>
          <t>ACC</t>
        </is>
      </c>
      <c r="D1066" s="9" t="inlineStr">
        <is>
          <t>ACC fan F38 motor (VFD output)</t>
        </is>
      </c>
      <c r="E1066" s="9" t="inlineStr">
        <is>
          <t>R4</t>
        </is>
      </c>
      <c r="F1066" s="9" t="inlineStr">
        <is>
          <t>R4: ACC electrical (VFD) e-house (60 x 120 ft)</t>
        </is>
      </c>
      <c r="G1066" s="9" t="inlineStr">
        <is>
          <t>ACC-F38</t>
        </is>
      </c>
      <c r="H1066" s="9" t="inlineStr">
        <is>
          <t>ACC fan motor F38</t>
        </is>
      </c>
      <c r="I1066" s="9" t="inlineStr">
        <is>
          <t>LV 600 V</t>
        </is>
      </c>
      <c r="J1066" s="9" t="inlineStr">
        <is>
          <t>VFD cable 600 V 3/C Cu XHHW-2, 3 symmetrical grounds, overall Cu tape shield, TC-ER</t>
        </is>
      </c>
      <c r="K1066" s="9" t="inlineStr">
        <is>
          <t>VFD|3/C+3G|350</t>
        </is>
      </c>
      <c r="L1066" s="9" t="inlineStr">
        <is>
          <t>3/C+3G</t>
        </is>
      </c>
      <c r="M1066" s="9" t="inlineStr">
        <is>
          <t>350 kcmil</t>
        </is>
      </c>
      <c r="N1066" s="9" t="n">
        <v>1</v>
      </c>
      <c r="O1066" s="9" t="n">
        <v>1</v>
      </c>
      <c r="P1066" s="9" t="n">
        <v>480</v>
      </c>
      <c r="Q1066" s="9" t="n">
        <v>150</v>
      </c>
      <c r="R1066" s="9" t="n">
        <v>212</v>
      </c>
      <c r="S1066" s="9" t="inlineStr">
        <is>
          <t>Tray</t>
        </is>
      </c>
      <c r="T1066" s="10" t="n">
        <v>409</v>
      </c>
      <c r="U1066" s="10" t="n">
        <v>72</v>
      </c>
      <c r="V1066" s="10">
        <f>ROUNDUP((T1066+U1066+2*'Read Me'!$B$13)*(1+'Read Me'!$B$12),-1)</f>
        <v/>
      </c>
      <c r="W1066" s="10">
        <f>V1066*N1066*O1066</f>
        <v/>
      </c>
      <c r="X1066" s="9">
        <f>IF(LEFT(I1066,2)="MV",2*N1066*IF(L1066="1/C",O1066,1),0)</f>
        <v/>
      </c>
      <c r="Y1066" s="9">
        <f>IF(OR(LEFT(K1066,4)="LVAX",LEFT(K1066,6)="MV15AX",LEFT(K1066,4)="CTAX",LEFT(K1066,2)="W|"),2*N1066*O1066,0)</f>
        <v/>
      </c>
      <c r="Z1066" s="9" t="inlineStr">
        <is>
          <t>VD 1.5 %</t>
        </is>
      </c>
    </row>
    <row r="1067">
      <c r="A1067" s="9" t="inlineStr">
        <is>
          <t>B-P-0039</t>
        </is>
      </c>
      <c r="B1067" s="9" t="inlineStr">
        <is>
          <t>B</t>
        </is>
      </c>
      <c r="C1067" s="9" t="inlineStr">
        <is>
          <t>ACC</t>
        </is>
      </c>
      <c r="D1067" s="9" t="inlineStr">
        <is>
          <t>ACC fan F39 motor (VFD output)</t>
        </is>
      </c>
      <c r="E1067" s="9" t="inlineStr">
        <is>
          <t>R4</t>
        </is>
      </c>
      <c r="F1067" s="9" t="inlineStr">
        <is>
          <t>R4: ACC electrical (VFD) e-house (60 x 120 ft)</t>
        </is>
      </c>
      <c r="G1067" s="9" t="inlineStr">
        <is>
          <t>ACC-F39</t>
        </is>
      </c>
      <c r="H1067" s="9" t="inlineStr">
        <is>
          <t>ACC fan motor F39</t>
        </is>
      </c>
      <c r="I1067" s="9" t="inlineStr">
        <is>
          <t>LV 600 V</t>
        </is>
      </c>
      <c r="J1067" s="9" t="inlineStr">
        <is>
          <t>VFD cable 600 V 3/C Cu XHHW-2, 3 symmetrical grounds, overall Cu tape shield, TC-ER</t>
        </is>
      </c>
      <c r="K1067" s="9" t="inlineStr">
        <is>
          <t>VFD|3/C+3G|350</t>
        </is>
      </c>
      <c r="L1067" s="9" t="inlineStr">
        <is>
          <t>3/C+3G</t>
        </is>
      </c>
      <c r="M1067" s="9" t="inlineStr">
        <is>
          <t>350 kcmil</t>
        </is>
      </c>
      <c r="N1067" s="9" t="n">
        <v>1</v>
      </c>
      <c r="O1067" s="9" t="n">
        <v>1</v>
      </c>
      <c r="P1067" s="9" t="n">
        <v>480</v>
      </c>
      <c r="Q1067" s="9" t="n">
        <v>150</v>
      </c>
      <c r="R1067" s="9" t="n">
        <v>212</v>
      </c>
      <c r="S1067" s="9" t="inlineStr">
        <is>
          <t>Tray</t>
        </is>
      </c>
      <c r="T1067" s="10" t="n">
        <v>441</v>
      </c>
      <c r="U1067" s="10" t="n">
        <v>72</v>
      </c>
      <c r="V1067" s="10">
        <f>ROUNDUP((T1067+U1067+2*'Read Me'!$B$13)*(1+'Read Me'!$B$12),-1)</f>
        <v/>
      </c>
      <c r="W1067" s="10">
        <f>V1067*N1067*O1067</f>
        <v/>
      </c>
      <c r="X1067" s="9">
        <f>IF(LEFT(I1067,2)="MV",2*N1067*IF(L1067="1/C",O1067,1),0)</f>
        <v/>
      </c>
      <c r="Y1067" s="9">
        <f>IF(OR(LEFT(K1067,4)="LVAX",LEFT(K1067,6)="MV15AX",LEFT(K1067,4)="CTAX",LEFT(K1067,2)="W|"),2*N1067*O1067,0)</f>
        <v/>
      </c>
      <c r="Z1067" s="9" t="inlineStr">
        <is>
          <t>VD 1.6 %</t>
        </is>
      </c>
    </row>
    <row r="1068">
      <c r="A1068" s="9" t="inlineStr">
        <is>
          <t>B-P-0040</t>
        </is>
      </c>
      <c r="B1068" s="9" t="inlineStr">
        <is>
          <t>B</t>
        </is>
      </c>
      <c r="C1068" s="9" t="inlineStr">
        <is>
          <t>ACC</t>
        </is>
      </c>
      <c r="D1068" s="9" t="inlineStr">
        <is>
          <t>ACC fan F40 motor (VFD output)</t>
        </is>
      </c>
      <c r="E1068" s="9" t="inlineStr">
        <is>
          <t>R4</t>
        </is>
      </c>
      <c r="F1068" s="9" t="inlineStr">
        <is>
          <t>R4: ACC electrical (VFD) e-house (60 x 120 ft)</t>
        </is>
      </c>
      <c r="G1068" s="9" t="inlineStr">
        <is>
          <t>ACC-F40</t>
        </is>
      </c>
      <c r="H1068" s="9" t="inlineStr">
        <is>
          <t>ACC fan motor F40</t>
        </is>
      </c>
      <c r="I1068" s="9" t="inlineStr">
        <is>
          <t>LV 600 V</t>
        </is>
      </c>
      <c r="J1068" s="9" t="inlineStr">
        <is>
          <t>VFD cable 600 V 3/C Cu XHHW-2, 3 symmetrical grounds, overall Cu tape shield, TC-ER</t>
        </is>
      </c>
      <c r="K1068" s="9" t="inlineStr">
        <is>
          <t>VFD|3/C+3G|350</t>
        </is>
      </c>
      <c r="L1068" s="9" t="inlineStr">
        <is>
          <t>3/C+3G</t>
        </is>
      </c>
      <c r="M1068" s="9" t="inlineStr">
        <is>
          <t>350 kcmil</t>
        </is>
      </c>
      <c r="N1068" s="9" t="n">
        <v>1</v>
      </c>
      <c r="O1068" s="9" t="n">
        <v>1</v>
      </c>
      <c r="P1068" s="9" t="n">
        <v>480</v>
      </c>
      <c r="Q1068" s="9" t="n">
        <v>150</v>
      </c>
      <c r="R1068" s="9" t="n">
        <v>212</v>
      </c>
      <c r="S1068" s="9" t="inlineStr">
        <is>
          <t>Tray</t>
        </is>
      </c>
      <c r="T1068" s="10" t="n">
        <v>473</v>
      </c>
      <c r="U1068" s="10" t="n">
        <v>72</v>
      </c>
      <c r="V1068" s="10">
        <f>ROUNDUP((T1068+U1068+2*'Read Me'!$B$13)*(1+'Read Me'!$B$12),-1)</f>
        <v/>
      </c>
      <c r="W1068" s="10">
        <f>V1068*N1068*O1068</f>
        <v/>
      </c>
      <c r="X1068" s="9">
        <f>IF(LEFT(I1068,2)="MV",2*N1068*IF(L1068="1/C",O1068,1),0)</f>
        <v/>
      </c>
      <c r="Y1068" s="9">
        <f>IF(OR(LEFT(K1068,4)="LVAX",LEFT(K1068,6)="MV15AX",LEFT(K1068,4)="CTAX",LEFT(K1068,2)="W|"),2*N1068*O1068,0)</f>
        <v/>
      </c>
      <c r="Z1068" s="9" t="inlineStr">
        <is>
          <t>VD 1.7 %</t>
        </is>
      </c>
    </row>
    <row r="1069">
      <c r="A1069" s="9" t="inlineStr">
        <is>
          <t>B-P-0041</t>
        </is>
      </c>
      <c r="B1069" s="9" t="inlineStr">
        <is>
          <t>B</t>
        </is>
      </c>
      <c r="C1069" s="9" t="inlineStr">
        <is>
          <t>ACC</t>
        </is>
      </c>
      <c r="D1069" s="9" t="inlineStr">
        <is>
          <t>ACC fan F41 motor (VFD output)</t>
        </is>
      </c>
      <c r="E1069" s="9" t="inlineStr">
        <is>
          <t>R4</t>
        </is>
      </c>
      <c r="F1069" s="9" t="inlineStr">
        <is>
          <t>R4: ACC electrical (VFD) e-house (60 x 120 ft)</t>
        </is>
      </c>
      <c r="G1069" s="9" t="inlineStr">
        <is>
          <t>ACC-F41</t>
        </is>
      </c>
      <c r="H1069" s="9" t="inlineStr">
        <is>
          <t>ACC fan motor F41</t>
        </is>
      </c>
      <c r="I1069" s="9" t="inlineStr">
        <is>
          <t>LV 600 V</t>
        </is>
      </c>
      <c r="J1069" s="9" t="inlineStr">
        <is>
          <t>VFD cable 600 V 3/C Cu XHHW-2, 3 symmetrical grounds, overall Cu tape shield, TC-ER</t>
        </is>
      </c>
      <c r="K1069" s="9" t="inlineStr">
        <is>
          <t>VFD|3/C+3G|350</t>
        </is>
      </c>
      <c r="L1069" s="9" t="inlineStr">
        <is>
          <t>3/C+3G</t>
        </is>
      </c>
      <c r="M1069" s="9" t="inlineStr">
        <is>
          <t>350 kcmil</t>
        </is>
      </c>
      <c r="N1069" s="9" t="n">
        <v>1</v>
      </c>
      <c r="O1069" s="9" t="n">
        <v>1</v>
      </c>
      <c r="P1069" s="9" t="n">
        <v>480</v>
      </c>
      <c r="Q1069" s="9" t="n">
        <v>150</v>
      </c>
      <c r="R1069" s="9" t="n">
        <v>212</v>
      </c>
      <c r="S1069" s="9" t="inlineStr">
        <is>
          <t>Tray</t>
        </is>
      </c>
      <c r="T1069" s="10" t="n">
        <v>473</v>
      </c>
      <c r="U1069" s="10" t="n">
        <v>72</v>
      </c>
      <c r="V1069" s="10">
        <f>ROUNDUP((T1069+U1069+2*'Read Me'!$B$13)*(1+'Read Me'!$B$12),-1)</f>
        <v/>
      </c>
      <c r="W1069" s="10">
        <f>V1069*N1069*O1069</f>
        <v/>
      </c>
      <c r="X1069" s="9">
        <f>IF(LEFT(I1069,2)="MV",2*N1069*IF(L1069="1/C",O1069,1),0)</f>
        <v/>
      </c>
      <c r="Y1069" s="9">
        <f>IF(OR(LEFT(K1069,4)="LVAX",LEFT(K1069,6)="MV15AX",LEFT(K1069,4)="CTAX",LEFT(K1069,2)="W|"),2*N1069*O1069,0)</f>
        <v/>
      </c>
      <c r="Z1069" s="9" t="inlineStr">
        <is>
          <t>VD 1.7 %</t>
        </is>
      </c>
    </row>
    <row r="1070">
      <c r="A1070" s="9" t="inlineStr">
        <is>
          <t>B-P-0042</t>
        </is>
      </c>
      <c r="B1070" s="9" t="inlineStr">
        <is>
          <t>B</t>
        </is>
      </c>
      <c r="C1070" s="9" t="inlineStr">
        <is>
          <t>ACC</t>
        </is>
      </c>
      <c r="D1070" s="9" t="inlineStr">
        <is>
          <t>ACC fan F42 motor (VFD output)</t>
        </is>
      </c>
      <c r="E1070" s="9" t="inlineStr">
        <is>
          <t>R4</t>
        </is>
      </c>
      <c r="F1070" s="9" t="inlineStr">
        <is>
          <t>R4: ACC electrical (VFD) e-house (60 x 120 ft)</t>
        </is>
      </c>
      <c r="G1070" s="9" t="inlineStr">
        <is>
          <t>ACC-F42</t>
        </is>
      </c>
      <c r="H1070" s="9" t="inlineStr">
        <is>
          <t>ACC fan motor F42</t>
        </is>
      </c>
      <c r="I1070" s="9" t="inlineStr">
        <is>
          <t>LV 600 V</t>
        </is>
      </c>
      <c r="J1070" s="9" t="inlineStr">
        <is>
          <t>VFD cable 600 V 3/C Cu XHHW-2, 3 symmetrical grounds, overall Cu tape shield, TC-ER</t>
        </is>
      </c>
      <c r="K1070" s="9" t="inlineStr">
        <is>
          <t>VFD|3/C+3G|350</t>
        </is>
      </c>
      <c r="L1070" s="9" t="inlineStr">
        <is>
          <t>3/C+3G</t>
        </is>
      </c>
      <c r="M1070" s="9" t="inlineStr">
        <is>
          <t>350 kcmil</t>
        </is>
      </c>
      <c r="N1070" s="9" t="n">
        <v>1</v>
      </c>
      <c r="O1070" s="9" t="n">
        <v>1</v>
      </c>
      <c r="P1070" s="9" t="n">
        <v>480</v>
      </c>
      <c r="Q1070" s="9" t="n">
        <v>150</v>
      </c>
      <c r="R1070" s="9" t="n">
        <v>212</v>
      </c>
      <c r="S1070" s="9" t="inlineStr">
        <is>
          <t>Tray</t>
        </is>
      </c>
      <c r="T1070" s="10" t="n">
        <v>441</v>
      </c>
      <c r="U1070" s="10" t="n">
        <v>72</v>
      </c>
      <c r="V1070" s="10">
        <f>ROUNDUP((T1070+U1070+2*'Read Me'!$B$13)*(1+'Read Me'!$B$12),-1)</f>
        <v/>
      </c>
      <c r="W1070" s="10">
        <f>V1070*N1070*O1070</f>
        <v/>
      </c>
      <c r="X1070" s="9">
        <f>IF(LEFT(I1070,2)="MV",2*N1070*IF(L1070="1/C",O1070,1),0)</f>
        <v/>
      </c>
      <c r="Y1070" s="9">
        <f>IF(OR(LEFT(K1070,4)="LVAX",LEFT(K1070,6)="MV15AX",LEFT(K1070,4)="CTAX",LEFT(K1070,2)="W|"),2*N1070*O1070,0)</f>
        <v/>
      </c>
      <c r="Z1070" s="9" t="inlineStr">
        <is>
          <t>VD 1.6 %</t>
        </is>
      </c>
    </row>
    <row r="1071">
      <c r="A1071" s="9" t="inlineStr">
        <is>
          <t>B-P-0043</t>
        </is>
      </c>
      <c r="B1071" s="9" t="inlineStr">
        <is>
          <t>B</t>
        </is>
      </c>
      <c r="C1071" s="9" t="inlineStr">
        <is>
          <t>ACC</t>
        </is>
      </c>
      <c r="D1071" s="9" t="inlineStr">
        <is>
          <t>ACC fan F43 motor (VFD output)</t>
        </is>
      </c>
      <c r="E1071" s="9" t="inlineStr">
        <is>
          <t>R4</t>
        </is>
      </c>
      <c r="F1071" s="9" t="inlineStr">
        <is>
          <t>R4: ACC electrical (VFD) e-house (60 x 120 ft)</t>
        </is>
      </c>
      <c r="G1071" s="9" t="inlineStr">
        <is>
          <t>ACC-F43</t>
        </is>
      </c>
      <c r="H1071" s="9" t="inlineStr">
        <is>
          <t>ACC fan motor F43</t>
        </is>
      </c>
      <c r="I1071" s="9" t="inlineStr">
        <is>
          <t>LV 600 V</t>
        </is>
      </c>
      <c r="J1071" s="9" t="inlineStr">
        <is>
          <t>VFD cable 600 V 3/C Cu XHHW-2, 3 symmetrical grounds, overall Cu tape shield, TC-ER</t>
        </is>
      </c>
      <c r="K1071" s="9" t="inlineStr">
        <is>
          <t>VFD|3/C+3G|350</t>
        </is>
      </c>
      <c r="L1071" s="9" t="inlineStr">
        <is>
          <t>3/C+3G</t>
        </is>
      </c>
      <c r="M1071" s="9" t="inlineStr">
        <is>
          <t>350 kcmil</t>
        </is>
      </c>
      <c r="N1071" s="9" t="n">
        <v>1</v>
      </c>
      <c r="O1071" s="9" t="n">
        <v>1</v>
      </c>
      <c r="P1071" s="9" t="n">
        <v>480</v>
      </c>
      <c r="Q1071" s="9" t="n">
        <v>150</v>
      </c>
      <c r="R1071" s="9" t="n">
        <v>212</v>
      </c>
      <c r="S1071" s="9" t="inlineStr">
        <is>
          <t>Tray</t>
        </is>
      </c>
      <c r="T1071" s="10" t="n">
        <v>409</v>
      </c>
      <c r="U1071" s="10" t="n">
        <v>72</v>
      </c>
      <c r="V1071" s="10">
        <f>ROUNDUP((T1071+U1071+2*'Read Me'!$B$13)*(1+'Read Me'!$B$12),-1)</f>
        <v/>
      </c>
      <c r="W1071" s="10">
        <f>V1071*N1071*O1071</f>
        <v/>
      </c>
      <c r="X1071" s="9">
        <f>IF(LEFT(I1071,2)="MV",2*N1071*IF(L1071="1/C",O1071,1),0)</f>
        <v/>
      </c>
      <c r="Y1071" s="9">
        <f>IF(OR(LEFT(K1071,4)="LVAX",LEFT(K1071,6)="MV15AX",LEFT(K1071,4)="CTAX",LEFT(K1071,2)="W|"),2*N1071*O1071,0)</f>
        <v/>
      </c>
      <c r="Z1071" s="9" t="inlineStr">
        <is>
          <t>VD 1.5 %</t>
        </is>
      </c>
    </row>
    <row r="1072">
      <c r="A1072" s="9" t="inlineStr">
        <is>
          <t>B-P-0044</t>
        </is>
      </c>
      <c r="B1072" s="9" t="inlineStr">
        <is>
          <t>B</t>
        </is>
      </c>
      <c r="C1072" s="9" t="inlineStr">
        <is>
          <t>ACC</t>
        </is>
      </c>
      <c r="D1072" s="9" t="inlineStr">
        <is>
          <t>ACC fan F44 motor (VFD output)</t>
        </is>
      </c>
      <c r="E1072" s="9" t="inlineStr">
        <is>
          <t>R4</t>
        </is>
      </c>
      <c r="F1072" s="9" t="inlineStr">
        <is>
          <t>R4: ACC electrical (VFD) e-house (60 x 120 ft)</t>
        </is>
      </c>
      <c r="G1072" s="9" t="inlineStr">
        <is>
          <t>ACC-F44</t>
        </is>
      </c>
      <c r="H1072" s="9" t="inlineStr">
        <is>
          <t>ACC fan motor F44</t>
        </is>
      </c>
      <c r="I1072" s="9" t="inlineStr">
        <is>
          <t>LV 600 V</t>
        </is>
      </c>
      <c r="J1072" s="9" t="inlineStr">
        <is>
          <t>VFD cable 600 V 3/C Cu XHHW-2, 3 symmetrical grounds, overall Cu tape shield, TC-ER</t>
        </is>
      </c>
      <c r="K1072" s="9" t="inlineStr">
        <is>
          <t>VFD|3/C+3G|350</t>
        </is>
      </c>
      <c r="L1072" s="9" t="inlineStr">
        <is>
          <t>3/C+3G</t>
        </is>
      </c>
      <c r="M1072" s="9" t="inlineStr">
        <is>
          <t>350 kcmil</t>
        </is>
      </c>
      <c r="N1072" s="9" t="n">
        <v>1</v>
      </c>
      <c r="O1072" s="9" t="n">
        <v>1</v>
      </c>
      <c r="P1072" s="9" t="n">
        <v>480</v>
      </c>
      <c r="Q1072" s="9" t="n">
        <v>150</v>
      </c>
      <c r="R1072" s="9" t="n">
        <v>212</v>
      </c>
      <c r="S1072" s="9" t="inlineStr">
        <is>
          <t>Tray</t>
        </is>
      </c>
      <c r="T1072" s="10" t="n">
        <v>377</v>
      </c>
      <c r="U1072" s="10" t="n">
        <v>72</v>
      </c>
      <c r="V1072" s="10">
        <f>ROUNDUP((T1072+U1072+2*'Read Me'!$B$13)*(1+'Read Me'!$B$12),-1)</f>
        <v/>
      </c>
      <c r="W1072" s="10">
        <f>V1072*N1072*O1072</f>
        <v/>
      </c>
      <c r="X1072" s="9">
        <f>IF(LEFT(I1072,2)="MV",2*N1072*IF(L1072="1/C",O1072,1),0)</f>
        <v/>
      </c>
      <c r="Y1072" s="9">
        <f>IF(OR(LEFT(K1072,4)="LVAX",LEFT(K1072,6)="MV15AX",LEFT(K1072,4)="CTAX",LEFT(K1072,2)="W|"),2*N1072*O1072,0)</f>
        <v/>
      </c>
      <c r="Z1072" s="9" t="inlineStr">
        <is>
          <t>VD 1.4 %</t>
        </is>
      </c>
    </row>
    <row r="1073">
      <c r="A1073" s="9" t="inlineStr">
        <is>
          <t>B-P-0045</t>
        </is>
      </c>
      <c r="B1073" s="9" t="inlineStr">
        <is>
          <t>B</t>
        </is>
      </c>
      <c r="C1073" s="9" t="inlineStr">
        <is>
          <t>ACC</t>
        </is>
      </c>
      <c r="D1073" s="9" t="inlineStr">
        <is>
          <t>ACC fan F45 motor (VFD output)</t>
        </is>
      </c>
      <c r="E1073" s="9" t="inlineStr">
        <is>
          <t>R4</t>
        </is>
      </c>
      <c r="F1073" s="9" t="inlineStr">
        <is>
          <t>R4: ACC electrical (VFD) e-house (60 x 120 ft)</t>
        </is>
      </c>
      <c r="G1073" s="9" t="inlineStr">
        <is>
          <t>ACC-F45</t>
        </is>
      </c>
      <c r="H1073" s="9" t="inlineStr">
        <is>
          <t>ACC fan motor F45</t>
        </is>
      </c>
      <c r="I1073" s="9" t="inlineStr">
        <is>
          <t>LV 600 V</t>
        </is>
      </c>
      <c r="J1073" s="9" t="inlineStr">
        <is>
          <t>VFD cable 600 V 3/C Cu XHHW-2, 3 symmetrical grounds, overall Cu tape shield, TC-ER</t>
        </is>
      </c>
      <c r="K1073" s="9" t="inlineStr">
        <is>
          <t>VFD|3/C+3G|350</t>
        </is>
      </c>
      <c r="L1073" s="9" t="inlineStr">
        <is>
          <t>3/C+3G</t>
        </is>
      </c>
      <c r="M1073" s="9" t="inlineStr">
        <is>
          <t>350 kcmil</t>
        </is>
      </c>
      <c r="N1073" s="9" t="n">
        <v>1</v>
      </c>
      <c r="O1073" s="9" t="n">
        <v>1</v>
      </c>
      <c r="P1073" s="9" t="n">
        <v>480</v>
      </c>
      <c r="Q1073" s="9" t="n">
        <v>150</v>
      </c>
      <c r="R1073" s="9" t="n">
        <v>212</v>
      </c>
      <c r="S1073" s="9" t="inlineStr">
        <is>
          <t>Tray</t>
        </is>
      </c>
      <c r="T1073" s="10" t="n">
        <v>345</v>
      </c>
      <c r="U1073" s="10" t="n">
        <v>72</v>
      </c>
      <c r="V1073" s="10">
        <f>ROUNDUP((T1073+U1073+2*'Read Me'!$B$13)*(1+'Read Me'!$B$12),-1)</f>
        <v/>
      </c>
      <c r="W1073" s="10">
        <f>V1073*N1073*O1073</f>
        <v/>
      </c>
      <c r="X1073" s="9">
        <f>IF(LEFT(I1073,2)="MV",2*N1073*IF(L1073="1/C",O1073,1),0)</f>
        <v/>
      </c>
      <c r="Y1073" s="9">
        <f>IF(OR(LEFT(K1073,4)="LVAX",LEFT(K1073,6)="MV15AX",LEFT(K1073,4)="CTAX",LEFT(K1073,2)="W|"),2*N1073*O1073,0)</f>
        <v/>
      </c>
      <c r="Z1073" s="9" t="inlineStr">
        <is>
          <t>VD 1.3 %</t>
        </is>
      </c>
    </row>
    <row r="1074">
      <c r="A1074" s="9" t="inlineStr">
        <is>
          <t>B-P-0046</t>
        </is>
      </c>
      <c r="B1074" s="9" t="inlineStr">
        <is>
          <t>B</t>
        </is>
      </c>
      <c r="C1074" s="9" t="inlineStr">
        <is>
          <t>ACC</t>
        </is>
      </c>
      <c r="D1074" s="9" t="inlineStr">
        <is>
          <t>ACC fan F46 motor (VFD output)</t>
        </is>
      </c>
      <c r="E1074" s="9" t="inlineStr">
        <is>
          <t>R4</t>
        </is>
      </c>
      <c r="F1074" s="9" t="inlineStr">
        <is>
          <t>R4: ACC electrical (VFD) e-house (60 x 120 ft)</t>
        </is>
      </c>
      <c r="G1074" s="9" t="inlineStr">
        <is>
          <t>ACC-F46</t>
        </is>
      </c>
      <c r="H1074" s="9" t="inlineStr">
        <is>
          <t>ACC fan motor F46</t>
        </is>
      </c>
      <c r="I1074" s="9" t="inlineStr">
        <is>
          <t>LV 600 V</t>
        </is>
      </c>
      <c r="J1074" s="9" t="inlineStr">
        <is>
          <t>VFD cable 600 V 3/C Cu XHHW-2, 3 symmetrical grounds, overall Cu tape shield, TC-ER</t>
        </is>
      </c>
      <c r="K1074" s="9" t="inlineStr">
        <is>
          <t>VFD|3/C+3G|350</t>
        </is>
      </c>
      <c r="L1074" s="9" t="inlineStr">
        <is>
          <t>3/C+3G</t>
        </is>
      </c>
      <c r="M1074" s="9" t="inlineStr">
        <is>
          <t>350 kcmil</t>
        </is>
      </c>
      <c r="N1074" s="9" t="n">
        <v>1</v>
      </c>
      <c r="O1074" s="9" t="n">
        <v>1</v>
      </c>
      <c r="P1074" s="9" t="n">
        <v>480</v>
      </c>
      <c r="Q1074" s="9" t="n">
        <v>150</v>
      </c>
      <c r="R1074" s="9" t="n">
        <v>212</v>
      </c>
      <c r="S1074" s="9" t="inlineStr">
        <is>
          <t>Tray</t>
        </is>
      </c>
      <c r="T1074" s="10" t="n">
        <v>345</v>
      </c>
      <c r="U1074" s="10" t="n">
        <v>72</v>
      </c>
      <c r="V1074" s="10">
        <f>ROUNDUP((T1074+U1074+2*'Read Me'!$B$13)*(1+'Read Me'!$B$12),-1)</f>
        <v/>
      </c>
      <c r="W1074" s="10">
        <f>V1074*N1074*O1074</f>
        <v/>
      </c>
      <c r="X1074" s="9">
        <f>IF(LEFT(I1074,2)="MV",2*N1074*IF(L1074="1/C",O1074,1),0)</f>
        <v/>
      </c>
      <c r="Y1074" s="9">
        <f>IF(OR(LEFT(K1074,4)="LVAX",LEFT(K1074,6)="MV15AX",LEFT(K1074,4)="CTAX",LEFT(K1074,2)="W|"),2*N1074*O1074,0)</f>
        <v/>
      </c>
      <c r="Z1074" s="9" t="inlineStr">
        <is>
          <t>VD 1.3 %</t>
        </is>
      </c>
    </row>
    <row r="1075">
      <c r="A1075" s="9" t="inlineStr">
        <is>
          <t>B-P-0047</t>
        </is>
      </c>
      <c r="B1075" s="9" t="inlineStr">
        <is>
          <t>B</t>
        </is>
      </c>
      <c r="C1075" s="9" t="inlineStr">
        <is>
          <t>ACC</t>
        </is>
      </c>
      <c r="D1075" s="9" t="inlineStr">
        <is>
          <t>ACC fan F47 motor (VFD output)</t>
        </is>
      </c>
      <c r="E1075" s="9" t="inlineStr">
        <is>
          <t>R4</t>
        </is>
      </c>
      <c r="F1075" s="9" t="inlineStr">
        <is>
          <t>R4: ACC electrical (VFD) e-house (60 x 120 ft)</t>
        </is>
      </c>
      <c r="G1075" s="9" t="inlineStr">
        <is>
          <t>ACC-F47</t>
        </is>
      </c>
      <c r="H1075" s="9" t="inlineStr">
        <is>
          <t>ACC fan motor F47</t>
        </is>
      </c>
      <c r="I1075" s="9" t="inlineStr">
        <is>
          <t>LV 600 V</t>
        </is>
      </c>
      <c r="J1075" s="9" t="inlineStr">
        <is>
          <t>VFD cable 600 V 3/C Cu XHHW-2, 3 symmetrical grounds, overall Cu tape shield, TC-ER</t>
        </is>
      </c>
      <c r="K1075" s="9" t="inlineStr">
        <is>
          <t>VFD|3/C+3G|350</t>
        </is>
      </c>
      <c r="L1075" s="9" t="inlineStr">
        <is>
          <t>3/C+3G</t>
        </is>
      </c>
      <c r="M1075" s="9" t="inlineStr">
        <is>
          <t>350 kcmil</t>
        </is>
      </c>
      <c r="N1075" s="9" t="n">
        <v>1</v>
      </c>
      <c r="O1075" s="9" t="n">
        <v>1</v>
      </c>
      <c r="P1075" s="9" t="n">
        <v>480</v>
      </c>
      <c r="Q1075" s="9" t="n">
        <v>150</v>
      </c>
      <c r="R1075" s="9" t="n">
        <v>212</v>
      </c>
      <c r="S1075" s="9" t="inlineStr">
        <is>
          <t>Tray</t>
        </is>
      </c>
      <c r="T1075" s="10" t="n">
        <v>377</v>
      </c>
      <c r="U1075" s="10" t="n">
        <v>72</v>
      </c>
      <c r="V1075" s="10">
        <f>ROUNDUP((T1075+U1075+2*'Read Me'!$B$13)*(1+'Read Me'!$B$12),-1)</f>
        <v/>
      </c>
      <c r="W1075" s="10">
        <f>V1075*N1075*O1075</f>
        <v/>
      </c>
      <c r="X1075" s="9">
        <f>IF(LEFT(I1075,2)="MV",2*N1075*IF(L1075="1/C",O1075,1),0)</f>
        <v/>
      </c>
      <c r="Y1075" s="9">
        <f>IF(OR(LEFT(K1075,4)="LVAX",LEFT(K1075,6)="MV15AX",LEFT(K1075,4)="CTAX",LEFT(K1075,2)="W|"),2*N1075*O1075,0)</f>
        <v/>
      </c>
      <c r="Z1075" s="9" t="inlineStr">
        <is>
          <t>VD 1.4 %</t>
        </is>
      </c>
    </row>
    <row r="1076">
      <c r="A1076" s="9" t="inlineStr">
        <is>
          <t>B-P-0048</t>
        </is>
      </c>
      <c r="B1076" s="9" t="inlineStr">
        <is>
          <t>B</t>
        </is>
      </c>
      <c r="C1076" s="9" t="inlineStr">
        <is>
          <t>ACC</t>
        </is>
      </c>
      <c r="D1076" s="9" t="inlineStr">
        <is>
          <t>ACC fan F48 motor (VFD output)</t>
        </is>
      </c>
      <c r="E1076" s="9" t="inlineStr">
        <is>
          <t>R4</t>
        </is>
      </c>
      <c r="F1076" s="9" t="inlineStr">
        <is>
          <t>R4: ACC electrical (VFD) e-house (60 x 120 ft)</t>
        </is>
      </c>
      <c r="G1076" s="9" t="inlineStr">
        <is>
          <t>ACC-F48</t>
        </is>
      </c>
      <c r="H1076" s="9" t="inlineStr">
        <is>
          <t>ACC fan motor F48</t>
        </is>
      </c>
      <c r="I1076" s="9" t="inlineStr">
        <is>
          <t>LV 600 V</t>
        </is>
      </c>
      <c r="J1076" s="9" t="inlineStr">
        <is>
          <t>VFD cable 600 V 3/C Cu XHHW-2, 3 symmetrical grounds, overall Cu tape shield, TC-ER</t>
        </is>
      </c>
      <c r="K1076" s="9" t="inlineStr">
        <is>
          <t>VFD|3/C+3G|350</t>
        </is>
      </c>
      <c r="L1076" s="9" t="inlineStr">
        <is>
          <t>3/C+3G</t>
        </is>
      </c>
      <c r="M1076" s="9" t="inlineStr">
        <is>
          <t>350 kcmil</t>
        </is>
      </c>
      <c r="N1076" s="9" t="n">
        <v>1</v>
      </c>
      <c r="O1076" s="9" t="n">
        <v>1</v>
      </c>
      <c r="P1076" s="9" t="n">
        <v>480</v>
      </c>
      <c r="Q1076" s="9" t="n">
        <v>150</v>
      </c>
      <c r="R1076" s="9" t="n">
        <v>212</v>
      </c>
      <c r="S1076" s="9" t="inlineStr">
        <is>
          <t>Tray</t>
        </is>
      </c>
      <c r="T1076" s="10" t="n">
        <v>409</v>
      </c>
      <c r="U1076" s="10" t="n">
        <v>72</v>
      </c>
      <c r="V1076" s="10">
        <f>ROUNDUP((T1076+U1076+2*'Read Me'!$B$13)*(1+'Read Me'!$B$12),-1)</f>
        <v/>
      </c>
      <c r="W1076" s="10">
        <f>V1076*N1076*O1076</f>
        <v/>
      </c>
      <c r="X1076" s="9">
        <f>IF(LEFT(I1076,2)="MV",2*N1076*IF(L1076="1/C",O1076,1),0)</f>
        <v/>
      </c>
      <c r="Y1076" s="9">
        <f>IF(OR(LEFT(K1076,4)="LVAX",LEFT(K1076,6)="MV15AX",LEFT(K1076,4)="CTAX",LEFT(K1076,2)="W|"),2*N1076*O1076,0)</f>
        <v/>
      </c>
      <c r="Z1076" s="9" t="inlineStr">
        <is>
          <t>VD 1.5 %</t>
        </is>
      </c>
    </row>
    <row r="1077">
      <c r="A1077" s="9" t="inlineStr">
        <is>
          <t>B-P-0049</t>
        </is>
      </c>
      <c r="B1077" s="9" t="inlineStr">
        <is>
          <t>B</t>
        </is>
      </c>
      <c r="C1077" s="9" t="inlineStr">
        <is>
          <t>ACC</t>
        </is>
      </c>
      <c r="D1077" s="9" t="inlineStr">
        <is>
          <t>ACC fan F49 motor (VFD output)</t>
        </is>
      </c>
      <c r="E1077" s="9" t="inlineStr">
        <is>
          <t>R4</t>
        </is>
      </c>
      <c r="F1077" s="9" t="inlineStr">
        <is>
          <t>R4: ACC electrical (VFD) e-house (60 x 120 ft)</t>
        </is>
      </c>
      <c r="G1077" s="9" t="inlineStr">
        <is>
          <t>ACC-F49</t>
        </is>
      </c>
      <c r="H1077" s="9" t="inlineStr">
        <is>
          <t>ACC fan motor F49</t>
        </is>
      </c>
      <c r="I1077" s="9" t="inlineStr">
        <is>
          <t>LV 600 V</t>
        </is>
      </c>
      <c r="J1077" s="9" t="inlineStr">
        <is>
          <t>VFD cable 600 V 3/C Cu XHHW-2, 3 symmetrical grounds, overall Cu tape shield, TC-ER</t>
        </is>
      </c>
      <c r="K1077" s="9" t="inlineStr">
        <is>
          <t>VFD|3/C+3G|350</t>
        </is>
      </c>
      <c r="L1077" s="9" t="inlineStr">
        <is>
          <t>3/C+3G</t>
        </is>
      </c>
      <c r="M1077" s="9" t="inlineStr">
        <is>
          <t>350 kcmil</t>
        </is>
      </c>
      <c r="N1077" s="9" t="n">
        <v>1</v>
      </c>
      <c r="O1077" s="9" t="n">
        <v>1</v>
      </c>
      <c r="P1077" s="9" t="n">
        <v>480</v>
      </c>
      <c r="Q1077" s="9" t="n">
        <v>150</v>
      </c>
      <c r="R1077" s="9" t="n">
        <v>212</v>
      </c>
      <c r="S1077" s="9" t="inlineStr">
        <is>
          <t>Tray</t>
        </is>
      </c>
      <c r="T1077" s="10" t="n">
        <v>441</v>
      </c>
      <c r="U1077" s="10" t="n">
        <v>72</v>
      </c>
      <c r="V1077" s="10">
        <f>ROUNDUP((T1077+U1077+2*'Read Me'!$B$13)*(1+'Read Me'!$B$12),-1)</f>
        <v/>
      </c>
      <c r="W1077" s="10">
        <f>V1077*N1077*O1077</f>
        <v/>
      </c>
      <c r="X1077" s="9">
        <f>IF(LEFT(I1077,2)="MV",2*N1077*IF(L1077="1/C",O1077,1),0)</f>
        <v/>
      </c>
      <c r="Y1077" s="9">
        <f>IF(OR(LEFT(K1077,4)="LVAX",LEFT(K1077,6)="MV15AX",LEFT(K1077,4)="CTAX",LEFT(K1077,2)="W|"),2*N1077*O1077,0)</f>
        <v/>
      </c>
      <c r="Z1077" s="9" t="inlineStr">
        <is>
          <t>VD 1.6 %</t>
        </is>
      </c>
    </row>
    <row r="1078">
      <c r="A1078" s="9" t="inlineStr">
        <is>
          <t>B-P-0050</t>
        </is>
      </c>
      <c r="B1078" s="9" t="inlineStr">
        <is>
          <t>B</t>
        </is>
      </c>
      <c r="C1078" s="9" t="inlineStr">
        <is>
          <t>ACC</t>
        </is>
      </c>
      <c r="D1078" s="9" t="inlineStr">
        <is>
          <t>ACC fan F50 motor (VFD output)</t>
        </is>
      </c>
      <c r="E1078" s="9" t="inlineStr">
        <is>
          <t>R4</t>
        </is>
      </c>
      <c r="F1078" s="9" t="inlineStr">
        <is>
          <t>R4: ACC electrical (VFD) e-house (60 x 120 ft)</t>
        </is>
      </c>
      <c r="G1078" s="9" t="inlineStr">
        <is>
          <t>ACC-F50</t>
        </is>
      </c>
      <c r="H1078" s="9" t="inlineStr">
        <is>
          <t>ACC fan motor F50</t>
        </is>
      </c>
      <c r="I1078" s="9" t="inlineStr">
        <is>
          <t>LV 600 V</t>
        </is>
      </c>
      <c r="J1078" s="9" t="inlineStr">
        <is>
          <t>VFD cable 600 V 3/C Cu XHHW-2, 3 symmetrical grounds, overall Cu tape shield, TC-ER</t>
        </is>
      </c>
      <c r="K1078" s="9" t="inlineStr">
        <is>
          <t>VFD|3/C+3G|350</t>
        </is>
      </c>
      <c r="L1078" s="9" t="inlineStr">
        <is>
          <t>3/C+3G</t>
        </is>
      </c>
      <c r="M1078" s="9" t="inlineStr">
        <is>
          <t>350 kcmil</t>
        </is>
      </c>
      <c r="N1078" s="9" t="n">
        <v>1</v>
      </c>
      <c r="O1078" s="9" t="n">
        <v>1</v>
      </c>
      <c r="P1078" s="9" t="n">
        <v>480</v>
      </c>
      <c r="Q1078" s="9" t="n">
        <v>150</v>
      </c>
      <c r="R1078" s="9" t="n">
        <v>212</v>
      </c>
      <c r="S1078" s="9" t="inlineStr">
        <is>
          <t>Tray</t>
        </is>
      </c>
      <c r="T1078" s="10" t="n">
        <v>473</v>
      </c>
      <c r="U1078" s="10" t="n">
        <v>72</v>
      </c>
      <c r="V1078" s="10">
        <f>ROUNDUP((T1078+U1078+2*'Read Me'!$B$13)*(1+'Read Me'!$B$12),-1)</f>
        <v/>
      </c>
      <c r="W1078" s="10">
        <f>V1078*N1078*O1078</f>
        <v/>
      </c>
      <c r="X1078" s="9">
        <f>IF(LEFT(I1078,2)="MV",2*N1078*IF(L1078="1/C",O1078,1),0)</f>
        <v/>
      </c>
      <c r="Y1078" s="9">
        <f>IF(OR(LEFT(K1078,4)="LVAX",LEFT(K1078,6)="MV15AX",LEFT(K1078,4)="CTAX",LEFT(K1078,2)="W|"),2*N1078*O1078,0)</f>
        <v/>
      </c>
      <c r="Z1078" s="9" t="inlineStr">
        <is>
          <t>VD 1.7 %</t>
        </is>
      </c>
    </row>
    <row r="1079">
      <c r="A1079" s="9" t="inlineStr">
        <is>
          <t>B-P-0051</t>
        </is>
      </c>
      <c r="B1079" s="9" t="inlineStr">
        <is>
          <t>B</t>
        </is>
      </c>
      <c r="C1079" s="9" t="inlineStr">
        <is>
          <t>ACC</t>
        </is>
      </c>
      <c r="D1079" s="9" t="inlineStr">
        <is>
          <t>ACC fan F51 motor (VFD output)</t>
        </is>
      </c>
      <c r="E1079" s="9" t="inlineStr">
        <is>
          <t>R4</t>
        </is>
      </c>
      <c r="F1079" s="9" t="inlineStr">
        <is>
          <t>R4: ACC electrical (VFD) e-house (60 x 120 ft)</t>
        </is>
      </c>
      <c r="G1079" s="9" t="inlineStr">
        <is>
          <t>ACC-F51</t>
        </is>
      </c>
      <c r="H1079" s="9" t="inlineStr">
        <is>
          <t>ACC fan motor F51</t>
        </is>
      </c>
      <c r="I1079" s="9" t="inlineStr">
        <is>
          <t>LV 600 V</t>
        </is>
      </c>
      <c r="J1079" s="9" t="inlineStr">
        <is>
          <t>VFD cable 600 V 3/C Cu XHHW-2, 3 symmetrical grounds, overall Cu tape shield, TC-ER</t>
        </is>
      </c>
      <c r="K1079" s="9" t="inlineStr">
        <is>
          <t>VFD|3/C+3G|350</t>
        </is>
      </c>
      <c r="L1079" s="9" t="inlineStr">
        <is>
          <t>3/C+3G</t>
        </is>
      </c>
      <c r="M1079" s="9" t="inlineStr">
        <is>
          <t>350 kcmil</t>
        </is>
      </c>
      <c r="N1079" s="9" t="n">
        <v>1</v>
      </c>
      <c r="O1079" s="9" t="n">
        <v>1</v>
      </c>
      <c r="P1079" s="9" t="n">
        <v>480</v>
      </c>
      <c r="Q1079" s="9" t="n">
        <v>150</v>
      </c>
      <c r="R1079" s="9" t="n">
        <v>212</v>
      </c>
      <c r="S1079" s="9" t="inlineStr">
        <is>
          <t>Tray</t>
        </is>
      </c>
      <c r="T1079" s="10" t="n">
        <v>523</v>
      </c>
      <c r="U1079" s="10" t="n">
        <v>72</v>
      </c>
      <c r="V1079" s="10">
        <f>ROUNDUP((T1079+U1079+2*'Read Me'!$B$13)*(1+'Read Me'!$B$12),-1)</f>
        <v/>
      </c>
      <c r="W1079" s="10">
        <f>V1079*N1079*O1079</f>
        <v/>
      </c>
      <c r="X1079" s="9">
        <f>IF(LEFT(I1079,2)="MV",2*N1079*IF(L1079="1/C",O1079,1),0)</f>
        <v/>
      </c>
      <c r="Y1079" s="9">
        <f>IF(OR(LEFT(K1079,4)="LVAX",LEFT(K1079,6)="MV15AX",LEFT(K1079,4)="CTAX",LEFT(K1079,2)="W|"),2*N1079*O1079,0)</f>
        <v/>
      </c>
      <c r="Z1079" s="9" t="inlineStr">
        <is>
          <t>VD 1.8 %</t>
        </is>
      </c>
    </row>
    <row r="1080">
      <c r="A1080" s="9" t="inlineStr">
        <is>
          <t>B-P-0052</t>
        </is>
      </c>
      <c r="B1080" s="9" t="inlineStr">
        <is>
          <t>B</t>
        </is>
      </c>
      <c r="C1080" s="9" t="inlineStr">
        <is>
          <t>ACC</t>
        </is>
      </c>
      <c r="D1080" s="9" t="inlineStr">
        <is>
          <t>ACC fan F52 motor (VFD output)</t>
        </is>
      </c>
      <c r="E1080" s="9" t="inlineStr">
        <is>
          <t>R4</t>
        </is>
      </c>
      <c r="F1080" s="9" t="inlineStr">
        <is>
          <t>R4: ACC electrical (VFD) e-house (60 x 120 ft)</t>
        </is>
      </c>
      <c r="G1080" s="9" t="inlineStr">
        <is>
          <t>ACC-F52</t>
        </is>
      </c>
      <c r="H1080" s="9" t="inlineStr">
        <is>
          <t>ACC fan motor F52</t>
        </is>
      </c>
      <c r="I1080" s="9" t="inlineStr">
        <is>
          <t>LV 600 V</t>
        </is>
      </c>
      <c r="J1080" s="9" t="inlineStr">
        <is>
          <t>VFD cable 600 V 3/C Cu XHHW-2, 3 symmetrical grounds, overall Cu tape shield, TC-ER</t>
        </is>
      </c>
      <c r="K1080" s="9" t="inlineStr">
        <is>
          <t>VFD|3/C+3G|350</t>
        </is>
      </c>
      <c r="L1080" s="9" t="inlineStr">
        <is>
          <t>3/C+3G</t>
        </is>
      </c>
      <c r="M1080" s="9" t="inlineStr">
        <is>
          <t>350 kcmil</t>
        </is>
      </c>
      <c r="N1080" s="9" t="n">
        <v>1</v>
      </c>
      <c r="O1080" s="9" t="n">
        <v>1</v>
      </c>
      <c r="P1080" s="9" t="n">
        <v>480</v>
      </c>
      <c r="Q1080" s="9" t="n">
        <v>150</v>
      </c>
      <c r="R1080" s="9" t="n">
        <v>212</v>
      </c>
      <c r="S1080" s="9" t="inlineStr">
        <is>
          <t>Tray</t>
        </is>
      </c>
      <c r="T1080" s="10" t="n">
        <v>491</v>
      </c>
      <c r="U1080" s="10" t="n">
        <v>72</v>
      </c>
      <c r="V1080" s="10">
        <f>ROUNDUP((T1080+U1080+2*'Read Me'!$B$13)*(1+'Read Me'!$B$12),-1)</f>
        <v/>
      </c>
      <c r="W1080" s="10">
        <f>V1080*N1080*O1080</f>
        <v/>
      </c>
      <c r="X1080" s="9">
        <f>IF(LEFT(I1080,2)="MV",2*N1080*IF(L1080="1/C",O1080,1),0)</f>
        <v/>
      </c>
      <c r="Y1080" s="9">
        <f>IF(OR(LEFT(K1080,4)="LVAX",LEFT(K1080,6)="MV15AX",LEFT(K1080,4)="CTAX",LEFT(K1080,2)="W|"),2*N1080*O1080,0)</f>
        <v/>
      </c>
      <c r="Z1080" s="9" t="inlineStr">
        <is>
          <t>VD 1.7 %</t>
        </is>
      </c>
    </row>
    <row r="1081">
      <c r="A1081" s="9" t="inlineStr">
        <is>
          <t>B-P-0053</t>
        </is>
      </c>
      <c r="B1081" s="9" t="inlineStr">
        <is>
          <t>B</t>
        </is>
      </c>
      <c r="C1081" s="9" t="inlineStr">
        <is>
          <t>ACC</t>
        </is>
      </c>
      <c r="D1081" s="9" t="inlineStr">
        <is>
          <t>ACC fan F53 motor (VFD output)</t>
        </is>
      </c>
      <c r="E1081" s="9" t="inlineStr">
        <is>
          <t>R4</t>
        </is>
      </c>
      <c r="F1081" s="9" t="inlineStr">
        <is>
          <t>R4: ACC electrical (VFD) e-house (60 x 120 ft)</t>
        </is>
      </c>
      <c r="G1081" s="9" t="inlineStr">
        <is>
          <t>ACC-F53</t>
        </is>
      </c>
      <c r="H1081" s="9" t="inlineStr">
        <is>
          <t>ACC fan motor F53</t>
        </is>
      </c>
      <c r="I1081" s="9" t="inlineStr">
        <is>
          <t>LV 600 V</t>
        </is>
      </c>
      <c r="J1081" s="9" t="inlineStr">
        <is>
          <t>VFD cable 600 V 3/C Cu XHHW-2, 3 symmetrical grounds, overall Cu tape shield, TC-ER</t>
        </is>
      </c>
      <c r="K1081" s="9" t="inlineStr">
        <is>
          <t>VFD|3/C+3G|350</t>
        </is>
      </c>
      <c r="L1081" s="9" t="inlineStr">
        <is>
          <t>3/C+3G</t>
        </is>
      </c>
      <c r="M1081" s="9" t="inlineStr">
        <is>
          <t>350 kcmil</t>
        </is>
      </c>
      <c r="N1081" s="9" t="n">
        <v>1</v>
      </c>
      <c r="O1081" s="9" t="n">
        <v>1</v>
      </c>
      <c r="P1081" s="9" t="n">
        <v>480</v>
      </c>
      <c r="Q1081" s="9" t="n">
        <v>150</v>
      </c>
      <c r="R1081" s="9" t="n">
        <v>212</v>
      </c>
      <c r="S1081" s="9" t="inlineStr">
        <is>
          <t>Tray</t>
        </is>
      </c>
      <c r="T1081" s="10" t="n">
        <v>459</v>
      </c>
      <c r="U1081" s="10" t="n">
        <v>72</v>
      </c>
      <c r="V1081" s="10">
        <f>ROUNDUP((T1081+U1081+2*'Read Me'!$B$13)*(1+'Read Me'!$B$12),-1)</f>
        <v/>
      </c>
      <c r="W1081" s="10">
        <f>V1081*N1081*O1081</f>
        <v/>
      </c>
      <c r="X1081" s="9">
        <f>IF(LEFT(I1081,2)="MV",2*N1081*IF(L1081="1/C",O1081,1),0)</f>
        <v/>
      </c>
      <c r="Y1081" s="9">
        <f>IF(OR(LEFT(K1081,4)="LVAX",LEFT(K1081,6)="MV15AX",LEFT(K1081,4)="CTAX",LEFT(K1081,2)="W|"),2*N1081*O1081,0)</f>
        <v/>
      </c>
      <c r="Z1081" s="9" t="inlineStr">
        <is>
          <t>VD 1.6 %</t>
        </is>
      </c>
    </row>
    <row r="1082">
      <c r="A1082" s="9" t="inlineStr">
        <is>
          <t>B-P-0054</t>
        </is>
      </c>
      <c r="B1082" s="9" t="inlineStr">
        <is>
          <t>B</t>
        </is>
      </c>
      <c r="C1082" s="9" t="inlineStr">
        <is>
          <t>ACC</t>
        </is>
      </c>
      <c r="D1082" s="9" t="inlineStr">
        <is>
          <t>ACC fan F54 motor (VFD output)</t>
        </is>
      </c>
      <c r="E1082" s="9" t="inlineStr">
        <is>
          <t>R4</t>
        </is>
      </c>
      <c r="F1082" s="9" t="inlineStr">
        <is>
          <t>R4: ACC electrical (VFD) e-house (60 x 120 ft)</t>
        </is>
      </c>
      <c r="G1082" s="9" t="inlineStr">
        <is>
          <t>ACC-F54</t>
        </is>
      </c>
      <c r="H1082" s="9" t="inlineStr">
        <is>
          <t>ACC fan motor F54</t>
        </is>
      </c>
      <c r="I1082" s="9" t="inlineStr">
        <is>
          <t>LV 600 V</t>
        </is>
      </c>
      <c r="J1082" s="9" t="inlineStr">
        <is>
          <t>VFD cable 600 V 3/C Cu XHHW-2, 3 symmetrical grounds, overall Cu tape shield, TC-ER</t>
        </is>
      </c>
      <c r="K1082" s="9" t="inlineStr">
        <is>
          <t>VFD|3/C+3G|350</t>
        </is>
      </c>
      <c r="L1082" s="9" t="inlineStr">
        <is>
          <t>3/C+3G</t>
        </is>
      </c>
      <c r="M1082" s="9" t="inlineStr">
        <is>
          <t>350 kcmil</t>
        </is>
      </c>
      <c r="N1082" s="9" t="n">
        <v>1</v>
      </c>
      <c r="O1082" s="9" t="n">
        <v>1</v>
      </c>
      <c r="P1082" s="9" t="n">
        <v>480</v>
      </c>
      <c r="Q1082" s="9" t="n">
        <v>150</v>
      </c>
      <c r="R1082" s="9" t="n">
        <v>212</v>
      </c>
      <c r="S1082" s="9" t="inlineStr">
        <is>
          <t>Tray</t>
        </is>
      </c>
      <c r="T1082" s="10" t="n">
        <v>427</v>
      </c>
      <c r="U1082" s="10" t="n">
        <v>72</v>
      </c>
      <c r="V1082" s="10">
        <f>ROUNDUP((T1082+U1082+2*'Read Me'!$B$13)*(1+'Read Me'!$B$12),-1)</f>
        <v/>
      </c>
      <c r="W1082" s="10">
        <f>V1082*N1082*O1082</f>
        <v/>
      </c>
      <c r="X1082" s="9">
        <f>IF(LEFT(I1082,2)="MV",2*N1082*IF(L1082="1/C",O1082,1),0)</f>
        <v/>
      </c>
      <c r="Y1082" s="9">
        <f>IF(OR(LEFT(K1082,4)="LVAX",LEFT(K1082,6)="MV15AX",LEFT(K1082,4)="CTAX",LEFT(K1082,2)="W|"),2*N1082*O1082,0)</f>
        <v/>
      </c>
      <c r="Z1082" s="9" t="inlineStr">
        <is>
          <t>VD 1.5 %</t>
        </is>
      </c>
    </row>
    <row r="1083">
      <c r="A1083" s="9" t="inlineStr">
        <is>
          <t>B-P-0055</t>
        </is>
      </c>
      <c r="B1083" s="9" t="inlineStr">
        <is>
          <t>B</t>
        </is>
      </c>
      <c r="C1083" s="9" t="inlineStr">
        <is>
          <t>ACC</t>
        </is>
      </c>
      <c r="D1083" s="9" t="inlineStr">
        <is>
          <t>ACC fan F55 motor (VFD output)</t>
        </is>
      </c>
      <c r="E1083" s="9" t="inlineStr">
        <is>
          <t>R4</t>
        </is>
      </c>
      <c r="F1083" s="9" t="inlineStr">
        <is>
          <t>R4: ACC electrical (VFD) e-house (60 x 120 ft)</t>
        </is>
      </c>
      <c r="G1083" s="9" t="inlineStr">
        <is>
          <t>ACC-F55</t>
        </is>
      </c>
      <c r="H1083" s="9" t="inlineStr">
        <is>
          <t>ACC fan motor F55</t>
        </is>
      </c>
      <c r="I1083" s="9" t="inlineStr">
        <is>
          <t>LV 600 V</t>
        </is>
      </c>
      <c r="J1083" s="9" t="inlineStr">
        <is>
          <t>VFD cable 600 V 3/C Cu XHHW-2, 3 symmetrical grounds, overall Cu tape shield, TC-ER</t>
        </is>
      </c>
      <c r="K1083" s="9" t="inlineStr">
        <is>
          <t>VFD|3/C+3G|350</t>
        </is>
      </c>
      <c r="L1083" s="9" t="inlineStr">
        <is>
          <t>3/C+3G</t>
        </is>
      </c>
      <c r="M1083" s="9" t="inlineStr">
        <is>
          <t>350 kcmil</t>
        </is>
      </c>
      <c r="N1083" s="9" t="n">
        <v>1</v>
      </c>
      <c r="O1083" s="9" t="n">
        <v>1</v>
      </c>
      <c r="P1083" s="9" t="n">
        <v>480</v>
      </c>
      <c r="Q1083" s="9" t="n">
        <v>150</v>
      </c>
      <c r="R1083" s="9" t="n">
        <v>212</v>
      </c>
      <c r="S1083" s="9" t="inlineStr">
        <is>
          <t>Tray</t>
        </is>
      </c>
      <c r="T1083" s="10" t="n">
        <v>395</v>
      </c>
      <c r="U1083" s="10" t="n">
        <v>72</v>
      </c>
      <c r="V1083" s="10">
        <f>ROUNDUP((T1083+U1083+2*'Read Me'!$B$13)*(1+'Read Me'!$B$12),-1)</f>
        <v/>
      </c>
      <c r="W1083" s="10">
        <f>V1083*N1083*O1083</f>
        <v/>
      </c>
      <c r="X1083" s="9">
        <f>IF(LEFT(I1083,2)="MV",2*N1083*IF(L1083="1/C",O1083,1),0)</f>
        <v/>
      </c>
      <c r="Y1083" s="9">
        <f>IF(OR(LEFT(K1083,4)="LVAX",LEFT(K1083,6)="MV15AX",LEFT(K1083,4)="CTAX",LEFT(K1083,2)="W|"),2*N1083*O1083,0)</f>
        <v/>
      </c>
      <c r="Z1083" s="9" t="inlineStr">
        <is>
          <t>VD 1.4 %</t>
        </is>
      </c>
    </row>
    <row r="1084">
      <c r="A1084" s="9" t="inlineStr">
        <is>
          <t>B-P-0056</t>
        </is>
      </c>
      <c r="B1084" s="9" t="inlineStr">
        <is>
          <t>B</t>
        </is>
      </c>
      <c r="C1084" s="9" t="inlineStr">
        <is>
          <t>ACC</t>
        </is>
      </c>
      <c r="D1084" s="9" t="inlineStr">
        <is>
          <t>ACC fan F56 motor (VFD output)</t>
        </is>
      </c>
      <c r="E1084" s="9" t="inlineStr">
        <is>
          <t>R4</t>
        </is>
      </c>
      <c r="F1084" s="9" t="inlineStr">
        <is>
          <t>R4: ACC electrical (VFD) e-house (60 x 120 ft)</t>
        </is>
      </c>
      <c r="G1084" s="9" t="inlineStr">
        <is>
          <t>ACC-F56</t>
        </is>
      </c>
      <c r="H1084" s="9" t="inlineStr">
        <is>
          <t>ACC fan motor F56</t>
        </is>
      </c>
      <c r="I1084" s="9" t="inlineStr">
        <is>
          <t>LV 600 V</t>
        </is>
      </c>
      <c r="J1084" s="9" t="inlineStr">
        <is>
          <t>VFD cable 600 V 3/C Cu XHHW-2, 3 symmetrical grounds, overall Cu tape shield, TC-ER</t>
        </is>
      </c>
      <c r="K1084" s="9" t="inlineStr">
        <is>
          <t>VFD|3/C+3G|350</t>
        </is>
      </c>
      <c r="L1084" s="9" t="inlineStr">
        <is>
          <t>3/C+3G</t>
        </is>
      </c>
      <c r="M1084" s="9" t="inlineStr">
        <is>
          <t>350 kcmil</t>
        </is>
      </c>
      <c r="N1084" s="9" t="n">
        <v>1</v>
      </c>
      <c r="O1084" s="9" t="n">
        <v>1</v>
      </c>
      <c r="P1084" s="9" t="n">
        <v>480</v>
      </c>
      <c r="Q1084" s="9" t="n">
        <v>150</v>
      </c>
      <c r="R1084" s="9" t="n">
        <v>212</v>
      </c>
      <c r="S1084" s="9" t="inlineStr">
        <is>
          <t>Tray</t>
        </is>
      </c>
      <c r="T1084" s="10" t="n">
        <v>395</v>
      </c>
      <c r="U1084" s="10" t="n">
        <v>72</v>
      </c>
      <c r="V1084" s="10">
        <f>ROUNDUP((T1084+U1084+2*'Read Me'!$B$13)*(1+'Read Me'!$B$12),-1)</f>
        <v/>
      </c>
      <c r="W1084" s="10">
        <f>V1084*N1084*O1084</f>
        <v/>
      </c>
      <c r="X1084" s="9">
        <f>IF(LEFT(I1084,2)="MV",2*N1084*IF(L1084="1/C",O1084,1),0)</f>
        <v/>
      </c>
      <c r="Y1084" s="9">
        <f>IF(OR(LEFT(K1084,4)="LVAX",LEFT(K1084,6)="MV15AX",LEFT(K1084,4)="CTAX",LEFT(K1084,2)="W|"),2*N1084*O1084,0)</f>
        <v/>
      </c>
      <c r="Z1084" s="9" t="inlineStr">
        <is>
          <t>VD 1.4 %</t>
        </is>
      </c>
    </row>
    <row r="1085">
      <c r="A1085" s="9" t="inlineStr">
        <is>
          <t>B-P-0057</t>
        </is>
      </c>
      <c r="B1085" s="9" t="inlineStr">
        <is>
          <t>B</t>
        </is>
      </c>
      <c r="C1085" s="9" t="inlineStr">
        <is>
          <t>ACC</t>
        </is>
      </c>
      <c r="D1085" s="9" t="inlineStr">
        <is>
          <t>ACC fan F57 motor (VFD output)</t>
        </is>
      </c>
      <c r="E1085" s="9" t="inlineStr">
        <is>
          <t>R4</t>
        </is>
      </c>
      <c r="F1085" s="9" t="inlineStr">
        <is>
          <t>R4: ACC electrical (VFD) e-house (60 x 120 ft)</t>
        </is>
      </c>
      <c r="G1085" s="9" t="inlineStr">
        <is>
          <t>ACC-F57</t>
        </is>
      </c>
      <c r="H1085" s="9" t="inlineStr">
        <is>
          <t>ACC fan motor F57</t>
        </is>
      </c>
      <c r="I1085" s="9" t="inlineStr">
        <is>
          <t>LV 600 V</t>
        </is>
      </c>
      <c r="J1085" s="9" t="inlineStr">
        <is>
          <t>VFD cable 600 V 3/C Cu XHHW-2, 3 symmetrical grounds, overall Cu tape shield, TC-ER</t>
        </is>
      </c>
      <c r="K1085" s="9" t="inlineStr">
        <is>
          <t>VFD|3/C+3G|350</t>
        </is>
      </c>
      <c r="L1085" s="9" t="inlineStr">
        <is>
          <t>3/C+3G</t>
        </is>
      </c>
      <c r="M1085" s="9" t="inlineStr">
        <is>
          <t>350 kcmil</t>
        </is>
      </c>
      <c r="N1085" s="9" t="n">
        <v>1</v>
      </c>
      <c r="O1085" s="9" t="n">
        <v>1</v>
      </c>
      <c r="P1085" s="9" t="n">
        <v>480</v>
      </c>
      <c r="Q1085" s="9" t="n">
        <v>150</v>
      </c>
      <c r="R1085" s="9" t="n">
        <v>212</v>
      </c>
      <c r="S1085" s="9" t="inlineStr">
        <is>
          <t>Tray</t>
        </is>
      </c>
      <c r="T1085" s="10" t="n">
        <v>427</v>
      </c>
      <c r="U1085" s="10" t="n">
        <v>72</v>
      </c>
      <c r="V1085" s="10">
        <f>ROUNDUP((T1085+U1085+2*'Read Me'!$B$13)*(1+'Read Me'!$B$12),-1)</f>
        <v/>
      </c>
      <c r="W1085" s="10">
        <f>V1085*N1085*O1085</f>
        <v/>
      </c>
      <c r="X1085" s="9">
        <f>IF(LEFT(I1085,2)="MV",2*N1085*IF(L1085="1/C",O1085,1),0)</f>
        <v/>
      </c>
      <c r="Y1085" s="9">
        <f>IF(OR(LEFT(K1085,4)="LVAX",LEFT(K1085,6)="MV15AX",LEFT(K1085,4)="CTAX",LEFT(K1085,2)="W|"),2*N1085*O1085,0)</f>
        <v/>
      </c>
      <c r="Z1085" s="9" t="inlineStr">
        <is>
          <t>VD 1.5 %</t>
        </is>
      </c>
    </row>
    <row r="1086">
      <c r="A1086" s="9" t="inlineStr">
        <is>
          <t>B-P-0058</t>
        </is>
      </c>
      <c r="B1086" s="9" t="inlineStr">
        <is>
          <t>B</t>
        </is>
      </c>
      <c r="C1086" s="9" t="inlineStr">
        <is>
          <t>ACC</t>
        </is>
      </c>
      <c r="D1086" s="9" t="inlineStr">
        <is>
          <t>ACC fan F58 motor (VFD output)</t>
        </is>
      </c>
      <c r="E1086" s="9" t="inlineStr">
        <is>
          <t>R4</t>
        </is>
      </c>
      <c r="F1086" s="9" t="inlineStr">
        <is>
          <t>R4: ACC electrical (VFD) e-house (60 x 120 ft)</t>
        </is>
      </c>
      <c r="G1086" s="9" t="inlineStr">
        <is>
          <t>ACC-F58</t>
        </is>
      </c>
      <c r="H1086" s="9" t="inlineStr">
        <is>
          <t>ACC fan motor F58</t>
        </is>
      </c>
      <c r="I1086" s="9" t="inlineStr">
        <is>
          <t>LV 600 V</t>
        </is>
      </c>
      <c r="J1086" s="9" t="inlineStr">
        <is>
          <t>VFD cable 600 V 3/C Cu XHHW-2, 3 symmetrical grounds, overall Cu tape shield, TC-ER</t>
        </is>
      </c>
      <c r="K1086" s="9" t="inlineStr">
        <is>
          <t>VFD|3/C+3G|350</t>
        </is>
      </c>
      <c r="L1086" s="9" t="inlineStr">
        <is>
          <t>3/C+3G</t>
        </is>
      </c>
      <c r="M1086" s="9" t="inlineStr">
        <is>
          <t>350 kcmil</t>
        </is>
      </c>
      <c r="N1086" s="9" t="n">
        <v>1</v>
      </c>
      <c r="O1086" s="9" t="n">
        <v>1</v>
      </c>
      <c r="P1086" s="9" t="n">
        <v>480</v>
      </c>
      <c r="Q1086" s="9" t="n">
        <v>150</v>
      </c>
      <c r="R1086" s="9" t="n">
        <v>212</v>
      </c>
      <c r="S1086" s="9" t="inlineStr">
        <is>
          <t>Tray</t>
        </is>
      </c>
      <c r="T1086" s="10" t="n">
        <v>459</v>
      </c>
      <c r="U1086" s="10" t="n">
        <v>72</v>
      </c>
      <c r="V1086" s="10">
        <f>ROUNDUP((T1086+U1086+2*'Read Me'!$B$13)*(1+'Read Me'!$B$12),-1)</f>
        <v/>
      </c>
      <c r="W1086" s="10">
        <f>V1086*N1086*O1086</f>
        <v/>
      </c>
      <c r="X1086" s="9">
        <f>IF(LEFT(I1086,2)="MV",2*N1086*IF(L1086="1/C",O1086,1),0)</f>
        <v/>
      </c>
      <c r="Y1086" s="9">
        <f>IF(OR(LEFT(K1086,4)="LVAX",LEFT(K1086,6)="MV15AX",LEFT(K1086,4)="CTAX",LEFT(K1086,2)="W|"),2*N1086*O1086,0)</f>
        <v/>
      </c>
      <c r="Z1086" s="9" t="inlineStr">
        <is>
          <t>VD 1.6 %</t>
        </is>
      </c>
    </row>
    <row r="1087">
      <c r="A1087" s="9" t="inlineStr">
        <is>
          <t>B-P-0059</t>
        </is>
      </c>
      <c r="B1087" s="9" t="inlineStr">
        <is>
          <t>B</t>
        </is>
      </c>
      <c r="C1087" s="9" t="inlineStr">
        <is>
          <t>ACC</t>
        </is>
      </c>
      <c r="D1087" s="9" t="inlineStr">
        <is>
          <t>ACC fan F59 motor (VFD output)</t>
        </is>
      </c>
      <c r="E1087" s="9" t="inlineStr">
        <is>
          <t>R4</t>
        </is>
      </c>
      <c r="F1087" s="9" t="inlineStr">
        <is>
          <t>R4: ACC electrical (VFD) e-house (60 x 120 ft)</t>
        </is>
      </c>
      <c r="G1087" s="9" t="inlineStr">
        <is>
          <t>ACC-F59</t>
        </is>
      </c>
      <c r="H1087" s="9" t="inlineStr">
        <is>
          <t>ACC fan motor F59</t>
        </is>
      </c>
      <c r="I1087" s="9" t="inlineStr">
        <is>
          <t>LV 600 V</t>
        </is>
      </c>
      <c r="J1087" s="9" t="inlineStr">
        <is>
          <t>VFD cable 600 V 3/C Cu XHHW-2, 3 symmetrical grounds, overall Cu tape shield, TC-ER</t>
        </is>
      </c>
      <c r="K1087" s="9" t="inlineStr">
        <is>
          <t>VFD|3/C+3G|350</t>
        </is>
      </c>
      <c r="L1087" s="9" t="inlineStr">
        <is>
          <t>3/C+3G</t>
        </is>
      </c>
      <c r="M1087" s="9" t="inlineStr">
        <is>
          <t>350 kcmil</t>
        </is>
      </c>
      <c r="N1087" s="9" t="n">
        <v>1</v>
      </c>
      <c r="O1087" s="9" t="n">
        <v>1</v>
      </c>
      <c r="P1087" s="9" t="n">
        <v>480</v>
      </c>
      <c r="Q1087" s="9" t="n">
        <v>150</v>
      </c>
      <c r="R1087" s="9" t="n">
        <v>212</v>
      </c>
      <c r="S1087" s="9" t="inlineStr">
        <is>
          <t>Tray</t>
        </is>
      </c>
      <c r="T1087" s="10" t="n">
        <v>491</v>
      </c>
      <c r="U1087" s="10" t="n">
        <v>72</v>
      </c>
      <c r="V1087" s="10">
        <f>ROUNDUP((T1087+U1087+2*'Read Me'!$B$13)*(1+'Read Me'!$B$12),-1)</f>
        <v/>
      </c>
      <c r="W1087" s="10">
        <f>V1087*N1087*O1087</f>
        <v/>
      </c>
      <c r="X1087" s="9">
        <f>IF(LEFT(I1087,2)="MV",2*N1087*IF(L1087="1/C",O1087,1),0)</f>
        <v/>
      </c>
      <c r="Y1087" s="9">
        <f>IF(OR(LEFT(K1087,4)="LVAX",LEFT(K1087,6)="MV15AX",LEFT(K1087,4)="CTAX",LEFT(K1087,2)="W|"),2*N1087*O1087,0)</f>
        <v/>
      </c>
      <c r="Z1087" s="9" t="inlineStr">
        <is>
          <t>VD 1.7 %</t>
        </is>
      </c>
    </row>
    <row r="1088">
      <c r="A1088" s="9" t="inlineStr">
        <is>
          <t>B-P-0060</t>
        </is>
      </c>
      <c r="B1088" s="9" t="inlineStr">
        <is>
          <t>B</t>
        </is>
      </c>
      <c r="C1088" s="9" t="inlineStr">
        <is>
          <t>ACC</t>
        </is>
      </c>
      <c r="D1088" s="9" t="inlineStr">
        <is>
          <t>ACC fan F60 motor (VFD output)</t>
        </is>
      </c>
      <c r="E1088" s="9" t="inlineStr">
        <is>
          <t>R4</t>
        </is>
      </c>
      <c r="F1088" s="9" t="inlineStr">
        <is>
          <t>R4: ACC electrical (VFD) e-house (60 x 120 ft)</t>
        </is>
      </c>
      <c r="G1088" s="9" t="inlineStr">
        <is>
          <t>ACC-F60</t>
        </is>
      </c>
      <c r="H1088" s="9" t="inlineStr">
        <is>
          <t>ACC fan motor F60</t>
        </is>
      </c>
      <c r="I1088" s="9" t="inlineStr">
        <is>
          <t>LV 600 V</t>
        </is>
      </c>
      <c r="J1088" s="9" t="inlineStr">
        <is>
          <t>VFD cable 600 V 3/C Cu XHHW-2, 3 symmetrical grounds, overall Cu tape shield, TC-ER</t>
        </is>
      </c>
      <c r="K1088" s="9" t="inlineStr">
        <is>
          <t>VFD|3/C+3G|350</t>
        </is>
      </c>
      <c r="L1088" s="9" t="inlineStr">
        <is>
          <t>3/C+3G</t>
        </is>
      </c>
      <c r="M1088" s="9" t="inlineStr">
        <is>
          <t>350 kcmil</t>
        </is>
      </c>
      <c r="N1088" s="9" t="n">
        <v>1</v>
      </c>
      <c r="O1088" s="9" t="n">
        <v>1</v>
      </c>
      <c r="P1088" s="9" t="n">
        <v>480</v>
      </c>
      <c r="Q1088" s="9" t="n">
        <v>150</v>
      </c>
      <c r="R1088" s="9" t="n">
        <v>212</v>
      </c>
      <c r="S1088" s="9" t="inlineStr">
        <is>
          <t>Tray</t>
        </is>
      </c>
      <c r="T1088" s="10" t="n">
        <v>523</v>
      </c>
      <c r="U1088" s="10" t="n">
        <v>72</v>
      </c>
      <c r="V1088" s="10">
        <f>ROUNDUP((T1088+U1088+2*'Read Me'!$B$13)*(1+'Read Me'!$B$12),-1)</f>
        <v/>
      </c>
      <c r="W1088" s="10">
        <f>V1088*N1088*O1088</f>
        <v/>
      </c>
      <c r="X1088" s="9">
        <f>IF(LEFT(I1088,2)="MV",2*N1088*IF(L1088="1/C",O1088,1),0)</f>
        <v/>
      </c>
      <c r="Y1088" s="9">
        <f>IF(OR(LEFT(K1088,4)="LVAX",LEFT(K1088,6)="MV15AX",LEFT(K1088,4)="CTAX",LEFT(K1088,2)="W|"),2*N1088*O1088,0)</f>
        <v/>
      </c>
      <c r="Z1088" s="9" t="inlineStr">
        <is>
          <t>VD 1.8 %</t>
        </is>
      </c>
    </row>
    <row r="1089">
      <c r="A1089" s="9" t="inlineStr">
        <is>
          <t>B-P-0061</t>
        </is>
      </c>
      <c r="B1089" s="9" t="inlineStr">
        <is>
          <t>B</t>
        </is>
      </c>
      <c r="C1089" s="9" t="inlineStr">
        <is>
          <t>ACC</t>
        </is>
      </c>
      <c r="D1089" s="9" t="inlineStr">
        <is>
          <t>ACC fan F61 motor (VFD output)</t>
        </is>
      </c>
      <c r="E1089" s="9" t="inlineStr">
        <is>
          <t>R4</t>
        </is>
      </c>
      <c r="F1089" s="9" t="inlineStr">
        <is>
          <t>R4: ACC electrical (VFD) e-house (60 x 120 ft)</t>
        </is>
      </c>
      <c r="G1089" s="9" t="inlineStr">
        <is>
          <t>ACC-F61</t>
        </is>
      </c>
      <c r="H1089" s="9" t="inlineStr">
        <is>
          <t>ACC fan motor F61</t>
        </is>
      </c>
      <c r="I1089" s="9" t="inlineStr">
        <is>
          <t>LV 600 V</t>
        </is>
      </c>
      <c r="J1089" s="9" t="inlineStr">
        <is>
          <t>VFD cable 600 V 3/C Cu XHHW-2, 3 symmetrical grounds, overall Cu tape shield, TC-ER</t>
        </is>
      </c>
      <c r="K1089" s="9" t="inlineStr">
        <is>
          <t>VFD|3/C+3G|350</t>
        </is>
      </c>
      <c r="L1089" s="9" t="inlineStr">
        <is>
          <t>3/C+3G</t>
        </is>
      </c>
      <c r="M1089" s="9" t="inlineStr">
        <is>
          <t>350 kcmil</t>
        </is>
      </c>
      <c r="N1089" s="9" t="n">
        <v>1</v>
      </c>
      <c r="O1089" s="9" t="n">
        <v>1</v>
      </c>
      <c r="P1089" s="9" t="n">
        <v>480</v>
      </c>
      <c r="Q1089" s="9" t="n">
        <v>150</v>
      </c>
      <c r="R1089" s="9" t="n">
        <v>212</v>
      </c>
      <c r="S1089" s="9" t="inlineStr">
        <is>
          <t>Tray</t>
        </is>
      </c>
      <c r="T1089" s="10" t="n">
        <v>573</v>
      </c>
      <c r="U1089" s="10" t="n">
        <v>72</v>
      </c>
      <c r="V1089" s="10">
        <f>ROUNDUP((T1089+U1089+2*'Read Me'!$B$13)*(1+'Read Me'!$B$12),-1)</f>
        <v/>
      </c>
      <c r="W1089" s="10">
        <f>V1089*N1089*O1089</f>
        <v/>
      </c>
      <c r="X1089" s="9">
        <f>IF(LEFT(I1089,2)="MV",2*N1089*IF(L1089="1/C",O1089,1),0)</f>
        <v/>
      </c>
      <c r="Y1089" s="9">
        <f>IF(OR(LEFT(K1089,4)="LVAX",LEFT(K1089,6)="MV15AX",LEFT(K1089,4)="CTAX",LEFT(K1089,2)="W|"),2*N1089*O1089,0)</f>
        <v/>
      </c>
      <c r="Z1089" s="9" t="inlineStr">
        <is>
          <t>VD 2.0 %</t>
        </is>
      </c>
    </row>
    <row r="1090">
      <c r="A1090" s="9" t="inlineStr">
        <is>
          <t>B-P-0062</t>
        </is>
      </c>
      <c r="B1090" s="9" t="inlineStr">
        <is>
          <t>B</t>
        </is>
      </c>
      <c r="C1090" s="9" t="inlineStr">
        <is>
          <t>ACC</t>
        </is>
      </c>
      <c r="D1090" s="9" t="inlineStr">
        <is>
          <t>ACC fan F62 motor (VFD output)</t>
        </is>
      </c>
      <c r="E1090" s="9" t="inlineStr">
        <is>
          <t>R4</t>
        </is>
      </c>
      <c r="F1090" s="9" t="inlineStr">
        <is>
          <t>R4: ACC electrical (VFD) e-house (60 x 120 ft)</t>
        </is>
      </c>
      <c r="G1090" s="9" t="inlineStr">
        <is>
          <t>ACC-F62</t>
        </is>
      </c>
      <c r="H1090" s="9" t="inlineStr">
        <is>
          <t>ACC fan motor F62</t>
        </is>
      </c>
      <c r="I1090" s="9" t="inlineStr">
        <is>
          <t>LV 600 V</t>
        </is>
      </c>
      <c r="J1090" s="9" t="inlineStr">
        <is>
          <t>VFD cable 600 V 3/C Cu XHHW-2, 3 symmetrical grounds, overall Cu tape shield, TC-ER</t>
        </is>
      </c>
      <c r="K1090" s="9" t="inlineStr">
        <is>
          <t>VFD|3/C+3G|350</t>
        </is>
      </c>
      <c r="L1090" s="9" t="inlineStr">
        <is>
          <t>3/C+3G</t>
        </is>
      </c>
      <c r="M1090" s="9" t="inlineStr">
        <is>
          <t>350 kcmil</t>
        </is>
      </c>
      <c r="N1090" s="9" t="n">
        <v>1</v>
      </c>
      <c r="O1090" s="9" t="n">
        <v>1</v>
      </c>
      <c r="P1090" s="9" t="n">
        <v>480</v>
      </c>
      <c r="Q1090" s="9" t="n">
        <v>150</v>
      </c>
      <c r="R1090" s="9" t="n">
        <v>212</v>
      </c>
      <c r="S1090" s="9" t="inlineStr">
        <is>
          <t>Tray</t>
        </is>
      </c>
      <c r="T1090" s="10" t="n">
        <v>541</v>
      </c>
      <c r="U1090" s="10" t="n">
        <v>72</v>
      </c>
      <c r="V1090" s="10">
        <f>ROUNDUP((T1090+U1090+2*'Read Me'!$B$13)*(1+'Read Me'!$B$12),-1)</f>
        <v/>
      </c>
      <c r="W1090" s="10">
        <f>V1090*N1090*O1090</f>
        <v/>
      </c>
      <c r="X1090" s="9">
        <f>IF(LEFT(I1090,2)="MV",2*N1090*IF(L1090="1/C",O1090,1),0)</f>
        <v/>
      </c>
      <c r="Y1090" s="9">
        <f>IF(OR(LEFT(K1090,4)="LVAX",LEFT(K1090,6)="MV15AX",LEFT(K1090,4)="CTAX",LEFT(K1090,2)="W|"),2*N1090*O1090,0)</f>
        <v/>
      </c>
      <c r="Z1090" s="9" t="inlineStr">
        <is>
          <t>VD 1.9 %</t>
        </is>
      </c>
    </row>
    <row r="1091">
      <c r="A1091" s="9" t="inlineStr">
        <is>
          <t>B-P-0063</t>
        </is>
      </c>
      <c r="B1091" s="9" t="inlineStr">
        <is>
          <t>B</t>
        </is>
      </c>
      <c r="C1091" s="9" t="inlineStr">
        <is>
          <t>ACC</t>
        </is>
      </c>
      <c r="D1091" s="9" t="inlineStr">
        <is>
          <t>ACC fan F63 motor (VFD output)</t>
        </is>
      </c>
      <c r="E1091" s="9" t="inlineStr">
        <is>
          <t>R4</t>
        </is>
      </c>
      <c r="F1091" s="9" t="inlineStr">
        <is>
          <t>R4: ACC electrical (VFD) e-house (60 x 120 ft)</t>
        </is>
      </c>
      <c r="G1091" s="9" t="inlineStr">
        <is>
          <t>ACC-F63</t>
        </is>
      </c>
      <c r="H1091" s="9" t="inlineStr">
        <is>
          <t>ACC fan motor F63</t>
        </is>
      </c>
      <c r="I1091" s="9" t="inlineStr">
        <is>
          <t>LV 600 V</t>
        </is>
      </c>
      <c r="J1091" s="9" t="inlineStr">
        <is>
          <t>VFD cable 600 V 3/C Cu XHHW-2, 3 symmetrical grounds, overall Cu tape shield, TC-ER</t>
        </is>
      </c>
      <c r="K1091" s="9" t="inlineStr">
        <is>
          <t>VFD|3/C+3G|350</t>
        </is>
      </c>
      <c r="L1091" s="9" t="inlineStr">
        <is>
          <t>3/C+3G</t>
        </is>
      </c>
      <c r="M1091" s="9" t="inlineStr">
        <is>
          <t>350 kcmil</t>
        </is>
      </c>
      <c r="N1091" s="9" t="n">
        <v>1</v>
      </c>
      <c r="O1091" s="9" t="n">
        <v>1</v>
      </c>
      <c r="P1091" s="9" t="n">
        <v>480</v>
      </c>
      <c r="Q1091" s="9" t="n">
        <v>150</v>
      </c>
      <c r="R1091" s="9" t="n">
        <v>212</v>
      </c>
      <c r="S1091" s="9" t="inlineStr">
        <is>
          <t>Tray</t>
        </is>
      </c>
      <c r="T1091" s="10" t="n">
        <v>509</v>
      </c>
      <c r="U1091" s="10" t="n">
        <v>72</v>
      </c>
      <c r="V1091" s="10">
        <f>ROUNDUP((T1091+U1091+2*'Read Me'!$B$13)*(1+'Read Me'!$B$12),-1)</f>
        <v/>
      </c>
      <c r="W1091" s="10">
        <f>V1091*N1091*O1091</f>
        <v/>
      </c>
      <c r="X1091" s="9">
        <f>IF(LEFT(I1091,2)="MV",2*N1091*IF(L1091="1/C",O1091,1),0)</f>
        <v/>
      </c>
      <c r="Y1091" s="9">
        <f>IF(OR(LEFT(K1091,4)="LVAX",LEFT(K1091,6)="MV15AX",LEFT(K1091,4)="CTAX",LEFT(K1091,2)="W|"),2*N1091*O1091,0)</f>
        <v/>
      </c>
      <c r="Z1091" s="9" t="inlineStr">
        <is>
          <t>VD 1.8 %</t>
        </is>
      </c>
    </row>
    <row r="1092">
      <c r="A1092" s="9" t="inlineStr">
        <is>
          <t>B-P-0064</t>
        </is>
      </c>
      <c r="B1092" s="9" t="inlineStr">
        <is>
          <t>B</t>
        </is>
      </c>
      <c r="C1092" s="9" t="inlineStr">
        <is>
          <t>ACC</t>
        </is>
      </c>
      <c r="D1092" s="9" t="inlineStr">
        <is>
          <t>ACC fan F64 motor (VFD output)</t>
        </is>
      </c>
      <c r="E1092" s="9" t="inlineStr">
        <is>
          <t>R4</t>
        </is>
      </c>
      <c r="F1092" s="9" t="inlineStr">
        <is>
          <t>R4: ACC electrical (VFD) e-house (60 x 120 ft)</t>
        </is>
      </c>
      <c r="G1092" s="9" t="inlineStr">
        <is>
          <t>ACC-F64</t>
        </is>
      </c>
      <c r="H1092" s="9" t="inlineStr">
        <is>
          <t>ACC fan motor F64</t>
        </is>
      </c>
      <c r="I1092" s="9" t="inlineStr">
        <is>
          <t>LV 600 V</t>
        </is>
      </c>
      <c r="J1092" s="9" t="inlineStr">
        <is>
          <t>VFD cable 600 V 3/C Cu XHHW-2, 3 symmetrical grounds, overall Cu tape shield, TC-ER</t>
        </is>
      </c>
      <c r="K1092" s="9" t="inlineStr">
        <is>
          <t>VFD|3/C+3G|350</t>
        </is>
      </c>
      <c r="L1092" s="9" t="inlineStr">
        <is>
          <t>3/C+3G</t>
        </is>
      </c>
      <c r="M1092" s="9" t="inlineStr">
        <is>
          <t>350 kcmil</t>
        </is>
      </c>
      <c r="N1092" s="9" t="n">
        <v>1</v>
      </c>
      <c r="O1092" s="9" t="n">
        <v>1</v>
      </c>
      <c r="P1092" s="9" t="n">
        <v>480</v>
      </c>
      <c r="Q1092" s="9" t="n">
        <v>150</v>
      </c>
      <c r="R1092" s="9" t="n">
        <v>212</v>
      </c>
      <c r="S1092" s="9" t="inlineStr">
        <is>
          <t>Tray</t>
        </is>
      </c>
      <c r="T1092" s="10" t="n">
        <v>477</v>
      </c>
      <c r="U1092" s="10" t="n">
        <v>72</v>
      </c>
      <c r="V1092" s="10">
        <f>ROUNDUP((T1092+U1092+2*'Read Me'!$B$13)*(1+'Read Me'!$B$12),-1)</f>
        <v/>
      </c>
      <c r="W1092" s="10">
        <f>V1092*N1092*O1092</f>
        <v/>
      </c>
      <c r="X1092" s="9">
        <f>IF(LEFT(I1092,2)="MV",2*N1092*IF(L1092="1/C",O1092,1),0)</f>
        <v/>
      </c>
      <c r="Y1092" s="9">
        <f>IF(OR(LEFT(K1092,4)="LVAX",LEFT(K1092,6)="MV15AX",LEFT(K1092,4)="CTAX",LEFT(K1092,2)="W|"),2*N1092*O1092,0)</f>
        <v/>
      </c>
      <c r="Z1092" s="9" t="inlineStr">
        <is>
          <t>VD 1.7 %</t>
        </is>
      </c>
    </row>
    <row r="1093">
      <c r="A1093" s="9" t="inlineStr">
        <is>
          <t>B-P-0065</t>
        </is>
      </c>
      <c r="B1093" s="9" t="inlineStr">
        <is>
          <t>B</t>
        </is>
      </c>
      <c r="C1093" s="9" t="inlineStr">
        <is>
          <t>ACC</t>
        </is>
      </c>
      <c r="D1093" s="9" t="inlineStr">
        <is>
          <t>ACC fan F65 motor (VFD output)</t>
        </is>
      </c>
      <c r="E1093" s="9" t="inlineStr">
        <is>
          <t>R4</t>
        </is>
      </c>
      <c r="F1093" s="9" t="inlineStr">
        <is>
          <t>R4: ACC electrical (VFD) e-house (60 x 120 ft)</t>
        </is>
      </c>
      <c r="G1093" s="9" t="inlineStr">
        <is>
          <t>ACC-F65</t>
        </is>
      </c>
      <c r="H1093" s="9" t="inlineStr">
        <is>
          <t>ACC fan motor F65</t>
        </is>
      </c>
      <c r="I1093" s="9" t="inlineStr">
        <is>
          <t>LV 600 V</t>
        </is>
      </c>
      <c r="J1093" s="9" t="inlineStr">
        <is>
          <t>VFD cable 600 V 3/C Cu XHHW-2, 3 symmetrical grounds, overall Cu tape shield, TC-ER</t>
        </is>
      </c>
      <c r="K1093" s="9" t="inlineStr">
        <is>
          <t>VFD|3/C+3G|350</t>
        </is>
      </c>
      <c r="L1093" s="9" t="inlineStr">
        <is>
          <t>3/C+3G</t>
        </is>
      </c>
      <c r="M1093" s="9" t="inlineStr">
        <is>
          <t>350 kcmil</t>
        </is>
      </c>
      <c r="N1093" s="9" t="n">
        <v>1</v>
      </c>
      <c r="O1093" s="9" t="n">
        <v>1</v>
      </c>
      <c r="P1093" s="9" t="n">
        <v>480</v>
      </c>
      <c r="Q1093" s="9" t="n">
        <v>150</v>
      </c>
      <c r="R1093" s="9" t="n">
        <v>212</v>
      </c>
      <c r="S1093" s="9" t="inlineStr">
        <is>
          <t>Tray</t>
        </is>
      </c>
      <c r="T1093" s="10" t="n">
        <v>445</v>
      </c>
      <c r="U1093" s="10" t="n">
        <v>72</v>
      </c>
      <c r="V1093" s="10">
        <f>ROUNDUP((T1093+U1093+2*'Read Me'!$B$13)*(1+'Read Me'!$B$12),-1)</f>
        <v/>
      </c>
      <c r="W1093" s="10">
        <f>V1093*N1093*O1093</f>
        <v/>
      </c>
      <c r="X1093" s="9">
        <f>IF(LEFT(I1093,2)="MV",2*N1093*IF(L1093="1/C",O1093,1),0)</f>
        <v/>
      </c>
      <c r="Y1093" s="9">
        <f>IF(OR(LEFT(K1093,4)="LVAX",LEFT(K1093,6)="MV15AX",LEFT(K1093,4)="CTAX",LEFT(K1093,2)="W|"),2*N1093*O1093,0)</f>
        <v/>
      </c>
      <c r="Z1093" s="9" t="inlineStr">
        <is>
          <t>VD 1.6 %</t>
        </is>
      </c>
    </row>
    <row r="1094">
      <c r="A1094" s="9" t="inlineStr">
        <is>
          <t>B-P-0066</t>
        </is>
      </c>
      <c r="B1094" s="9" t="inlineStr">
        <is>
          <t>B</t>
        </is>
      </c>
      <c r="C1094" s="9" t="inlineStr">
        <is>
          <t>ACC</t>
        </is>
      </c>
      <c r="D1094" s="9" t="inlineStr">
        <is>
          <t>ACC fan F66 motor (VFD output)</t>
        </is>
      </c>
      <c r="E1094" s="9" t="inlineStr">
        <is>
          <t>R4</t>
        </is>
      </c>
      <c r="F1094" s="9" t="inlineStr">
        <is>
          <t>R4: ACC electrical (VFD) e-house (60 x 120 ft)</t>
        </is>
      </c>
      <c r="G1094" s="9" t="inlineStr">
        <is>
          <t>ACC-F66</t>
        </is>
      </c>
      <c r="H1094" s="9" t="inlineStr">
        <is>
          <t>ACC fan motor F66</t>
        </is>
      </c>
      <c r="I1094" s="9" t="inlineStr">
        <is>
          <t>LV 600 V</t>
        </is>
      </c>
      <c r="J1094" s="9" t="inlineStr">
        <is>
          <t>VFD cable 600 V 3/C Cu XHHW-2, 3 symmetrical grounds, overall Cu tape shield, TC-ER</t>
        </is>
      </c>
      <c r="K1094" s="9" t="inlineStr">
        <is>
          <t>VFD|3/C+3G|350</t>
        </is>
      </c>
      <c r="L1094" s="9" t="inlineStr">
        <is>
          <t>3/C+3G</t>
        </is>
      </c>
      <c r="M1094" s="9" t="inlineStr">
        <is>
          <t>350 kcmil</t>
        </is>
      </c>
      <c r="N1094" s="9" t="n">
        <v>1</v>
      </c>
      <c r="O1094" s="9" t="n">
        <v>1</v>
      </c>
      <c r="P1094" s="9" t="n">
        <v>480</v>
      </c>
      <c r="Q1094" s="9" t="n">
        <v>150</v>
      </c>
      <c r="R1094" s="9" t="n">
        <v>212</v>
      </c>
      <c r="S1094" s="9" t="inlineStr">
        <is>
          <t>Tray</t>
        </is>
      </c>
      <c r="T1094" s="10" t="n">
        <v>445</v>
      </c>
      <c r="U1094" s="10" t="n">
        <v>72</v>
      </c>
      <c r="V1094" s="10">
        <f>ROUNDUP((T1094+U1094+2*'Read Me'!$B$13)*(1+'Read Me'!$B$12),-1)</f>
        <v/>
      </c>
      <c r="W1094" s="10">
        <f>V1094*N1094*O1094</f>
        <v/>
      </c>
      <c r="X1094" s="9">
        <f>IF(LEFT(I1094,2)="MV",2*N1094*IF(L1094="1/C",O1094,1),0)</f>
        <v/>
      </c>
      <c r="Y1094" s="9">
        <f>IF(OR(LEFT(K1094,4)="LVAX",LEFT(K1094,6)="MV15AX",LEFT(K1094,4)="CTAX",LEFT(K1094,2)="W|"),2*N1094*O1094,0)</f>
        <v/>
      </c>
      <c r="Z1094" s="9" t="inlineStr">
        <is>
          <t>VD 1.6 %</t>
        </is>
      </c>
    </row>
    <row r="1095">
      <c r="A1095" s="9" t="inlineStr">
        <is>
          <t>B-P-0067</t>
        </is>
      </c>
      <c r="B1095" s="9" t="inlineStr">
        <is>
          <t>B</t>
        </is>
      </c>
      <c r="C1095" s="9" t="inlineStr">
        <is>
          <t>ACC</t>
        </is>
      </c>
      <c r="D1095" s="9" t="inlineStr">
        <is>
          <t>ACC fan F67 motor (VFD output)</t>
        </is>
      </c>
      <c r="E1095" s="9" t="inlineStr">
        <is>
          <t>R4</t>
        </is>
      </c>
      <c r="F1095" s="9" t="inlineStr">
        <is>
          <t>R4: ACC electrical (VFD) e-house (60 x 120 ft)</t>
        </is>
      </c>
      <c r="G1095" s="9" t="inlineStr">
        <is>
          <t>ACC-F67</t>
        </is>
      </c>
      <c r="H1095" s="9" t="inlineStr">
        <is>
          <t>ACC fan motor F67</t>
        </is>
      </c>
      <c r="I1095" s="9" t="inlineStr">
        <is>
          <t>LV 600 V</t>
        </is>
      </c>
      <c r="J1095" s="9" t="inlineStr">
        <is>
          <t>VFD cable 600 V 3/C Cu XHHW-2, 3 symmetrical grounds, overall Cu tape shield, TC-ER</t>
        </is>
      </c>
      <c r="K1095" s="9" t="inlineStr">
        <is>
          <t>VFD|3/C+3G|350</t>
        </is>
      </c>
      <c r="L1095" s="9" t="inlineStr">
        <is>
          <t>3/C+3G</t>
        </is>
      </c>
      <c r="M1095" s="9" t="inlineStr">
        <is>
          <t>350 kcmil</t>
        </is>
      </c>
      <c r="N1095" s="9" t="n">
        <v>1</v>
      </c>
      <c r="O1095" s="9" t="n">
        <v>1</v>
      </c>
      <c r="P1095" s="9" t="n">
        <v>480</v>
      </c>
      <c r="Q1095" s="9" t="n">
        <v>150</v>
      </c>
      <c r="R1095" s="9" t="n">
        <v>212</v>
      </c>
      <c r="S1095" s="9" t="inlineStr">
        <is>
          <t>Tray</t>
        </is>
      </c>
      <c r="T1095" s="10" t="n">
        <v>477</v>
      </c>
      <c r="U1095" s="10" t="n">
        <v>72</v>
      </c>
      <c r="V1095" s="10">
        <f>ROUNDUP((T1095+U1095+2*'Read Me'!$B$13)*(1+'Read Me'!$B$12),-1)</f>
        <v/>
      </c>
      <c r="W1095" s="10">
        <f>V1095*N1095*O1095</f>
        <v/>
      </c>
      <c r="X1095" s="9">
        <f>IF(LEFT(I1095,2)="MV",2*N1095*IF(L1095="1/C",O1095,1),0)</f>
        <v/>
      </c>
      <c r="Y1095" s="9">
        <f>IF(OR(LEFT(K1095,4)="LVAX",LEFT(K1095,6)="MV15AX",LEFT(K1095,4)="CTAX",LEFT(K1095,2)="W|"),2*N1095*O1095,0)</f>
        <v/>
      </c>
      <c r="Z1095" s="9" t="inlineStr">
        <is>
          <t>VD 1.7 %</t>
        </is>
      </c>
    </row>
    <row r="1096">
      <c r="A1096" s="9" t="inlineStr">
        <is>
          <t>B-P-0068</t>
        </is>
      </c>
      <c r="B1096" s="9" t="inlineStr">
        <is>
          <t>B</t>
        </is>
      </c>
      <c r="C1096" s="9" t="inlineStr">
        <is>
          <t>ACC</t>
        </is>
      </c>
      <c r="D1096" s="9" t="inlineStr">
        <is>
          <t>ACC fan F68 motor (VFD output)</t>
        </is>
      </c>
      <c r="E1096" s="9" t="inlineStr">
        <is>
          <t>R4</t>
        </is>
      </c>
      <c r="F1096" s="9" t="inlineStr">
        <is>
          <t>R4: ACC electrical (VFD) e-house (60 x 120 ft)</t>
        </is>
      </c>
      <c r="G1096" s="9" t="inlineStr">
        <is>
          <t>ACC-F68</t>
        </is>
      </c>
      <c r="H1096" s="9" t="inlineStr">
        <is>
          <t>ACC fan motor F68</t>
        </is>
      </c>
      <c r="I1096" s="9" t="inlineStr">
        <is>
          <t>LV 600 V</t>
        </is>
      </c>
      <c r="J1096" s="9" t="inlineStr">
        <is>
          <t>VFD cable 600 V 3/C Cu XHHW-2, 3 symmetrical grounds, overall Cu tape shield, TC-ER</t>
        </is>
      </c>
      <c r="K1096" s="9" t="inlineStr">
        <is>
          <t>VFD|3/C+3G|350</t>
        </is>
      </c>
      <c r="L1096" s="9" t="inlineStr">
        <is>
          <t>3/C+3G</t>
        </is>
      </c>
      <c r="M1096" s="9" t="inlineStr">
        <is>
          <t>350 kcmil</t>
        </is>
      </c>
      <c r="N1096" s="9" t="n">
        <v>1</v>
      </c>
      <c r="O1096" s="9" t="n">
        <v>1</v>
      </c>
      <c r="P1096" s="9" t="n">
        <v>480</v>
      </c>
      <c r="Q1096" s="9" t="n">
        <v>150</v>
      </c>
      <c r="R1096" s="9" t="n">
        <v>212</v>
      </c>
      <c r="S1096" s="9" t="inlineStr">
        <is>
          <t>Tray</t>
        </is>
      </c>
      <c r="T1096" s="10" t="n">
        <v>509</v>
      </c>
      <c r="U1096" s="10" t="n">
        <v>72</v>
      </c>
      <c r="V1096" s="10">
        <f>ROUNDUP((T1096+U1096+2*'Read Me'!$B$13)*(1+'Read Me'!$B$12),-1)</f>
        <v/>
      </c>
      <c r="W1096" s="10">
        <f>V1096*N1096*O1096</f>
        <v/>
      </c>
      <c r="X1096" s="9">
        <f>IF(LEFT(I1096,2)="MV",2*N1096*IF(L1096="1/C",O1096,1),0)</f>
        <v/>
      </c>
      <c r="Y1096" s="9">
        <f>IF(OR(LEFT(K1096,4)="LVAX",LEFT(K1096,6)="MV15AX",LEFT(K1096,4)="CTAX",LEFT(K1096,2)="W|"),2*N1096*O1096,0)</f>
        <v/>
      </c>
      <c r="Z1096" s="9" t="inlineStr">
        <is>
          <t>VD 1.8 %</t>
        </is>
      </c>
    </row>
    <row r="1097">
      <c r="A1097" s="9" t="inlineStr">
        <is>
          <t>B-P-0069</t>
        </is>
      </c>
      <c r="B1097" s="9" t="inlineStr">
        <is>
          <t>B</t>
        </is>
      </c>
      <c r="C1097" s="9" t="inlineStr">
        <is>
          <t>ACC</t>
        </is>
      </c>
      <c r="D1097" s="9" t="inlineStr">
        <is>
          <t>ACC fan F69 motor (VFD output)</t>
        </is>
      </c>
      <c r="E1097" s="9" t="inlineStr">
        <is>
          <t>R4</t>
        </is>
      </c>
      <c r="F1097" s="9" t="inlineStr">
        <is>
          <t>R4: ACC electrical (VFD) e-house (60 x 120 ft)</t>
        </is>
      </c>
      <c r="G1097" s="9" t="inlineStr">
        <is>
          <t>ACC-F69</t>
        </is>
      </c>
      <c r="H1097" s="9" t="inlineStr">
        <is>
          <t>ACC fan motor F69</t>
        </is>
      </c>
      <c r="I1097" s="9" t="inlineStr">
        <is>
          <t>LV 600 V</t>
        </is>
      </c>
      <c r="J1097" s="9" t="inlineStr">
        <is>
          <t>VFD cable 600 V 3/C Cu XHHW-2, 3 symmetrical grounds, overall Cu tape shield, TC-ER</t>
        </is>
      </c>
      <c r="K1097" s="9" t="inlineStr">
        <is>
          <t>VFD|3/C+3G|350</t>
        </is>
      </c>
      <c r="L1097" s="9" t="inlineStr">
        <is>
          <t>3/C+3G</t>
        </is>
      </c>
      <c r="M1097" s="9" t="inlineStr">
        <is>
          <t>350 kcmil</t>
        </is>
      </c>
      <c r="N1097" s="9" t="n">
        <v>1</v>
      </c>
      <c r="O1097" s="9" t="n">
        <v>1</v>
      </c>
      <c r="P1097" s="9" t="n">
        <v>480</v>
      </c>
      <c r="Q1097" s="9" t="n">
        <v>150</v>
      </c>
      <c r="R1097" s="9" t="n">
        <v>212</v>
      </c>
      <c r="S1097" s="9" t="inlineStr">
        <is>
          <t>Tray</t>
        </is>
      </c>
      <c r="T1097" s="10" t="n">
        <v>541</v>
      </c>
      <c r="U1097" s="10" t="n">
        <v>72</v>
      </c>
      <c r="V1097" s="10">
        <f>ROUNDUP((T1097+U1097+2*'Read Me'!$B$13)*(1+'Read Me'!$B$12),-1)</f>
        <v/>
      </c>
      <c r="W1097" s="10">
        <f>V1097*N1097*O1097</f>
        <v/>
      </c>
      <c r="X1097" s="9">
        <f>IF(LEFT(I1097,2)="MV",2*N1097*IF(L1097="1/C",O1097,1),0)</f>
        <v/>
      </c>
      <c r="Y1097" s="9">
        <f>IF(OR(LEFT(K1097,4)="LVAX",LEFT(K1097,6)="MV15AX",LEFT(K1097,4)="CTAX",LEFT(K1097,2)="W|"),2*N1097*O1097,0)</f>
        <v/>
      </c>
      <c r="Z1097" s="9" t="inlineStr">
        <is>
          <t>VD 1.9 %</t>
        </is>
      </c>
    </row>
    <row r="1098">
      <c r="A1098" s="9" t="inlineStr">
        <is>
          <t>B-P-0070</t>
        </is>
      </c>
      <c r="B1098" s="9" t="inlineStr">
        <is>
          <t>B</t>
        </is>
      </c>
      <c r="C1098" s="9" t="inlineStr">
        <is>
          <t>ACC</t>
        </is>
      </c>
      <c r="D1098" s="9" t="inlineStr">
        <is>
          <t>ACC fan F70 motor (VFD output)</t>
        </is>
      </c>
      <c r="E1098" s="9" t="inlineStr">
        <is>
          <t>R4</t>
        </is>
      </c>
      <c r="F1098" s="9" t="inlineStr">
        <is>
          <t>R4: ACC electrical (VFD) e-house (60 x 120 ft)</t>
        </is>
      </c>
      <c r="G1098" s="9" t="inlineStr">
        <is>
          <t>ACC-F70</t>
        </is>
      </c>
      <c r="H1098" s="9" t="inlineStr">
        <is>
          <t>ACC fan motor F70</t>
        </is>
      </c>
      <c r="I1098" s="9" t="inlineStr">
        <is>
          <t>LV 600 V</t>
        </is>
      </c>
      <c r="J1098" s="9" t="inlineStr">
        <is>
          <t>VFD cable 600 V 3/C Cu XHHW-2, 3 symmetrical grounds, overall Cu tape shield, TC-ER</t>
        </is>
      </c>
      <c r="K1098" s="9" t="inlineStr">
        <is>
          <t>VFD|3/C+3G|350</t>
        </is>
      </c>
      <c r="L1098" s="9" t="inlineStr">
        <is>
          <t>3/C+3G</t>
        </is>
      </c>
      <c r="M1098" s="9" t="inlineStr">
        <is>
          <t>350 kcmil</t>
        </is>
      </c>
      <c r="N1098" s="9" t="n">
        <v>1</v>
      </c>
      <c r="O1098" s="9" t="n">
        <v>1</v>
      </c>
      <c r="P1098" s="9" t="n">
        <v>480</v>
      </c>
      <c r="Q1098" s="9" t="n">
        <v>150</v>
      </c>
      <c r="R1098" s="9" t="n">
        <v>212</v>
      </c>
      <c r="S1098" s="9" t="inlineStr">
        <is>
          <t>Tray</t>
        </is>
      </c>
      <c r="T1098" s="10" t="n">
        <v>573</v>
      </c>
      <c r="U1098" s="10" t="n">
        <v>72</v>
      </c>
      <c r="V1098" s="10">
        <f>ROUNDUP((T1098+U1098+2*'Read Me'!$B$13)*(1+'Read Me'!$B$12),-1)</f>
        <v/>
      </c>
      <c r="W1098" s="10">
        <f>V1098*N1098*O1098</f>
        <v/>
      </c>
      <c r="X1098" s="9">
        <f>IF(LEFT(I1098,2)="MV",2*N1098*IF(L1098="1/C",O1098,1),0)</f>
        <v/>
      </c>
      <c r="Y1098" s="9">
        <f>IF(OR(LEFT(K1098,4)="LVAX",LEFT(K1098,6)="MV15AX",LEFT(K1098,4)="CTAX",LEFT(K1098,2)="W|"),2*N1098*O1098,0)</f>
        <v/>
      </c>
      <c r="Z1098" s="9" t="inlineStr">
        <is>
          <t>VD 2.0 %</t>
        </is>
      </c>
    </row>
    <row r="1099">
      <c r="A1099" s="9" t="inlineStr">
        <is>
          <t>B-P-0071</t>
        </is>
      </c>
      <c r="B1099" s="9" t="inlineStr">
        <is>
          <t>B</t>
        </is>
      </c>
      <c r="C1099" s="9" t="inlineStr">
        <is>
          <t>ACC</t>
        </is>
      </c>
      <c r="D1099" s="9" t="inlineStr">
        <is>
          <t>ACC fan F71 motor (VFD output)</t>
        </is>
      </c>
      <c r="E1099" s="9" t="inlineStr">
        <is>
          <t>R4</t>
        </is>
      </c>
      <c r="F1099" s="9" t="inlineStr">
        <is>
          <t>R4: ACC electrical (VFD) e-house (60 x 120 ft)</t>
        </is>
      </c>
      <c r="G1099" s="9" t="inlineStr">
        <is>
          <t>ACC-F71</t>
        </is>
      </c>
      <c r="H1099" s="9" t="inlineStr">
        <is>
          <t>ACC fan motor F71</t>
        </is>
      </c>
      <c r="I1099" s="9" t="inlineStr">
        <is>
          <t>LV 600 V</t>
        </is>
      </c>
      <c r="J1099" s="9" t="inlineStr">
        <is>
          <t>VFD cable 600 V 3/C Cu XHHW-2, 3 symmetrical grounds, overall Cu tape shield, TC-ER</t>
        </is>
      </c>
      <c r="K1099" s="9" t="inlineStr">
        <is>
          <t>VFD|3/C+3G|350</t>
        </is>
      </c>
      <c r="L1099" s="9" t="inlineStr">
        <is>
          <t>3/C+3G</t>
        </is>
      </c>
      <c r="M1099" s="9" t="inlineStr">
        <is>
          <t>350 kcmil</t>
        </is>
      </c>
      <c r="N1099" s="9" t="n">
        <v>1</v>
      </c>
      <c r="O1099" s="9" t="n">
        <v>1</v>
      </c>
      <c r="P1099" s="9" t="n">
        <v>480</v>
      </c>
      <c r="Q1099" s="9" t="n">
        <v>150</v>
      </c>
      <c r="R1099" s="9" t="n">
        <v>212</v>
      </c>
      <c r="S1099" s="9" t="inlineStr">
        <is>
          <t>Tray</t>
        </is>
      </c>
      <c r="T1099" s="10" t="n">
        <v>623</v>
      </c>
      <c r="U1099" s="10" t="n">
        <v>72</v>
      </c>
      <c r="V1099" s="10">
        <f>ROUNDUP((T1099+U1099+2*'Read Me'!$B$13)*(1+'Read Me'!$B$12),-1)</f>
        <v/>
      </c>
      <c r="W1099" s="10">
        <f>V1099*N1099*O1099</f>
        <v/>
      </c>
      <c r="X1099" s="9">
        <f>IF(LEFT(I1099,2)="MV",2*N1099*IF(L1099="1/C",O1099,1),0)</f>
        <v/>
      </c>
      <c r="Y1099" s="9">
        <f>IF(OR(LEFT(K1099,4)="LVAX",LEFT(K1099,6)="MV15AX",LEFT(K1099,4)="CTAX",LEFT(K1099,2)="W|"),2*N1099*O1099,0)</f>
        <v/>
      </c>
      <c r="Z1099" s="9" t="inlineStr">
        <is>
          <t>VD 2.1 %</t>
        </is>
      </c>
    </row>
    <row r="1100">
      <c r="A1100" s="9" t="inlineStr">
        <is>
          <t>B-P-0072</t>
        </is>
      </c>
      <c r="B1100" s="9" t="inlineStr">
        <is>
          <t>B</t>
        </is>
      </c>
      <c r="C1100" s="9" t="inlineStr">
        <is>
          <t>ACC</t>
        </is>
      </c>
      <c r="D1100" s="9" t="inlineStr">
        <is>
          <t>ACC fan F72 motor (VFD output)</t>
        </is>
      </c>
      <c r="E1100" s="9" t="inlineStr">
        <is>
          <t>R4</t>
        </is>
      </c>
      <c r="F1100" s="9" t="inlineStr">
        <is>
          <t>R4: ACC electrical (VFD) e-house (60 x 120 ft)</t>
        </is>
      </c>
      <c r="G1100" s="9" t="inlineStr">
        <is>
          <t>ACC-F72</t>
        </is>
      </c>
      <c r="H1100" s="9" t="inlineStr">
        <is>
          <t>ACC fan motor F72</t>
        </is>
      </c>
      <c r="I1100" s="9" t="inlineStr">
        <is>
          <t>LV 600 V</t>
        </is>
      </c>
      <c r="J1100" s="9" t="inlineStr">
        <is>
          <t>VFD cable 600 V 3/C Cu XHHW-2, 3 symmetrical grounds, overall Cu tape shield, TC-ER</t>
        </is>
      </c>
      <c r="K1100" s="9" t="inlineStr">
        <is>
          <t>VFD|3/C+3G|350</t>
        </is>
      </c>
      <c r="L1100" s="9" t="inlineStr">
        <is>
          <t>3/C+3G</t>
        </is>
      </c>
      <c r="M1100" s="9" t="inlineStr">
        <is>
          <t>350 kcmil</t>
        </is>
      </c>
      <c r="N1100" s="9" t="n">
        <v>1</v>
      </c>
      <c r="O1100" s="9" t="n">
        <v>1</v>
      </c>
      <c r="P1100" s="9" t="n">
        <v>480</v>
      </c>
      <c r="Q1100" s="9" t="n">
        <v>150</v>
      </c>
      <c r="R1100" s="9" t="n">
        <v>212</v>
      </c>
      <c r="S1100" s="9" t="inlineStr">
        <is>
          <t>Tray</t>
        </is>
      </c>
      <c r="T1100" s="10" t="n">
        <v>591</v>
      </c>
      <c r="U1100" s="10" t="n">
        <v>72</v>
      </c>
      <c r="V1100" s="10">
        <f>ROUNDUP((T1100+U1100+2*'Read Me'!$B$13)*(1+'Read Me'!$B$12),-1)</f>
        <v/>
      </c>
      <c r="W1100" s="10">
        <f>V1100*N1100*O1100</f>
        <v/>
      </c>
      <c r="X1100" s="9">
        <f>IF(LEFT(I1100,2)="MV",2*N1100*IF(L1100="1/C",O1100,1),0)</f>
        <v/>
      </c>
      <c r="Y1100" s="9">
        <f>IF(OR(LEFT(K1100,4)="LVAX",LEFT(K1100,6)="MV15AX",LEFT(K1100,4)="CTAX",LEFT(K1100,2)="W|"),2*N1100*O1100,0)</f>
        <v/>
      </c>
      <c r="Z1100" s="9" t="inlineStr">
        <is>
          <t>VD 2.1 %</t>
        </is>
      </c>
    </row>
    <row r="1101">
      <c r="A1101" s="9" t="inlineStr">
        <is>
          <t>B-P-0073</t>
        </is>
      </c>
      <c r="B1101" s="9" t="inlineStr">
        <is>
          <t>B</t>
        </is>
      </c>
      <c r="C1101" s="9" t="inlineStr">
        <is>
          <t>ACC</t>
        </is>
      </c>
      <c r="D1101" s="9" t="inlineStr">
        <is>
          <t>ACC fan F73 motor (VFD output)</t>
        </is>
      </c>
      <c r="E1101" s="9" t="inlineStr">
        <is>
          <t>R4</t>
        </is>
      </c>
      <c r="F1101" s="9" t="inlineStr">
        <is>
          <t>R4: ACC electrical (VFD) e-house (60 x 120 ft)</t>
        </is>
      </c>
      <c r="G1101" s="9" t="inlineStr">
        <is>
          <t>ACC-F73</t>
        </is>
      </c>
      <c r="H1101" s="9" t="inlineStr">
        <is>
          <t>ACC fan motor F73</t>
        </is>
      </c>
      <c r="I1101" s="9" t="inlineStr">
        <is>
          <t>LV 600 V</t>
        </is>
      </c>
      <c r="J1101" s="9" t="inlineStr">
        <is>
          <t>VFD cable 600 V 3/C Cu XHHW-2, 3 symmetrical grounds, overall Cu tape shield, TC-ER</t>
        </is>
      </c>
      <c r="K1101" s="9" t="inlineStr">
        <is>
          <t>VFD|3/C+3G|350</t>
        </is>
      </c>
      <c r="L1101" s="9" t="inlineStr">
        <is>
          <t>3/C+3G</t>
        </is>
      </c>
      <c r="M1101" s="9" t="inlineStr">
        <is>
          <t>350 kcmil</t>
        </is>
      </c>
      <c r="N1101" s="9" t="n">
        <v>1</v>
      </c>
      <c r="O1101" s="9" t="n">
        <v>1</v>
      </c>
      <c r="P1101" s="9" t="n">
        <v>480</v>
      </c>
      <c r="Q1101" s="9" t="n">
        <v>150</v>
      </c>
      <c r="R1101" s="9" t="n">
        <v>212</v>
      </c>
      <c r="S1101" s="9" t="inlineStr">
        <is>
          <t>Tray</t>
        </is>
      </c>
      <c r="T1101" s="10" t="n">
        <v>559</v>
      </c>
      <c r="U1101" s="10" t="n">
        <v>72</v>
      </c>
      <c r="V1101" s="10">
        <f>ROUNDUP((T1101+U1101+2*'Read Me'!$B$13)*(1+'Read Me'!$B$12),-1)</f>
        <v/>
      </c>
      <c r="W1101" s="10">
        <f>V1101*N1101*O1101</f>
        <v/>
      </c>
      <c r="X1101" s="9">
        <f>IF(LEFT(I1101,2)="MV",2*N1101*IF(L1101="1/C",O1101,1),0)</f>
        <v/>
      </c>
      <c r="Y1101" s="9">
        <f>IF(OR(LEFT(K1101,4)="LVAX",LEFT(K1101,6)="MV15AX",LEFT(K1101,4)="CTAX",LEFT(K1101,2)="W|"),2*N1101*O1101,0)</f>
        <v/>
      </c>
      <c r="Z1101" s="9" t="inlineStr">
        <is>
          <t>VD 2.0 %</t>
        </is>
      </c>
    </row>
    <row r="1102">
      <c r="A1102" s="9" t="inlineStr">
        <is>
          <t>B-P-0074</t>
        </is>
      </c>
      <c r="B1102" s="9" t="inlineStr">
        <is>
          <t>B</t>
        </is>
      </c>
      <c r="C1102" s="9" t="inlineStr">
        <is>
          <t>ACC</t>
        </is>
      </c>
      <c r="D1102" s="9" t="inlineStr">
        <is>
          <t>ACC fan F74 motor (VFD output)</t>
        </is>
      </c>
      <c r="E1102" s="9" t="inlineStr">
        <is>
          <t>R4</t>
        </is>
      </c>
      <c r="F1102" s="9" t="inlineStr">
        <is>
          <t>R4: ACC electrical (VFD) e-house (60 x 120 ft)</t>
        </is>
      </c>
      <c r="G1102" s="9" t="inlineStr">
        <is>
          <t>ACC-F74</t>
        </is>
      </c>
      <c r="H1102" s="9" t="inlineStr">
        <is>
          <t>ACC fan motor F74</t>
        </is>
      </c>
      <c r="I1102" s="9" t="inlineStr">
        <is>
          <t>LV 600 V</t>
        </is>
      </c>
      <c r="J1102" s="9" t="inlineStr">
        <is>
          <t>VFD cable 600 V 3/C Cu XHHW-2, 3 symmetrical grounds, overall Cu tape shield, TC-ER</t>
        </is>
      </c>
      <c r="K1102" s="9" t="inlineStr">
        <is>
          <t>VFD|3/C+3G|350</t>
        </is>
      </c>
      <c r="L1102" s="9" t="inlineStr">
        <is>
          <t>3/C+3G</t>
        </is>
      </c>
      <c r="M1102" s="9" t="inlineStr">
        <is>
          <t>350 kcmil</t>
        </is>
      </c>
      <c r="N1102" s="9" t="n">
        <v>1</v>
      </c>
      <c r="O1102" s="9" t="n">
        <v>1</v>
      </c>
      <c r="P1102" s="9" t="n">
        <v>480</v>
      </c>
      <c r="Q1102" s="9" t="n">
        <v>150</v>
      </c>
      <c r="R1102" s="9" t="n">
        <v>212</v>
      </c>
      <c r="S1102" s="9" t="inlineStr">
        <is>
          <t>Tray</t>
        </is>
      </c>
      <c r="T1102" s="10" t="n">
        <v>527</v>
      </c>
      <c r="U1102" s="10" t="n">
        <v>72</v>
      </c>
      <c r="V1102" s="10">
        <f>ROUNDUP((T1102+U1102+2*'Read Me'!$B$13)*(1+'Read Me'!$B$12),-1)</f>
        <v/>
      </c>
      <c r="W1102" s="10">
        <f>V1102*N1102*O1102</f>
        <v/>
      </c>
      <c r="X1102" s="9">
        <f>IF(LEFT(I1102,2)="MV",2*N1102*IF(L1102="1/C",O1102,1),0)</f>
        <v/>
      </c>
      <c r="Y1102" s="9">
        <f>IF(OR(LEFT(K1102,4)="LVAX",LEFT(K1102,6)="MV15AX",LEFT(K1102,4)="CTAX",LEFT(K1102,2)="W|"),2*N1102*O1102,0)</f>
        <v/>
      </c>
      <c r="Z1102" s="9" t="inlineStr">
        <is>
          <t>VD 1.9 %</t>
        </is>
      </c>
    </row>
    <row r="1103">
      <c r="A1103" s="9" t="inlineStr">
        <is>
          <t>B-P-0075</t>
        </is>
      </c>
      <c r="B1103" s="9" t="inlineStr">
        <is>
          <t>B</t>
        </is>
      </c>
      <c r="C1103" s="9" t="inlineStr">
        <is>
          <t>ACC</t>
        </is>
      </c>
      <c r="D1103" s="9" t="inlineStr">
        <is>
          <t>ACC fan F75 motor (VFD output)</t>
        </is>
      </c>
      <c r="E1103" s="9" t="inlineStr">
        <is>
          <t>R4</t>
        </is>
      </c>
      <c r="F1103" s="9" t="inlineStr">
        <is>
          <t>R4: ACC electrical (VFD) e-house (60 x 120 ft)</t>
        </is>
      </c>
      <c r="G1103" s="9" t="inlineStr">
        <is>
          <t>ACC-F75</t>
        </is>
      </c>
      <c r="H1103" s="9" t="inlineStr">
        <is>
          <t>ACC fan motor F75</t>
        </is>
      </c>
      <c r="I1103" s="9" t="inlineStr">
        <is>
          <t>LV 600 V</t>
        </is>
      </c>
      <c r="J1103" s="9" t="inlineStr">
        <is>
          <t>VFD cable 600 V 3/C Cu XHHW-2, 3 symmetrical grounds, overall Cu tape shield, TC-ER</t>
        </is>
      </c>
      <c r="K1103" s="9" t="inlineStr">
        <is>
          <t>VFD|3/C+3G|350</t>
        </is>
      </c>
      <c r="L1103" s="9" t="inlineStr">
        <is>
          <t>3/C+3G</t>
        </is>
      </c>
      <c r="M1103" s="9" t="inlineStr">
        <is>
          <t>350 kcmil</t>
        </is>
      </c>
      <c r="N1103" s="9" t="n">
        <v>1</v>
      </c>
      <c r="O1103" s="9" t="n">
        <v>1</v>
      </c>
      <c r="P1103" s="9" t="n">
        <v>480</v>
      </c>
      <c r="Q1103" s="9" t="n">
        <v>150</v>
      </c>
      <c r="R1103" s="9" t="n">
        <v>212</v>
      </c>
      <c r="S1103" s="9" t="inlineStr">
        <is>
          <t>Tray</t>
        </is>
      </c>
      <c r="T1103" s="10" t="n">
        <v>495</v>
      </c>
      <c r="U1103" s="10" t="n">
        <v>72</v>
      </c>
      <c r="V1103" s="10">
        <f>ROUNDUP((T1103+U1103+2*'Read Me'!$B$13)*(1+'Read Me'!$B$12),-1)</f>
        <v/>
      </c>
      <c r="W1103" s="10">
        <f>V1103*N1103*O1103</f>
        <v/>
      </c>
      <c r="X1103" s="9">
        <f>IF(LEFT(I1103,2)="MV",2*N1103*IF(L1103="1/C",O1103,1),0)</f>
        <v/>
      </c>
      <c r="Y1103" s="9">
        <f>IF(OR(LEFT(K1103,4)="LVAX",LEFT(K1103,6)="MV15AX",LEFT(K1103,4)="CTAX",LEFT(K1103,2)="W|"),2*N1103*O1103,0)</f>
        <v/>
      </c>
      <c r="Z1103" s="9" t="inlineStr">
        <is>
          <t>VD 1.8 %</t>
        </is>
      </c>
    </row>
    <row r="1104">
      <c r="A1104" s="9" t="inlineStr">
        <is>
          <t>B-P-0076</t>
        </is>
      </c>
      <c r="B1104" s="9" t="inlineStr">
        <is>
          <t>B</t>
        </is>
      </c>
      <c r="C1104" s="9" t="inlineStr">
        <is>
          <t>ACC</t>
        </is>
      </c>
      <c r="D1104" s="9" t="inlineStr">
        <is>
          <t>ACC fan F76 motor (VFD output)</t>
        </is>
      </c>
      <c r="E1104" s="9" t="inlineStr">
        <is>
          <t>R4</t>
        </is>
      </c>
      <c r="F1104" s="9" t="inlineStr">
        <is>
          <t>R4: ACC electrical (VFD) e-house (60 x 120 ft)</t>
        </is>
      </c>
      <c r="G1104" s="9" t="inlineStr">
        <is>
          <t>ACC-F76</t>
        </is>
      </c>
      <c r="H1104" s="9" t="inlineStr">
        <is>
          <t>ACC fan motor F76</t>
        </is>
      </c>
      <c r="I1104" s="9" t="inlineStr">
        <is>
          <t>LV 600 V</t>
        </is>
      </c>
      <c r="J1104" s="9" t="inlineStr">
        <is>
          <t>VFD cable 600 V 3/C Cu XHHW-2, 3 symmetrical grounds, overall Cu tape shield, TC-ER</t>
        </is>
      </c>
      <c r="K1104" s="9" t="inlineStr">
        <is>
          <t>VFD|3/C+3G|350</t>
        </is>
      </c>
      <c r="L1104" s="9" t="inlineStr">
        <is>
          <t>3/C+3G</t>
        </is>
      </c>
      <c r="M1104" s="9" t="inlineStr">
        <is>
          <t>350 kcmil</t>
        </is>
      </c>
      <c r="N1104" s="9" t="n">
        <v>1</v>
      </c>
      <c r="O1104" s="9" t="n">
        <v>1</v>
      </c>
      <c r="P1104" s="9" t="n">
        <v>480</v>
      </c>
      <c r="Q1104" s="9" t="n">
        <v>150</v>
      </c>
      <c r="R1104" s="9" t="n">
        <v>212</v>
      </c>
      <c r="S1104" s="9" t="inlineStr">
        <is>
          <t>Tray</t>
        </is>
      </c>
      <c r="T1104" s="10" t="n">
        <v>495</v>
      </c>
      <c r="U1104" s="10" t="n">
        <v>72</v>
      </c>
      <c r="V1104" s="10">
        <f>ROUNDUP((T1104+U1104+2*'Read Me'!$B$13)*(1+'Read Me'!$B$12),-1)</f>
        <v/>
      </c>
      <c r="W1104" s="10">
        <f>V1104*N1104*O1104</f>
        <v/>
      </c>
      <c r="X1104" s="9">
        <f>IF(LEFT(I1104,2)="MV",2*N1104*IF(L1104="1/C",O1104,1),0)</f>
        <v/>
      </c>
      <c r="Y1104" s="9">
        <f>IF(OR(LEFT(K1104,4)="LVAX",LEFT(K1104,6)="MV15AX",LEFT(K1104,4)="CTAX",LEFT(K1104,2)="W|"),2*N1104*O1104,0)</f>
        <v/>
      </c>
      <c r="Z1104" s="9" t="inlineStr">
        <is>
          <t>VD 1.8 %</t>
        </is>
      </c>
    </row>
    <row r="1105">
      <c r="A1105" s="9" t="inlineStr">
        <is>
          <t>B-P-0077</t>
        </is>
      </c>
      <c r="B1105" s="9" t="inlineStr">
        <is>
          <t>B</t>
        </is>
      </c>
      <c r="C1105" s="9" t="inlineStr">
        <is>
          <t>ACC</t>
        </is>
      </c>
      <c r="D1105" s="9" t="inlineStr">
        <is>
          <t>ACC fan F77 motor (VFD output)</t>
        </is>
      </c>
      <c r="E1105" s="9" t="inlineStr">
        <is>
          <t>R4</t>
        </is>
      </c>
      <c r="F1105" s="9" t="inlineStr">
        <is>
          <t>R4: ACC electrical (VFD) e-house (60 x 120 ft)</t>
        </is>
      </c>
      <c r="G1105" s="9" t="inlineStr">
        <is>
          <t>ACC-F77</t>
        </is>
      </c>
      <c r="H1105" s="9" t="inlineStr">
        <is>
          <t>ACC fan motor F77</t>
        </is>
      </c>
      <c r="I1105" s="9" t="inlineStr">
        <is>
          <t>LV 600 V</t>
        </is>
      </c>
      <c r="J1105" s="9" t="inlineStr">
        <is>
          <t>VFD cable 600 V 3/C Cu XHHW-2, 3 symmetrical grounds, overall Cu tape shield, TC-ER</t>
        </is>
      </c>
      <c r="K1105" s="9" t="inlineStr">
        <is>
          <t>VFD|3/C+3G|350</t>
        </is>
      </c>
      <c r="L1105" s="9" t="inlineStr">
        <is>
          <t>3/C+3G</t>
        </is>
      </c>
      <c r="M1105" s="9" t="inlineStr">
        <is>
          <t>350 kcmil</t>
        </is>
      </c>
      <c r="N1105" s="9" t="n">
        <v>1</v>
      </c>
      <c r="O1105" s="9" t="n">
        <v>1</v>
      </c>
      <c r="P1105" s="9" t="n">
        <v>480</v>
      </c>
      <c r="Q1105" s="9" t="n">
        <v>150</v>
      </c>
      <c r="R1105" s="9" t="n">
        <v>212</v>
      </c>
      <c r="S1105" s="9" t="inlineStr">
        <is>
          <t>Tray</t>
        </is>
      </c>
      <c r="T1105" s="10" t="n">
        <v>527</v>
      </c>
      <c r="U1105" s="10" t="n">
        <v>72</v>
      </c>
      <c r="V1105" s="10">
        <f>ROUNDUP((T1105+U1105+2*'Read Me'!$B$13)*(1+'Read Me'!$B$12),-1)</f>
        <v/>
      </c>
      <c r="W1105" s="10">
        <f>V1105*N1105*O1105</f>
        <v/>
      </c>
      <c r="X1105" s="9">
        <f>IF(LEFT(I1105,2)="MV",2*N1105*IF(L1105="1/C",O1105,1),0)</f>
        <v/>
      </c>
      <c r="Y1105" s="9">
        <f>IF(OR(LEFT(K1105,4)="LVAX",LEFT(K1105,6)="MV15AX",LEFT(K1105,4)="CTAX",LEFT(K1105,2)="W|"),2*N1105*O1105,0)</f>
        <v/>
      </c>
      <c r="Z1105" s="9" t="inlineStr">
        <is>
          <t>VD 1.9 %</t>
        </is>
      </c>
    </row>
    <row r="1106">
      <c r="A1106" s="9" t="inlineStr">
        <is>
          <t>B-P-0078</t>
        </is>
      </c>
      <c r="B1106" s="9" t="inlineStr">
        <is>
          <t>B</t>
        </is>
      </c>
      <c r="C1106" s="9" t="inlineStr">
        <is>
          <t>ACC</t>
        </is>
      </c>
      <c r="D1106" s="9" t="inlineStr">
        <is>
          <t>ACC fan F78 motor (VFD output)</t>
        </is>
      </c>
      <c r="E1106" s="9" t="inlineStr">
        <is>
          <t>R4</t>
        </is>
      </c>
      <c r="F1106" s="9" t="inlineStr">
        <is>
          <t>R4: ACC electrical (VFD) e-house (60 x 120 ft)</t>
        </is>
      </c>
      <c r="G1106" s="9" t="inlineStr">
        <is>
          <t>ACC-F78</t>
        </is>
      </c>
      <c r="H1106" s="9" t="inlineStr">
        <is>
          <t>ACC fan motor F78</t>
        </is>
      </c>
      <c r="I1106" s="9" t="inlineStr">
        <is>
          <t>LV 600 V</t>
        </is>
      </c>
      <c r="J1106" s="9" t="inlineStr">
        <is>
          <t>VFD cable 600 V 3/C Cu XHHW-2, 3 symmetrical grounds, overall Cu tape shield, TC-ER</t>
        </is>
      </c>
      <c r="K1106" s="9" t="inlineStr">
        <is>
          <t>VFD|3/C+3G|350</t>
        </is>
      </c>
      <c r="L1106" s="9" t="inlineStr">
        <is>
          <t>3/C+3G</t>
        </is>
      </c>
      <c r="M1106" s="9" t="inlineStr">
        <is>
          <t>350 kcmil</t>
        </is>
      </c>
      <c r="N1106" s="9" t="n">
        <v>1</v>
      </c>
      <c r="O1106" s="9" t="n">
        <v>1</v>
      </c>
      <c r="P1106" s="9" t="n">
        <v>480</v>
      </c>
      <c r="Q1106" s="9" t="n">
        <v>150</v>
      </c>
      <c r="R1106" s="9" t="n">
        <v>212</v>
      </c>
      <c r="S1106" s="9" t="inlineStr">
        <is>
          <t>Tray</t>
        </is>
      </c>
      <c r="T1106" s="10" t="n">
        <v>559</v>
      </c>
      <c r="U1106" s="10" t="n">
        <v>72</v>
      </c>
      <c r="V1106" s="10">
        <f>ROUNDUP((T1106+U1106+2*'Read Me'!$B$13)*(1+'Read Me'!$B$12),-1)</f>
        <v/>
      </c>
      <c r="W1106" s="10">
        <f>V1106*N1106*O1106</f>
        <v/>
      </c>
      <c r="X1106" s="9">
        <f>IF(LEFT(I1106,2)="MV",2*N1106*IF(L1106="1/C",O1106,1),0)</f>
        <v/>
      </c>
      <c r="Y1106" s="9">
        <f>IF(OR(LEFT(K1106,4)="LVAX",LEFT(K1106,6)="MV15AX",LEFT(K1106,4)="CTAX",LEFT(K1106,2)="W|"),2*N1106*O1106,0)</f>
        <v/>
      </c>
      <c r="Z1106" s="9" t="inlineStr">
        <is>
          <t>VD 2.0 %</t>
        </is>
      </c>
    </row>
    <row r="1107">
      <c r="A1107" s="9" t="inlineStr">
        <is>
          <t>B-P-0079</t>
        </is>
      </c>
      <c r="B1107" s="9" t="inlineStr">
        <is>
          <t>B</t>
        </is>
      </c>
      <c r="C1107" s="9" t="inlineStr">
        <is>
          <t>ACC</t>
        </is>
      </c>
      <c r="D1107" s="9" t="inlineStr">
        <is>
          <t>ACC fan F79 motor (VFD output)</t>
        </is>
      </c>
      <c r="E1107" s="9" t="inlineStr">
        <is>
          <t>R4</t>
        </is>
      </c>
      <c r="F1107" s="9" t="inlineStr">
        <is>
          <t>R4: ACC electrical (VFD) e-house (60 x 120 ft)</t>
        </is>
      </c>
      <c r="G1107" s="9" t="inlineStr">
        <is>
          <t>ACC-F79</t>
        </is>
      </c>
      <c r="H1107" s="9" t="inlineStr">
        <is>
          <t>ACC fan motor F79</t>
        </is>
      </c>
      <c r="I1107" s="9" t="inlineStr">
        <is>
          <t>LV 600 V</t>
        </is>
      </c>
      <c r="J1107" s="9" t="inlineStr">
        <is>
          <t>VFD cable 600 V 3/C Cu XHHW-2, 3 symmetrical grounds, overall Cu tape shield, TC-ER</t>
        </is>
      </c>
      <c r="K1107" s="9" t="inlineStr">
        <is>
          <t>VFD|3/C+3G|350</t>
        </is>
      </c>
      <c r="L1107" s="9" t="inlineStr">
        <is>
          <t>3/C+3G</t>
        </is>
      </c>
      <c r="M1107" s="9" t="inlineStr">
        <is>
          <t>350 kcmil</t>
        </is>
      </c>
      <c r="N1107" s="9" t="n">
        <v>1</v>
      </c>
      <c r="O1107" s="9" t="n">
        <v>1</v>
      </c>
      <c r="P1107" s="9" t="n">
        <v>480</v>
      </c>
      <c r="Q1107" s="9" t="n">
        <v>150</v>
      </c>
      <c r="R1107" s="9" t="n">
        <v>212</v>
      </c>
      <c r="S1107" s="9" t="inlineStr">
        <is>
          <t>Tray</t>
        </is>
      </c>
      <c r="T1107" s="10" t="n">
        <v>591</v>
      </c>
      <c r="U1107" s="10" t="n">
        <v>72</v>
      </c>
      <c r="V1107" s="10">
        <f>ROUNDUP((T1107+U1107+2*'Read Me'!$B$13)*(1+'Read Me'!$B$12),-1)</f>
        <v/>
      </c>
      <c r="W1107" s="10">
        <f>V1107*N1107*O1107</f>
        <v/>
      </c>
      <c r="X1107" s="9">
        <f>IF(LEFT(I1107,2)="MV",2*N1107*IF(L1107="1/C",O1107,1),0)</f>
        <v/>
      </c>
      <c r="Y1107" s="9">
        <f>IF(OR(LEFT(K1107,4)="LVAX",LEFT(K1107,6)="MV15AX",LEFT(K1107,4)="CTAX",LEFT(K1107,2)="W|"),2*N1107*O1107,0)</f>
        <v/>
      </c>
      <c r="Z1107" s="9" t="inlineStr">
        <is>
          <t>VD 2.1 %</t>
        </is>
      </c>
    </row>
    <row r="1108">
      <c r="A1108" s="9" t="inlineStr">
        <is>
          <t>B-P-0080</t>
        </is>
      </c>
      <c r="B1108" s="9" t="inlineStr">
        <is>
          <t>B</t>
        </is>
      </c>
      <c r="C1108" s="9" t="inlineStr">
        <is>
          <t>ACC</t>
        </is>
      </c>
      <c r="D1108" s="9" t="inlineStr">
        <is>
          <t>ACC fan F80 motor (VFD output)</t>
        </is>
      </c>
      <c r="E1108" s="9" t="inlineStr">
        <is>
          <t>R4</t>
        </is>
      </c>
      <c r="F1108" s="9" t="inlineStr">
        <is>
          <t>R4: ACC electrical (VFD) e-house (60 x 120 ft)</t>
        </is>
      </c>
      <c r="G1108" s="9" t="inlineStr">
        <is>
          <t>ACC-F80</t>
        </is>
      </c>
      <c r="H1108" s="9" t="inlineStr">
        <is>
          <t>ACC fan motor F80</t>
        </is>
      </c>
      <c r="I1108" s="9" t="inlineStr">
        <is>
          <t>LV 600 V</t>
        </is>
      </c>
      <c r="J1108" s="9" t="inlineStr">
        <is>
          <t>VFD cable 600 V 3/C Cu XHHW-2, 3 symmetrical grounds, overall Cu tape shield, TC-ER</t>
        </is>
      </c>
      <c r="K1108" s="9" t="inlineStr">
        <is>
          <t>VFD|3/C+3G|350</t>
        </is>
      </c>
      <c r="L1108" s="9" t="inlineStr">
        <is>
          <t>3/C+3G</t>
        </is>
      </c>
      <c r="M1108" s="9" t="inlineStr">
        <is>
          <t>350 kcmil</t>
        </is>
      </c>
      <c r="N1108" s="9" t="n">
        <v>1</v>
      </c>
      <c r="O1108" s="9" t="n">
        <v>1</v>
      </c>
      <c r="P1108" s="9" t="n">
        <v>480</v>
      </c>
      <c r="Q1108" s="9" t="n">
        <v>150</v>
      </c>
      <c r="R1108" s="9" t="n">
        <v>212</v>
      </c>
      <c r="S1108" s="9" t="inlineStr">
        <is>
          <t>Tray</t>
        </is>
      </c>
      <c r="T1108" s="10" t="n">
        <v>623</v>
      </c>
      <c r="U1108" s="10" t="n">
        <v>72</v>
      </c>
      <c r="V1108" s="10">
        <f>ROUNDUP((T1108+U1108+2*'Read Me'!$B$13)*(1+'Read Me'!$B$12),-1)</f>
        <v/>
      </c>
      <c r="W1108" s="10">
        <f>V1108*N1108*O1108</f>
        <v/>
      </c>
      <c r="X1108" s="9">
        <f>IF(LEFT(I1108,2)="MV",2*N1108*IF(L1108="1/C",O1108,1),0)</f>
        <v/>
      </c>
      <c r="Y1108" s="9">
        <f>IF(OR(LEFT(K1108,4)="LVAX",LEFT(K1108,6)="MV15AX",LEFT(K1108,4)="CTAX",LEFT(K1108,2)="W|"),2*N1108*O1108,0)</f>
        <v/>
      </c>
      <c r="Z1108" s="9" t="inlineStr">
        <is>
          <t>VD 2.1 %</t>
        </is>
      </c>
    </row>
    <row r="1109">
      <c r="A1109" s="9" t="inlineStr">
        <is>
          <t>B-P-0081</t>
        </is>
      </c>
      <c r="B1109" s="9" t="inlineStr">
        <is>
          <t>B</t>
        </is>
      </c>
      <c r="C1109" s="9" t="inlineStr">
        <is>
          <t>ACC</t>
        </is>
      </c>
      <c r="D1109" s="9" t="inlineStr">
        <is>
          <t>LV power feeder</t>
        </is>
      </c>
      <c r="E1109" s="9" t="inlineStr"/>
      <c r="F1109" s="9" t="inlineStr">
        <is>
          <t>R4 480 V switchgear + vacuum-pump MCC</t>
        </is>
      </c>
      <c r="G1109" s="9" t="inlineStr">
        <is>
          <t>AUXC</t>
        </is>
      </c>
      <c r="H1109" s="9" t="inlineStr">
        <is>
          <t>Aux dry coolers AUXC-F01..12 (closed cooling water)</t>
        </is>
      </c>
      <c r="I1109" s="9" t="inlineStr">
        <is>
          <t>LV 600 V</t>
        </is>
      </c>
      <c r="J1109" s="9" t="inlineStr">
        <is>
          <t>Type TC-ER 600 V 3/C Cu XHHW-2 + ground, PVC jacket</t>
        </is>
      </c>
      <c r="K1109" s="9" t="inlineStr">
        <is>
          <t>LV|3/C+G|350</t>
        </is>
      </c>
      <c r="L1109" s="9" t="inlineStr">
        <is>
          <t>3/C+G</t>
        </is>
      </c>
      <c r="M1109" s="9" t="inlineStr">
        <is>
          <t>350 kcmil</t>
        </is>
      </c>
      <c r="N1109" s="9" t="n">
        <v>2</v>
      </c>
      <c r="O1109" s="9" t="n">
        <v>1</v>
      </c>
      <c r="P1109" s="9" t="n">
        <v>480</v>
      </c>
      <c r="Q1109" s="9" t="n">
        <v>264</v>
      </c>
      <c r="R1109" s="9" t="n">
        <v>374</v>
      </c>
      <c r="S1109" s="9" t="inlineStr">
        <is>
          <t>Tray</t>
        </is>
      </c>
      <c r="T1109" s="10" t="n">
        <v>681</v>
      </c>
      <c r="U1109" s="10" t="n">
        <v>128</v>
      </c>
      <c r="V1109" s="10">
        <f>ROUNDUP((T1109+U1109+2*'Read Me'!$B$13)*(1+'Read Me'!$B$12),-1)</f>
        <v/>
      </c>
      <c r="W1109" s="10">
        <f>V1109*N1109*O1109</f>
        <v/>
      </c>
      <c r="X1109" s="9">
        <f>IF(LEFT(I1109,2)="MV",2*N1109*IF(L1109="1/C",O1109,1),0)</f>
        <v/>
      </c>
      <c r="Y1109" s="9">
        <f>IF(OR(LEFT(K1109,4)="LVAX",LEFT(K1109,6)="MV15AX",LEFT(K1109,4)="CTAX",LEFT(K1109,2)="W|"),2*N1109*O1109,0)</f>
        <v/>
      </c>
      <c r="Z1109" s="9" t="inlineStr">
        <is>
          <t>VD 2.2 %</t>
        </is>
      </c>
    </row>
    <row r="1110">
      <c r="A1110" s="9" t="inlineStr">
        <is>
          <t>B-P-0082</t>
        </is>
      </c>
      <c r="B1110" s="9" t="inlineStr">
        <is>
          <t>B</t>
        </is>
      </c>
      <c r="C1110" s="9" t="inlineStr">
        <is>
          <t>ACC</t>
        </is>
      </c>
      <c r="D1110" s="9" t="inlineStr">
        <is>
          <t>LV power feeder</t>
        </is>
      </c>
      <c r="E1110" s="9" t="inlineStr"/>
      <c r="F1110" s="9" t="inlineStr">
        <is>
          <t>R4 480 V switchgear + vacuum-pump MCC</t>
        </is>
      </c>
      <c r="G1110" s="9" t="inlineStr">
        <is>
          <t>CCW-A/B</t>
        </is>
      </c>
      <c r="H1110" s="9" t="inlineStr">
        <is>
          <t>CCW-A/B: closed cooling water pumps</t>
        </is>
      </c>
      <c r="I1110" s="9" t="inlineStr">
        <is>
          <t>LV 600 V</t>
        </is>
      </c>
      <c r="J1110" s="9" t="inlineStr">
        <is>
          <t>Type TC-ER 600 V 3/C Cu XHHW-2 + ground, PVC jacket</t>
        </is>
      </c>
      <c r="K1110" s="9" t="inlineStr">
        <is>
          <t>LV|3/C+G|350</t>
        </is>
      </c>
      <c r="L1110" s="9" t="inlineStr">
        <is>
          <t>3/C+G</t>
        </is>
      </c>
      <c r="M1110" s="9" t="inlineStr">
        <is>
          <t>350 kcmil</t>
        </is>
      </c>
      <c r="N1110" s="9" t="n">
        <v>2</v>
      </c>
      <c r="O1110" s="9" t="n">
        <v>1</v>
      </c>
      <c r="P1110" s="9" t="n">
        <v>480</v>
      </c>
      <c r="Q1110" s="9" t="n">
        <v>300</v>
      </c>
      <c r="R1110" s="9" t="n">
        <v>425</v>
      </c>
      <c r="S1110" s="9" t="inlineStr">
        <is>
          <t>Tray</t>
        </is>
      </c>
      <c r="T1110" s="10" t="n">
        <v>690</v>
      </c>
      <c r="U1110" s="10" t="n">
        <v>92</v>
      </c>
      <c r="V1110" s="10">
        <f>ROUNDUP((T1110+U1110+2*'Read Me'!$B$13)*(1+'Read Me'!$B$12),-1)</f>
        <v/>
      </c>
      <c r="W1110" s="10">
        <f>V1110*N1110*O1110</f>
        <v/>
      </c>
      <c r="X1110" s="9">
        <f>IF(LEFT(I1110,2)="MV",2*N1110*IF(L1110="1/C",O1110,1),0)</f>
        <v/>
      </c>
      <c r="Y1110" s="9">
        <f>IF(OR(LEFT(K1110,4)="LVAX",LEFT(K1110,6)="MV15AX",LEFT(K1110,4)="CTAX",LEFT(K1110,2)="W|"),2*N1110*O1110,0)</f>
        <v/>
      </c>
      <c r="Z1110" s="9" t="inlineStr">
        <is>
          <t>VD 2.4 %</t>
        </is>
      </c>
    </row>
    <row r="1111">
      <c r="A1111" s="9" t="inlineStr">
        <is>
          <t>B-P-0083</t>
        </is>
      </c>
      <c r="B1111" s="9" t="inlineStr">
        <is>
          <t>B</t>
        </is>
      </c>
      <c r="C1111" s="9" t="inlineStr">
        <is>
          <t>ACC</t>
        </is>
      </c>
      <c r="D1111" s="9" t="inlineStr">
        <is>
          <t>LV power feeder</t>
        </is>
      </c>
      <c r="E1111" s="9" t="inlineStr"/>
      <c r="F1111" s="9" t="inlineStr">
        <is>
          <t>R4 480 V switchgear + vacuum-pump MCC</t>
        </is>
      </c>
      <c r="G1111" s="9" t="inlineStr"/>
      <c r="H1111" s="9" t="inlineStr">
        <is>
          <t>Condensate storage tank</t>
        </is>
      </c>
      <c r="I1111" s="9" t="inlineStr">
        <is>
          <t>LV 600 V</t>
        </is>
      </c>
      <c r="J1111" s="9" t="inlineStr">
        <is>
          <t>Type TC-ER 600 V 3/C Cu XHHW-2 + ground, PVC jacket</t>
        </is>
      </c>
      <c r="K1111" s="9" t="inlineStr">
        <is>
          <t>LV|3/C+G|8</t>
        </is>
      </c>
      <c r="L1111" s="9" t="inlineStr">
        <is>
          <t>3/C+G</t>
        </is>
      </c>
      <c r="M1111" s="9" t="inlineStr">
        <is>
          <t>8</t>
        </is>
      </c>
      <c r="N1111" s="9" t="n">
        <v>1</v>
      </c>
      <c r="O1111" s="9" t="n">
        <v>1</v>
      </c>
      <c r="P1111" s="9" t="n">
        <v>480</v>
      </c>
      <c r="Q1111" s="9" t="n">
        <v>10</v>
      </c>
      <c r="R1111" s="9" t="n">
        <v>14</v>
      </c>
      <c r="S1111" s="9" t="inlineStr">
        <is>
          <t>Tray</t>
        </is>
      </c>
      <c r="T1111" s="10" t="n">
        <v>411</v>
      </c>
      <c r="U1111" s="10" t="n">
        <v>100</v>
      </c>
      <c r="V1111" s="10">
        <f>ROUNDUP((T1111+U1111+2*'Read Me'!$B$13)*(1+'Read Me'!$B$12),-1)</f>
        <v/>
      </c>
      <c r="W1111" s="10">
        <f>V1111*N1111*O1111</f>
        <v/>
      </c>
      <c r="X1111" s="9">
        <f>IF(LEFT(I1111,2)="MV",2*N1111*IF(L1111="1/C",O1111,1),0)</f>
        <v/>
      </c>
      <c r="Y1111" s="9">
        <f>IF(OR(LEFT(K1111,4)="LVAX",LEFT(K1111,6)="MV15AX",LEFT(K1111,4)="CTAX",LEFT(K1111,2)="W|"),2*N1111*O1111,0)</f>
        <v/>
      </c>
      <c r="Z1111" s="9" t="inlineStr">
        <is>
          <t>VD 2.2 %</t>
        </is>
      </c>
    </row>
    <row r="1112">
      <c r="A1112" s="9" t="inlineStr">
        <is>
          <t>B-P-0084</t>
        </is>
      </c>
      <c r="B1112" s="9" t="inlineStr">
        <is>
          <t>B</t>
        </is>
      </c>
      <c r="C1112" s="9" t="inlineStr">
        <is>
          <t>ACC</t>
        </is>
      </c>
      <c r="D1112" s="9" t="inlineStr">
        <is>
          <t>LV panel / distribution feeder</t>
        </is>
      </c>
      <c r="E1112" s="9" t="inlineStr"/>
      <c r="F1112" s="9" t="inlineStr">
        <is>
          <t>R4 480 V switchgear + vacuum-pump MCC</t>
        </is>
      </c>
      <c r="G1112" s="9" t="inlineStr">
        <is>
          <t>R4</t>
        </is>
      </c>
      <c r="H1112" s="9" t="inlineStr">
        <is>
          <t>R4: ACC electrical (VFD) e-house (60 x 120 ft)</t>
        </is>
      </c>
      <c r="I1112" s="9" t="inlineStr">
        <is>
          <t>LV 600 V</t>
        </is>
      </c>
      <c r="J1112" s="9" t="inlineStr">
        <is>
          <t>Type TC-ER 600 V 3/C Cu XHHW-2 + ground, PVC jacket</t>
        </is>
      </c>
      <c r="K1112" s="9" t="inlineStr">
        <is>
          <t>LV|3/C+G|2/0</t>
        </is>
      </c>
      <c r="L1112" s="9" t="inlineStr">
        <is>
          <t>3/C+G</t>
        </is>
      </c>
      <c r="M1112" s="9" t="inlineStr">
        <is>
          <t>2/0</t>
        </is>
      </c>
      <c r="N1112" s="9" t="n">
        <v>1</v>
      </c>
      <c r="O1112" s="9" t="n">
        <v>1</v>
      </c>
      <c r="P1112" s="9" t="n">
        <v>480</v>
      </c>
      <c r="Q1112" s="9" t="n">
        <v>86</v>
      </c>
      <c r="R1112" s="9" t="n">
        <v>122</v>
      </c>
      <c r="S1112" s="9" t="inlineStr">
        <is>
          <t>Tray</t>
        </is>
      </c>
      <c r="T1112" s="10" t="n">
        <v>0</v>
      </c>
      <c r="U1112" s="10" t="n">
        <v>91</v>
      </c>
      <c r="V1112" s="10">
        <f>ROUNDUP((T1112+U1112+2*'Read Me'!$B$13)*(1+'Read Me'!$B$12),-1)</f>
        <v/>
      </c>
      <c r="W1112" s="10">
        <f>V1112*N1112*O1112</f>
        <v/>
      </c>
      <c r="X1112" s="9">
        <f>IF(LEFT(I1112,2)="MV",2*N1112*IF(L1112="1/C",O1112,1),0)</f>
        <v/>
      </c>
      <c r="Y1112" s="9">
        <f>IF(OR(LEFT(K1112,4)="LVAX",LEFT(K1112,6)="MV15AX",LEFT(K1112,4)="CTAX",LEFT(K1112,2)="W|"),2*N1112*O1112,0)</f>
        <v/>
      </c>
      <c r="Z1112" s="9" t="inlineStr">
        <is>
          <t>VD 0.4 %</t>
        </is>
      </c>
    </row>
    <row r="1113">
      <c r="A1113" s="9" t="inlineStr">
        <is>
          <t>B-P-0085</t>
        </is>
      </c>
      <c r="B1113" s="9" t="inlineStr">
        <is>
          <t>B</t>
        </is>
      </c>
      <c r="C1113" s="9" t="inlineStr">
        <is>
          <t>ACC</t>
        </is>
      </c>
      <c r="D1113" s="9" t="inlineStr">
        <is>
          <t>LV power feeder</t>
        </is>
      </c>
      <c r="E1113" s="9" t="inlineStr"/>
      <c r="F1113" s="9" t="inlineStr">
        <is>
          <t>R4 480 V switchgear + vacuum-pump MCC</t>
        </is>
      </c>
      <c r="G1113" s="9" t="inlineStr">
        <is>
          <t>VAC-A/B</t>
        </is>
      </c>
      <c r="H1113" s="9" t="inlineStr">
        <is>
          <t>VAC-A/B: ACC air-removal vacuum pumps</t>
        </is>
      </c>
      <c r="I1113" s="9" t="inlineStr">
        <is>
          <t>LV 600 V</t>
        </is>
      </c>
      <c r="J1113" s="9" t="inlineStr">
        <is>
          <t>Type TC-ER 600 V 3/C Cu XHHW-2 + ground, PVC jacket</t>
        </is>
      </c>
      <c r="K1113" s="9" t="inlineStr">
        <is>
          <t>LV|3/C+G|350</t>
        </is>
      </c>
      <c r="L1113" s="9" t="inlineStr">
        <is>
          <t>3/C+G</t>
        </is>
      </c>
      <c r="M1113" s="9" t="inlineStr">
        <is>
          <t>350 kcmil</t>
        </is>
      </c>
      <c r="N1113" s="9" t="n">
        <v>1</v>
      </c>
      <c r="O1113" s="9" t="n">
        <v>1</v>
      </c>
      <c r="P1113" s="9" t="n">
        <v>480</v>
      </c>
      <c r="Q1113" s="9" t="n">
        <v>150</v>
      </c>
      <c r="R1113" s="9" t="n">
        <v>212</v>
      </c>
      <c r="S1113" s="9" t="inlineStr">
        <is>
          <t>Tray</t>
        </is>
      </c>
      <c r="T1113" s="10" t="n">
        <v>533</v>
      </c>
      <c r="U1113" s="10" t="n">
        <v>86</v>
      </c>
      <c r="V1113" s="10">
        <f>ROUNDUP((T1113+U1113+2*'Read Me'!$B$13)*(1+'Read Me'!$B$12),-1)</f>
        <v/>
      </c>
      <c r="W1113" s="10">
        <f>V1113*N1113*O1113</f>
        <v/>
      </c>
      <c r="X1113" s="9">
        <f>IF(LEFT(I1113,2)="MV",2*N1113*IF(L1113="1/C",O1113,1),0)</f>
        <v/>
      </c>
      <c r="Y1113" s="9">
        <f>IF(OR(LEFT(K1113,4)="LVAX",LEFT(K1113,6)="MV15AX",LEFT(K1113,4)="CTAX",LEFT(K1113,2)="W|"),2*N1113*O1113,0)</f>
        <v/>
      </c>
      <c r="Z1113" s="9" t="inlineStr">
        <is>
          <t>VD 1.9 %</t>
        </is>
      </c>
    </row>
    <row r="1114">
      <c r="A1114" s="9" t="inlineStr">
        <is>
          <t>B-MV-0001</t>
        </is>
      </c>
      <c r="B1114" s="9" t="inlineStr">
        <is>
          <t>B</t>
        </is>
      </c>
      <c r="C1114" s="9" t="inlineStr">
        <is>
          <t>ACC</t>
        </is>
      </c>
      <c r="D1114" s="9" t="inlineStr">
        <is>
          <t>T-R4-1 ACC VFD transformer primary</t>
        </is>
      </c>
      <c r="E1114" s="9" t="inlineStr">
        <is>
          <t>SWGR-13.8-1</t>
        </is>
      </c>
      <c r="F1114" s="9" t="inlineStr">
        <is>
          <t>R1 SWGR-13.8-1 (11 x 36 in cubicles, 15 kV metal-clad)</t>
        </is>
      </c>
      <c r="G1114" s="9" t="inlineStr"/>
      <c r="H1114" s="9" t="inlineStr">
        <is>
          <t>T-R4-1: 13.8/0.48 kV</t>
        </is>
      </c>
      <c r="I1114" s="9" t="inlineStr">
        <is>
          <t>MV 15 kV</t>
        </is>
      </c>
      <c r="J1114" s="9" t="inlineStr">
        <is>
          <t>MV-105 15 kV 1/C Cu, EPR 133%, Cu tape shield, PVC jacket (triplexed)</t>
        </is>
      </c>
      <c r="K1114" s="9" t="inlineStr">
        <is>
          <t>MV15|1/C|2/0</t>
        </is>
      </c>
      <c r="L1114" s="9" t="inlineStr">
        <is>
          <t>1/C</t>
        </is>
      </c>
      <c r="M1114" s="9" t="inlineStr">
        <is>
          <t>2/0</t>
        </is>
      </c>
      <c r="N1114" s="9" t="n">
        <v>1</v>
      </c>
      <c r="O1114" s="9" t="n">
        <v>3</v>
      </c>
      <c r="P1114" s="9" t="n">
        <v>13800</v>
      </c>
      <c r="Q1114" s="9" t="n">
        <v>3750</v>
      </c>
      <c r="R1114" s="9" t="n">
        <v>157</v>
      </c>
      <c r="S1114" s="9" t="inlineStr">
        <is>
          <t>Tray</t>
        </is>
      </c>
      <c r="T1114" s="10" t="n">
        <v>1328</v>
      </c>
      <c r="U1114" s="10" t="n">
        <v>97</v>
      </c>
      <c r="V1114" s="10">
        <f>ROUNDUP((T1114+U1114+2*'Read Me'!$B$13)*(1+'Read Me'!$B$12),-1)</f>
        <v/>
      </c>
      <c r="W1114" s="10">
        <f>V1114*N1114*O1114</f>
        <v/>
      </c>
      <c r="X1114" s="9">
        <f>IF(LEFT(I1114,2)="MV",2*N1114*IF(L1114="1/C",O1114,1),0)</f>
        <v/>
      </c>
      <c r="Y1114" s="9">
        <f>IF(OR(LEFT(K1114,4)="LVAX",LEFT(K1114,6)="MV15AX",LEFT(K1114,4)="CTAX",LEFT(K1114,2)="W|"),2*N1114*O1114,0)</f>
        <v/>
      </c>
      <c r="Z1114" s="9" t="inlineStr"/>
    </row>
    <row r="1115">
      <c r="A1115" s="9" t="inlineStr">
        <is>
          <t>B-MV-0002</t>
        </is>
      </c>
      <c r="B1115" s="9" t="inlineStr">
        <is>
          <t>B</t>
        </is>
      </c>
      <c r="C1115" s="9" t="inlineStr">
        <is>
          <t>ACC</t>
        </is>
      </c>
      <c r="D1115" s="9" t="inlineStr">
        <is>
          <t>T-R4-2 ACC VFD transformer primary</t>
        </is>
      </c>
      <c r="E1115" s="9" t="inlineStr">
        <is>
          <t>SWGR-13.8-2</t>
        </is>
      </c>
      <c r="F1115" s="9" t="inlineStr">
        <is>
          <t>R1 SWGR-13.8-2 (11 x 36 in cubicles, 15 kV metal-clad)</t>
        </is>
      </c>
      <c r="G1115" s="9" t="inlineStr"/>
      <c r="H1115" s="9" t="inlineStr">
        <is>
          <t>T-R4-2: 13.8/0.48 kV</t>
        </is>
      </c>
      <c r="I1115" s="9" t="inlineStr">
        <is>
          <t>MV 15 kV</t>
        </is>
      </c>
      <c r="J1115" s="9" t="inlineStr">
        <is>
          <t>MV-105 15 kV 1/C Cu, EPR 133%, Cu tape shield, PVC jacket (triplexed)</t>
        </is>
      </c>
      <c r="K1115" s="9" t="inlineStr">
        <is>
          <t>MV15|1/C|2/0</t>
        </is>
      </c>
      <c r="L1115" s="9" t="inlineStr">
        <is>
          <t>1/C</t>
        </is>
      </c>
      <c r="M1115" s="9" t="inlineStr">
        <is>
          <t>2/0</t>
        </is>
      </c>
      <c r="N1115" s="9" t="n">
        <v>1</v>
      </c>
      <c r="O1115" s="9" t="n">
        <v>3</v>
      </c>
      <c r="P1115" s="9" t="n">
        <v>13800</v>
      </c>
      <c r="Q1115" s="9" t="n">
        <v>3750</v>
      </c>
      <c r="R1115" s="9" t="n">
        <v>157</v>
      </c>
      <c r="S1115" s="9" t="inlineStr">
        <is>
          <t>Tray</t>
        </is>
      </c>
      <c r="T1115" s="10" t="n">
        <v>1374</v>
      </c>
      <c r="U1115" s="10" t="n">
        <v>110</v>
      </c>
      <c r="V1115" s="10">
        <f>ROUNDUP((T1115+U1115+2*'Read Me'!$B$13)*(1+'Read Me'!$B$12),-1)</f>
        <v/>
      </c>
      <c r="W1115" s="10">
        <f>V1115*N1115*O1115</f>
        <v/>
      </c>
      <c r="X1115" s="9">
        <f>IF(LEFT(I1115,2)="MV",2*N1115*IF(L1115="1/C",O1115,1),0)</f>
        <v/>
      </c>
      <c r="Y1115" s="9">
        <f>IF(OR(LEFT(K1115,4)="LVAX",LEFT(K1115,6)="MV15AX",LEFT(K1115,4)="CTAX",LEFT(K1115,2)="W|"),2*N1115*O1115,0)</f>
        <v/>
      </c>
      <c r="Z1115" s="9" t="inlineStr"/>
    </row>
    <row r="1116">
      <c r="A1116" s="9" t="inlineStr">
        <is>
          <t>B-MV-0003</t>
        </is>
      </c>
      <c r="B1116" s="9" t="inlineStr">
        <is>
          <t>B</t>
        </is>
      </c>
      <c r="C1116" s="9" t="inlineStr">
        <is>
          <t>ACC</t>
        </is>
      </c>
      <c r="D1116" s="9" t="inlineStr">
        <is>
          <t>T-R4-3 ACC VFD transformer primary</t>
        </is>
      </c>
      <c r="E1116" s="9" t="inlineStr">
        <is>
          <t>SWGR-13.8-3</t>
        </is>
      </c>
      <c r="F1116" s="9" t="inlineStr">
        <is>
          <t>R1 SWGR-13.8-3 (11 x 36 in cubicles, 15 kV metal-clad)</t>
        </is>
      </c>
      <c r="G1116" s="9" t="inlineStr"/>
      <c r="H1116" s="9" t="inlineStr">
        <is>
          <t>T-R4-3: 13.8/0.48 kV</t>
        </is>
      </c>
      <c r="I1116" s="9" t="inlineStr">
        <is>
          <t>MV 15 kV</t>
        </is>
      </c>
      <c r="J1116" s="9" t="inlineStr">
        <is>
          <t>MV-105 15 kV 1/C Cu, EPR 133%, Cu tape shield, PVC jacket (triplexed)</t>
        </is>
      </c>
      <c r="K1116" s="9" t="inlineStr">
        <is>
          <t>MV15|1/C|2/0</t>
        </is>
      </c>
      <c r="L1116" s="9" t="inlineStr">
        <is>
          <t>1/C</t>
        </is>
      </c>
      <c r="M1116" s="9" t="inlineStr">
        <is>
          <t>2/0</t>
        </is>
      </c>
      <c r="N1116" s="9" t="n">
        <v>1</v>
      </c>
      <c r="O1116" s="9" t="n">
        <v>3</v>
      </c>
      <c r="P1116" s="9" t="n">
        <v>13800</v>
      </c>
      <c r="Q1116" s="9" t="n">
        <v>3750</v>
      </c>
      <c r="R1116" s="9" t="n">
        <v>157</v>
      </c>
      <c r="S1116" s="9" t="inlineStr">
        <is>
          <t>Tray</t>
        </is>
      </c>
      <c r="T1116" s="10" t="n">
        <v>1493</v>
      </c>
      <c r="U1116" s="10" t="n">
        <v>84</v>
      </c>
      <c r="V1116" s="10">
        <f>ROUNDUP((T1116+U1116+2*'Read Me'!$B$13)*(1+'Read Me'!$B$12),-1)</f>
        <v/>
      </c>
      <c r="W1116" s="10">
        <f>V1116*N1116*O1116</f>
        <v/>
      </c>
      <c r="X1116" s="9">
        <f>IF(LEFT(I1116,2)="MV",2*N1116*IF(L1116="1/C",O1116,1),0)</f>
        <v/>
      </c>
      <c r="Y1116" s="9">
        <f>IF(OR(LEFT(K1116,4)="LVAX",LEFT(K1116,6)="MV15AX",LEFT(K1116,4)="CTAX",LEFT(K1116,2)="W|"),2*N1116*O1116,0)</f>
        <v/>
      </c>
      <c r="Z1116" s="9" t="inlineStr"/>
    </row>
    <row r="1117">
      <c r="A1117" s="9" t="inlineStr">
        <is>
          <t>B-MV-0004</t>
        </is>
      </c>
      <c r="B1117" s="9" t="inlineStr">
        <is>
          <t>B</t>
        </is>
      </c>
      <c r="C1117" s="9" t="inlineStr">
        <is>
          <t>ACC</t>
        </is>
      </c>
      <c r="D1117" s="9" t="inlineStr">
        <is>
          <t>T-R4-4 ACC VFD transformer primary</t>
        </is>
      </c>
      <c r="E1117" s="9" t="inlineStr">
        <is>
          <t>SWGR-13.8-1</t>
        </is>
      </c>
      <c r="F1117" s="9" t="inlineStr">
        <is>
          <t>R1 SWGR-13.8-1 (11 x 36 in cubicles, 15 kV metal-clad)</t>
        </is>
      </c>
      <c r="G1117" s="9" t="inlineStr"/>
      <c r="H1117" s="9" t="inlineStr">
        <is>
          <t>T-R4-4: 13.8/0.48 kV</t>
        </is>
      </c>
      <c r="I1117" s="9" t="inlineStr">
        <is>
          <t>MV 15 kV</t>
        </is>
      </c>
      <c r="J1117" s="9" t="inlineStr">
        <is>
          <t>MV-105 15 kV 1/C Cu, EPR 133%, Cu tape shield, PVC jacket (triplexed)</t>
        </is>
      </c>
      <c r="K1117" s="9" t="inlineStr">
        <is>
          <t>MV15|1/C|2/0</t>
        </is>
      </c>
      <c r="L1117" s="9" t="inlineStr">
        <is>
          <t>1/C</t>
        </is>
      </c>
      <c r="M1117" s="9" t="inlineStr">
        <is>
          <t>2/0</t>
        </is>
      </c>
      <c r="N1117" s="9" t="n">
        <v>1</v>
      </c>
      <c r="O1117" s="9" t="n">
        <v>3</v>
      </c>
      <c r="P1117" s="9" t="n">
        <v>13800</v>
      </c>
      <c r="Q1117" s="9" t="n">
        <v>3750</v>
      </c>
      <c r="R1117" s="9" t="n">
        <v>157</v>
      </c>
      <c r="S1117" s="9" t="inlineStr">
        <is>
          <t>Tray</t>
        </is>
      </c>
      <c r="T1117" s="10" t="n">
        <v>1377</v>
      </c>
      <c r="U1117" s="10" t="n">
        <v>110</v>
      </c>
      <c r="V1117" s="10">
        <f>ROUNDUP((T1117+U1117+2*'Read Me'!$B$13)*(1+'Read Me'!$B$12),-1)</f>
        <v/>
      </c>
      <c r="W1117" s="10">
        <f>V1117*N1117*O1117</f>
        <v/>
      </c>
      <c r="X1117" s="9">
        <f>IF(LEFT(I1117,2)="MV",2*N1117*IF(L1117="1/C",O1117,1),0)</f>
        <v/>
      </c>
      <c r="Y1117" s="9">
        <f>IF(OR(LEFT(K1117,4)="LVAX",LEFT(K1117,6)="MV15AX",LEFT(K1117,4)="CTAX",LEFT(K1117,2)="W|"),2*N1117*O1117,0)</f>
        <v/>
      </c>
      <c r="Z1117" s="9" t="inlineStr"/>
    </row>
    <row r="1118">
      <c r="A1118" s="9" t="inlineStr">
        <is>
          <t>B-MV-0005</t>
        </is>
      </c>
      <c r="B1118" s="9" t="inlineStr">
        <is>
          <t>B</t>
        </is>
      </c>
      <c r="C1118" s="9" t="inlineStr">
        <is>
          <t>ACC</t>
        </is>
      </c>
      <c r="D1118" s="9" t="inlineStr">
        <is>
          <t>Condensate pump CP-A</t>
        </is>
      </c>
      <c r="E1118" s="9" t="inlineStr">
        <is>
          <t>SWGR-4.16-A</t>
        </is>
      </c>
      <c r="F1118" s="9" t="inlineStr">
        <is>
          <t>R1 SWGR-4.16-A (9 x 36 in cubicles, 5 kV metal-clad)</t>
        </is>
      </c>
      <c r="G1118" s="9" t="inlineStr">
        <is>
          <t>CP-A/B/C</t>
        </is>
      </c>
      <c r="H1118" s="9" t="inlineStr">
        <is>
          <t>CP-A/B/C: condensate pumps (4.16 kV)</t>
        </is>
      </c>
      <c r="I1118" s="9" t="inlineStr">
        <is>
          <t>MV 5 kV</t>
        </is>
      </c>
      <c r="J1118" s="9" t="inlineStr">
        <is>
          <t>MV-105 5 kV 3/C Cu, EPR 133%, tape shield, gnd, PVC jacket</t>
        </is>
      </c>
      <c r="K1118" s="9" t="inlineStr">
        <is>
          <t>MV5|3/C|1/0</t>
        </is>
      </c>
      <c r="L1118" s="9" t="inlineStr">
        <is>
          <t>3/C</t>
        </is>
      </c>
      <c r="M1118" s="9" t="inlineStr">
        <is>
          <t>1/0</t>
        </is>
      </c>
      <c r="N1118" s="9" t="n">
        <v>1</v>
      </c>
      <c r="O1118" s="9" t="n">
        <v>1</v>
      </c>
      <c r="P1118" s="9" t="n">
        <v>4160</v>
      </c>
      <c r="Q1118" s="9" t="n">
        <v>900</v>
      </c>
      <c r="R1118" s="9" t="n">
        <v>139</v>
      </c>
      <c r="S1118" s="9" t="inlineStr">
        <is>
          <t>Tray</t>
        </is>
      </c>
      <c r="T1118" s="10" t="n">
        <v>962</v>
      </c>
      <c r="U1118" s="10" t="n">
        <v>117</v>
      </c>
      <c r="V1118" s="10">
        <f>ROUNDUP((T1118+U1118+2*'Read Me'!$B$13)*(1+'Read Me'!$B$12),-1)</f>
        <v/>
      </c>
      <c r="W1118" s="10">
        <f>V1118*N1118*O1118</f>
        <v/>
      </c>
      <c r="X1118" s="9">
        <f>IF(LEFT(I1118,2)="MV",2*N1118*IF(L1118="1/C",O1118,1),0)</f>
        <v/>
      </c>
      <c r="Y1118" s="9">
        <f>IF(OR(LEFT(K1118,4)="LVAX",LEFT(K1118,6)="MV15AX",LEFT(K1118,4)="CTAX",LEFT(K1118,2)="W|"),2*N1118*O1118,0)</f>
        <v/>
      </c>
      <c r="Z1118" s="9" t="inlineStr"/>
    </row>
    <row r="1119">
      <c r="A1119" s="9" t="inlineStr">
        <is>
          <t>B-MV-0006</t>
        </is>
      </c>
      <c r="B1119" s="9" t="inlineStr">
        <is>
          <t>B</t>
        </is>
      </c>
      <c r="C1119" s="9" t="inlineStr">
        <is>
          <t>ACC</t>
        </is>
      </c>
      <c r="D1119" s="9" t="inlineStr">
        <is>
          <t>Condensate pump CP-B</t>
        </is>
      </c>
      <c r="E1119" s="9" t="inlineStr">
        <is>
          <t>SWGR-4.16-B</t>
        </is>
      </c>
      <c r="F1119" s="9" t="inlineStr">
        <is>
          <t>R1 SWGR-4.16-B (5 kV metal-clad)</t>
        </is>
      </c>
      <c r="G1119" s="9" t="inlineStr">
        <is>
          <t>CP-A/B/C</t>
        </is>
      </c>
      <c r="H1119" s="9" t="inlineStr">
        <is>
          <t>CP-A/B/C: condensate pumps (4.16 kV)</t>
        </is>
      </c>
      <c r="I1119" s="9" t="inlineStr">
        <is>
          <t>MV 5 kV</t>
        </is>
      </c>
      <c r="J1119" s="9" t="inlineStr">
        <is>
          <t>MV-105 5 kV 3/C Cu, EPR 133%, tape shield, gnd, PVC jacket</t>
        </is>
      </c>
      <c r="K1119" s="9" t="inlineStr">
        <is>
          <t>MV5|3/C|1/0</t>
        </is>
      </c>
      <c r="L1119" s="9" t="inlineStr">
        <is>
          <t>3/C</t>
        </is>
      </c>
      <c r="M1119" s="9" t="inlineStr">
        <is>
          <t>1/0</t>
        </is>
      </c>
      <c r="N1119" s="9" t="n">
        <v>1</v>
      </c>
      <c r="O1119" s="9" t="n">
        <v>1</v>
      </c>
      <c r="P1119" s="9" t="n">
        <v>4160</v>
      </c>
      <c r="Q1119" s="9" t="n">
        <v>900</v>
      </c>
      <c r="R1119" s="9" t="n">
        <v>139</v>
      </c>
      <c r="S1119" s="9" t="inlineStr">
        <is>
          <t>Tray</t>
        </is>
      </c>
      <c r="T1119" s="10" t="n">
        <v>855</v>
      </c>
      <c r="U1119" s="10" t="n">
        <v>155</v>
      </c>
      <c r="V1119" s="10">
        <f>ROUNDUP((T1119+U1119+2*'Read Me'!$B$13)*(1+'Read Me'!$B$12),-1)</f>
        <v/>
      </c>
      <c r="W1119" s="10">
        <f>V1119*N1119*O1119</f>
        <v/>
      </c>
      <c r="X1119" s="9">
        <f>IF(LEFT(I1119,2)="MV",2*N1119*IF(L1119="1/C",O1119,1),0)</f>
        <v/>
      </c>
      <c r="Y1119" s="9">
        <f>IF(OR(LEFT(K1119,4)="LVAX",LEFT(K1119,6)="MV15AX",LEFT(K1119,4)="CTAX",LEFT(K1119,2)="W|"),2*N1119*O1119,0)</f>
        <v/>
      </c>
      <c r="Z1119" s="9" t="inlineStr"/>
    </row>
    <row r="1120">
      <c r="A1120" s="9" t="inlineStr">
        <is>
          <t>B-MV-0007</t>
        </is>
      </c>
      <c r="B1120" s="9" t="inlineStr">
        <is>
          <t>B</t>
        </is>
      </c>
      <c r="C1120" s="9" t="inlineStr">
        <is>
          <t>ACC</t>
        </is>
      </c>
      <c r="D1120" s="9" t="inlineStr">
        <is>
          <t>Condensate pump CP-C</t>
        </is>
      </c>
      <c r="E1120" s="9" t="inlineStr">
        <is>
          <t>SWGR-4.16-A</t>
        </is>
      </c>
      <c r="F1120" s="9" t="inlineStr">
        <is>
          <t>R1 SWGR-4.16-A (9 x 36 in cubicles, 5 kV metal-clad)</t>
        </is>
      </c>
      <c r="G1120" s="9" t="inlineStr">
        <is>
          <t>CP-A/B/C</t>
        </is>
      </c>
      <c r="H1120" s="9" t="inlineStr">
        <is>
          <t>CP-A/B/C: condensate pumps (4.16 kV)</t>
        </is>
      </c>
      <c r="I1120" s="9" t="inlineStr">
        <is>
          <t>MV 5 kV</t>
        </is>
      </c>
      <c r="J1120" s="9" t="inlineStr">
        <is>
          <t>MV-105 5 kV 3/C Cu, EPR 133%, tape shield, gnd, PVC jacket</t>
        </is>
      </c>
      <c r="K1120" s="9" t="inlineStr">
        <is>
          <t>MV5|3/C|1/0</t>
        </is>
      </c>
      <c r="L1120" s="9" t="inlineStr">
        <is>
          <t>3/C</t>
        </is>
      </c>
      <c r="M1120" s="9" t="inlineStr">
        <is>
          <t>1/0</t>
        </is>
      </c>
      <c r="N1120" s="9" t="n">
        <v>1</v>
      </c>
      <c r="O1120" s="9" t="n">
        <v>1</v>
      </c>
      <c r="P1120" s="9" t="n">
        <v>4160</v>
      </c>
      <c r="Q1120" s="9" t="n">
        <v>900</v>
      </c>
      <c r="R1120" s="9" t="n">
        <v>139</v>
      </c>
      <c r="S1120" s="9" t="inlineStr">
        <is>
          <t>Tray</t>
        </is>
      </c>
      <c r="T1120" s="10" t="n">
        <v>962</v>
      </c>
      <c r="U1120" s="10" t="n">
        <v>117</v>
      </c>
      <c r="V1120" s="10">
        <f>ROUNDUP((T1120+U1120+2*'Read Me'!$B$13)*(1+'Read Me'!$B$12),-1)</f>
        <v/>
      </c>
      <c r="W1120" s="10">
        <f>V1120*N1120*O1120</f>
        <v/>
      </c>
      <c r="X1120" s="9">
        <f>IF(LEFT(I1120,2)="MV",2*N1120*IF(L1120="1/C",O1120,1),0)</f>
        <v/>
      </c>
      <c r="Y1120" s="9">
        <f>IF(OR(LEFT(K1120,4)="LVAX",LEFT(K1120,6)="MV15AX",LEFT(K1120,4)="CTAX",LEFT(K1120,2)="W|"),2*N1120*O1120,0)</f>
        <v/>
      </c>
      <c r="Z1120" s="9" t="inlineStr"/>
    </row>
    <row r="1121">
      <c r="A1121" s="9" t="inlineStr">
        <is>
          <t>C-L-0001</t>
        </is>
      </c>
      <c r="B1121" s="9" t="inlineStr">
        <is>
          <t>C</t>
        </is>
      </c>
      <c r="C1121" s="9" t="inlineStr">
        <is>
          <t>Grid interface</t>
        </is>
      </c>
      <c r="D1121" s="9" t="inlineStr">
        <is>
          <t>Lighting, receptacles and small power branch circuits (allowance)</t>
        </is>
      </c>
      <c r="E1121" s="9" t="inlineStr">
        <is>
          <t>RH</t>
        </is>
      </c>
      <c r="F1121" s="9" t="inlineStr">
        <is>
          <t>RH: switchyard relay / control house (52 x 70 ft)</t>
        </is>
      </c>
      <c r="G1121" s="9" t="inlineStr">
        <is>
          <t>RH</t>
        </is>
      </c>
      <c r="H1121" s="9" t="inlineStr">
        <is>
          <t>RH: switchyard relay / control house (52 x 70 ft)</t>
        </is>
      </c>
      <c r="I1121" s="9" t="inlineStr">
        <is>
          <t>Building wire</t>
        </is>
      </c>
      <c r="J1121" s="9" t="inlineStr">
        <is>
          <t>SIMpull THHN/THWN-2 600 V 1/C Cu (lighting, receptacles, small power)</t>
        </is>
      </c>
      <c r="K1121" s="9" t="inlineStr">
        <is>
          <t>THHN|1/C|12</t>
        </is>
      </c>
      <c r="L1121" s="9" t="inlineStr">
        <is>
          <t>1/C</t>
        </is>
      </c>
      <c r="M1121" s="9" t="inlineStr">
        <is>
          <t>12</t>
        </is>
      </c>
      <c r="N1121" s="9" t="n">
        <v>1</v>
      </c>
      <c r="O1121" s="9" t="n">
        <v>1</v>
      </c>
      <c r="P1121" s="9" t="n">
        <v>277</v>
      </c>
      <c r="Q1121" s="9" t="n"/>
      <c r="R1121" s="9" t="n"/>
      <c r="S1121" s="9" t="inlineStr">
        <is>
          <t>Conduit</t>
        </is>
      </c>
      <c r="T1121" s="10" t="n">
        <v>5824</v>
      </c>
      <c r="U1121" s="10" t="n">
        <v>0</v>
      </c>
      <c r="V1121" s="10">
        <f>ROUNDUP((T1121+U1121+2*'Read Me'!$B$13)*(1+'Read Me'!$B$12),-1)</f>
        <v/>
      </c>
      <c r="W1121" s="10">
        <f>V1121*N1121*O1121</f>
        <v/>
      </c>
      <c r="X1121" s="9">
        <f>IF(LEFT(I1121,2)="MV",2*N1121*IF(L1121="1/C",O1121,1),0)</f>
        <v/>
      </c>
      <c r="Y1121" s="9">
        <f>IF(OR(LEFT(K1121,4)="LVAX",LEFT(K1121,6)="MV15AX",LEFT(K1121,4)="CTAX",LEFT(K1121,2)="W|"),2*N1121*O1121,0)</f>
        <v/>
      </c>
      <c r="Z1121" s="9" t="inlineStr">
        <is>
          <t>allowance: 1.6 ft of conductor per ft2 of floor</t>
        </is>
      </c>
    </row>
    <row r="1122">
      <c r="A1122" s="9" t="inlineStr">
        <is>
          <t>C-C-0001</t>
        </is>
      </c>
      <c r="B1122" s="9" t="inlineStr">
        <is>
          <t>C</t>
        </is>
      </c>
      <c r="C1122" s="9" t="inlineStr">
        <is>
          <t>Grid interface</t>
        </is>
      </c>
      <c r="D1122" s="9" t="inlineStr">
        <is>
          <t>Control</t>
        </is>
      </c>
      <c r="E1122" s="9" t="inlineStr">
        <is>
          <t>RH</t>
        </is>
      </c>
      <c r="F1122" s="9" t="inlineStr">
        <is>
          <t>RH: switchyard relay / control house (52 x 70 ft)</t>
        </is>
      </c>
      <c r="G1122" s="9" t="inlineStr">
        <is>
          <t>D1-CB1</t>
        </is>
      </c>
      <c r="H1122" s="9" t="inlineStr">
        <is>
          <t>D1 230 kV breaker 1</t>
        </is>
      </c>
      <c r="I1122" s="9" t="inlineStr">
        <is>
          <t>Control</t>
        </is>
      </c>
      <c r="J1122" s="9" t="inlineStr">
        <is>
          <t>Control cable 600 V Type TC-ER, Cu #14 AWG, PVC jacket</t>
        </is>
      </c>
      <c r="K1122" s="9" t="inlineStr">
        <is>
          <t>CT|12/C|14</t>
        </is>
      </c>
      <c r="L1122" s="9" t="inlineStr">
        <is>
          <t>12/C</t>
        </is>
      </c>
      <c r="M1122" s="9" t="inlineStr">
        <is>
          <t>14</t>
        </is>
      </c>
      <c r="N1122" s="9" t="n">
        <v>1</v>
      </c>
      <c r="O1122" s="9" t="n">
        <v>1</v>
      </c>
      <c r="P1122" s="9" t="n"/>
      <c r="Q1122" s="9" t="n"/>
      <c r="R1122" s="9" t="n"/>
      <c r="S1122" s="9" t="inlineStr">
        <is>
          <t>Trench</t>
        </is>
      </c>
      <c r="T1122" s="10" t="n">
        <v>91</v>
      </c>
      <c r="U1122" s="10" t="n">
        <v>223</v>
      </c>
      <c r="V1122" s="10">
        <f>ROUNDUP((T1122+U1122+2*'Read Me'!$B$13)*(1+'Read Me'!$B$12),-1)</f>
        <v/>
      </c>
      <c r="W1122" s="10">
        <f>V1122*N1122*O1122</f>
        <v/>
      </c>
      <c r="X1122" s="9">
        <f>IF(LEFT(I1122,2)="MV",2*N1122*IF(L1122="1/C",O1122,1),0)</f>
        <v/>
      </c>
      <c r="Y1122" s="9">
        <f>IF(OR(LEFT(K1122,4)="LVAX",LEFT(K1122,6)="MV15AX",LEFT(K1122,4)="CTAX",LEFT(K1122,2)="W|"),2*N1122*O1122,0)</f>
        <v/>
      </c>
      <c r="Z1122" s="9" t="inlineStr"/>
    </row>
    <row r="1123">
      <c r="A1123" s="9" t="inlineStr">
        <is>
          <t>C-C-0002</t>
        </is>
      </c>
      <c r="B1123" s="9" t="inlineStr">
        <is>
          <t>C</t>
        </is>
      </c>
      <c r="C1123" s="9" t="inlineStr">
        <is>
          <t>Grid interface</t>
        </is>
      </c>
      <c r="D1123" s="9" t="inlineStr">
        <is>
          <t>Control</t>
        </is>
      </c>
      <c r="E1123" s="9" t="inlineStr">
        <is>
          <t>RH</t>
        </is>
      </c>
      <c r="F1123" s="9" t="inlineStr">
        <is>
          <t>RH: switchyard relay / control house (52 x 70 ft)</t>
        </is>
      </c>
      <c r="G1123" s="9" t="inlineStr">
        <is>
          <t>D1-CB1</t>
        </is>
      </c>
      <c r="H1123" s="9" t="inlineStr">
        <is>
          <t>D1 230 kV breaker 1</t>
        </is>
      </c>
      <c r="I1123" s="9" t="inlineStr">
        <is>
          <t>Control</t>
        </is>
      </c>
      <c r="J1123" s="9" t="inlineStr">
        <is>
          <t>Control cable 600 V Type TC-ER, Cu #14 AWG, PVC jacket</t>
        </is>
      </c>
      <c r="K1123" s="9" t="inlineStr">
        <is>
          <t>CT|12/C|14</t>
        </is>
      </c>
      <c r="L1123" s="9" t="inlineStr">
        <is>
          <t>12/C</t>
        </is>
      </c>
      <c r="M1123" s="9" t="inlineStr">
        <is>
          <t>14</t>
        </is>
      </c>
      <c r="N1123" s="9" t="n">
        <v>1</v>
      </c>
      <c r="O1123" s="9" t="n">
        <v>1</v>
      </c>
      <c r="P1123" s="9" t="n"/>
      <c r="Q1123" s="9" t="n"/>
      <c r="R1123" s="9" t="n"/>
      <c r="S1123" s="9" t="inlineStr">
        <is>
          <t>Trench</t>
        </is>
      </c>
      <c r="T1123" s="10" t="n">
        <v>91</v>
      </c>
      <c r="U1123" s="10" t="n">
        <v>223</v>
      </c>
      <c r="V1123" s="10">
        <f>ROUNDUP((T1123+U1123+2*'Read Me'!$B$13)*(1+'Read Me'!$B$12),-1)</f>
        <v/>
      </c>
      <c r="W1123" s="10">
        <f>V1123*N1123*O1123</f>
        <v/>
      </c>
      <c r="X1123" s="9">
        <f>IF(LEFT(I1123,2)="MV",2*N1123*IF(L1123="1/C",O1123,1),0)</f>
        <v/>
      </c>
      <c r="Y1123" s="9">
        <f>IF(OR(LEFT(K1123,4)="LVAX",LEFT(K1123,6)="MV15AX",LEFT(K1123,4)="CTAX",LEFT(K1123,2)="W|"),2*N1123*O1123,0)</f>
        <v/>
      </c>
      <c r="Z1123" s="9" t="inlineStr"/>
    </row>
    <row r="1124">
      <c r="A1124" s="9" t="inlineStr">
        <is>
          <t>C-C-0003</t>
        </is>
      </c>
      <c r="B1124" s="9" t="inlineStr">
        <is>
          <t>C</t>
        </is>
      </c>
      <c r="C1124" s="9" t="inlineStr">
        <is>
          <t>Grid interface</t>
        </is>
      </c>
      <c r="D1124" s="9" t="inlineStr">
        <is>
          <t>Control</t>
        </is>
      </c>
      <c r="E1124" s="9" t="inlineStr">
        <is>
          <t>RH</t>
        </is>
      </c>
      <c r="F1124" s="9" t="inlineStr">
        <is>
          <t>RH: switchyard relay / control house (52 x 70 ft)</t>
        </is>
      </c>
      <c r="G1124" s="9" t="inlineStr">
        <is>
          <t>D1-CB1</t>
        </is>
      </c>
      <c r="H1124" s="9" t="inlineStr">
        <is>
          <t>D1 230 kV breaker 1</t>
        </is>
      </c>
      <c r="I1124" s="9" t="inlineStr">
        <is>
          <t>Control</t>
        </is>
      </c>
      <c r="J1124" s="9" t="inlineStr">
        <is>
          <t>Control cable 600 V Type TC-ER, Cu #14 AWG, PVC jacket</t>
        </is>
      </c>
      <c r="K1124" s="9" t="inlineStr">
        <is>
          <t>CT|12/C|14</t>
        </is>
      </c>
      <c r="L1124" s="9" t="inlineStr">
        <is>
          <t>12/C</t>
        </is>
      </c>
      <c r="M1124" s="9" t="inlineStr">
        <is>
          <t>14</t>
        </is>
      </c>
      <c r="N1124" s="9" t="n">
        <v>1</v>
      </c>
      <c r="O1124" s="9" t="n">
        <v>1</v>
      </c>
      <c r="P1124" s="9" t="n"/>
      <c r="Q1124" s="9" t="n"/>
      <c r="R1124" s="9" t="n"/>
      <c r="S1124" s="9" t="inlineStr">
        <is>
          <t>Trench</t>
        </is>
      </c>
      <c r="T1124" s="10" t="n">
        <v>91</v>
      </c>
      <c r="U1124" s="10" t="n">
        <v>223</v>
      </c>
      <c r="V1124" s="10">
        <f>ROUNDUP((T1124+U1124+2*'Read Me'!$B$13)*(1+'Read Me'!$B$12),-1)</f>
        <v/>
      </c>
      <c r="W1124" s="10">
        <f>V1124*N1124*O1124</f>
        <v/>
      </c>
      <c r="X1124" s="9">
        <f>IF(LEFT(I1124,2)="MV",2*N1124*IF(L1124="1/C",O1124,1),0)</f>
        <v/>
      </c>
      <c r="Y1124" s="9">
        <f>IF(OR(LEFT(K1124,4)="LVAX",LEFT(K1124,6)="MV15AX",LEFT(K1124,4)="CTAX",LEFT(K1124,2)="W|"),2*N1124*O1124,0)</f>
        <v/>
      </c>
      <c r="Z1124" s="9" t="inlineStr"/>
    </row>
    <row r="1125">
      <c r="A1125" s="9" t="inlineStr">
        <is>
          <t>C-C-0004</t>
        </is>
      </c>
      <c r="B1125" s="9" t="inlineStr">
        <is>
          <t>C</t>
        </is>
      </c>
      <c r="C1125" s="9" t="inlineStr">
        <is>
          <t>Grid interface</t>
        </is>
      </c>
      <c r="D1125" s="9" t="inlineStr">
        <is>
          <t>Control</t>
        </is>
      </c>
      <c r="E1125" s="9" t="inlineStr">
        <is>
          <t>RH</t>
        </is>
      </c>
      <c r="F1125" s="9" t="inlineStr">
        <is>
          <t>RH: switchyard relay / control house (52 x 70 ft)</t>
        </is>
      </c>
      <c r="G1125" s="9" t="inlineStr">
        <is>
          <t>D1-CB1</t>
        </is>
      </c>
      <c r="H1125" s="9" t="inlineStr">
        <is>
          <t>D1 230 kV breaker 1</t>
        </is>
      </c>
      <c r="I1125" s="9" t="inlineStr">
        <is>
          <t>Control</t>
        </is>
      </c>
      <c r="J1125" s="9" t="inlineStr">
        <is>
          <t>Control cable 600 V Type TC-ER, Cu #14 AWG, PVC jacket</t>
        </is>
      </c>
      <c r="K1125" s="9" t="inlineStr">
        <is>
          <t>CT|12/C|14</t>
        </is>
      </c>
      <c r="L1125" s="9" t="inlineStr">
        <is>
          <t>12/C</t>
        </is>
      </c>
      <c r="M1125" s="9" t="inlineStr">
        <is>
          <t>14</t>
        </is>
      </c>
      <c r="N1125" s="9" t="n">
        <v>1</v>
      </c>
      <c r="O1125" s="9" t="n">
        <v>1</v>
      </c>
      <c r="P1125" s="9" t="n"/>
      <c r="Q1125" s="9" t="n"/>
      <c r="R1125" s="9" t="n"/>
      <c r="S1125" s="9" t="inlineStr">
        <is>
          <t>Trench</t>
        </is>
      </c>
      <c r="T1125" s="10" t="n">
        <v>91</v>
      </c>
      <c r="U1125" s="10" t="n">
        <v>223</v>
      </c>
      <c r="V1125" s="10">
        <f>ROUNDUP((T1125+U1125+2*'Read Me'!$B$13)*(1+'Read Me'!$B$12),-1)</f>
        <v/>
      </c>
      <c r="W1125" s="10">
        <f>V1125*N1125*O1125</f>
        <v/>
      </c>
      <c r="X1125" s="9">
        <f>IF(LEFT(I1125,2)="MV",2*N1125*IF(L1125="1/C",O1125,1),0)</f>
        <v/>
      </c>
      <c r="Y1125" s="9">
        <f>IF(OR(LEFT(K1125,4)="LVAX",LEFT(K1125,6)="MV15AX",LEFT(K1125,4)="CTAX",LEFT(K1125,2)="W|"),2*N1125*O1125,0)</f>
        <v/>
      </c>
      <c r="Z1125" s="9" t="inlineStr"/>
    </row>
    <row r="1126">
      <c r="A1126" s="9" t="inlineStr">
        <is>
          <t>C-C-0005</t>
        </is>
      </c>
      <c r="B1126" s="9" t="inlineStr">
        <is>
          <t>C</t>
        </is>
      </c>
      <c r="C1126" s="9" t="inlineStr">
        <is>
          <t>Grid interface</t>
        </is>
      </c>
      <c r="D1126" s="9" t="inlineStr">
        <is>
          <t>CT / VT</t>
        </is>
      </c>
      <c r="E1126" s="9" t="inlineStr">
        <is>
          <t>RH</t>
        </is>
      </c>
      <c r="F1126" s="9" t="inlineStr">
        <is>
          <t>RH: switchyard relay / control house (52 x 70 ft)</t>
        </is>
      </c>
      <c r="G1126" s="9" t="inlineStr">
        <is>
          <t>D1-CB1</t>
        </is>
      </c>
      <c r="H1126" s="9" t="inlineStr">
        <is>
          <t>D1 230 kV breaker 1</t>
        </is>
      </c>
      <c r="I1126" s="9" t="inlineStr">
        <is>
          <t>Control</t>
        </is>
      </c>
      <c r="J1126" s="9" t="inlineStr">
        <is>
          <t>Control cable 600 V Type TC-ER, Cu #10 AWG (CT / VT circuits)</t>
        </is>
      </c>
      <c r="K1126" s="9" t="inlineStr">
        <is>
          <t>CTCT|4/C|10</t>
        </is>
      </c>
      <c r="L1126" s="9" t="inlineStr">
        <is>
          <t>4/C</t>
        </is>
      </c>
      <c r="M1126" s="9" t="inlineStr">
        <is>
          <t>10</t>
        </is>
      </c>
      <c r="N1126" s="9" t="n">
        <v>1</v>
      </c>
      <c r="O1126" s="9" t="n">
        <v>1</v>
      </c>
      <c r="P1126" s="9" t="n"/>
      <c r="Q1126" s="9" t="n"/>
      <c r="R1126" s="9" t="n"/>
      <c r="S1126" s="9" t="inlineStr">
        <is>
          <t>Trench</t>
        </is>
      </c>
      <c r="T1126" s="10" t="n">
        <v>91</v>
      </c>
      <c r="U1126" s="10" t="n">
        <v>223</v>
      </c>
      <c r="V1126" s="10">
        <f>ROUNDUP((T1126+U1126+2*'Read Me'!$B$13)*(1+'Read Me'!$B$12),-1)</f>
        <v/>
      </c>
      <c r="W1126" s="10">
        <f>V1126*N1126*O1126</f>
        <v/>
      </c>
      <c r="X1126" s="9">
        <f>IF(LEFT(I1126,2)="MV",2*N1126*IF(L1126="1/C",O1126,1),0)</f>
        <v/>
      </c>
      <c r="Y1126" s="9">
        <f>IF(OR(LEFT(K1126,4)="LVAX",LEFT(K1126,6)="MV15AX",LEFT(K1126,4)="CTAX",LEFT(K1126,2)="W|"),2*N1126*O1126,0)</f>
        <v/>
      </c>
      <c r="Z1126" s="9" t="inlineStr"/>
    </row>
    <row r="1127">
      <c r="A1127" s="9" t="inlineStr">
        <is>
          <t>C-C-0006</t>
        </is>
      </c>
      <c r="B1127" s="9" t="inlineStr">
        <is>
          <t>C</t>
        </is>
      </c>
      <c r="C1127" s="9" t="inlineStr">
        <is>
          <t>Grid interface</t>
        </is>
      </c>
      <c r="D1127" s="9" t="inlineStr">
        <is>
          <t>CT / VT</t>
        </is>
      </c>
      <c r="E1127" s="9" t="inlineStr">
        <is>
          <t>RH</t>
        </is>
      </c>
      <c r="F1127" s="9" t="inlineStr">
        <is>
          <t>RH: switchyard relay / control house (52 x 70 ft)</t>
        </is>
      </c>
      <c r="G1127" s="9" t="inlineStr">
        <is>
          <t>D1-CB1</t>
        </is>
      </c>
      <c r="H1127" s="9" t="inlineStr">
        <is>
          <t>D1 230 kV breaker 1</t>
        </is>
      </c>
      <c r="I1127" s="9" t="inlineStr">
        <is>
          <t>Control</t>
        </is>
      </c>
      <c r="J1127" s="9" t="inlineStr">
        <is>
          <t>Control cable 600 V Type TC-ER, Cu #10 AWG (CT / VT circuits)</t>
        </is>
      </c>
      <c r="K1127" s="9" t="inlineStr">
        <is>
          <t>CTCT|4/C|10</t>
        </is>
      </c>
      <c r="L1127" s="9" t="inlineStr">
        <is>
          <t>4/C</t>
        </is>
      </c>
      <c r="M1127" s="9" t="inlineStr">
        <is>
          <t>10</t>
        </is>
      </c>
      <c r="N1127" s="9" t="n">
        <v>1</v>
      </c>
      <c r="O1127" s="9" t="n">
        <v>1</v>
      </c>
      <c r="P1127" s="9" t="n"/>
      <c r="Q1127" s="9" t="n"/>
      <c r="R1127" s="9" t="n"/>
      <c r="S1127" s="9" t="inlineStr">
        <is>
          <t>Trench</t>
        </is>
      </c>
      <c r="T1127" s="10" t="n">
        <v>91</v>
      </c>
      <c r="U1127" s="10" t="n">
        <v>223</v>
      </c>
      <c r="V1127" s="10">
        <f>ROUNDUP((T1127+U1127+2*'Read Me'!$B$13)*(1+'Read Me'!$B$12),-1)</f>
        <v/>
      </c>
      <c r="W1127" s="10">
        <f>V1127*N1127*O1127</f>
        <v/>
      </c>
      <c r="X1127" s="9">
        <f>IF(LEFT(I1127,2)="MV",2*N1127*IF(L1127="1/C",O1127,1),0)</f>
        <v/>
      </c>
      <c r="Y1127" s="9">
        <f>IF(OR(LEFT(K1127,4)="LVAX",LEFT(K1127,6)="MV15AX",LEFT(K1127,4)="CTAX",LEFT(K1127,2)="W|"),2*N1127*O1127,0)</f>
        <v/>
      </c>
      <c r="Z1127" s="9" t="inlineStr"/>
    </row>
    <row r="1128">
      <c r="A1128" s="9" t="inlineStr">
        <is>
          <t>C-C-0007</t>
        </is>
      </c>
      <c r="B1128" s="9" t="inlineStr">
        <is>
          <t>C</t>
        </is>
      </c>
      <c r="C1128" s="9" t="inlineStr">
        <is>
          <t>Grid interface</t>
        </is>
      </c>
      <c r="D1128" s="9" t="inlineStr">
        <is>
          <t>CT / VT</t>
        </is>
      </c>
      <c r="E1128" s="9" t="inlineStr">
        <is>
          <t>RH</t>
        </is>
      </c>
      <c r="F1128" s="9" t="inlineStr">
        <is>
          <t>RH: switchyard relay / control house (52 x 70 ft)</t>
        </is>
      </c>
      <c r="G1128" s="9" t="inlineStr">
        <is>
          <t>D1-CB1</t>
        </is>
      </c>
      <c r="H1128" s="9" t="inlineStr">
        <is>
          <t>D1 230 kV breaker 1</t>
        </is>
      </c>
      <c r="I1128" s="9" t="inlineStr">
        <is>
          <t>Control</t>
        </is>
      </c>
      <c r="J1128" s="9" t="inlineStr">
        <is>
          <t>Control cable 600 V Type TC-ER, Cu #10 AWG (CT / VT circuits)</t>
        </is>
      </c>
      <c r="K1128" s="9" t="inlineStr">
        <is>
          <t>CTCT|4/C|10</t>
        </is>
      </c>
      <c r="L1128" s="9" t="inlineStr">
        <is>
          <t>4/C</t>
        </is>
      </c>
      <c r="M1128" s="9" t="inlineStr">
        <is>
          <t>10</t>
        </is>
      </c>
      <c r="N1128" s="9" t="n">
        <v>1</v>
      </c>
      <c r="O1128" s="9" t="n">
        <v>1</v>
      </c>
      <c r="P1128" s="9" t="n"/>
      <c r="Q1128" s="9" t="n"/>
      <c r="R1128" s="9" t="n"/>
      <c r="S1128" s="9" t="inlineStr">
        <is>
          <t>Trench</t>
        </is>
      </c>
      <c r="T1128" s="10" t="n">
        <v>91</v>
      </c>
      <c r="U1128" s="10" t="n">
        <v>223</v>
      </c>
      <c r="V1128" s="10">
        <f>ROUNDUP((T1128+U1128+2*'Read Me'!$B$13)*(1+'Read Me'!$B$12),-1)</f>
        <v/>
      </c>
      <c r="W1128" s="10">
        <f>V1128*N1128*O1128</f>
        <v/>
      </c>
      <c r="X1128" s="9">
        <f>IF(LEFT(I1128,2)="MV",2*N1128*IF(L1128="1/C",O1128,1),0)</f>
        <v/>
      </c>
      <c r="Y1128" s="9">
        <f>IF(OR(LEFT(K1128,4)="LVAX",LEFT(K1128,6)="MV15AX",LEFT(K1128,4)="CTAX",LEFT(K1128,2)="W|"),2*N1128*O1128,0)</f>
        <v/>
      </c>
      <c r="Z1128" s="9" t="inlineStr"/>
    </row>
    <row r="1129">
      <c r="A1129" s="9" t="inlineStr">
        <is>
          <t>C-C-0008</t>
        </is>
      </c>
      <c r="B1129" s="9" t="inlineStr">
        <is>
          <t>C</t>
        </is>
      </c>
      <c r="C1129" s="9" t="inlineStr">
        <is>
          <t>Grid interface</t>
        </is>
      </c>
      <c r="D1129" s="9" t="inlineStr">
        <is>
          <t>Control</t>
        </is>
      </c>
      <c r="E1129" s="9" t="inlineStr">
        <is>
          <t>RH</t>
        </is>
      </c>
      <c r="F1129" s="9" t="inlineStr">
        <is>
          <t>RH: switchyard relay / control house (52 x 70 ft)</t>
        </is>
      </c>
      <c r="G1129" s="9" t="inlineStr">
        <is>
          <t>D1-CB2</t>
        </is>
      </c>
      <c r="H1129" s="9" t="inlineStr">
        <is>
          <t>D1 230 kV breaker 2</t>
        </is>
      </c>
      <c r="I1129" s="9" t="inlineStr">
        <is>
          <t>Control</t>
        </is>
      </c>
      <c r="J1129" s="9" t="inlineStr">
        <is>
          <t>Control cable 600 V Type TC-ER, Cu #14 AWG, PVC jacket</t>
        </is>
      </c>
      <c r="K1129" s="9" t="inlineStr">
        <is>
          <t>CT|12/C|14</t>
        </is>
      </c>
      <c r="L1129" s="9" t="inlineStr">
        <is>
          <t>12/C</t>
        </is>
      </c>
      <c r="M1129" s="9" t="inlineStr">
        <is>
          <t>14</t>
        </is>
      </c>
      <c r="N1129" s="9" t="n">
        <v>1</v>
      </c>
      <c r="O1129" s="9" t="n">
        <v>1</v>
      </c>
      <c r="P1129" s="9" t="n"/>
      <c r="Q1129" s="9" t="n"/>
      <c r="R1129" s="9" t="n"/>
      <c r="S1129" s="9" t="inlineStr">
        <is>
          <t>Duct bank</t>
        </is>
      </c>
      <c r="T1129" s="10" t="n">
        <v>982</v>
      </c>
      <c r="U1129" s="10" t="n">
        <v>210</v>
      </c>
      <c r="V1129" s="10">
        <f>ROUNDUP((T1129+U1129+2*'Read Me'!$B$13)*(1+'Read Me'!$B$12),-1)</f>
        <v/>
      </c>
      <c r="W1129" s="10">
        <f>V1129*N1129*O1129</f>
        <v/>
      </c>
      <c r="X1129" s="9">
        <f>IF(LEFT(I1129,2)="MV",2*N1129*IF(L1129="1/C",O1129,1),0)</f>
        <v/>
      </c>
      <c r="Y1129" s="9">
        <f>IF(OR(LEFT(K1129,4)="LVAX",LEFT(K1129,6)="MV15AX",LEFT(K1129,4)="CTAX",LEFT(K1129,2)="W|"),2*N1129*O1129,0)</f>
        <v/>
      </c>
      <c r="Z1129" s="9" t="inlineStr"/>
    </row>
    <row r="1130">
      <c r="A1130" s="9" t="inlineStr">
        <is>
          <t>C-C-0009</t>
        </is>
      </c>
      <c r="B1130" s="9" t="inlineStr">
        <is>
          <t>C</t>
        </is>
      </c>
      <c r="C1130" s="9" t="inlineStr">
        <is>
          <t>Grid interface</t>
        </is>
      </c>
      <c r="D1130" s="9" t="inlineStr">
        <is>
          <t>Control</t>
        </is>
      </c>
      <c r="E1130" s="9" t="inlineStr">
        <is>
          <t>RH</t>
        </is>
      </c>
      <c r="F1130" s="9" t="inlineStr">
        <is>
          <t>RH: switchyard relay / control house (52 x 70 ft)</t>
        </is>
      </c>
      <c r="G1130" s="9" t="inlineStr">
        <is>
          <t>D1-CB2</t>
        </is>
      </c>
      <c r="H1130" s="9" t="inlineStr">
        <is>
          <t>D1 230 kV breaker 2</t>
        </is>
      </c>
      <c r="I1130" s="9" t="inlineStr">
        <is>
          <t>Control</t>
        </is>
      </c>
      <c r="J1130" s="9" t="inlineStr">
        <is>
          <t>Control cable 600 V Type TC-ER, Cu #14 AWG, PVC jacket</t>
        </is>
      </c>
      <c r="K1130" s="9" t="inlineStr">
        <is>
          <t>CT|12/C|14</t>
        </is>
      </c>
      <c r="L1130" s="9" t="inlineStr">
        <is>
          <t>12/C</t>
        </is>
      </c>
      <c r="M1130" s="9" t="inlineStr">
        <is>
          <t>14</t>
        </is>
      </c>
      <c r="N1130" s="9" t="n">
        <v>1</v>
      </c>
      <c r="O1130" s="9" t="n">
        <v>1</v>
      </c>
      <c r="P1130" s="9" t="n"/>
      <c r="Q1130" s="9" t="n"/>
      <c r="R1130" s="9" t="n"/>
      <c r="S1130" s="9" t="inlineStr">
        <is>
          <t>Duct bank</t>
        </is>
      </c>
      <c r="T1130" s="10" t="n">
        <v>982</v>
      </c>
      <c r="U1130" s="10" t="n">
        <v>210</v>
      </c>
      <c r="V1130" s="10">
        <f>ROUNDUP((T1130+U1130+2*'Read Me'!$B$13)*(1+'Read Me'!$B$12),-1)</f>
        <v/>
      </c>
      <c r="W1130" s="10">
        <f>V1130*N1130*O1130</f>
        <v/>
      </c>
      <c r="X1130" s="9">
        <f>IF(LEFT(I1130,2)="MV",2*N1130*IF(L1130="1/C",O1130,1),0)</f>
        <v/>
      </c>
      <c r="Y1130" s="9">
        <f>IF(OR(LEFT(K1130,4)="LVAX",LEFT(K1130,6)="MV15AX",LEFT(K1130,4)="CTAX",LEFT(K1130,2)="W|"),2*N1130*O1130,0)</f>
        <v/>
      </c>
      <c r="Z1130" s="9" t="inlineStr"/>
    </row>
    <row r="1131">
      <c r="A1131" s="9" t="inlineStr">
        <is>
          <t>C-C-0010</t>
        </is>
      </c>
      <c r="B1131" s="9" t="inlineStr">
        <is>
          <t>C</t>
        </is>
      </c>
      <c r="C1131" s="9" t="inlineStr">
        <is>
          <t>Grid interface</t>
        </is>
      </c>
      <c r="D1131" s="9" t="inlineStr">
        <is>
          <t>Control</t>
        </is>
      </c>
      <c r="E1131" s="9" t="inlineStr">
        <is>
          <t>RH</t>
        </is>
      </c>
      <c r="F1131" s="9" t="inlineStr">
        <is>
          <t>RH: switchyard relay / control house (52 x 70 ft)</t>
        </is>
      </c>
      <c r="G1131" s="9" t="inlineStr">
        <is>
          <t>D1-CB2</t>
        </is>
      </c>
      <c r="H1131" s="9" t="inlineStr">
        <is>
          <t>D1 230 kV breaker 2</t>
        </is>
      </c>
      <c r="I1131" s="9" t="inlineStr">
        <is>
          <t>Control</t>
        </is>
      </c>
      <c r="J1131" s="9" t="inlineStr">
        <is>
          <t>Control cable 600 V Type TC-ER, Cu #14 AWG, PVC jacket</t>
        </is>
      </c>
      <c r="K1131" s="9" t="inlineStr">
        <is>
          <t>CT|12/C|14</t>
        </is>
      </c>
      <c r="L1131" s="9" t="inlineStr">
        <is>
          <t>12/C</t>
        </is>
      </c>
      <c r="M1131" s="9" t="inlineStr">
        <is>
          <t>14</t>
        </is>
      </c>
      <c r="N1131" s="9" t="n">
        <v>1</v>
      </c>
      <c r="O1131" s="9" t="n">
        <v>1</v>
      </c>
      <c r="P1131" s="9" t="n"/>
      <c r="Q1131" s="9" t="n"/>
      <c r="R1131" s="9" t="n"/>
      <c r="S1131" s="9" t="inlineStr">
        <is>
          <t>Duct bank</t>
        </is>
      </c>
      <c r="T1131" s="10" t="n">
        <v>982</v>
      </c>
      <c r="U1131" s="10" t="n">
        <v>210</v>
      </c>
      <c r="V1131" s="10">
        <f>ROUNDUP((T1131+U1131+2*'Read Me'!$B$13)*(1+'Read Me'!$B$12),-1)</f>
        <v/>
      </c>
      <c r="W1131" s="10">
        <f>V1131*N1131*O1131</f>
        <v/>
      </c>
      <c r="X1131" s="9">
        <f>IF(LEFT(I1131,2)="MV",2*N1131*IF(L1131="1/C",O1131,1),0)</f>
        <v/>
      </c>
      <c r="Y1131" s="9">
        <f>IF(OR(LEFT(K1131,4)="LVAX",LEFT(K1131,6)="MV15AX",LEFT(K1131,4)="CTAX",LEFT(K1131,2)="W|"),2*N1131*O1131,0)</f>
        <v/>
      </c>
      <c r="Z1131" s="9" t="inlineStr"/>
    </row>
    <row r="1132">
      <c r="A1132" s="9" t="inlineStr">
        <is>
          <t>C-C-0011</t>
        </is>
      </c>
      <c r="B1132" s="9" t="inlineStr">
        <is>
          <t>C</t>
        </is>
      </c>
      <c r="C1132" s="9" t="inlineStr">
        <is>
          <t>Grid interface</t>
        </is>
      </c>
      <c r="D1132" s="9" t="inlineStr">
        <is>
          <t>Control</t>
        </is>
      </c>
      <c r="E1132" s="9" t="inlineStr">
        <is>
          <t>RH</t>
        </is>
      </c>
      <c r="F1132" s="9" t="inlineStr">
        <is>
          <t>RH: switchyard relay / control house (52 x 70 ft)</t>
        </is>
      </c>
      <c r="G1132" s="9" t="inlineStr">
        <is>
          <t>D1-CB2</t>
        </is>
      </c>
      <c r="H1132" s="9" t="inlineStr">
        <is>
          <t>D1 230 kV breaker 2</t>
        </is>
      </c>
      <c r="I1132" s="9" t="inlineStr">
        <is>
          <t>Control</t>
        </is>
      </c>
      <c r="J1132" s="9" t="inlineStr">
        <is>
          <t>Control cable 600 V Type TC-ER, Cu #14 AWG, PVC jacket</t>
        </is>
      </c>
      <c r="K1132" s="9" t="inlineStr">
        <is>
          <t>CT|12/C|14</t>
        </is>
      </c>
      <c r="L1132" s="9" t="inlineStr">
        <is>
          <t>12/C</t>
        </is>
      </c>
      <c r="M1132" s="9" t="inlineStr">
        <is>
          <t>14</t>
        </is>
      </c>
      <c r="N1132" s="9" t="n">
        <v>1</v>
      </c>
      <c r="O1132" s="9" t="n">
        <v>1</v>
      </c>
      <c r="P1132" s="9" t="n"/>
      <c r="Q1132" s="9" t="n"/>
      <c r="R1132" s="9" t="n"/>
      <c r="S1132" s="9" t="inlineStr">
        <is>
          <t>Duct bank</t>
        </is>
      </c>
      <c r="T1132" s="10" t="n">
        <v>982</v>
      </c>
      <c r="U1132" s="10" t="n">
        <v>210</v>
      </c>
      <c r="V1132" s="10">
        <f>ROUNDUP((T1132+U1132+2*'Read Me'!$B$13)*(1+'Read Me'!$B$12),-1)</f>
        <v/>
      </c>
      <c r="W1132" s="10">
        <f>V1132*N1132*O1132</f>
        <v/>
      </c>
      <c r="X1132" s="9">
        <f>IF(LEFT(I1132,2)="MV",2*N1132*IF(L1132="1/C",O1132,1),0)</f>
        <v/>
      </c>
      <c r="Y1132" s="9">
        <f>IF(OR(LEFT(K1132,4)="LVAX",LEFT(K1132,6)="MV15AX",LEFT(K1132,4)="CTAX",LEFT(K1132,2)="W|"),2*N1132*O1132,0)</f>
        <v/>
      </c>
      <c r="Z1132" s="9" t="inlineStr"/>
    </row>
    <row r="1133">
      <c r="A1133" s="9" t="inlineStr">
        <is>
          <t>C-C-0012</t>
        </is>
      </c>
      <c r="B1133" s="9" t="inlineStr">
        <is>
          <t>C</t>
        </is>
      </c>
      <c r="C1133" s="9" t="inlineStr">
        <is>
          <t>Grid interface</t>
        </is>
      </c>
      <c r="D1133" s="9" t="inlineStr">
        <is>
          <t>CT / VT</t>
        </is>
      </c>
      <c r="E1133" s="9" t="inlineStr">
        <is>
          <t>RH</t>
        </is>
      </c>
      <c r="F1133" s="9" t="inlineStr">
        <is>
          <t>RH: switchyard relay / control house (52 x 70 ft)</t>
        </is>
      </c>
      <c r="G1133" s="9" t="inlineStr">
        <is>
          <t>D1-CB2</t>
        </is>
      </c>
      <c r="H1133" s="9" t="inlineStr">
        <is>
          <t>D1 230 kV breaker 2</t>
        </is>
      </c>
      <c r="I1133" s="9" t="inlineStr">
        <is>
          <t>Control</t>
        </is>
      </c>
      <c r="J1133" s="9" t="inlineStr">
        <is>
          <t>Control cable 600 V Type TC-ER, Cu #10 AWG (CT / VT circuits)</t>
        </is>
      </c>
      <c r="K1133" s="9" t="inlineStr">
        <is>
          <t>CTCT|4/C|10</t>
        </is>
      </c>
      <c r="L1133" s="9" t="inlineStr">
        <is>
          <t>4/C</t>
        </is>
      </c>
      <c r="M1133" s="9" t="inlineStr">
        <is>
          <t>10</t>
        </is>
      </c>
      <c r="N1133" s="9" t="n">
        <v>1</v>
      </c>
      <c r="O1133" s="9" t="n">
        <v>1</v>
      </c>
      <c r="P1133" s="9" t="n"/>
      <c r="Q1133" s="9" t="n"/>
      <c r="R1133" s="9" t="n"/>
      <c r="S1133" s="9" t="inlineStr">
        <is>
          <t>Duct bank</t>
        </is>
      </c>
      <c r="T1133" s="10" t="n">
        <v>982</v>
      </c>
      <c r="U1133" s="10" t="n">
        <v>210</v>
      </c>
      <c r="V1133" s="10">
        <f>ROUNDUP((T1133+U1133+2*'Read Me'!$B$13)*(1+'Read Me'!$B$12),-1)</f>
        <v/>
      </c>
      <c r="W1133" s="10">
        <f>V1133*N1133*O1133</f>
        <v/>
      </c>
      <c r="X1133" s="9">
        <f>IF(LEFT(I1133,2)="MV",2*N1133*IF(L1133="1/C",O1133,1),0)</f>
        <v/>
      </c>
      <c r="Y1133" s="9">
        <f>IF(OR(LEFT(K1133,4)="LVAX",LEFT(K1133,6)="MV15AX",LEFT(K1133,4)="CTAX",LEFT(K1133,2)="W|"),2*N1133*O1133,0)</f>
        <v/>
      </c>
      <c r="Z1133" s="9" t="inlineStr"/>
    </row>
    <row r="1134">
      <c r="A1134" s="9" t="inlineStr">
        <is>
          <t>C-C-0013</t>
        </is>
      </c>
      <c r="B1134" s="9" t="inlineStr">
        <is>
          <t>C</t>
        </is>
      </c>
      <c r="C1134" s="9" t="inlineStr">
        <is>
          <t>Grid interface</t>
        </is>
      </c>
      <c r="D1134" s="9" t="inlineStr">
        <is>
          <t>CT / VT</t>
        </is>
      </c>
      <c r="E1134" s="9" t="inlineStr">
        <is>
          <t>RH</t>
        </is>
      </c>
      <c r="F1134" s="9" t="inlineStr">
        <is>
          <t>RH: switchyard relay / control house (52 x 70 ft)</t>
        </is>
      </c>
      <c r="G1134" s="9" t="inlineStr">
        <is>
          <t>D1-CB2</t>
        </is>
      </c>
      <c r="H1134" s="9" t="inlineStr">
        <is>
          <t>D1 230 kV breaker 2</t>
        </is>
      </c>
      <c r="I1134" s="9" t="inlineStr">
        <is>
          <t>Control</t>
        </is>
      </c>
      <c r="J1134" s="9" t="inlineStr">
        <is>
          <t>Control cable 600 V Type TC-ER, Cu #10 AWG (CT / VT circuits)</t>
        </is>
      </c>
      <c r="K1134" s="9" t="inlineStr">
        <is>
          <t>CTCT|4/C|10</t>
        </is>
      </c>
      <c r="L1134" s="9" t="inlineStr">
        <is>
          <t>4/C</t>
        </is>
      </c>
      <c r="M1134" s="9" t="inlineStr">
        <is>
          <t>10</t>
        </is>
      </c>
      <c r="N1134" s="9" t="n">
        <v>1</v>
      </c>
      <c r="O1134" s="9" t="n">
        <v>1</v>
      </c>
      <c r="P1134" s="9" t="n"/>
      <c r="Q1134" s="9" t="n"/>
      <c r="R1134" s="9" t="n"/>
      <c r="S1134" s="9" t="inlineStr">
        <is>
          <t>Duct bank</t>
        </is>
      </c>
      <c r="T1134" s="10" t="n">
        <v>982</v>
      </c>
      <c r="U1134" s="10" t="n">
        <v>210</v>
      </c>
      <c r="V1134" s="10">
        <f>ROUNDUP((T1134+U1134+2*'Read Me'!$B$13)*(1+'Read Me'!$B$12),-1)</f>
        <v/>
      </c>
      <c r="W1134" s="10">
        <f>V1134*N1134*O1134</f>
        <v/>
      </c>
      <c r="X1134" s="9">
        <f>IF(LEFT(I1134,2)="MV",2*N1134*IF(L1134="1/C",O1134,1),0)</f>
        <v/>
      </c>
      <c r="Y1134" s="9">
        <f>IF(OR(LEFT(K1134,4)="LVAX",LEFT(K1134,6)="MV15AX",LEFT(K1134,4)="CTAX",LEFT(K1134,2)="W|"),2*N1134*O1134,0)</f>
        <v/>
      </c>
      <c r="Z1134" s="9" t="inlineStr"/>
    </row>
    <row r="1135">
      <c r="A1135" s="9" t="inlineStr">
        <is>
          <t>C-C-0014</t>
        </is>
      </c>
      <c r="B1135" s="9" t="inlineStr">
        <is>
          <t>C</t>
        </is>
      </c>
      <c r="C1135" s="9" t="inlineStr">
        <is>
          <t>Grid interface</t>
        </is>
      </c>
      <c r="D1135" s="9" t="inlineStr">
        <is>
          <t>CT / VT</t>
        </is>
      </c>
      <c r="E1135" s="9" t="inlineStr">
        <is>
          <t>RH</t>
        </is>
      </c>
      <c r="F1135" s="9" t="inlineStr">
        <is>
          <t>RH: switchyard relay / control house (52 x 70 ft)</t>
        </is>
      </c>
      <c r="G1135" s="9" t="inlineStr">
        <is>
          <t>D1-CB2</t>
        </is>
      </c>
      <c r="H1135" s="9" t="inlineStr">
        <is>
          <t>D1 230 kV breaker 2</t>
        </is>
      </c>
      <c r="I1135" s="9" t="inlineStr">
        <is>
          <t>Control</t>
        </is>
      </c>
      <c r="J1135" s="9" t="inlineStr">
        <is>
          <t>Control cable 600 V Type TC-ER, Cu #10 AWG (CT / VT circuits)</t>
        </is>
      </c>
      <c r="K1135" s="9" t="inlineStr">
        <is>
          <t>CTCT|4/C|10</t>
        </is>
      </c>
      <c r="L1135" s="9" t="inlineStr">
        <is>
          <t>4/C</t>
        </is>
      </c>
      <c r="M1135" s="9" t="inlineStr">
        <is>
          <t>10</t>
        </is>
      </c>
      <c r="N1135" s="9" t="n">
        <v>1</v>
      </c>
      <c r="O1135" s="9" t="n">
        <v>1</v>
      </c>
      <c r="P1135" s="9" t="n"/>
      <c r="Q1135" s="9" t="n"/>
      <c r="R1135" s="9" t="n"/>
      <c r="S1135" s="9" t="inlineStr">
        <is>
          <t>Duct bank</t>
        </is>
      </c>
      <c r="T1135" s="10" t="n">
        <v>982</v>
      </c>
      <c r="U1135" s="10" t="n">
        <v>210</v>
      </c>
      <c r="V1135" s="10">
        <f>ROUNDUP((T1135+U1135+2*'Read Me'!$B$13)*(1+'Read Me'!$B$12),-1)</f>
        <v/>
      </c>
      <c r="W1135" s="10">
        <f>V1135*N1135*O1135</f>
        <v/>
      </c>
      <c r="X1135" s="9">
        <f>IF(LEFT(I1135,2)="MV",2*N1135*IF(L1135="1/C",O1135,1),0)</f>
        <v/>
      </c>
      <c r="Y1135" s="9">
        <f>IF(OR(LEFT(K1135,4)="LVAX",LEFT(K1135,6)="MV15AX",LEFT(K1135,4)="CTAX",LEFT(K1135,2)="W|"),2*N1135*O1135,0)</f>
        <v/>
      </c>
      <c r="Z1135" s="9" t="inlineStr"/>
    </row>
    <row r="1136">
      <c r="A1136" s="9" t="inlineStr">
        <is>
          <t>C-C-0015</t>
        </is>
      </c>
      <c r="B1136" s="9" t="inlineStr">
        <is>
          <t>C</t>
        </is>
      </c>
      <c r="C1136" s="9" t="inlineStr">
        <is>
          <t>Grid interface</t>
        </is>
      </c>
      <c r="D1136" s="9" t="inlineStr">
        <is>
          <t>Control</t>
        </is>
      </c>
      <c r="E1136" s="9" t="inlineStr">
        <is>
          <t>RH</t>
        </is>
      </c>
      <c r="F1136" s="9" t="inlineStr">
        <is>
          <t>RH: switchyard relay / control house (52 x 70 ft)</t>
        </is>
      </c>
      <c r="G1136" s="9" t="inlineStr">
        <is>
          <t>D1-CB3</t>
        </is>
      </c>
      <c r="H1136" s="9" t="inlineStr">
        <is>
          <t>D1 230 kV breaker 3</t>
        </is>
      </c>
      <c r="I1136" s="9" t="inlineStr">
        <is>
          <t>Control</t>
        </is>
      </c>
      <c r="J1136" s="9" t="inlineStr">
        <is>
          <t>Control cable 600 V Type TC-ER, Cu #14 AWG, PVC jacket</t>
        </is>
      </c>
      <c r="K1136" s="9" t="inlineStr">
        <is>
          <t>CT|12/C|14</t>
        </is>
      </c>
      <c r="L1136" s="9" t="inlineStr">
        <is>
          <t>12/C</t>
        </is>
      </c>
      <c r="M1136" s="9" t="inlineStr">
        <is>
          <t>14</t>
        </is>
      </c>
      <c r="N1136" s="9" t="n">
        <v>1</v>
      </c>
      <c r="O1136" s="9" t="n">
        <v>1</v>
      </c>
      <c r="P1136" s="9" t="n"/>
      <c r="Q1136" s="9" t="n"/>
      <c r="R1136" s="9" t="n"/>
      <c r="S1136" s="9" t="inlineStr">
        <is>
          <t>Duct bank</t>
        </is>
      </c>
      <c r="T1136" s="10" t="n">
        <v>982</v>
      </c>
      <c r="U1136" s="10" t="n">
        <v>170</v>
      </c>
      <c r="V1136" s="10">
        <f>ROUNDUP((T1136+U1136+2*'Read Me'!$B$13)*(1+'Read Me'!$B$12),-1)</f>
        <v/>
      </c>
      <c r="W1136" s="10">
        <f>V1136*N1136*O1136</f>
        <v/>
      </c>
      <c r="X1136" s="9">
        <f>IF(LEFT(I1136,2)="MV",2*N1136*IF(L1136="1/C",O1136,1),0)</f>
        <v/>
      </c>
      <c r="Y1136" s="9">
        <f>IF(OR(LEFT(K1136,4)="LVAX",LEFT(K1136,6)="MV15AX",LEFT(K1136,4)="CTAX",LEFT(K1136,2)="W|"),2*N1136*O1136,0)</f>
        <v/>
      </c>
      <c r="Z1136" s="9" t="inlineStr"/>
    </row>
    <row r="1137">
      <c r="A1137" s="9" t="inlineStr">
        <is>
          <t>C-C-0016</t>
        </is>
      </c>
      <c r="B1137" s="9" t="inlineStr">
        <is>
          <t>C</t>
        </is>
      </c>
      <c r="C1137" s="9" t="inlineStr">
        <is>
          <t>Grid interface</t>
        </is>
      </c>
      <c r="D1137" s="9" t="inlineStr">
        <is>
          <t>Control</t>
        </is>
      </c>
      <c r="E1137" s="9" t="inlineStr">
        <is>
          <t>RH</t>
        </is>
      </c>
      <c r="F1137" s="9" t="inlineStr">
        <is>
          <t>RH: switchyard relay / control house (52 x 70 ft)</t>
        </is>
      </c>
      <c r="G1137" s="9" t="inlineStr">
        <is>
          <t>D1-CB3</t>
        </is>
      </c>
      <c r="H1137" s="9" t="inlineStr">
        <is>
          <t>D1 230 kV breaker 3</t>
        </is>
      </c>
      <c r="I1137" s="9" t="inlineStr">
        <is>
          <t>Control</t>
        </is>
      </c>
      <c r="J1137" s="9" t="inlineStr">
        <is>
          <t>Control cable 600 V Type TC-ER, Cu #14 AWG, PVC jacket</t>
        </is>
      </c>
      <c r="K1137" s="9" t="inlineStr">
        <is>
          <t>CT|12/C|14</t>
        </is>
      </c>
      <c r="L1137" s="9" t="inlineStr">
        <is>
          <t>12/C</t>
        </is>
      </c>
      <c r="M1137" s="9" t="inlineStr">
        <is>
          <t>14</t>
        </is>
      </c>
      <c r="N1137" s="9" t="n">
        <v>1</v>
      </c>
      <c r="O1137" s="9" t="n">
        <v>1</v>
      </c>
      <c r="P1137" s="9" t="n"/>
      <c r="Q1137" s="9" t="n"/>
      <c r="R1137" s="9" t="n"/>
      <c r="S1137" s="9" t="inlineStr">
        <is>
          <t>Duct bank</t>
        </is>
      </c>
      <c r="T1137" s="10" t="n">
        <v>982</v>
      </c>
      <c r="U1137" s="10" t="n">
        <v>170</v>
      </c>
      <c r="V1137" s="10">
        <f>ROUNDUP((T1137+U1137+2*'Read Me'!$B$13)*(1+'Read Me'!$B$12),-1)</f>
        <v/>
      </c>
      <c r="W1137" s="10">
        <f>V1137*N1137*O1137</f>
        <v/>
      </c>
      <c r="X1137" s="9">
        <f>IF(LEFT(I1137,2)="MV",2*N1137*IF(L1137="1/C",O1137,1),0)</f>
        <v/>
      </c>
      <c r="Y1137" s="9">
        <f>IF(OR(LEFT(K1137,4)="LVAX",LEFT(K1137,6)="MV15AX",LEFT(K1137,4)="CTAX",LEFT(K1137,2)="W|"),2*N1137*O1137,0)</f>
        <v/>
      </c>
      <c r="Z1137" s="9" t="inlineStr"/>
    </row>
    <row r="1138">
      <c r="A1138" s="9" t="inlineStr">
        <is>
          <t>C-C-0017</t>
        </is>
      </c>
      <c r="B1138" s="9" t="inlineStr">
        <is>
          <t>C</t>
        </is>
      </c>
      <c r="C1138" s="9" t="inlineStr">
        <is>
          <t>Grid interface</t>
        </is>
      </c>
      <c r="D1138" s="9" t="inlineStr">
        <is>
          <t>Control</t>
        </is>
      </c>
      <c r="E1138" s="9" t="inlineStr">
        <is>
          <t>RH</t>
        </is>
      </c>
      <c r="F1138" s="9" t="inlineStr">
        <is>
          <t>RH: switchyard relay / control house (52 x 70 ft)</t>
        </is>
      </c>
      <c r="G1138" s="9" t="inlineStr">
        <is>
          <t>D1-CB3</t>
        </is>
      </c>
      <c r="H1138" s="9" t="inlineStr">
        <is>
          <t>D1 230 kV breaker 3</t>
        </is>
      </c>
      <c r="I1138" s="9" t="inlineStr">
        <is>
          <t>Control</t>
        </is>
      </c>
      <c r="J1138" s="9" t="inlineStr">
        <is>
          <t>Control cable 600 V Type TC-ER, Cu #14 AWG, PVC jacket</t>
        </is>
      </c>
      <c r="K1138" s="9" t="inlineStr">
        <is>
          <t>CT|12/C|14</t>
        </is>
      </c>
      <c r="L1138" s="9" t="inlineStr">
        <is>
          <t>12/C</t>
        </is>
      </c>
      <c r="M1138" s="9" t="inlineStr">
        <is>
          <t>14</t>
        </is>
      </c>
      <c r="N1138" s="9" t="n">
        <v>1</v>
      </c>
      <c r="O1138" s="9" t="n">
        <v>1</v>
      </c>
      <c r="P1138" s="9" t="n"/>
      <c r="Q1138" s="9" t="n"/>
      <c r="R1138" s="9" t="n"/>
      <c r="S1138" s="9" t="inlineStr">
        <is>
          <t>Duct bank</t>
        </is>
      </c>
      <c r="T1138" s="10" t="n">
        <v>982</v>
      </c>
      <c r="U1138" s="10" t="n">
        <v>170</v>
      </c>
      <c r="V1138" s="10">
        <f>ROUNDUP((T1138+U1138+2*'Read Me'!$B$13)*(1+'Read Me'!$B$12),-1)</f>
        <v/>
      </c>
      <c r="W1138" s="10">
        <f>V1138*N1138*O1138</f>
        <v/>
      </c>
      <c r="X1138" s="9">
        <f>IF(LEFT(I1138,2)="MV",2*N1138*IF(L1138="1/C",O1138,1),0)</f>
        <v/>
      </c>
      <c r="Y1138" s="9">
        <f>IF(OR(LEFT(K1138,4)="LVAX",LEFT(K1138,6)="MV15AX",LEFT(K1138,4)="CTAX",LEFT(K1138,2)="W|"),2*N1138*O1138,0)</f>
        <v/>
      </c>
      <c r="Z1138" s="9" t="inlineStr"/>
    </row>
    <row r="1139">
      <c r="A1139" s="9" t="inlineStr">
        <is>
          <t>C-C-0018</t>
        </is>
      </c>
      <c r="B1139" s="9" t="inlineStr">
        <is>
          <t>C</t>
        </is>
      </c>
      <c r="C1139" s="9" t="inlineStr">
        <is>
          <t>Grid interface</t>
        </is>
      </c>
      <c r="D1139" s="9" t="inlineStr">
        <is>
          <t>Control</t>
        </is>
      </c>
      <c r="E1139" s="9" t="inlineStr">
        <is>
          <t>RH</t>
        </is>
      </c>
      <c r="F1139" s="9" t="inlineStr">
        <is>
          <t>RH: switchyard relay / control house (52 x 70 ft)</t>
        </is>
      </c>
      <c r="G1139" s="9" t="inlineStr">
        <is>
          <t>D1-CB3</t>
        </is>
      </c>
      <c r="H1139" s="9" t="inlineStr">
        <is>
          <t>D1 230 kV breaker 3</t>
        </is>
      </c>
      <c r="I1139" s="9" t="inlineStr">
        <is>
          <t>Control</t>
        </is>
      </c>
      <c r="J1139" s="9" t="inlineStr">
        <is>
          <t>Control cable 600 V Type TC-ER, Cu #14 AWG, PVC jacket</t>
        </is>
      </c>
      <c r="K1139" s="9" t="inlineStr">
        <is>
          <t>CT|12/C|14</t>
        </is>
      </c>
      <c r="L1139" s="9" t="inlineStr">
        <is>
          <t>12/C</t>
        </is>
      </c>
      <c r="M1139" s="9" t="inlineStr">
        <is>
          <t>14</t>
        </is>
      </c>
      <c r="N1139" s="9" t="n">
        <v>1</v>
      </c>
      <c r="O1139" s="9" t="n">
        <v>1</v>
      </c>
      <c r="P1139" s="9" t="n"/>
      <c r="Q1139" s="9" t="n"/>
      <c r="R1139" s="9" t="n"/>
      <c r="S1139" s="9" t="inlineStr">
        <is>
          <t>Duct bank</t>
        </is>
      </c>
      <c r="T1139" s="10" t="n">
        <v>982</v>
      </c>
      <c r="U1139" s="10" t="n">
        <v>170</v>
      </c>
      <c r="V1139" s="10">
        <f>ROUNDUP((T1139+U1139+2*'Read Me'!$B$13)*(1+'Read Me'!$B$12),-1)</f>
        <v/>
      </c>
      <c r="W1139" s="10">
        <f>V1139*N1139*O1139</f>
        <v/>
      </c>
      <c r="X1139" s="9">
        <f>IF(LEFT(I1139,2)="MV",2*N1139*IF(L1139="1/C",O1139,1),0)</f>
        <v/>
      </c>
      <c r="Y1139" s="9">
        <f>IF(OR(LEFT(K1139,4)="LVAX",LEFT(K1139,6)="MV15AX",LEFT(K1139,4)="CTAX",LEFT(K1139,2)="W|"),2*N1139*O1139,0)</f>
        <v/>
      </c>
      <c r="Z1139" s="9" t="inlineStr"/>
    </row>
    <row r="1140">
      <c r="A1140" s="9" t="inlineStr">
        <is>
          <t>C-C-0019</t>
        </is>
      </c>
      <c r="B1140" s="9" t="inlineStr">
        <is>
          <t>C</t>
        </is>
      </c>
      <c r="C1140" s="9" t="inlineStr">
        <is>
          <t>Grid interface</t>
        </is>
      </c>
      <c r="D1140" s="9" t="inlineStr">
        <is>
          <t>CT / VT</t>
        </is>
      </c>
      <c r="E1140" s="9" t="inlineStr">
        <is>
          <t>RH</t>
        </is>
      </c>
      <c r="F1140" s="9" t="inlineStr">
        <is>
          <t>RH: switchyard relay / control house (52 x 70 ft)</t>
        </is>
      </c>
      <c r="G1140" s="9" t="inlineStr">
        <is>
          <t>D1-CB3</t>
        </is>
      </c>
      <c r="H1140" s="9" t="inlineStr">
        <is>
          <t>D1 230 kV breaker 3</t>
        </is>
      </c>
      <c r="I1140" s="9" t="inlineStr">
        <is>
          <t>Control</t>
        </is>
      </c>
      <c r="J1140" s="9" t="inlineStr">
        <is>
          <t>Control cable 600 V Type TC-ER, Cu #10 AWG (CT / VT circuits)</t>
        </is>
      </c>
      <c r="K1140" s="9" t="inlineStr">
        <is>
          <t>CTCT|4/C|10</t>
        </is>
      </c>
      <c r="L1140" s="9" t="inlineStr">
        <is>
          <t>4/C</t>
        </is>
      </c>
      <c r="M1140" s="9" t="inlineStr">
        <is>
          <t>10</t>
        </is>
      </c>
      <c r="N1140" s="9" t="n">
        <v>1</v>
      </c>
      <c r="O1140" s="9" t="n">
        <v>1</v>
      </c>
      <c r="P1140" s="9" t="n"/>
      <c r="Q1140" s="9" t="n"/>
      <c r="R1140" s="9" t="n"/>
      <c r="S1140" s="9" t="inlineStr">
        <is>
          <t>Duct bank</t>
        </is>
      </c>
      <c r="T1140" s="10" t="n">
        <v>982</v>
      </c>
      <c r="U1140" s="10" t="n">
        <v>170</v>
      </c>
      <c r="V1140" s="10">
        <f>ROUNDUP((T1140+U1140+2*'Read Me'!$B$13)*(1+'Read Me'!$B$12),-1)</f>
        <v/>
      </c>
      <c r="W1140" s="10">
        <f>V1140*N1140*O1140</f>
        <v/>
      </c>
      <c r="X1140" s="9">
        <f>IF(LEFT(I1140,2)="MV",2*N1140*IF(L1140="1/C",O1140,1),0)</f>
        <v/>
      </c>
      <c r="Y1140" s="9">
        <f>IF(OR(LEFT(K1140,4)="LVAX",LEFT(K1140,6)="MV15AX",LEFT(K1140,4)="CTAX",LEFT(K1140,2)="W|"),2*N1140*O1140,0)</f>
        <v/>
      </c>
      <c r="Z1140" s="9" t="inlineStr"/>
    </row>
    <row r="1141">
      <c r="A1141" s="9" t="inlineStr">
        <is>
          <t>C-C-0020</t>
        </is>
      </c>
      <c r="B1141" s="9" t="inlineStr">
        <is>
          <t>C</t>
        </is>
      </c>
      <c r="C1141" s="9" t="inlineStr">
        <is>
          <t>Grid interface</t>
        </is>
      </c>
      <c r="D1141" s="9" t="inlineStr">
        <is>
          <t>CT / VT</t>
        </is>
      </c>
      <c r="E1141" s="9" t="inlineStr">
        <is>
          <t>RH</t>
        </is>
      </c>
      <c r="F1141" s="9" t="inlineStr">
        <is>
          <t>RH: switchyard relay / control house (52 x 70 ft)</t>
        </is>
      </c>
      <c r="G1141" s="9" t="inlineStr">
        <is>
          <t>D1-CB3</t>
        </is>
      </c>
      <c r="H1141" s="9" t="inlineStr">
        <is>
          <t>D1 230 kV breaker 3</t>
        </is>
      </c>
      <c r="I1141" s="9" t="inlineStr">
        <is>
          <t>Control</t>
        </is>
      </c>
      <c r="J1141" s="9" t="inlineStr">
        <is>
          <t>Control cable 600 V Type TC-ER, Cu #10 AWG (CT / VT circuits)</t>
        </is>
      </c>
      <c r="K1141" s="9" t="inlineStr">
        <is>
          <t>CTCT|4/C|10</t>
        </is>
      </c>
      <c r="L1141" s="9" t="inlineStr">
        <is>
          <t>4/C</t>
        </is>
      </c>
      <c r="M1141" s="9" t="inlineStr">
        <is>
          <t>10</t>
        </is>
      </c>
      <c r="N1141" s="9" t="n">
        <v>1</v>
      </c>
      <c r="O1141" s="9" t="n">
        <v>1</v>
      </c>
      <c r="P1141" s="9" t="n"/>
      <c r="Q1141" s="9" t="n"/>
      <c r="R1141" s="9" t="n"/>
      <c r="S1141" s="9" t="inlineStr">
        <is>
          <t>Duct bank</t>
        </is>
      </c>
      <c r="T1141" s="10" t="n">
        <v>982</v>
      </c>
      <c r="U1141" s="10" t="n">
        <v>170</v>
      </c>
      <c r="V1141" s="10">
        <f>ROUNDUP((T1141+U1141+2*'Read Me'!$B$13)*(1+'Read Me'!$B$12),-1)</f>
        <v/>
      </c>
      <c r="W1141" s="10">
        <f>V1141*N1141*O1141</f>
        <v/>
      </c>
      <c r="X1141" s="9">
        <f>IF(LEFT(I1141,2)="MV",2*N1141*IF(L1141="1/C",O1141,1),0)</f>
        <v/>
      </c>
      <c r="Y1141" s="9">
        <f>IF(OR(LEFT(K1141,4)="LVAX",LEFT(K1141,6)="MV15AX",LEFT(K1141,4)="CTAX",LEFT(K1141,2)="W|"),2*N1141*O1141,0)</f>
        <v/>
      </c>
      <c r="Z1141" s="9" t="inlineStr"/>
    </row>
    <row r="1142">
      <c r="A1142" s="9" t="inlineStr">
        <is>
          <t>C-C-0021</t>
        </is>
      </c>
      <c r="B1142" s="9" t="inlineStr">
        <is>
          <t>C</t>
        </is>
      </c>
      <c r="C1142" s="9" t="inlineStr">
        <is>
          <t>Grid interface</t>
        </is>
      </c>
      <c r="D1142" s="9" t="inlineStr">
        <is>
          <t>CT / VT</t>
        </is>
      </c>
      <c r="E1142" s="9" t="inlineStr">
        <is>
          <t>RH</t>
        </is>
      </c>
      <c r="F1142" s="9" t="inlineStr">
        <is>
          <t>RH: switchyard relay / control house (52 x 70 ft)</t>
        </is>
      </c>
      <c r="G1142" s="9" t="inlineStr">
        <is>
          <t>D1-CB3</t>
        </is>
      </c>
      <c r="H1142" s="9" t="inlineStr">
        <is>
          <t>D1 230 kV breaker 3</t>
        </is>
      </c>
      <c r="I1142" s="9" t="inlineStr">
        <is>
          <t>Control</t>
        </is>
      </c>
      <c r="J1142" s="9" t="inlineStr">
        <is>
          <t>Control cable 600 V Type TC-ER, Cu #10 AWG (CT / VT circuits)</t>
        </is>
      </c>
      <c r="K1142" s="9" t="inlineStr">
        <is>
          <t>CTCT|4/C|10</t>
        </is>
      </c>
      <c r="L1142" s="9" t="inlineStr">
        <is>
          <t>4/C</t>
        </is>
      </c>
      <c r="M1142" s="9" t="inlineStr">
        <is>
          <t>10</t>
        </is>
      </c>
      <c r="N1142" s="9" t="n">
        <v>1</v>
      </c>
      <c r="O1142" s="9" t="n">
        <v>1</v>
      </c>
      <c r="P1142" s="9" t="n"/>
      <c r="Q1142" s="9" t="n"/>
      <c r="R1142" s="9" t="n"/>
      <c r="S1142" s="9" t="inlineStr">
        <is>
          <t>Duct bank</t>
        </is>
      </c>
      <c r="T1142" s="10" t="n">
        <v>982</v>
      </c>
      <c r="U1142" s="10" t="n">
        <v>170</v>
      </c>
      <c r="V1142" s="10">
        <f>ROUNDUP((T1142+U1142+2*'Read Me'!$B$13)*(1+'Read Me'!$B$12),-1)</f>
        <v/>
      </c>
      <c r="W1142" s="10">
        <f>V1142*N1142*O1142</f>
        <v/>
      </c>
      <c r="X1142" s="9">
        <f>IF(LEFT(I1142,2)="MV",2*N1142*IF(L1142="1/C",O1142,1),0)</f>
        <v/>
      </c>
      <c r="Y1142" s="9">
        <f>IF(OR(LEFT(K1142,4)="LVAX",LEFT(K1142,6)="MV15AX",LEFT(K1142,4)="CTAX",LEFT(K1142,2)="W|"),2*N1142*O1142,0)</f>
        <v/>
      </c>
      <c r="Z1142" s="9" t="inlineStr"/>
    </row>
    <row r="1143">
      <c r="A1143" s="9" t="inlineStr">
        <is>
          <t>C-C-0022</t>
        </is>
      </c>
      <c r="B1143" s="9" t="inlineStr">
        <is>
          <t>C</t>
        </is>
      </c>
      <c r="C1143" s="9" t="inlineStr">
        <is>
          <t>Grid interface</t>
        </is>
      </c>
      <c r="D1143" s="9" t="inlineStr">
        <is>
          <t>Control</t>
        </is>
      </c>
      <c r="E1143" s="9" t="inlineStr">
        <is>
          <t>RH</t>
        </is>
      </c>
      <c r="F1143" s="9" t="inlineStr">
        <is>
          <t>RH: switchyard relay / control house (52 x 70 ft)</t>
        </is>
      </c>
      <c r="G1143" s="9" t="inlineStr">
        <is>
          <t>D2-CB1</t>
        </is>
      </c>
      <c r="H1143" s="9" t="inlineStr">
        <is>
          <t>D2 230 kV breaker 1</t>
        </is>
      </c>
      <c r="I1143" s="9" t="inlineStr">
        <is>
          <t>Control</t>
        </is>
      </c>
      <c r="J1143" s="9" t="inlineStr">
        <is>
          <t>Control cable 600 V Type TC-ER, Cu #14 AWG, PVC jacket</t>
        </is>
      </c>
      <c r="K1143" s="9" t="inlineStr">
        <is>
          <t>CT|12/C|14</t>
        </is>
      </c>
      <c r="L1143" s="9" t="inlineStr">
        <is>
          <t>12/C</t>
        </is>
      </c>
      <c r="M1143" s="9" t="inlineStr">
        <is>
          <t>14</t>
        </is>
      </c>
      <c r="N1143" s="9" t="n">
        <v>1</v>
      </c>
      <c r="O1143" s="9" t="n">
        <v>1</v>
      </c>
      <c r="P1143" s="9" t="n"/>
      <c r="Q1143" s="9" t="n"/>
      <c r="R1143" s="9" t="n"/>
      <c r="S1143" s="9" t="inlineStr">
        <is>
          <t>Duct bank</t>
        </is>
      </c>
      <c r="T1143" s="10" t="n">
        <v>1185</v>
      </c>
      <c r="U1143" s="10" t="n">
        <v>247</v>
      </c>
      <c r="V1143" s="10">
        <f>ROUNDUP((T1143+U1143+2*'Read Me'!$B$13)*(1+'Read Me'!$B$12),-1)</f>
        <v/>
      </c>
      <c r="W1143" s="10">
        <f>V1143*N1143*O1143</f>
        <v/>
      </c>
      <c r="X1143" s="9">
        <f>IF(LEFT(I1143,2)="MV",2*N1143*IF(L1143="1/C",O1143,1),0)</f>
        <v/>
      </c>
      <c r="Y1143" s="9">
        <f>IF(OR(LEFT(K1143,4)="LVAX",LEFT(K1143,6)="MV15AX",LEFT(K1143,4)="CTAX",LEFT(K1143,2)="W|"),2*N1143*O1143,0)</f>
        <v/>
      </c>
      <c r="Z1143" s="9" t="inlineStr"/>
    </row>
    <row r="1144">
      <c r="A1144" s="9" t="inlineStr">
        <is>
          <t>C-C-0023</t>
        </is>
      </c>
      <c r="B1144" s="9" t="inlineStr">
        <is>
          <t>C</t>
        </is>
      </c>
      <c r="C1144" s="9" t="inlineStr">
        <is>
          <t>Grid interface</t>
        </is>
      </c>
      <c r="D1144" s="9" t="inlineStr">
        <is>
          <t>Control</t>
        </is>
      </c>
      <c r="E1144" s="9" t="inlineStr">
        <is>
          <t>RH</t>
        </is>
      </c>
      <c r="F1144" s="9" t="inlineStr">
        <is>
          <t>RH: switchyard relay / control house (52 x 70 ft)</t>
        </is>
      </c>
      <c r="G1144" s="9" t="inlineStr">
        <is>
          <t>D2-CB1</t>
        </is>
      </c>
      <c r="H1144" s="9" t="inlineStr">
        <is>
          <t>D2 230 kV breaker 1</t>
        </is>
      </c>
      <c r="I1144" s="9" t="inlineStr">
        <is>
          <t>Control</t>
        </is>
      </c>
      <c r="J1144" s="9" t="inlineStr">
        <is>
          <t>Control cable 600 V Type TC-ER, Cu #14 AWG, PVC jacket</t>
        </is>
      </c>
      <c r="K1144" s="9" t="inlineStr">
        <is>
          <t>CT|12/C|14</t>
        </is>
      </c>
      <c r="L1144" s="9" t="inlineStr">
        <is>
          <t>12/C</t>
        </is>
      </c>
      <c r="M1144" s="9" t="inlineStr">
        <is>
          <t>14</t>
        </is>
      </c>
      <c r="N1144" s="9" t="n">
        <v>1</v>
      </c>
      <c r="O1144" s="9" t="n">
        <v>1</v>
      </c>
      <c r="P1144" s="9" t="n"/>
      <c r="Q1144" s="9" t="n"/>
      <c r="R1144" s="9" t="n"/>
      <c r="S1144" s="9" t="inlineStr">
        <is>
          <t>Duct bank</t>
        </is>
      </c>
      <c r="T1144" s="10" t="n">
        <v>1185</v>
      </c>
      <c r="U1144" s="10" t="n">
        <v>247</v>
      </c>
      <c r="V1144" s="10">
        <f>ROUNDUP((T1144+U1144+2*'Read Me'!$B$13)*(1+'Read Me'!$B$12),-1)</f>
        <v/>
      </c>
      <c r="W1144" s="10">
        <f>V1144*N1144*O1144</f>
        <v/>
      </c>
      <c r="X1144" s="9">
        <f>IF(LEFT(I1144,2)="MV",2*N1144*IF(L1144="1/C",O1144,1),0)</f>
        <v/>
      </c>
      <c r="Y1144" s="9">
        <f>IF(OR(LEFT(K1144,4)="LVAX",LEFT(K1144,6)="MV15AX",LEFT(K1144,4)="CTAX",LEFT(K1144,2)="W|"),2*N1144*O1144,0)</f>
        <v/>
      </c>
      <c r="Z1144" s="9" t="inlineStr"/>
    </row>
    <row r="1145">
      <c r="A1145" s="9" t="inlineStr">
        <is>
          <t>C-C-0024</t>
        </is>
      </c>
      <c r="B1145" s="9" t="inlineStr">
        <is>
          <t>C</t>
        </is>
      </c>
      <c r="C1145" s="9" t="inlineStr">
        <is>
          <t>Grid interface</t>
        </is>
      </c>
      <c r="D1145" s="9" t="inlineStr">
        <is>
          <t>Control</t>
        </is>
      </c>
      <c r="E1145" s="9" t="inlineStr">
        <is>
          <t>RH</t>
        </is>
      </c>
      <c r="F1145" s="9" t="inlineStr">
        <is>
          <t>RH: switchyard relay / control house (52 x 70 ft)</t>
        </is>
      </c>
      <c r="G1145" s="9" t="inlineStr">
        <is>
          <t>D2-CB1</t>
        </is>
      </c>
      <c r="H1145" s="9" t="inlineStr">
        <is>
          <t>D2 230 kV breaker 1</t>
        </is>
      </c>
      <c r="I1145" s="9" t="inlineStr">
        <is>
          <t>Control</t>
        </is>
      </c>
      <c r="J1145" s="9" t="inlineStr">
        <is>
          <t>Control cable 600 V Type TC-ER, Cu #14 AWG, PVC jacket</t>
        </is>
      </c>
      <c r="K1145" s="9" t="inlineStr">
        <is>
          <t>CT|12/C|14</t>
        </is>
      </c>
      <c r="L1145" s="9" t="inlineStr">
        <is>
          <t>12/C</t>
        </is>
      </c>
      <c r="M1145" s="9" t="inlineStr">
        <is>
          <t>14</t>
        </is>
      </c>
      <c r="N1145" s="9" t="n">
        <v>1</v>
      </c>
      <c r="O1145" s="9" t="n">
        <v>1</v>
      </c>
      <c r="P1145" s="9" t="n"/>
      <c r="Q1145" s="9" t="n"/>
      <c r="R1145" s="9" t="n"/>
      <c r="S1145" s="9" t="inlineStr">
        <is>
          <t>Duct bank</t>
        </is>
      </c>
      <c r="T1145" s="10" t="n">
        <v>1185</v>
      </c>
      <c r="U1145" s="10" t="n">
        <v>247</v>
      </c>
      <c r="V1145" s="10">
        <f>ROUNDUP((T1145+U1145+2*'Read Me'!$B$13)*(1+'Read Me'!$B$12),-1)</f>
        <v/>
      </c>
      <c r="W1145" s="10">
        <f>V1145*N1145*O1145</f>
        <v/>
      </c>
      <c r="X1145" s="9">
        <f>IF(LEFT(I1145,2)="MV",2*N1145*IF(L1145="1/C",O1145,1),0)</f>
        <v/>
      </c>
      <c r="Y1145" s="9">
        <f>IF(OR(LEFT(K1145,4)="LVAX",LEFT(K1145,6)="MV15AX",LEFT(K1145,4)="CTAX",LEFT(K1145,2)="W|"),2*N1145*O1145,0)</f>
        <v/>
      </c>
      <c r="Z1145" s="9" t="inlineStr"/>
    </row>
    <row r="1146">
      <c r="A1146" s="9" t="inlineStr">
        <is>
          <t>C-C-0025</t>
        </is>
      </c>
      <c r="B1146" s="9" t="inlineStr">
        <is>
          <t>C</t>
        </is>
      </c>
      <c r="C1146" s="9" t="inlineStr">
        <is>
          <t>Grid interface</t>
        </is>
      </c>
      <c r="D1146" s="9" t="inlineStr">
        <is>
          <t>Control</t>
        </is>
      </c>
      <c r="E1146" s="9" t="inlineStr">
        <is>
          <t>RH</t>
        </is>
      </c>
      <c r="F1146" s="9" t="inlineStr">
        <is>
          <t>RH: switchyard relay / control house (52 x 70 ft)</t>
        </is>
      </c>
      <c r="G1146" s="9" t="inlineStr">
        <is>
          <t>D2-CB1</t>
        </is>
      </c>
      <c r="H1146" s="9" t="inlineStr">
        <is>
          <t>D2 230 kV breaker 1</t>
        </is>
      </c>
      <c r="I1146" s="9" t="inlineStr">
        <is>
          <t>Control</t>
        </is>
      </c>
      <c r="J1146" s="9" t="inlineStr">
        <is>
          <t>Control cable 600 V Type TC-ER, Cu #14 AWG, PVC jacket</t>
        </is>
      </c>
      <c r="K1146" s="9" t="inlineStr">
        <is>
          <t>CT|12/C|14</t>
        </is>
      </c>
      <c r="L1146" s="9" t="inlineStr">
        <is>
          <t>12/C</t>
        </is>
      </c>
      <c r="M1146" s="9" t="inlineStr">
        <is>
          <t>14</t>
        </is>
      </c>
      <c r="N1146" s="9" t="n">
        <v>1</v>
      </c>
      <c r="O1146" s="9" t="n">
        <v>1</v>
      </c>
      <c r="P1146" s="9" t="n"/>
      <c r="Q1146" s="9" t="n"/>
      <c r="R1146" s="9" t="n"/>
      <c r="S1146" s="9" t="inlineStr">
        <is>
          <t>Duct bank</t>
        </is>
      </c>
      <c r="T1146" s="10" t="n">
        <v>1185</v>
      </c>
      <c r="U1146" s="10" t="n">
        <v>247</v>
      </c>
      <c r="V1146" s="10">
        <f>ROUNDUP((T1146+U1146+2*'Read Me'!$B$13)*(1+'Read Me'!$B$12),-1)</f>
        <v/>
      </c>
      <c r="W1146" s="10">
        <f>V1146*N1146*O1146</f>
        <v/>
      </c>
      <c r="X1146" s="9">
        <f>IF(LEFT(I1146,2)="MV",2*N1146*IF(L1146="1/C",O1146,1),0)</f>
        <v/>
      </c>
      <c r="Y1146" s="9">
        <f>IF(OR(LEFT(K1146,4)="LVAX",LEFT(K1146,6)="MV15AX",LEFT(K1146,4)="CTAX",LEFT(K1146,2)="W|"),2*N1146*O1146,0)</f>
        <v/>
      </c>
      <c r="Z1146" s="9" t="inlineStr"/>
    </row>
    <row r="1147">
      <c r="A1147" s="9" t="inlineStr">
        <is>
          <t>C-C-0026</t>
        </is>
      </c>
      <c r="B1147" s="9" t="inlineStr">
        <is>
          <t>C</t>
        </is>
      </c>
      <c r="C1147" s="9" t="inlineStr">
        <is>
          <t>Grid interface</t>
        </is>
      </c>
      <c r="D1147" s="9" t="inlineStr">
        <is>
          <t>CT / VT</t>
        </is>
      </c>
      <c r="E1147" s="9" t="inlineStr">
        <is>
          <t>RH</t>
        </is>
      </c>
      <c r="F1147" s="9" t="inlineStr">
        <is>
          <t>RH: switchyard relay / control house (52 x 70 ft)</t>
        </is>
      </c>
      <c r="G1147" s="9" t="inlineStr">
        <is>
          <t>D2-CB1</t>
        </is>
      </c>
      <c r="H1147" s="9" t="inlineStr">
        <is>
          <t>D2 230 kV breaker 1</t>
        </is>
      </c>
      <c r="I1147" s="9" t="inlineStr">
        <is>
          <t>Control</t>
        </is>
      </c>
      <c r="J1147" s="9" t="inlineStr">
        <is>
          <t>Control cable 600 V Type TC-ER, Cu #10 AWG (CT / VT circuits)</t>
        </is>
      </c>
      <c r="K1147" s="9" t="inlineStr">
        <is>
          <t>CTCT|4/C|10</t>
        </is>
      </c>
      <c r="L1147" s="9" t="inlineStr">
        <is>
          <t>4/C</t>
        </is>
      </c>
      <c r="M1147" s="9" t="inlineStr">
        <is>
          <t>10</t>
        </is>
      </c>
      <c r="N1147" s="9" t="n">
        <v>1</v>
      </c>
      <c r="O1147" s="9" t="n">
        <v>1</v>
      </c>
      <c r="P1147" s="9" t="n"/>
      <c r="Q1147" s="9" t="n"/>
      <c r="R1147" s="9" t="n"/>
      <c r="S1147" s="9" t="inlineStr">
        <is>
          <t>Duct bank</t>
        </is>
      </c>
      <c r="T1147" s="10" t="n">
        <v>1185</v>
      </c>
      <c r="U1147" s="10" t="n">
        <v>247</v>
      </c>
      <c r="V1147" s="10">
        <f>ROUNDUP((T1147+U1147+2*'Read Me'!$B$13)*(1+'Read Me'!$B$12),-1)</f>
        <v/>
      </c>
      <c r="W1147" s="10">
        <f>V1147*N1147*O1147</f>
        <v/>
      </c>
      <c r="X1147" s="9">
        <f>IF(LEFT(I1147,2)="MV",2*N1147*IF(L1147="1/C",O1147,1),0)</f>
        <v/>
      </c>
      <c r="Y1147" s="9">
        <f>IF(OR(LEFT(K1147,4)="LVAX",LEFT(K1147,6)="MV15AX",LEFT(K1147,4)="CTAX",LEFT(K1147,2)="W|"),2*N1147*O1147,0)</f>
        <v/>
      </c>
      <c r="Z1147" s="9" t="inlineStr"/>
    </row>
    <row r="1148">
      <c r="A1148" s="9" t="inlineStr">
        <is>
          <t>C-C-0027</t>
        </is>
      </c>
      <c r="B1148" s="9" t="inlineStr">
        <is>
          <t>C</t>
        </is>
      </c>
      <c r="C1148" s="9" t="inlineStr">
        <is>
          <t>Grid interface</t>
        </is>
      </c>
      <c r="D1148" s="9" t="inlineStr">
        <is>
          <t>CT / VT</t>
        </is>
      </c>
      <c r="E1148" s="9" t="inlineStr">
        <is>
          <t>RH</t>
        </is>
      </c>
      <c r="F1148" s="9" t="inlineStr">
        <is>
          <t>RH: switchyard relay / control house (52 x 70 ft)</t>
        </is>
      </c>
      <c r="G1148" s="9" t="inlineStr">
        <is>
          <t>D2-CB1</t>
        </is>
      </c>
      <c r="H1148" s="9" t="inlineStr">
        <is>
          <t>D2 230 kV breaker 1</t>
        </is>
      </c>
      <c r="I1148" s="9" t="inlineStr">
        <is>
          <t>Control</t>
        </is>
      </c>
      <c r="J1148" s="9" t="inlineStr">
        <is>
          <t>Control cable 600 V Type TC-ER, Cu #10 AWG (CT / VT circuits)</t>
        </is>
      </c>
      <c r="K1148" s="9" t="inlineStr">
        <is>
          <t>CTCT|4/C|10</t>
        </is>
      </c>
      <c r="L1148" s="9" t="inlineStr">
        <is>
          <t>4/C</t>
        </is>
      </c>
      <c r="M1148" s="9" t="inlineStr">
        <is>
          <t>10</t>
        </is>
      </c>
      <c r="N1148" s="9" t="n">
        <v>1</v>
      </c>
      <c r="O1148" s="9" t="n">
        <v>1</v>
      </c>
      <c r="P1148" s="9" t="n"/>
      <c r="Q1148" s="9" t="n"/>
      <c r="R1148" s="9" t="n"/>
      <c r="S1148" s="9" t="inlineStr">
        <is>
          <t>Duct bank</t>
        </is>
      </c>
      <c r="T1148" s="10" t="n">
        <v>1185</v>
      </c>
      <c r="U1148" s="10" t="n">
        <v>247</v>
      </c>
      <c r="V1148" s="10">
        <f>ROUNDUP((T1148+U1148+2*'Read Me'!$B$13)*(1+'Read Me'!$B$12),-1)</f>
        <v/>
      </c>
      <c r="W1148" s="10">
        <f>V1148*N1148*O1148</f>
        <v/>
      </c>
      <c r="X1148" s="9">
        <f>IF(LEFT(I1148,2)="MV",2*N1148*IF(L1148="1/C",O1148,1),0)</f>
        <v/>
      </c>
      <c r="Y1148" s="9">
        <f>IF(OR(LEFT(K1148,4)="LVAX",LEFT(K1148,6)="MV15AX",LEFT(K1148,4)="CTAX",LEFT(K1148,2)="W|"),2*N1148*O1148,0)</f>
        <v/>
      </c>
      <c r="Z1148" s="9" t="inlineStr"/>
    </row>
    <row r="1149">
      <c r="A1149" s="9" t="inlineStr">
        <is>
          <t>C-C-0028</t>
        </is>
      </c>
      <c r="B1149" s="9" t="inlineStr">
        <is>
          <t>C</t>
        </is>
      </c>
      <c r="C1149" s="9" t="inlineStr">
        <is>
          <t>Grid interface</t>
        </is>
      </c>
      <c r="D1149" s="9" t="inlineStr">
        <is>
          <t>CT / VT</t>
        </is>
      </c>
      <c r="E1149" s="9" t="inlineStr">
        <is>
          <t>RH</t>
        </is>
      </c>
      <c r="F1149" s="9" t="inlineStr">
        <is>
          <t>RH: switchyard relay / control house (52 x 70 ft)</t>
        </is>
      </c>
      <c r="G1149" s="9" t="inlineStr">
        <is>
          <t>D2-CB1</t>
        </is>
      </c>
      <c r="H1149" s="9" t="inlineStr">
        <is>
          <t>D2 230 kV breaker 1</t>
        </is>
      </c>
      <c r="I1149" s="9" t="inlineStr">
        <is>
          <t>Control</t>
        </is>
      </c>
      <c r="J1149" s="9" t="inlineStr">
        <is>
          <t>Control cable 600 V Type TC-ER, Cu #10 AWG (CT / VT circuits)</t>
        </is>
      </c>
      <c r="K1149" s="9" t="inlineStr">
        <is>
          <t>CTCT|4/C|10</t>
        </is>
      </c>
      <c r="L1149" s="9" t="inlineStr">
        <is>
          <t>4/C</t>
        </is>
      </c>
      <c r="M1149" s="9" t="inlineStr">
        <is>
          <t>10</t>
        </is>
      </c>
      <c r="N1149" s="9" t="n">
        <v>1</v>
      </c>
      <c r="O1149" s="9" t="n">
        <v>1</v>
      </c>
      <c r="P1149" s="9" t="n"/>
      <c r="Q1149" s="9" t="n"/>
      <c r="R1149" s="9" t="n"/>
      <c r="S1149" s="9" t="inlineStr">
        <is>
          <t>Duct bank</t>
        </is>
      </c>
      <c r="T1149" s="10" t="n">
        <v>1185</v>
      </c>
      <c r="U1149" s="10" t="n">
        <v>247</v>
      </c>
      <c r="V1149" s="10">
        <f>ROUNDUP((T1149+U1149+2*'Read Me'!$B$13)*(1+'Read Me'!$B$12),-1)</f>
        <v/>
      </c>
      <c r="W1149" s="10">
        <f>V1149*N1149*O1149</f>
        <v/>
      </c>
      <c r="X1149" s="9">
        <f>IF(LEFT(I1149,2)="MV",2*N1149*IF(L1149="1/C",O1149,1),0)</f>
        <v/>
      </c>
      <c r="Y1149" s="9">
        <f>IF(OR(LEFT(K1149,4)="LVAX",LEFT(K1149,6)="MV15AX",LEFT(K1149,4)="CTAX",LEFT(K1149,2)="W|"),2*N1149*O1149,0)</f>
        <v/>
      </c>
      <c r="Z1149" s="9" t="inlineStr"/>
    </row>
    <row r="1150">
      <c r="A1150" s="9" t="inlineStr">
        <is>
          <t>C-C-0029</t>
        </is>
      </c>
      <c r="B1150" s="9" t="inlineStr">
        <is>
          <t>C</t>
        </is>
      </c>
      <c r="C1150" s="9" t="inlineStr">
        <is>
          <t>Grid interface</t>
        </is>
      </c>
      <c r="D1150" s="9" t="inlineStr">
        <is>
          <t>Control</t>
        </is>
      </c>
      <c r="E1150" s="9" t="inlineStr">
        <is>
          <t>RH</t>
        </is>
      </c>
      <c r="F1150" s="9" t="inlineStr">
        <is>
          <t>RH: switchyard relay / control house (52 x 70 ft)</t>
        </is>
      </c>
      <c r="G1150" s="9" t="inlineStr">
        <is>
          <t>D2-CB2</t>
        </is>
      </c>
      <c r="H1150" s="9" t="inlineStr">
        <is>
          <t>D2 230 kV breaker 2</t>
        </is>
      </c>
      <c r="I1150" s="9" t="inlineStr">
        <is>
          <t>Control</t>
        </is>
      </c>
      <c r="J1150" s="9" t="inlineStr">
        <is>
          <t>Control cable 600 V Type TC-ER, Cu #14 AWG, PVC jacket</t>
        </is>
      </c>
      <c r="K1150" s="9" t="inlineStr">
        <is>
          <t>CT|12/C|14</t>
        </is>
      </c>
      <c r="L1150" s="9" t="inlineStr">
        <is>
          <t>12/C</t>
        </is>
      </c>
      <c r="M1150" s="9" t="inlineStr">
        <is>
          <t>14</t>
        </is>
      </c>
      <c r="N1150" s="9" t="n">
        <v>1</v>
      </c>
      <c r="O1150" s="9" t="n">
        <v>1</v>
      </c>
      <c r="P1150" s="9" t="n"/>
      <c r="Q1150" s="9" t="n"/>
      <c r="R1150" s="9" t="n"/>
      <c r="S1150" s="9" t="inlineStr">
        <is>
          <t>Duct bank</t>
        </is>
      </c>
      <c r="T1150" s="10" t="n">
        <v>1185</v>
      </c>
      <c r="U1150" s="10" t="n">
        <v>207</v>
      </c>
      <c r="V1150" s="10">
        <f>ROUNDUP((T1150+U1150+2*'Read Me'!$B$13)*(1+'Read Me'!$B$12),-1)</f>
        <v/>
      </c>
      <c r="W1150" s="10">
        <f>V1150*N1150*O1150</f>
        <v/>
      </c>
      <c r="X1150" s="9">
        <f>IF(LEFT(I1150,2)="MV",2*N1150*IF(L1150="1/C",O1150,1),0)</f>
        <v/>
      </c>
      <c r="Y1150" s="9">
        <f>IF(OR(LEFT(K1150,4)="LVAX",LEFT(K1150,6)="MV15AX",LEFT(K1150,4)="CTAX",LEFT(K1150,2)="W|"),2*N1150*O1150,0)</f>
        <v/>
      </c>
      <c r="Z1150" s="9" t="inlineStr"/>
    </row>
    <row r="1151">
      <c r="A1151" s="9" t="inlineStr">
        <is>
          <t>C-C-0030</t>
        </is>
      </c>
      <c r="B1151" s="9" t="inlineStr">
        <is>
          <t>C</t>
        </is>
      </c>
      <c r="C1151" s="9" t="inlineStr">
        <is>
          <t>Grid interface</t>
        </is>
      </c>
      <c r="D1151" s="9" t="inlineStr">
        <is>
          <t>Control</t>
        </is>
      </c>
      <c r="E1151" s="9" t="inlineStr">
        <is>
          <t>RH</t>
        </is>
      </c>
      <c r="F1151" s="9" t="inlineStr">
        <is>
          <t>RH: switchyard relay / control house (52 x 70 ft)</t>
        </is>
      </c>
      <c r="G1151" s="9" t="inlineStr">
        <is>
          <t>D2-CB2</t>
        </is>
      </c>
      <c r="H1151" s="9" t="inlineStr">
        <is>
          <t>D2 230 kV breaker 2</t>
        </is>
      </c>
      <c r="I1151" s="9" t="inlineStr">
        <is>
          <t>Control</t>
        </is>
      </c>
      <c r="J1151" s="9" t="inlineStr">
        <is>
          <t>Control cable 600 V Type TC-ER, Cu #14 AWG, PVC jacket</t>
        </is>
      </c>
      <c r="K1151" s="9" t="inlineStr">
        <is>
          <t>CT|12/C|14</t>
        </is>
      </c>
      <c r="L1151" s="9" t="inlineStr">
        <is>
          <t>12/C</t>
        </is>
      </c>
      <c r="M1151" s="9" t="inlineStr">
        <is>
          <t>14</t>
        </is>
      </c>
      <c r="N1151" s="9" t="n">
        <v>1</v>
      </c>
      <c r="O1151" s="9" t="n">
        <v>1</v>
      </c>
      <c r="P1151" s="9" t="n"/>
      <c r="Q1151" s="9" t="n"/>
      <c r="R1151" s="9" t="n"/>
      <c r="S1151" s="9" t="inlineStr">
        <is>
          <t>Duct bank</t>
        </is>
      </c>
      <c r="T1151" s="10" t="n">
        <v>1185</v>
      </c>
      <c r="U1151" s="10" t="n">
        <v>207</v>
      </c>
      <c r="V1151" s="10">
        <f>ROUNDUP((T1151+U1151+2*'Read Me'!$B$13)*(1+'Read Me'!$B$12),-1)</f>
        <v/>
      </c>
      <c r="W1151" s="10">
        <f>V1151*N1151*O1151</f>
        <v/>
      </c>
      <c r="X1151" s="9">
        <f>IF(LEFT(I1151,2)="MV",2*N1151*IF(L1151="1/C",O1151,1),0)</f>
        <v/>
      </c>
      <c r="Y1151" s="9">
        <f>IF(OR(LEFT(K1151,4)="LVAX",LEFT(K1151,6)="MV15AX",LEFT(K1151,4)="CTAX",LEFT(K1151,2)="W|"),2*N1151*O1151,0)</f>
        <v/>
      </c>
      <c r="Z1151" s="9" t="inlineStr"/>
    </row>
    <row r="1152">
      <c r="A1152" s="9" t="inlineStr">
        <is>
          <t>C-C-0031</t>
        </is>
      </c>
      <c r="B1152" s="9" t="inlineStr">
        <is>
          <t>C</t>
        </is>
      </c>
      <c r="C1152" s="9" t="inlineStr">
        <is>
          <t>Grid interface</t>
        </is>
      </c>
      <c r="D1152" s="9" t="inlineStr">
        <is>
          <t>Control</t>
        </is>
      </c>
      <c r="E1152" s="9" t="inlineStr">
        <is>
          <t>RH</t>
        </is>
      </c>
      <c r="F1152" s="9" t="inlineStr">
        <is>
          <t>RH: switchyard relay / control house (52 x 70 ft)</t>
        </is>
      </c>
      <c r="G1152" s="9" t="inlineStr">
        <is>
          <t>D2-CB2</t>
        </is>
      </c>
      <c r="H1152" s="9" t="inlineStr">
        <is>
          <t>D2 230 kV breaker 2</t>
        </is>
      </c>
      <c r="I1152" s="9" t="inlineStr">
        <is>
          <t>Control</t>
        </is>
      </c>
      <c r="J1152" s="9" t="inlineStr">
        <is>
          <t>Control cable 600 V Type TC-ER, Cu #14 AWG, PVC jacket</t>
        </is>
      </c>
      <c r="K1152" s="9" t="inlineStr">
        <is>
          <t>CT|12/C|14</t>
        </is>
      </c>
      <c r="L1152" s="9" t="inlineStr">
        <is>
          <t>12/C</t>
        </is>
      </c>
      <c r="M1152" s="9" t="inlineStr">
        <is>
          <t>14</t>
        </is>
      </c>
      <c r="N1152" s="9" t="n">
        <v>1</v>
      </c>
      <c r="O1152" s="9" t="n">
        <v>1</v>
      </c>
      <c r="P1152" s="9" t="n"/>
      <c r="Q1152" s="9" t="n"/>
      <c r="R1152" s="9" t="n"/>
      <c r="S1152" s="9" t="inlineStr">
        <is>
          <t>Duct bank</t>
        </is>
      </c>
      <c r="T1152" s="10" t="n">
        <v>1185</v>
      </c>
      <c r="U1152" s="10" t="n">
        <v>207</v>
      </c>
      <c r="V1152" s="10">
        <f>ROUNDUP((T1152+U1152+2*'Read Me'!$B$13)*(1+'Read Me'!$B$12),-1)</f>
        <v/>
      </c>
      <c r="W1152" s="10">
        <f>V1152*N1152*O1152</f>
        <v/>
      </c>
      <c r="X1152" s="9">
        <f>IF(LEFT(I1152,2)="MV",2*N1152*IF(L1152="1/C",O1152,1),0)</f>
        <v/>
      </c>
      <c r="Y1152" s="9">
        <f>IF(OR(LEFT(K1152,4)="LVAX",LEFT(K1152,6)="MV15AX",LEFT(K1152,4)="CTAX",LEFT(K1152,2)="W|"),2*N1152*O1152,0)</f>
        <v/>
      </c>
      <c r="Z1152" s="9" t="inlineStr"/>
    </row>
    <row r="1153">
      <c r="A1153" s="9" t="inlineStr">
        <is>
          <t>C-C-0032</t>
        </is>
      </c>
      <c r="B1153" s="9" t="inlineStr">
        <is>
          <t>C</t>
        </is>
      </c>
      <c r="C1153" s="9" t="inlineStr">
        <is>
          <t>Grid interface</t>
        </is>
      </c>
      <c r="D1153" s="9" t="inlineStr">
        <is>
          <t>Control</t>
        </is>
      </c>
      <c r="E1153" s="9" t="inlineStr">
        <is>
          <t>RH</t>
        </is>
      </c>
      <c r="F1153" s="9" t="inlineStr">
        <is>
          <t>RH: switchyard relay / control house (52 x 70 ft)</t>
        </is>
      </c>
      <c r="G1153" s="9" t="inlineStr">
        <is>
          <t>D2-CB2</t>
        </is>
      </c>
      <c r="H1153" s="9" t="inlineStr">
        <is>
          <t>D2 230 kV breaker 2</t>
        </is>
      </c>
      <c r="I1153" s="9" t="inlineStr">
        <is>
          <t>Control</t>
        </is>
      </c>
      <c r="J1153" s="9" t="inlineStr">
        <is>
          <t>Control cable 600 V Type TC-ER, Cu #14 AWG, PVC jacket</t>
        </is>
      </c>
      <c r="K1153" s="9" t="inlineStr">
        <is>
          <t>CT|12/C|14</t>
        </is>
      </c>
      <c r="L1153" s="9" t="inlineStr">
        <is>
          <t>12/C</t>
        </is>
      </c>
      <c r="M1153" s="9" t="inlineStr">
        <is>
          <t>14</t>
        </is>
      </c>
      <c r="N1153" s="9" t="n">
        <v>1</v>
      </c>
      <c r="O1153" s="9" t="n">
        <v>1</v>
      </c>
      <c r="P1153" s="9" t="n"/>
      <c r="Q1153" s="9" t="n"/>
      <c r="R1153" s="9" t="n"/>
      <c r="S1153" s="9" t="inlineStr">
        <is>
          <t>Duct bank</t>
        </is>
      </c>
      <c r="T1153" s="10" t="n">
        <v>1185</v>
      </c>
      <c r="U1153" s="10" t="n">
        <v>207</v>
      </c>
      <c r="V1153" s="10">
        <f>ROUNDUP((T1153+U1153+2*'Read Me'!$B$13)*(1+'Read Me'!$B$12),-1)</f>
        <v/>
      </c>
      <c r="W1153" s="10">
        <f>V1153*N1153*O1153</f>
        <v/>
      </c>
      <c r="X1153" s="9">
        <f>IF(LEFT(I1153,2)="MV",2*N1153*IF(L1153="1/C",O1153,1),0)</f>
        <v/>
      </c>
      <c r="Y1153" s="9">
        <f>IF(OR(LEFT(K1153,4)="LVAX",LEFT(K1153,6)="MV15AX",LEFT(K1153,4)="CTAX",LEFT(K1153,2)="W|"),2*N1153*O1153,0)</f>
        <v/>
      </c>
      <c r="Z1153" s="9" t="inlineStr"/>
    </row>
    <row r="1154">
      <c r="A1154" s="9" t="inlineStr">
        <is>
          <t>C-C-0033</t>
        </is>
      </c>
      <c r="B1154" s="9" t="inlineStr">
        <is>
          <t>C</t>
        </is>
      </c>
      <c r="C1154" s="9" t="inlineStr">
        <is>
          <t>Grid interface</t>
        </is>
      </c>
      <c r="D1154" s="9" t="inlineStr">
        <is>
          <t>CT / VT</t>
        </is>
      </c>
      <c r="E1154" s="9" t="inlineStr">
        <is>
          <t>RH</t>
        </is>
      </c>
      <c r="F1154" s="9" t="inlineStr">
        <is>
          <t>RH: switchyard relay / control house (52 x 70 ft)</t>
        </is>
      </c>
      <c r="G1154" s="9" t="inlineStr">
        <is>
          <t>D2-CB2</t>
        </is>
      </c>
      <c r="H1154" s="9" t="inlineStr">
        <is>
          <t>D2 230 kV breaker 2</t>
        </is>
      </c>
      <c r="I1154" s="9" t="inlineStr">
        <is>
          <t>Control</t>
        </is>
      </c>
      <c r="J1154" s="9" t="inlineStr">
        <is>
          <t>Control cable 600 V Type TC-ER, Cu #10 AWG (CT / VT circuits)</t>
        </is>
      </c>
      <c r="K1154" s="9" t="inlineStr">
        <is>
          <t>CTCT|4/C|10</t>
        </is>
      </c>
      <c r="L1154" s="9" t="inlineStr">
        <is>
          <t>4/C</t>
        </is>
      </c>
      <c r="M1154" s="9" t="inlineStr">
        <is>
          <t>10</t>
        </is>
      </c>
      <c r="N1154" s="9" t="n">
        <v>1</v>
      </c>
      <c r="O1154" s="9" t="n">
        <v>1</v>
      </c>
      <c r="P1154" s="9" t="n"/>
      <c r="Q1154" s="9" t="n"/>
      <c r="R1154" s="9" t="n"/>
      <c r="S1154" s="9" t="inlineStr">
        <is>
          <t>Duct bank</t>
        </is>
      </c>
      <c r="T1154" s="10" t="n">
        <v>1185</v>
      </c>
      <c r="U1154" s="10" t="n">
        <v>207</v>
      </c>
      <c r="V1154" s="10">
        <f>ROUNDUP((T1154+U1154+2*'Read Me'!$B$13)*(1+'Read Me'!$B$12),-1)</f>
        <v/>
      </c>
      <c r="W1154" s="10">
        <f>V1154*N1154*O1154</f>
        <v/>
      </c>
      <c r="X1154" s="9">
        <f>IF(LEFT(I1154,2)="MV",2*N1154*IF(L1154="1/C",O1154,1),0)</f>
        <v/>
      </c>
      <c r="Y1154" s="9">
        <f>IF(OR(LEFT(K1154,4)="LVAX",LEFT(K1154,6)="MV15AX",LEFT(K1154,4)="CTAX",LEFT(K1154,2)="W|"),2*N1154*O1154,0)</f>
        <v/>
      </c>
      <c r="Z1154" s="9" t="inlineStr"/>
    </row>
    <row r="1155">
      <c r="A1155" s="9" t="inlineStr">
        <is>
          <t>C-C-0034</t>
        </is>
      </c>
      <c r="B1155" s="9" t="inlineStr">
        <is>
          <t>C</t>
        </is>
      </c>
      <c r="C1155" s="9" t="inlineStr">
        <is>
          <t>Grid interface</t>
        </is>
      </c>
      <c r="D1155" s="9" t="inlineStr">
        <is>
          <t>CT / VT</t>
        </is>
      </c>
      <c r="E1155" s="9" t="inlineStr">
        <is>
          <t>RH</t>
        </is>
      </c>
      <c r="F1155" s="9" t="inlineStr">
        <is>
          <t>RH: switchyard relay / control house (52 x 70 ft)</t>
        </is>
      </c>
      <c r="G1155" s="9" t="inlineStr">
        <is>
          <t>D2-CB2</t>
        </is>
      </c>
      <c r="H1155" s="9" t="inlineStr">
        <is>
          <t>D2 230 kV breaker 2</t>
        </is>
      </c>
      <c r="I1155" s="9" t="inlineStr">
        <is>
          <t>Control</t>
        </is>
      </c>
      <c r="J1155" s="9" t="inlineStr">
        <is>
          <t>Control cable 600 V Type TC-ER, Cu #10 AWG (CT / VT circuits)</t>
        </is>
      </c>
      <c r="K1155" s="9" t="inlineStr">
        <is>
          <t>CTCT|4/C|10</t>
        </is>
      </c>
      <c r="L1155" s="9" t="inlineStr">
        <is>
          <t>4/C</t>
        </is>
      </c>
      <c r="M1155" s="9" t="inlineStr">
        <is>
          <t>10</t>
        </is>
      </c>
      <c r="N1155" s="9" t="n">
        <v>1</v>
      </c>
      <c r="O1155" s="9" t="n">
        <v>1</v>
      </c>
      <c r="P1155" s="9" t="n"/>
      <c r="Q1155" s="9" t="n"/>
      <c r="R1155" s="9" t="n"/>
      <c r="S1155" s="9" t="inlineStr">
        <is>
          <t>Duct bank</t>
        </is>
      </c>
      <c r="T1155" s="10" t="n">
        <v>1185</v>
      </c>
      <c r="U1155" s="10" t="n">
        <v>207</v>
      </c>
      <c r="V1155" s="10">
        <f>ROUNDUP((T1155+U1155+2*'Read Me'!$B$13)*(1+'Read Me'!$B$12),-1)</f>
        <v/>
      </c>
      <c r="W1155" s="10">
        <f>V1155*N1155*O1155</f>
        <v/>
      </c>
      <c r="X1155" s="9">
        <f>IF(LEFT(I1155,2)="MV",2*N1155*IF(L1155="1/C",O1155,1),0)</f>
        <v/>
      </c>
      <c r="Y1155" s="9">
        <f>IF(OR(LEFT(K1155,4)="LVAX",LEFT(K1155,6)="MV15AX",LEFT(K1155,4)="CTAX",LEFT(K1155,2)="W|"),2*N1155*O1155,0)</f>
        <v/>
      </c>
      <c r="Z1155" s="9" t="inlineStr"/>
    </row>
    <row r="1156">
      <c r="A1156" s="9" t="inlineStr">
        <is>
          <t>C-C-0035</t>
        </is>
      </c>
      <c r="B1156" s="9" t="inlineStr">
        <is>
          <t>C</t>
        </is>
      </c>
      <c r="C1156" s="9" t="inlineStr">
        <is>
          <t>Grid interface</t>
        </is>
      </c>
      <c r="D1156" s="9" t="inlineStr">
        <is>
          <t>CT / VT</t>
        </is>
      </c>
      <c r="E1156" s="9" t="inlineStr">
        <is>
          <t>RH</t>
        </is>
      </c>
      <c r="F1156" s="9" t="inlineStr">
        <is>
          <t>RH: switchyard relay / control house (52 x 70 ft)</t>
        </is>
      </c>
      <c r="G1156" s="9" t="inlineStr">
        <is>
          <t>D2-CB2</t>
        </is>
      </c>
      <c r="H1156" s="9" t="inlineStr">
        <is>
          <t>D2 230 kV breaker 2</t>
        </is>
      </c>
      <c r="I1156" s="9" t="inlineStr">
        <is>
          <t>Control</t>
        </is>
      </c>
      <c r="J1156" s="9" t="inlineStr">
        <is>
          <t>Control cable 600 V Type TC-ER, Cu #10 AWG (CT / VT circuits)</t>
        </is>
      </c>
      <c r="K1156" s="9" t="inlineStr">
        <is>
          <t>CTCT|4/C|10</t>
        </is>
      </c>
      <c r="L1156" s="9" t="inlineStr">
        <is>
          <t>4/C</t>
        </is>
      </c>
      <c r="M1156" s="9" t="inlineStr">
        <is>
          <t>10</t>
        </is>
      </c>
      <c r="N1156" s="9" t="n">
        <v>1</v>
      </c>
      <c r="O1156" s="9" t="n">
        <v>1</v>
      </c>
      <c r="P1156" s="9" t="n"/>
      <c r="Q1156" s="9" t="n"/>
      <c r="R1156" s="9" t="n"/>
      <c r="S1156" s="9" t="inlineStr">
        <is>
          <t>Duct bank</t>
        </is>
      </c>
      <c r="T1156" s="10" t="n">
        <v>1185</v>
      </c>
      <c r="U1156" s="10" t="n">
        <v>207</v>
      </c>
      <c r="V1156" s="10">
        <f>ROUNDUP((T1156+U1156+2*'Read Me'!$B$13)*(1+'Read Me'!$B$12),-1)</f>
        <v/>
      </c>
      <c r="W1156" s="10">
        <f>V1156*N1156*O1156</f>
        <v/>
      </c>
      <c r="X1156" s="9">
        <f>IF(LEFT(I1156,2)="MV",2*N1156*IF(L1156="1/C",O1156,1),0)</f>
        <v/>
      </c>
      <c r="Y1156" s="9">
        <f>IF(OR(LEFT(K1156,4)="LVAX",LEFT(K1156,6)="MV15AX",LEFT(K1156,4)="CTAX",LEFT(K1156,2)="W|"),2*N1156*O1156,0)</f>
        <v/>
      </c>
      <c r="Z1156" s="9" t="inlineStr"/>
    </row>
    <row r="1157">
      <c r="A1157" s="9" t="inlineStr">
        <is>
          <t>C-C-0036</t>
        </is>
      </c>
      <c r="B1157" s="9" t="inlineStr">
        <is>
          <t>C</t>
        </is>
      </c>
      <c r="C1157" s="9" t="inlineStr">
        <is>
          <t>Grid interface</t>
        </is>
      </c>
      <c r="D1157" s="9" t="inlineStr">
        <is>
          <t>Control</t>
        </is>
      </c>
      <c r="E1157" s="9" t="inlineStr">
        <is>
          <t>RH</t>
        </is>
      </c>
      <c r="F1157" s="9" t="inlineStr">
        <is>
          <t>RH: switchyard relay / control house (52 x 70 ft)</t>
        </is>
      </c>
      <c r="G1157" s="9" t="inlineStr">
        <is>
          <t>D2-CB3</t>
        </is>
      </c>
      <c r="H1157" s="9" t="inlineStr">
        <is>
          <t>D2 230 kV breaker 3</t>
        </is>
      </c>
      <c r="I1157" s="9" t="inlineStr">
        <is>
          <t>Control</t>
        </is>
      </c>
      <c r="J1157" s="9" t="inlineStr">
        <is>
          <t>Control cable 600 V Type TC-ER, Cu #14 AWG, PVC jacket</t>
        </is>
      </c>
      <c r="K1157" s="9" t="inlineStr">
        <is>
          <t>CT|12/C|14</t>
        </is>
      </c>
      <c r="L1157" s="9" t="inlineStr">
        <is>
          <t>12/C</t>
        </is>
      </c>
      <c r="M1157" s="9" t="inlineStr">
        <is>
          <t>14</t>
        </is>
      </c>
      <c r="N1157" s="9" t="n">
        <v>1</v>
      </c>
      <c r="O1157" s="9" t="n">
        <v>1</v>
      </c>
      <c r="P1157" s="9" t="n"/>
      <c r="Q1157" s="9" t="n"/>
      <c r="R1157" s="9" t="n"/>
      <c r="S1157" s="9" t="inlineStr">
        <is>
          <t>Duct bank</t>
        </is>
      </c>
      <c r="T1157" s="10" t="n">
        <v>1185</v>
      </c>
      <c r="U1157" s="10" t="n">
        <v>167</v>
      </c>
      <c r="V1157" s="10">
        <f>ROUNDUP((T1157+U1157+2*'Read Me'!$B$13)*(1+'Read Me'!$B$12),-1)</f>
        <v/>
      </c>
      <c r="W1157" s="10">
        <f>V1157*N1157*O1157</f>
        <v/>
      </c>
      <c r="X1157" s="9">
        <f>IF(LEFT(I1157,2)="MV",2*N1157*IF(L1157="1/C",O1157,1),0)</f>
        <v/>
      </c>
      <c r="Y1157" s="9">
        <f>IF(OR(LEFT(K1157,4)="LVAX",LEFT(K1157,6)="MV15AX",LEFT(K1157,4)="CTAX",LEFT(K1157,2)="W|"),2*N1157*O1157,0)</f>
        <v/>
      </c>
      <c r="Z1157" s="9" t="inlineStr"/>
    </row>
    <row r="1158">
      <c r="A1158" s="9" t="inlineStr">
        <is>
          <t>C-C-0037</t>
        </is>
      </c>
      <c r="B1158" s="9" t="inlineStr">
        <is>
          <t>C</t>
        </is>
      </c>
      <c r="C1158" s="9" t="inlineStr">
        <is>
          <t>Grid interface</t>
        </is>
      </c>
      <c r="D1158" s="9" t="inlineStr">
        <is>
          <t>Control</t>
        </is>
      </c>
      <c r="E1158" s="9" t="inlineStr">
        <is>
          <t>RH</t>
        </is>
      </c>
      <c r="F1158" s="9" t="inlineStr">
        <is>
          <t>RH: switchyard relay / control house (52 x 70 ft)</t>
        </is>
      </c>
      <c r="G1158" s="9" t="inlineStr">
        <is>
          <t>D2-CB3</t>
        </is>
      </c>
      <c r="H1158" s="9" t="inlineStr">
        <is>
          <t>D2 230 kV breaker 3</t>
        </is>
      </c>
      <c r="I1158" s="9" t="inlineStr">
        <is>
          <t>Control</t>
        </is>
      </c>
      <c r="J1158" s="9" t="inlineStr">
        <is>
          <t>Control cable 600 V Type TC-ER, Cu #14 AWG, PVC jacket</t>
        </is>
      </c>
      <c r="K1158" s="9" t="inlineStr">
        <is>
          <t>CT|12/C|14</t>
        </is>
      </c>
      <c r="L1158" s="9" t="inlineStr">
        <is>
          <t>12/C</t>
        </is>
      </c>
      <c r="M1158" s="9" t="inlineStr">
        <is>
          <t>14</t>
        </is>
      </c>
      <c r="N1158" s="9" t="n">
        <v>1</v>
      </c>
      <c r="O1158" s="9" t="n">
        <v>1</v>
      </c>
      <c r="P1158" s="9" t="n"/>
      <c r="Q1158" s="9" t="n"/>
      <c r="R1158" s="9" t="n"/>
      <c r="S1158" s="9" t="inlineStr">
        <is>
          <t>Duct bank</t>
        </is>
      </c>
      <c r="T1158" s="10" t="n">
        <v>1185</v>
      </c>
      <c r="U1158" s="10" t="n">
        <v>167</v>
      </c>
      <c r="V1158" s="10">
        <f>ROUNDUP((T1158+U1158+2*'Read Me'!$B$13)*(1+'Read Me'!$B$12),-1)</f>
        <v/>
      </c>
      <c r="W1158" s="10">
        <f>V1158*N1158*O1158</f>
        <v/>
      </c>
      <c r="X1158" s="9">
        <f>IF(LEFT(I1158,2)="MV",2*N1158*IF(L1158="1/C",O1158,1),0)</f>
        <v/>
      </c>
      <c r="Y1158" s="9">
        <f>IF(OR(LEFT(K1158,4)="LVAX",LEFT(K1158,6)="MV15AX",LEFT(K1158,4)="CTAX",LEFT(K1158,2)="W|"),2*N1158*O1158,0)</f>
        <v/>
      </c>
      <c r="Z1158" s="9" t="inlineStr"/>
    </row>
    <row r="1159">
      <c r="A1159" s="9" t="inlineStr">
        <is>
          <t>C-C-0038</t>
        </is>
      </c>
      <c r="B1159" s="9" t="inlineStr">
        <is>
          <t>C</t>
        </is>
      </c>
      <c r="C1159" s="9" t="inlineStr">
        <is>
          <t>Grid interface</t>
        </is>
      </c>
      <c r="D1159" s="9" t="inlineStr">
        <is>
          <t>Control</t>
        </is>
      </c>
      <c r="E1159" s="9" t="inlineStr">
        <is>
          <t>RH</t>
        </is>
      </c>
      <c r="F1159" s="9" t="inlineStr">
        <is>
          <t>RH: switchyard relay / control house (52 x 70 ft)</t>
        </is>
      </c>
      <c r="G1159" s="9" t="inlineStr">
        <is>
          <t>D2-CB3</t>
        </is>
      </c>
      <c r="H1159" s="9" t="inlineStr">
        <is>
          <t>D2 230 kV breaker 3</t>
        </is>
      </c>
      <c r="I1159" s="9" t="inlineStr">
        <is>
          <t>Control</t>
        </is>
      </c>
      <c r="J1159" s="9" t="inlineStr">
        <is>
          <t>Control cable 600 V Type TC-ER, Cu #14 AWG, PVC jacket</t>
        </is>
      </c>
      <c r="K1159" s="9" t="inlineStr">
        <is>
          <t>CT|12/C|14</t>
        </is>
      </c>
      <c r="L1159" s="9" t="inlineStr">
        <is>
          <t>12/C</t>
        </is>
      </c>
      <c r="M1159" s="9" t="inlineStr">
        <is>
          <t>14</t>
        </is>
      </c>
      <c r="N1159" s="9" t="n">
        <v>1</v>
      </c>
      <c r="O1159" s="9" t="n">
        <v>1</v>
      </c>
      <c r="P1159" s="9" t="n"/>
      <c r="Q1159" s="9" t="n"/>
      <c r="R1159" s="9" t="n"/>
      <c r="S1159" s="9" t="inlineStr">
        <is>
          <t>Duct bank</t>
        </is>
      </c>
      <c r="T1159" s="10" t="n">
        <v>1185</v>
      </c>
      <c r="U1159" s="10" t="n">
        <v>167</v>
      </c>
      <c r="V1159" s="10">
        <f>ROUNDUP((T1159+U1159+2*'Read Me'!$B$13)*(1+'Read Me'!$B$12),-1)</f>
        <v/>
      </c>
      <c r="W1159" s="10">
        <f>V1159*N1159*O1159</f>
        <v/>
      </c>
      <c r="X1159" s="9">
        <f>IF(LEFT(I1159,2)="MV",2*N1159*IF(L1159="1/C",O1159,1),0)</f>
        <v/>
      </c>
      <c r="Y1159" s="9">
        <f>IF(OR(LEFT(K1159,4)="LVAX",LEFT(K1159,6)="MV15AX",LEFT(K1159,4)="CTAX",LEFT(K1159,2)="W|"),2*N1159*O1159,0)</f>
        <v/>
      </c>
      <c r="Z1159" s="9" t="inlineStr"/>
    </row>
    <row r="1160">
      <c r="A1160" s="9" t="inlineStr">
        <is>
          <t>C-C-0039</t>
        </is>
      </c>
      <c r="B1160" s="9" t="inlineStr">
        <is>
          <t>C</t>
        </is>
      </c>
      <c r="C1160" s="9" t="inlineStr">
        <is>
          <t>Grid interface</t>
        </is>
      </c>
      <c r="D1160" s="9" t="inlineStr">
        <is>
          <t>Control</t>
        </is>
      </c>
      <c r="E1160" s="9" t="inlineStr">
        <is>
          <t>RH</t>
        </is>
      </c>
      <c r="F1160" s="9" t="inlineStr">
        <is>
          <t>RH: switchyard relay / control house (52 x 70 ft)</t>
        </is>
      </c>
      <c r="G1160" s="9" t="inlineStr">
        <is>
          <t>D2-CB3</t>
        </is>
      </c>
      <c r="H1160" s="9" t="inlineStr">
        <is>
          <t>D2 230 kV breaker 3</t>
        </is>
      </c>
      <c r="I1160" s="9" t="inlineStr">
        <is>
          <t>Control</t>
        </is>
      </c>
      <c r="J1160" s="9" t="inlineStr">
        <is>
          <t>Control cable 600 V Type TC-ER, Cu #14 AWG, PVC jacket</t>
        </is>
      </c>
      <c r="K1160" s="9" t="inlineStr">
        <is>
          <t>CT|12/C|14</t>
        </is>
      </c>
      <c r="L1160" s="9" t="inlineStr">
        <is>
          <t>12/C</t>
        </is>
      </c>
      <c r="M1160" s="9" t="inlineStr">
        <is>
          <t>14</t>
        </is>
      </c>
      <c r="N1160" s="9" t="n">
        <v>1</v>
      </c>
      <c r="O1160" s="9" t="n">
        <v>1</v>
      </c>
      <c r="P1160" s="9" t="n"/>
      <c r="Q1160" s="9" t="n"/>
      <c r="R1160" s="9" t="n"/>
      <c r="S1160" s="9" t="inlineStr">
        <is>
          <t>Duct bank</t>
        </is>
      </c>
      <c r="T1160" s="10" t="n">
        <v>1185</v>
      </c>
      <c r="U1160" s="10" t="n">
        <v>167</v>
      </c>
      <c r="V1160" s="10">
        <f>ROUNDUP((T1160+U1160+2*'Read Me'!$B$13)*(1+'Read Me'!$B$12),-1)</f>
        <v/>
      </c>
      <c r="W1160" s="10">
        <f>V1160*N1160*O1160</f>
        <v/>
      </c>
      <c r="X1160" s="9">
        <f>IF(LEFT(I1160,2)="MV",2*N1160*IF(L1160="1/C",O1160,1),0)</f>
        <v/>
      </c>
      <c r="Y1160" s="9">
        <f>IF(OR(LEFT(K1160,4)="LVAX",LEFT(K1160,6)="MV15AX",LEFT(K1160,4)="CTAX",LEFT(K1160,2)="W|"),2*N1160*O1160,0)</f>
        <v/>
      </c>
      <c r="Z1160" s="9" t="inlineStr"/>
    </row>
    <row r="1161">
      <c r="A1161" s="9" t="inlineStr">
        <is>
          <t>C-C-0040</t>
        </is>
      </c>
      <c r="B1161" s="9" t="inlineStr">
        <is>
          <t>C</t>
        </is>
      </c>
      <c r="C1161" s="9" t="inlineStr">
        <is>
          <t>Grid interface</t>
        </is>
      </c>
      <c r="D1161" s="9" t="inlineStr">
        <is>
          <t>CT / VT</t>
        </is>
      </c>
      <c r="E1161" s="9" t="inlineStr">
        <is>
          <t>RH</t>
        </is>
      </c>
      <c r="F1161" s="9" t="inlineStr">
        <is>
          <t>RH: switchyard relay / control house (52 x 70 ft)</t>
        </is>
      </c>
      <c r="G1161" s="9" t="inlineStr">
        <is>
          <t>D2-CB3</t>
        </is>
      </c>
      <c r="H1161" s="9" t="inlineStr">
        <is>
          <t>D2 230 kV breaker 3</t>
        </is>
      </c>
      <c r="I1161" s="9" t="inlineStr">
        <is>
          <t>Control</t>
        </is>
      </c>
      <c r="J1161" s="9" t="inlineStr">
        <is>
          <t>Control cable 600 V Type TC-ER, Cu #10 AWG (CT / VT circuits)</t>
        </is>
      </c>
      <c r="K1161" s="9" t="inlineStr">
        <is>
          <t>CTCT|4/C|10</t>
        </is>
      </c>
      <c r="L1161" s="9" t="inlineStr">
        <is>
          <t>4/C</t>
        </is>
      </c>
      <c r="M1161" s="9" t="inlineStr">
        <is>
          <t>10</t>
        </is>
      </c>
      <c r="N1161" s="9" t="n">
        <v>1</v>
      </c>
      <c r="O1161" s="9" t="n">
        <v>1</v>
      </c>
      <c r="P1161" s="9" t="n"/>
      <c r="Q1161" s="9" t="n"/>
      <c r="R1161" s="9" t="n"/>
      <c r="S1161" s="9" t="inlineStr">
        <is>
          <t>Duct bank</t>
        </is>
      </c>
      <c r="T1161" s="10" t="n">
        <v>1185</v>
      </c>
      <c r="U1161" s="10" t="n">
        <v>167</v>
      </c>
      <c r="V1161" s="10">
        <f>ROUNDUP((T1161+U1161+2*'Read Me'!$B$13)*(1+'Read Me'!$B$12),-1)</f>
        <v/>
      </c>
      <c r="W1161" s="10">
        <f>V1161*N1161*O1161</f>
        <v/>
      </c>
      <c r="X1161" s="9">
        <f>IF(LEFT(I1161,2)="MV",2*N1161*IF(L1161="1/C",O1161,1),0)</f>
        <v/>
      </c>
      <c r="Y1161" s="9">
        <f>IF(OR(LEFT(K1161,4)="LVAX",LEFT(K1161,6)="MV15AX",LEFT(K1161,4)="CTAX",LEFT(K1161,2)="W|"),2*N1161*O1161,0)</f>
        <v/>
      </c>
      <c r="Z1161" s="9" t="inlineStr"/>
    </row>
    <row r="1162">
      <c r="A1162" s="9" t="inlineStr">
        <is>
          <t>C-C-0041</t>
        </is>
      </c>
      <c r="B1162" s="9" t="inlineStr">
        <is>
          <t>C</t>
        </is>
      </c>
      <c r="C1162" s="9" t="inlineStr">
        <is>
          <t>Grid interface</t>
        </is>
      </c>
      <c r="D1162" s="9" t="inlineStr">
        <is>
          <t>CT / VT</t>
        </is>
      </c>
      <c r="E1162" s="9" t="inlineStr">
        <is>
          <t>RH</t>
        </is>
      </c>
      <c r="F1162" s="9" t="inlineStr">
        <is>
          <t>RH: switchyard relay / control house (52 x 70 ft)</t>
        </is>
      </c>
      <c r="G1162" s="9" t="inlineStr">
        <is>
          <t>D2-CB3</t>
        </is>
      </c>
      <c r="H1162" s="9" t="inlineStr">
        <is>
          <t>D2 230 kV breaker 3</t>
        </is>
      </c>
      <c r="I1162" s="9" t="inlineStr">
        <is>
          <t>Control</t>
        </is>
      </c>
      <c r="J1162" s="9" t="inlineStr">
        <is>
          <t>Control cable 600 V Type TC-ER, Cu #10 AWG (CT / VT circuits)</t>
        </is>
      </c>
      <c r="K1162" s="9" t="inlineStr">
        <is>
          <t>CTCT|4/C|10</t>
        </is>
      </c>
      <c r="L1162" s="9" t="inlineStr">
        <is>
          <t>4/C</t>
        </is>
      </c>
      <c r="M1162" s="9" t="inlineStr">
        <is>
          <t>10</t>
        </is>
      </c>
      <c r="N1162" s="9" t="n">
        <v>1</v>
      </c>
      <c r="O1162" s="9" t="n">
        <v>1</v>
      </c>
      <c r="P1162" s="9" t="n"/>
      <c r="Q1162" s="9" t="n"/>
      <c r="R1162" s="9" t="n"/>
      <c r="S1162" s="9" t="inlineStr">
        <is>
          <t>Duct bank</t>
        </is>
      </c>
      <c r="T1162" s="10" t="n">
        <v>1185</v>
      </c>
      <c r="U1162" s="10" t="n">
        <v>167</v>
      </c>
      <c r="V1162" s="10">
        <f>ROUNDUP((T1162+U1162+2*'Read Me'!$B$13)*(1+'Read Me'!$B$12),-1)</f>
        <v/>
      </c>
      <c r="W1162" s="10">
        <f>V1162*N1162*O1162</f>
        <v/>
      </c>
      <c r="X1162" s="9">
        <f>IF(LEFT(I1162,2)="MV",2*N1162*IF(L1162="1/C",O1162,1),0)</f>
        <v/>
      </c>
      <c r="Y1162" s="9">
        <f>IF(OR(LEFT(K1162,4)="LVAX",LEFT(K1162,6)="MV15AX",LEFT(K1162,4)="CTAX",LEFT(K1162,2)="W|"),2*N1162*O1162,0)</f>
        <v/>
      </c>
      <c r="Z1162" s="9" t="inlineStr"/>
    </row>
    <row r="1163">
      <c r="A1163" s="9" t="inlineStr">
        <is>
          <t>C-C-0042</t>
        </is>
      </c>
      <c r="B1163" s="9" t="inlineStr">
        <is>
          <t>C</t>
        </is>
      </c>
      <c r="C1163" s="9" t="inlineStr">
        <is>
          <t>Grid interface</t>
        </is>
      </c>
      <c r="D1163" s="9" t="inlineStr">
        <is>
          <t>CT / VT</t>
        </is>
      </c>
      <c r="E1163" s="9" t="inlineStr">
        <is>
          <t>RH</t>
        </is>
      </c>
      <c r="F1163" s="9" t="inlineStr">
        <is>
          <t>RH: switchyard relay / control house (52 x 70 ft)</t>
        </is>
      </c>
      <c r="G1163" s="9" t="inlineStr">
        <is>
          <t>D2-CB3</t>
        </is>
      </c>
      <c r="H1163" s="9" t="inlineStr">
        <is>
          <t>D2 230 kV breaker 3</t>
        </is>
      </c>
      <c r="I1163" s="9" t="inlineStr">
        <is>
          <t>Control</t>
        </is>
      </c>
      <c r="J1163" s="9" t="inlineStr">
        <is>
          <t>Control cable 600 V Type TC-ER, Cu #10 AWG (CT / VT circuits)</t>
        </is>
      </c>
      <c r="K1163" s="9" t="inlineStr">
        <is>
          <t>CTCT|4/C|10</t>
        </is>
      </c>
      <c r="L1163" s="9" t="inlineStr">
        <is>
          <t>4/C</t>
        </is>
      </c>
      <c r="M1163" s="9" t="inlineStr">
        <is>
          <t>10</t>
        </is>
      </c>
      <c r="N1163" s="9" t="n">
        <v>1</v>
      </c>
      <c r="O1163" s="9" t="n">
        <v>1</v>
      </c>
      <c r="P1163" s="9" t="n"/>
      <c r="Q1163" s="9" t="n"/>
      <c r="R1163" s="9" t="n"/>
      <c r="S1163" s="9" t="inlineStr">
        <is>
          <t>Duct bank</t>
        </is>
      </c>
      <c r="T1163" s="10" t="n">
        <v>1185</v>
      </c>
      <c r="U1163" s="10" t="n">
        <v>167</v>
      </c>
      <c r="V1163" s="10">
        <f>ROUNDUP((T1163+U1163+2*'Read Me'!$B$13)*(1+'Read Me'!$B$12),-1)</f>
        <v/>
      </c>
      <c r="W1163" s="10">
        <f>V1163*N1163*O1163</f>
        <v/>
      </c>
      <c r="X1163" s="9">
        <f>IF(LEFT(I1163,2)="MV",2*N1163*IF(L1163="1/C",O1163,1),0)</f>
        <v/>
      </c>
      <c r="Y1163" s="9">
        <f>IF(OR(LEFT(K1163,4)="LVAX",LEFT(K1163,6)="MV15AX",LEFT(K1163,4)="CTAX",LEFT(K1163,2)="W|"),2*N1163*O1163,0)</f>
        <v/>
      </c>
      <c r="Z1163" s="9" t="inlineStr"/>
    </row>
    <row r="1164">
      <c r="A1164" s="9" t="inlineStr">
        <is>
          <t>C-C-0043</t>
        </is>
      </c>
      <c r="B1164" s="9" t="inlineStr">
        <is>
          <t>C</t>
        </is>
      </c>
      <c r="C1164" s="9" t="inlineStr">
        <is>
          <t>Grid interface</t>
        </is>
      </c>
      <c r="D1164" s="9" t="inlineStr">
        <is>
          <t>Control</t>
        </is>
      </c>
      <c r="E1164" s="9" t="inlineStr">
        <is>
          <t>RH</t>
        </is>
      </c>
      <c r="F1164" s="9" t="inlineStr">
        <is>
          <t>RH: switchyard relay / control house (52 x 70 ft)</t>
        </is>
      </c>
      <c r="G1164" s="9" t="inlineStr">
        <is>
          <t>D3-CB1</t>
        </is>
      </c>
      <c r="H1164" s="9" t="inlineStr">
        <is>
          <t>D3 230 kV breaker 1</t>
        </is>
      </c>
      <c r="I1164" s="9" t="inlineStr">
        <is>
          <t>Control</t>
        </is>
      </c>
      <c r="J1164" s="9" t="inlineStr">
        <is>
          <t>Control cable 600 V Type TC-ER, Cu #14 AWG, PVC jacket</t>
        </is>
      </c>
      <c r="K1164" s="9" t="inlineStr">
        <is>
          <t>CT|12/C|14</t>
        </is>
      </c>
      <c r="L1164" s="9" t="inlineStr">
        <is>
          <t>12/C</t>
        </is>
      </c>
      <c r="M1164" s="9" t="inlineStr">
        <is>
          <t>14</t>
        </is>
      </c>
      <c r="N1164" s="9" t="n">
        <v>1</v>
      </c>
      <c r="O1164" s="9" t="n">
        <v>1</v>
      </c>
      <c r="P1164" s="9" t="n"/>
      <c r="Q1164" s="9" t="n"/>
      <c r="R1164" s="9" t="n"/>
      <c r="S1164" s="9" t="inlineStr">
        <is>
          <t>Trench</t>
        </is>
      </c>
      <c r="T1164" s="10" t="n">
        <v>886</v>
      </c>
      <c r="U1164" s="10" t="n">
        <v>228</v>
      </c>
      <c r="V1164" s="10">
        <f>ROUNDUP((T1164+U1164+2*'Read Me'!$B$13)*(1+'Read Me'!$B$12),-1)</f>
        <v/>
      </c>
      <c r="W1164" s="10">
        <f>V1164*N1164*O1164</f>
        <v/>
      </c>
      <c r="X1164" s="9">
        <f>IF(LEFT(I1164,2)="MV",2*N1164*IF(L1164="1/C",O1164,1),0)</f>
        <v/>
      </c>
      <c r="Y1164" s="9">
        <f>IF(OR(LEFT(K1164,4)="LVAX",LEFT(K1164,6)="MV15AX",LEFT(K1164,4)="CTAX",LEFT(K1164,2)="W|"),2*N1164*O1164,0)</f>
        <v/>
      </c>
      <c r="Z1164" s="9" t="inlineStr"/>
    </row>
    <row r="1165">
      <c r="A1165" s="9" t="inlineStr">
        <is>
          <t>C-C-0044</t>
        </is>
      </c>
      <c r="B1165" s="9" t="inlineStr">
        <is>
          <t>C</t>
        </is>
      </c>
      <c r="C1165" s="9" t="inlineStr">
        <is>
          <t>Grid interface</t>
        </is>
      </c>
      <c r="D1165" s="9" t="inlineStr">
        <is>
          <t>Control</t>
        </is>
      </c>
      <c r="E1165" s="9" t="inlineStr">
        <is>
          <t>RH</t>
        </is>
      </c>
      <c r="F1165" s="9" t="inlineStr">
        <is>
          <t>RH: switchyard relay / control house (52 x 70 ft)</t>
        </is>
      </c>
      <c r="G1165" s="9" t="inlineStr">
        <is>
          <t>D3-CB1</t>
        </is>
      </c>
      <c r="H1165" s="9" t="inlineStr">
        <is>
          <t>D3 230 kV breaker 1</t>
        </is>
      </c>
      <c r="I1165" s="9" t="inlineStr">
        <is>
          <t>Control</t>
        </is>
      </c>
      <c r="J1165" s="9" t="inlineStr">
        <is>
          <t>Control cable 600 V Type TC-ER, Cu #14 AWG, PVC jacket</t>
        </is>
      </c>
      <c r="K1165" s="9" t="inlineStr">
        <is>
          <t>CT|12/C|14</t>
        </is>
      </c>
      <c r="L1165" s="9" t="inlineStr">
        <is>
          <t>12/C</t>
        </is>
      </c>
      <c r="M1165" s="9" t="inlineStr">
        <is>
          <t>14</t>
        </is>
      </c>
      <c r="N1165" s="9" t="n">
        <v>1</v>
      </c>
      <c r="O1165" s="9" t="n">
        <v>1</v>
      </c>
      <c r="P1165" s="9" t="n"/>
      <c r="Q1165" s="9" t="n"/>
      <c r="R1165" s="9" t="n"/>
      <c r="S1165" s="9" t="inlineStr">
        <is>
          <t>Trench</t>
        </is>
      </c>
      <c r="T1165" s="10" t="n">
        <v>886</v>
      </c>
      <c r="U1165" s="10" t="n">
        <v>228</v>
      </c>
      <c r="V1165" s="10">
        <f>ROUNDUP((T1165+U1165+2*'Read Me'!$B$13)*(1+'Read Me'!$B$12),-1)</f>
        <v/>
      </c>
      <c r="W1165" s="10">
        <f>V1165*N1165*O1165</f>
        <v/>
      </c>
      <c r="X1165" s="9">
        <f>IF(LEFT(I1165,2)="MV",2*N1165*IF(L1165="1/C",O1165,1),0)</f>
        <v/>
      </c>
      <c r="Y1165" s="9">
        <f>IF(OR(LEFT(K1165,4)="LVAX",LEFT(K1165,6)="MV15AX",LEFT(K1165,4)="CTAX",LEFT(K1165,2)="W|"),2*N1165*O1165,0)</f>
        <v/>
      </c>
      <c r="Z1165" s="9" t="inlineStr"/>
    </row>
    <row r="1166">
      <c r="A1166" s="9" t="inlineStr">
        <is>
          <t>C-C-0045</t>
        </is>
      </c>
      <c r="B1166" s="9" t="inlineStr">
        <is>
          <t>C</t>
        </is>
      </c>
      <c r="C1166" s="9" t="inlineStr">
        <is>
          <t>Grid interface</t>
        </is>
      </c>
      <c r="D1166" s="9" t="inlineStr">
        <is>
          <t>Control</t>
        </is>
      </c>
      <c r="E1166" s="9" t="inlineStr">
        <is>
          <t>RH</t>
        </is>
      </c>
      <c r="F1166" s="9" t="inlineStr">
        <is>
          <t>RH: switchyard relay / control house (52 x 70 ft)</t>
        </is>
      </c>
      <c r="G1166" s="9" t="inlineStr">
        <is>
          <t>D3-CB1</t>
        </is>
      </c>
      <c r="H1166" s="9" t="inlineStr">
        <is>
          <t>D3 230 kV breaker 1</t>
        </is>
      </c>
      <c r="I1166" s="9" t="inlineStr">
        <is>
          <t>Control</t>
        </is>
      </c>
      <c r="J1166" s="9" t="inlineStr">
        <is>
          <t>Control cable 600 V Type TC-ER, Cu #14 AWG, PVC jacket</t>
        </is>
      </c>
      <c r="K1166" s="9" t="inlineStr">
        <is>
          <t>CT|12/C|14</t>
        </is>
      </c>
      <c r="L1166" s="9" t="inlineStr">
        <is>
          <t>12/C</t>
        </is>
      </c>
      <c r="M1166" s="9" t="inlineStr">
        <is>
          <t>14</t>
        </is>
      </c>
      <c r="N1166" s="9" t="n">
        <v>1</v>
      </c>
      <c r="O1166" s="9" t="n">
        <v>1</v>
      </c>
      <c r="P1166" s="9" t="n"/>
      <c r="Q1166" s="9" t="n"/>
      <c r="R1166" s="9" t="n"/>
      <c r="S1166" s="9" t="inlineStr">
        <is>
          <t>Trench</t>
        </is>
      </c>
      <c r="T1166" s="10" t="n">
        <v>886</v>
      </c>
      <c r="U1166" s="10" t="n">
        <v>228</v>
      </c>
      <c r="V1166" s="10">
        <f>ROUNDUP((T1166+U1166+2*'Read Me'!$B$13)*(1+'Read Me'!$B$12),-1)</f>
        <v/>
      </c>
      <c r="W1166" s="10">
        <f>V1166*N1166*O1166</f>
        <v/>
      </c>
      <c r="X1166" s="9">
        <f>IF(LEFT(I1166,2)="MV",2*N1166*IF(L1166="1/C",O1166,1),0)</f>
        <v/>
      </c>
      <c r="Y1166" s="9">
        <f>IF(OR(LEFT(K1166,4)="LVAX",LEFT(K1166,6)="MV15AX",LEFT(K1166,4)="CTAX",LEFT(K1166,2)="W|"),2*N1166*O1166,0)</f>
        <v/>
      </c>
      <c r="Z1166" s="9" t="inlineStr"/>
    </row>
    <row r="1167">
      <c r="A1167" s="9" t="inlineStr">
        <is>
          <t>C-C-0046</t>
        </is>
      </c>
      <c r="B1167" s="9" t="inlineStr">
        <is>
          <t>C</t>
        </is>
      </c>
      <c r="C1167" s="9" t="inlineStr">
        <is>
          <t>Grid interface</t>
        </is>
      </c>
      <c r="D1167" s="9" t="inlineStr">
        <is>
          <t>Control</t>
        </is>
      </c>
      <c r="E1167" s="9" t="inlineStr">
        <is>
          <t>RH</t>
        </is>
      </c>
      <c r="F1167" s="9" t="inlineStr">
        <is>
          <t>RH: switchyard relay / control house (52 x 70 ft)</t>
        </is>
      </c>
      <c r="G1167" s="9" t="inlineStr">
        <is>
          <t>D3-CB1</t>
        </is>
      </c>
      <c r="H1167" s="9" t="inlineStr">
        <is>
          <t>D3 230 kV breaker 1</t>
        </is>
      </c>
      <c r="I1167" s="9" t="inlineStr">
        <is>
          <t>Control</t>
        </is>
      </c>
      <c r="J1167" s="9" t="inlineStr">
        <is>
          <t>Control cable 600 V Type TC-ER, Cu #14 AWG, PVC jacket</t>
        </is>
      </c>
      <c r="K1167" s="9" t="inlineStr">
        <is>
          <t>CT|12/C|14</t>
        </is>
      </c>
      <c r="L1167" s="9" t="inlineStr">
        <is>
          <t>12/C</t>
        </is>
      </c>
      <c r="M1167" s="9" t="inlineStr">
        <is>
          <t>14</t>
        </is>
      </c>
      <c r="N1167" s="9" t="n">
        <v>1</v>
      </c>
      <c r="O1167" s="9" t="n">
        <v>1</v>
      </c>
      <c r="P1167" s="9" t="n"/>
      <c r="Q1167" s="9" t="n"/>
      <c r="R1167" s="9" t="n"/>
      <c r="S1167" s="9" t="inlineStr">
        <is>
          <t>Trench</t>
        </is>
      </c>
      <c r="T1167" s="10" t="n">
        <v>886</v>
      </c>
      <c r="U1167" s="10" t="n">
        <v>228</v>
      </c>
      <c r="V1167" s="10">
        <f>ROUNDUP((T1167+U1167+2*'Read Me'!$B$13)*(1+'Read Me'!$B$12),-1)</f>
        <v/>
      </c>
      <c r="W1167" s="10">
        <f>V1167*N1167*O1167</f>
        <v/>
      </c>
      <c r="X1167" s="9">
        <f>IF(LEFT(I1167,2)="MV",2*N1167*IF(L1167="1/C",O1167,1),0)</f>
        <v/>
      </c>
      <c r="Y1167" s="9">
        <f>IF(OR(LEFT(K1167,4)="LVAX",LEFT(K1167,6)="MV15AX",LEFT(K1167,4)="CTAX",LEFT(K1167,2)="W|"),2*N1167*O1167,0)</f>
        <v/>
      </c>
      <c r="Z1167" s="9" t="inlineStr"/>
    </row>
    <row r="1168">
      <c r="A1168" s="9" t="inlineStr">
        <is>
          <t>C-C-0047</t>
        </is>
      </c>
      <c r="B1168" s="9" t="inlineStr">
        <is>
          <t>C</t>
        </is>
      </c>
      <c r="C1168" s="9" t="inlineStr">
        <is>
          <t>Grid interface</t>
        </is>
      </c>
      <c r="D1168" s="9" t="inlineStr">
        <is>
          <t>CT / VT</t>
        </is>
      </c>
      <c r="E1168" s="9" t="inlineStr">
        <is>
          <t>RH</t>
        </is>
      </c>
      <c r="F1168" s="9" t="inlineStr">
        <is>
          <t>RH: switchyard relay / control house (52 x 70 ft)</t>
        </is>
      </c>
      <c r="G1168" s="9" t="inlineStr">
        <is>
          <t>D3-CB1</t>
        </is>
      </c>
      <c r="H1168" s="9" t="inlineStr">
        <is>
          <t>D3 230 kV breaker 1</t>
        </is>
      </c>
      <c r="I1168" s="9" t="inlineStr">
        <is>
          <t>Control</t>
        </is>
      </c>
      <c r="J1168" s="9" t="inlineStr">
        <is>
          <t>Control cable 600 V Type TC-ER, Cu #10 AWG (CT / VT circuits)</t>
        </is>
      </c>
      <c r="K1168" s="9" t="inlineStr">
        <is>
          <t>CTCT|4/C|10</t>
        </is>
      </c>
      <c r="L1168" s="9" t="inlineStr">
        <is>
          <t>4/C</t>
        </is>
      </c>
      <c r="M1168" s="9" t="inlineStr">
        <is>
          <t>10</t>
        </is>
      </c>
      <c r="N1168" s="9" t="n">
        <v>1</v>
      </c>
      <c r="O1168" s="9" t="n">
        <v>1</v>
      </c>
      <c r="P1168" s="9" t="n"/>
      <c r="Q1168" s="9" t="n"/>
      <c r="R1168" s="9" t="n"/>
      <c r="S1168" s="9" t="inlineStr">
        <is>
          <t>Trench</t>
        </is>
      </c>
      <c r="T1168" s="10" t="n">
        <v>886</v>
      </c>
      <c r="U1168" s="10" t="n">
        <v>228</v>
      </c>
      <c r="V1168" s="10">
        <f>ROUNDUP((T1168+U1168+2*'Read Me'!$B$13)*(1+'Read Me'!$B$12),-1)</f>
        <v/>
      </c>
      <c r="W1168" s="10">
        <f>V1168*N1168*O1168</f>
        <v/>
      </c>
      <c r="X1168" s="9">
        <f>IF(LEFT(I1168,2)="MV",2*N1168*IF(L1168="1/C",O1168,1),0)</f>
        <v/>
      </c>
      <c r="Y1168" s="9">
        <f>IF(OR(LEFT(K1168,4)="LVAX",LEFT(K1168,6)="MV15AX",LEFT(K1168,4)="CTAX",LEFT(K1168,2)="W|"),2*N1168*O1168,0)</f>
        <v/>
      </c>
      <c r="Z1168" s="9" t="inlineStr"/>
    </row>
    <row r="1169">
      <c r="A1169" s="9" t="inlineStr">
        <is>
          <t>C-C-0048</t>
        </is>
      </c>
      <c r="B1169" s="9" t="inlineStr">
        <is>
          <t>C</t>
        </is>
      </c>
      <c r="C1169" s="9" t="inlineStr">
        <is>
          <t>Grid interface</t>
        </is>
      </c>
      <c r="D1169" s="9" t="inlineStr">
        <is>
          <t>CT / VT</t>
        </is>
      </c>
      <c r="E1169" s="9" t="inlineStr">
        <is>
          <t>RH</t>
        </is>
      </c>
      <c r="F1169" s="9" t="inlineStr">
        <is>
          <t>RH: switchyard relay / control house (52 x 70 ft)</t>
        </is>
      </c>
      <c r="G1169" s="9" t="inlineStr">
        <is>
          <t>D3-CB1</t>
        </is>
      </c>
      <c r="H1169" s="9" t="inlineStr">
        <is>
          <t>D3 230 kV breaker 1</t>
        </is>
      </c>
      <c r="I1169" s="9" t="inlineStr">
        <is>
          <t>Control</t>
        </is>
      </c>
      <c r="J1169" s="9" t="inlineStr">
        <is>
          <t>Control cable 600 V Type TC-ER, Cu #10 AWG (CT / VT circuits)</t>
        </is>
      </c>
      <c r="K1169" s="9" t="inlineStr">
        <is>
          <t>CTCT|4/C|10</t>
        </is>
      </c>
      <c r="L1169" s="9" t="inlineStr">
        <is>
          <t>4/C</t>
        </is>
      </c>
      <c r="M1169" s="9" t="inlineStr">
        <is>
          <t>10</t>
        </is>
      </c>
      <c r="N1169" s="9" t="n">
        <v>1</v>
      </c>
      <c r="O1169" s="9" t="n">
        <v>1</v>
      </c>
      <c r="P1169" s="9" t="n"/>
      <c r="Q1169" s="9" t="n"/>
      <c r="R1169" s="9" t="n"/>
      <c r="S1169" s="9" t="inlineStr">
        <is>
          <t>Trench</t>
        </is>
      </c>
      <c r="T1169" s="10" t="n">
        <v>886</v>
      </c>
      <c r="U1169" s="10" t="n">
        <v>228</v>
      </c>
      <c r="V1169" s="10">
        <f>ROUNDUP((T1169+U1169+2*'Read Me'!$B$13)*(1+'Read Me'!$B$12),-1)</f>
        <v/>
      </c>
      <c r="W1169" s="10">
        <f>V1169*N1169*O1169</f>
        <v/>
      </c>
      <c r="X1169" s="9">
        <f>IF(LEFT(I1169,2)="MV",2*N1169*IF(L1169="1/C",O1169,1),0)</f>
        <v/>
      </c>
      <c r="Y1169" s="9">
        <f>IF(OR(LEFT(K1169,4)="LVAX",LEFT(K1169,6)="MV15AX",LEFT(K1169,4)="CTAX",LEFT(K1169,2)="W|"),2*N1169*O1169,0)</f>
        <v/>
      </c>
      <c r="Z1169" s="9" t="inlineStr"/>
    </row>
    <row r="1170">
      <c r="A1170" s="9" t="inlineStr">
        <is>
          <t>C-C-0049</t>
        </is>
      </c>
      <c r="B1170" s="9" t="inlineStr">
        <is>
          <t>C</t>
        </is>
      </c>
      <c r="C1170" s="9" t="inlineStr">
        <is>
          <t>Grid interface</t>
        </is>
      </c>
      <c r="D1170" s="9" t="inlineStr">
        <is>
          <t>CT / VT</t>
        </is>
      </c>
      <c r="E1170" s="9" t="inlineStr">
        <is>
          <t>RH</t>
        </is>
      </c>
      <c r="F1170" s="9" t="inlineStr">
        <is>
          <t>RH: switchyard relay / control house (52 x 70 ft)</t>
        </is>
      </c>
      <c r="G1170" s="9" t="inlineStr">
        <is>
          <t>D3-CB1</t>
        </is>
      </c>
      <c r="H1170" s="9" t="inlineStr">
        <is>
          <t>D3 230 kV breaker 1</t>
        </is>
      </c>
      <c r="I1170" s="9" t="inlineStr">
        <is>
          <t>Control</t>
        </is>
      </c>
      <c r="J1170" s="9" t="inlineStr">
        <is>
          <t>Control cable 600 V Type TC-ER, Cu #10 AWG (CT / VT circuits)</t>
        </is>
      </c>
      <c r="K1170" s="9" t="inlineStr">
        <is>
          <t>CTCT|4/C|10</t>
        </is>
      </c>
      <c r="L1170" s="9" t="inlineStr">
        <is>
          <t>4/C</t>
        </is>
      </c>
      <c r="M1170" s="9" t="inlineStr">
        <is>
          <t>10</t>
        </is>
      </c>
      <c r="N1170" s="9" t="n">
        <v>1</v>
      </c>
      <c r="O1170" s="9" t="n">
        <v>1</v>
      </c>
      <c r="P1170" s="9" t="n"/>
      <c r="Q1170" s="9" t="n"/>
      <c r="R1170" s="9" t="n"/>
      <c r="S1170" s="9" t="inlineStr">
        <is>
          <t>Trench</t>
        </is>
      </c>
      <c r="T1170" s="10" t="n">
        <v>886</v>
      </c>
      <c r="U1170" s="10" t="n">
        <v>228</v>
      </c>
      <c r="V1170" s="10">
        <f>ROUNDUP((T1170+U1170+2*'Read Me'!$B$13)*(1+'Read Me'!$B$12),-1)</f>
        <v/>
      </c>
      <c r="W1170" s="10">
        <f>V1170*N1170*O1170</f>
        <v/>
      </c>
      <c r="X1170" s="9">
        <f>IF(LEFT(I1170,2)="MV",2*N1170*IF(L1170="1/C",O1170,1),0)</f>
        <v/>
      </c>
      <c r="Y1170" s="9">
        <f>IF(OR(LEFT(K1170,4)="LVAX",LEFT(K1170,6)="MV15AX",LEFT(K1170,4)="CTAX",LEFT(K1170,2)="W|"),2*N1170*O1170,0)</f>
        <v/>
      </c>
      <c r="Z1170" s="9" t="inlineStr"/>
    </row>
    <row r="1171">
      <c r="A1171" s="9" t="inlineStr">
        <is>
          <t>C-C-0050</t>
        </is>
      </c>
      <c r="B1171" s="9" t="inlineStr">
        <is>
          <t>C</t>
        </is>
      </c>
      <c r="C1171" s="9" t="inlineStr">
        <is>
          <t>Grid interface</t>
        </is>
      </c>
      <c r="D1171" s="9" t="inlineStr">
        <is>
          <t>Control</t>
        </is>
      </c>
      <c r="E1171" s="9" t="inlineStr">
        <is>
          <t>RH</t>
        </is>
      </c>
      <c r="F1171" s="9" t="inlineStr">
        <is>
          <t>RH: switchyard relay / control house (52 x 70 ft)</t>
        </is>
      </c>
      <c r="G1171" s="9" t="inlineStr">
        <is>
          <t>D3-CB2</t>
        </is>
      </c>
      <c r="H1171" s="9" t="inlineStr">
        <is>
          <t>D3 230 kV breaker 2</t>
        </is>
      </c>
      <c r="I1171" s="9" t="inlineStr">
        <is>
          <t>Control</t>
        </is>
      </c>
      <c r="J1171" s="9" t="inlineStr">
        <is>
          <t>Control cable 600 V Type TC-ER, Cu #14 AWG, PVC jacket</t>
        </is>
      </c>
      <c r="K1171" s="9" t="inlineStr">
        <is>
          <t>CT|12/C|14</t>
        </is>
      </c>
      <c r="L1171" s="9" t="inlineStr">
        <is>
          <t>12/C</t>
        </is>
      </c>
      <c r="M1171" s="9" t="inlineStr">
        <is>
          <t>14</t>
        </is>
      </c>
      <c r="N1171" s="9" t="n">
        <v>1</v>
      </c>
      <c r="O1171" s="9" t="n">
        <v>1</v>
      </c>
      <c r="P1171" s="9" t="n"/>
      <c r="Q1171" s="9" t="n"/>
      <c r="R1171" s="9" t="n"/>
      <c r="S1171" s="9" t="inlineStr">
        <is>
          <t>Trench</t>
        </is>
      </c>
      <c r="T1171" s="10" t="n">
        <v>886</v>
      </c>
      <c r="U1171" s="10" t="n">
        <v>240</v>
      </c>
      <c r="V1171" s="10">
        <f>ROUNDUP((T1171+U1171+2*'Read Me'!$B$13)*(1+'Read Me'!$B$12),-1)</f>
        <v/>
      </c>
      <c r="W1171" s="10">
        <f>V1171*N1171*O1171</f>
        <v/>
      </c>
      <c r="X1171" s="9">
        <f>IF(LEFT(I1171,2)="MV",2*N1171*IF(L1171="1/C",O1171,1),0)</f>
        <v/>
      </c>
      <c r="Y1171" s="9">
        <f>IF(OR(LEFT(K1171,4)="LVAX",LEFT(K1171,6)="MV15AX",LEFT(K1171,4)="CTAX",LEFT(K1171,2)="W|"),2*N1171*O1171,0)</f>
        <v/>
      </c>
      <c r="Z1171" s="9" t="inlineStr"/>
    </row>
    <row r="1172">
      <c r="A1172" s="9" t="inlineStr">
        <is>
          <t>C-C-0051</t>
        </is>
      </c>
      <c r="B1172" s="9" t="inlineStr">
        <is>
          <t>C</t>
        </is>
      </c>
      <c r="C1172" s="9" t="inlineStr">
        <is>
          <t>Grid interface</t>
        </is>
      </c>
      <c r="D1172" s="9" t="inlineStr">
        <is>
          <t>Control</t>
        </is>
      </c>
      <c r="E1172" s="9" t="inlineStr">
        <is>
          <t>RH</t>
        </is>
      </c>
      <c r="F1172" s="9" t="inlineStr">
        <is>
          <t>RH: switchyard relay / control house (52 x 70 ft)</t>
        </is>
      </c>
      <c r="G1172" s="9" t="inlineStr">
        <is>
          <t>D3-CB2</t>
        </is>
      </c>
      <c r="H1172" s="9" t="inlineStr">
        <is>
          <t>D3 230 kV breaker 2</t>
        </is>
      </c>
      <c r="I1172" s="9" t="inlineStr">
        <is>
          <t>Control</t>
        </is>
      </c>
      <c r="J1172" s="9" t="inlineStr">
        <is>
          <t>Control cable 600 V Type TC-ER, Cu #14 AWG, PVC jacket</t>
        </is>
      </c>
      <c r="K1172" s="9" t="inlineStr">
        <is>
          <t>CT|12/C|14</t>
        </is>
      </c>
      <c r="L1172" s="9" t="inlineStr">
        <is>
          <t>12/C</t>
        </is>
      </c>
      <c r="M1172" s="9" t="inlineStr">
        <is>
          <t>14</t>
        </is>
      </c>
      <c r="N1172" s="9" t="n">
        <v>1</v>
      </c>
      <c r="O1172" s="9" t="n">
        <v>1</v>
      </c>
      <c r="P1172" s="9" t="n"/>
      <c r="Q1172" s="9" t="n"/>
      <c r="R1172" s="9" t="n"/>
      <c r="S1172" s="9" t="inlineStr">
        <is>
          <t>Trench</t>
        </is>
      </c>
      <c r="T1172" s="10" t="n">
        <v>886</v>
      </c>
      <c r="U1172" s="10" t="n">
        <v>240</v>
      </c>
      <c r="V1172" s="10">
        <f>ROUNDUP((T1172+U1172+2*'Read Me'!$B$13)*(1+'Read Me'!$B$12),-1)</f>
        <v/>
      </c>
      <c r="W1172" s="10">
        <f>V1172*N1172*O1172</f>
        <v/>
      </c>
      <c r="X1172" s="9">
        <f>IF(LEFT(I1172,2)="MV",2*N1172*IF(L1172="1/C",O1172,1),0)</f>
        <v/>
      </c>
      <c r="Y1172" s="9">
        <f>IF(OR(LEFT(K1172,4)="LVAX",LEFT(K1172,6)="MV15AX",LEFT(K1172,4)="CTAX",LEFT(K1172,2)="W|"),2*N1172*O1172,0)</f>
        <v/>
      </c>
      <c r="Z1172" s="9" t="inlineStr"/>
    </row>
    <row r="1173">
      <c r="A1173" s="9" t="inlineStr">
        <is>
          <t>C-C-0052</t>
        </is>
      </c>
      <c r="B1173" s="9" t="inlineStr">
        <is>
          <t>C</t>
        </is>
      </c>
      <c r="C1173" s="9" t="inlineStr">
        <is>
          <t>Grid interface</t>
        </is>
      </c>
      <c r="D1173" s="9" t="inlineStr">
        <is>
          <t>Control</t>
        </is>
      </c>
      <c r="E1173" s="9" t="inlineStr">
        <is>
          <t>RH</t>
        </is>
      </c>
      <c r="F1173" s="9" t="inlineStr">
        <is>
          <t>RH: switchyard relay / control house (52 x 70 ft)</t>
        </is>
      </c>
      <c r="G1173" s="9" t="inlineStr">
        <is>
          <t>D3-CB2</t>
        </is>
      </c>
      <c r="H1173" s="9" t="inlineStr">
        <is>
          <t>D3 230 kV breaker 2</t>
        </is>
      </c>
      <c r="I1173" s="9" t="inlineStr">
        <is>
          <t>Control</t>
        </is>
      </c>
      <c r="J1173" s="9" t="inlineStr">
        <is>
          <t>Control cable 600 V Type TC-ER, Cu #14 AWG, PVC jacket</t>
        </is>
      </c>
      <c r="K1173" s="9" t="inlineStr">
        <is>
          <t>CT|12/C|14</t>
        </is>
      </c>
      <c r="L1173" s="9" t="inlineStr">
        <is>
          <t>12/C</t>
        </is>
      </c>
      <c r="M1173" s="9" t="inlineStr">
        <is>
          <t>14</t>
        </is>
      </c>
      <c r="N1173" s="9" t="n">
        <v>1</v>
      </c>
      <c r="O1173" s="9" t="n">
        <v>1</v>
      </c>
      <c r="P1173" s="9" t="n"/>
      <c r="Q1173" s="9" t="n"/>
      <c r="R1173" s="9" t="n"/>
      <c r="S1173" s="9" t="inlineStr">
        <is>
          <t>Trench</t>
        </is>
      </c>
      <c r="T1173" s="10" t="n">
        <v>886</v>
      </c>
      <c r="U1173" s="10" t="n">
        <v>240</v>
      </c>
      <c r="V1173" s="10">
        <f>ROUNDUP((T1173+U1173+2*'Read Me'!$B$13)*(1+'Read Me'!$B$12),-1)</f>
        <v/>
      </c>
      <c r="W1173" s="10">
        <f>V1173*N1173*O1173</f>
        <v/>
      </c>
      <c r="X1173" s="9">
        <f>IF(LEFT(I1173,2)="MV",2*N1173*IF(L1173="1/C",O1173,1),0)</f>
        <v/>
      </c>
      <c r="Y1173" s="9">
        <f>IF(OR(LEFT(K1173,4)="LVAX",LEFT(K1173,6)="MV15AX",LEFT(K1173,4)="CTAX",LEFT(K1173,2)="W|"),2*N1173*O1173,0)</f>
        <v/>
      </c>
      <c r="Z1173" s="9" t="inlineStr"/>
    </row>
    <row r="1174">
      <c r="A1174" s="9" t="inlineStr">
        <is>
          <t>C-C-0053</t>
        </is>
      </c>
      <c r="B1174" s="9" t="inlineStr">
        <is>
          <t>C</t>
        </is>
      </c>
      <c r="C1174" s="9" t="inlineStr">
        <is>
          <t>Grid interface</t>
        </is>
      </c>
      <c r="D1174" s="9" t="inlineStr">
        <is>
          <t>Control</t>
        </is>
      </c>
      <c r="E1174" s="9" t="inlineStr">
        <is>
          <t>RH</t>
        </is>
      </c>
      <c r="F1174" s="9" t="inlineStr">
        <is>
          <t>RH: switchyard relay / control house (52 x 70 ft)</t>
        </is>
      </c>
      <c r="G1174" s="9" t="inlineStr">
        <is>
          <t>D3-CB2</t>
        </is>
      </c>
      <c r="H1174" s="9" t="inlineStr">
        <is>
          <t>D3 230 kV breaker 2</t>
        </is>
      </c>
      <c r="I1174" s="9" t="inlineStr">
        <is>
          <t>Control</t>
        </is>
      </c>
      <c r="J1174" s="9" t="inlineStr">
        <is>
          <t>Control cable 600 V Type TC-ER, Cu #14 AWG, PVC jacket</t>
        </is>
      </c>
      <c r="K1174" s="9" t="inlineStr">
        <is>
          <t>CT|12/C|14</t>
        </is>
      </c>
      <c r="L1174" s="9" t="inlineStr">
        <is>
          <t>12/C</t>
        </is>
      </c>
      <c r="M1174" s="9" t="inlineStr">
        <is>
          <t>14</t>
        </is>
      </c>
      <c r="N1174" s="9" t="n">
        <v>1</v>
      </c>
      <c r="O1174" s="9" t="n">
        <v>1</v>
      </c>
      <c r="P1174" s="9" t="n"/>
      <c r="Q1174" s="9" t="n"/>
      <c r="R1174" s="9" t="n"/>
      <c r="S1174" s="9" t="inlineStr">
        <is>
          <t>Trench</t>
        </is>
      </c>
      <c r="T1174" s="10" t="n">
        <v>886</v>
      </c>
      <c r="U1174" s="10" t="n">
        <v>240</v>
      </c>
      <c r="V1174" s="10">
        <f>ROUNDUP((T1174+U1174+2*'Read Me'!$B$13)*(1+'Read Me'!$B$12),-1)</f>
        <v/>
      </c>
      <c r="W1174" s="10">
        <f>V1174*N1174*O1174</f>
        <v/>
      </c>
      <c r="X1174" s="9">
        <f>IF(LEFT(I1174,2)="MV",2*N1174*IF(L1174="1/C",O1174,1),0)</f>
        <v/>
      </c>
      <c r="Y1174" s="9">
        <f>IF(OR(LEFT(K1174,4)="LVAX",LEFT(K1174,6)="MV15AX",LEFT(K1174,4)="CTAX",LEFT(K1174,2)="W|"),2*N1174*O1174,0)</f>
        <v/>
      </c>
      <c r="Z1174" s="9" t="inlineStr"/>
    </row>
    <row r="1175">
      <c r="A1175" s="9" t="inlineStr">
        <is>
          <t>C-C-0054</t>
        </is>
      </c>
      <c r="B1175" s="9" t="inlineStr">
        <is>
          <t>C</t>
        </is>
      </c>
      <c r="C1175" s="9" t="inlineStr">
        <is>
          <t>Grid interface</t>
        </is>
      </c>
      <c r="D1175" s="9" t="inlineStr">
        <is>
          <t>CT / VT</t>
        </is>
      </c>
      <c r="E1175" s="9" t="inlineStr">
        <is>
          <t>RH</t>
        </is>
      </c>
      <c r="F1175" s="9" t="inlineStr">
        <is>
          <t>RH: switchyard relay / control house (52 x 70 ft)</t>
        </is>
      </c>
      <c r="G1175" s="9" t="inlineStr">
        <is>
          <t>D3-CB2</t>
        </is>
      </c>
      <c r="H1175" s="9" t="inlineStr">
        <is>
          <t>D3 230 kV breaker 2</t>
        </is>
      </c>
      <c r="I1175" s="9" t="inlineStr">
        <is>
          <t>Control</t>
        </is>
      </c>
      <c r="J1175" s="9" t="inlineStr">
        <is>
          <t>Control cable 600 V Type TC-ER, Cu #10 AWG (CT / VT circuits)</t>
        </is>
      </c>
      <c r="K1175" s="9" t="inlineStr">
        <is>
          <t>CTCT|4/C|10</t>
        </is>
      </c>
      <c r="L1175" s="9" t="inlineStr">
        <is>
          <t>4/C</t>
        </is>
      </c>
      <c r="M1175" s="9" t="inlineStr">
        <is>
          <t>10</t>
        </is>
      </c>
      <c r="N1175" s="9" t="n">
        <v>1</v>
      </c>
      <c r="O1175" s="9" t="n">
        <v>1</v>
      </c>
      <c r="P1175" s="9" t="n"/>
      <c r="Q1175" s="9" t="n"/>
      <c r="R1175" s="9" t="n"/>
      <c r="S1175" s="9" t="inlineStr">
        <is>
          <t>Trench</t>
        </is>
      </c>
      <c r="T1175" s="10" t="n">
        <v>886</v>
      </c>
      <c r="U1175" s="10" t="n">
        <v>240</v>
      </c>
      <c r="V1175" s="10">
        <f>ROUNDUP((T1175+U1175+2*'Read Me'!$B$13)*(1+'Read Me'!$B$12),-1)</f>
        <v/>
      </c>
      <c r="W1175" s="10">
        <f>V1175*N1175*O1175</f>
        <v/>
      </c>
      <c r="X1175" s="9">
        <f>IF(LEFT(I1175,2)="MV",2*N1175*IF(L1175="1/C",O1175,1),0)</f>
        <v/>
      </c>
      <c r="Y1175" s="9">
        <f>IF(OR(LEFT(K1175,4)="LVAX",LEFT(K1175,6)="MV15AX",LEFT(K1175,4)="CTAX",LEFT(K1175,2)="W|"),2*N1175*O1175,0)</f>
        <v/>
      </c>
      <c r="Z1175" s="9" t="inlineStr"/>
    </row>
    <row r="1176">
      <c r="A1176" s="9" t="inlineStr">
        <is>
          <t>C-C-0055</t>
        </is>
      </c>
      <c r="B1176" s="9" t="inlineStr">
        <is>
          <t>C</t>
        </is>
      </c>
      <c r="C1176" s="9" t="inlineStr">
        <is>
          <t>Grid interface</t>
        </is>
      </c>
      <c r="D1176" s="9" t="inlineStr">
        <is>
          <t>CT / VT</t>
        </is>
      </c>
      <c r="E1176" s="9" t="inlineStr">
        <is>
          <t>RH</t>
        </is>
      </c>
      <c r="F1176" s="9" t="inlineStr">
        <is>
          <t>RH: switchyard relay / control house (52 x 70 ft)</t>
        </is>
      </c>
      <c r="G1176" s="9" t="inlineStr">
        <is>
          <t>D3-CB2</t>
        </is>
      </c>
      <c r="H1176" s="9" t="inlineStr">
        <is>
          <t>D3 230 kV breaker 2</t>
        </is>
      </c>
      <c r="I1176" s="9" t="inlineStr">
        <is>
          <t>Control</t>
        </is>
      </c>
      <c r="J1176" s="9" t="inlineStr">
        <is>
          <t>Control cable 600 V Type TC-ER, Cu #10 AWG (CT / VT circuits)</t>
        </is>
      </c>
      <c r="K1176" s="9" t="inlineStr">
        <is>
          <t>CTCT|4/C|10</t>
        </is>
      </c>
      <c r="L1176" s="9" t="inlineStr">
        <is>
          <t>4/C</t>
        </is>
      </c>
      <c r="M1176" s="9" t="inlineStr">
        <is>
          <t>10</t>
        </is>
      </c>
      <c r="N1176" s="9" t="n">
        <v>1</v>
      </c>
      <c r="O1176" s="9" t="n">
        <v>1</v>
      </c>
      <c r="P1176" s="9" t="n"/>
      <c r="Q1176" s="9" t="n"/>
      <c r="R1176" s="9" t="n"/>
      <c r="S1176" s="9" t="inlineStr">
        <is>
          <t>Trench</t>
        </is>
      </c>
      <c r="T1176" s="10" t="n">
        <v>886</v>
      </c>
      <c r="U1176" s="10" t="n">
        <v>240</v>
      </c>
      <c r="V1176" s="10">
        <f>ROUNDUP((T1176+U1176+2*'Read Me'!$B$13)*(1+'Read Me'!$B$12),-1)</f>
        <v/>
      </c>
      <c r="W1176" s="10">
        <f>V1176*N1176*O1176</f>
        <v/>
      </c>
      <c r="X1176" s="9">
        <f>IF(LEFT(I1176,2)="MV",2*N1176*IF(L1176="1/C",O1176,1),0)</f>
        <v/>
      </c>
      <c r="Y1176" s="9">
        <f>IF(OR(LEFT(K1176,4)="LVAX",LEFT(K1176,6)="MV15AX",LEFT(K1176,4)="CTAX",LEFT(K1176,2)="W|"),2*N1176*O1176,0)</f>
        <v/>
      </c>
      <c r="Z1176" s="9" t="inlineStr"/>
    </row>
    <row r="1177">
      <c r="A1177" s="9" t="inlineStr">
        <is>
          <t>C-C-0056</t>
        </is>
      </c>
      <c r="B1177" s="9" t="inlineStr">
        <is>
          <t>C</t>
        </is>
      </c>
      <c r="C1177" s="9" t="inlineStr">
        <is>
          <t>Grid interface</t>
        </is>
      </c>
      <c r="D1177" s="9" t="inlineStr">
        <is>
          <t>CT / VT</t>
        </is>
      </c>
      <c r="E1177" s="9" t="inlineStr">
        <is>
          <t>RH</t>
        </is>
      </c>
      <c r="F1177" s="9" t="inlineStr">
        <is>
          <t>RH: switchyard relay / control house (52 x 70 ft)</t>
        </is>
      </c>
      <c r="G1177" s="9" t="inlineStr">
        <is>
          <t>D3-CB2</t>
        </is>
      </c>
      <c r="H1177" s="9" t="inlineStr">
        <is>
          <t>D3 230 kV breaker 2</t>
        </is>
      </c>
      <c r="I1177" s="9" t="inlineStr">
        <is>
          <t>Control</t>
        </is>
      </c>
      <c r="J1177" s="9" t="inlineStr">
        <is>
          <t>Control cable 600 V Type TC-ER, Cu #10 AWG (CT / VT circuits)</t>
        </is>
      </c>
      <c r="K1177" s="9" t="inlineStr">
        <is>
          <t>CTCT|4/C|10</t>
        </is>
      </c>
      <c r="L1177" s="9" t="inlineStr">
        <is>
          <t>4/C</t>
        </is>
      </c>
      <c r="M1177" s="9" t="inlineStr">
        <is>
          <t>10</t>
        </is>
      </c>
      <c r="N1177" s="9" t="n">
        <v>1</v>
      </c>
      <c r="O1177" s="9" t="n">
        <v>1</v>
      </c>
      <c r="P1177" s="9" t="n"/>
      <c r="Q1177" s="9" t="n"/>
      <c r="R1177" s="9" t="n"/>
      <c r="S1177" s="9" t="inlineStr">
        <is>
          <t>Trench</t>
        </is>
      </c>
      <c r="T1177" s="10" t="n">
        <v>886</v>
      </c>
      <c r="U1177" s="10" t="n">
        <v>240</v>
      </c>
      <c r="V1177" s="10">
        <f>ROUNDUP((T1177+U1177+2*'Read Me'!$B$13)*(1+'Read Me'!$B$12),-1)</f>
        <v/>
      </c>
      <c r="W1177" s="10">
        <f>V1177*N1177*O1177</f>
        <v/>
      </c>
      <c r="X1177" s="9">
        <f>IF(LEFT(I1177,2)="MV",2*N1177*IF(L1177="1/C",O1177,1),0)</f>
        <v/>
      </c>
      <c r="Y1177" s="9">
        <f>IF(OR(LEFT(K1177,4)="LVAX",LEFT(K1177,6)="MV15AX",LEFT(K1177,4)="CTAX",LEFT(K1177,2)="W|"),2*N1177*O1177,0)</f>
        <v/>
      </c>
      <c r="Z1177" s="9" t="inlineStr"/>
    </row>
    <row r="1178">
      <c r="A1178" s="9" t="inlineStr">
        <is>
          <t>C-C-0057</t>
        </is>
      </c>
      <c r="B1178" s="9" t="inlineStr">
        <is>
          <t>C</t>
        </is>
      </c>
      <c r="C1178" s="9" t="inlineStr">
        <is>
          <t>Grid interface</t>
        </is>
      </c>
      <c r="D1178" s="9" t="inlineStr">
        <is>
          <t>Control</t>
        </is>
      </c>
      <c r="E1178" s="9" t="inlineStr">
        <is>
          <t>RH</t>
        </is>
      </c>
      <c r="F1178" s="9" t="inlineStr">
        <is>
          <t>RH: switchyard relay / control house (52 x 70 ft)</t>
        </is>
      </c>
      <c r="G1178" s="9" t="inlineStr">
        <is>
          <t>D3-CB3</t>
        </is>
      </c>
      <c r="H1178" s="9" t="inlineStr">
        <is>
          <t>D3 230 kV breaker 3</t>
        </is>
      </c>
      <c r="I1178" s="9" t="inlineStr">
        <is>
          <t>Control</t>
        </is>
      </c>
      <c r="J1178" s="9" t="inlineStr">
        <is>
          <t>Control cable 600 V Type TC-ER, Cu #14 AWG, PVC jacket</t>
        </is>
      </c>
      <c r="K1178" s="9" t="inlineStr">
        <is>
          <t>CT|12/C|14</t>
        </is>
      </c>
      <c r="L1178" s="9" t="inlineStr">
        <is>
          <t>12/C</t>
        </is>
      </c>
      <c r="M1178" s="9" t="inlineStr">
        <is>
          <t>14</t>
        </is>
      </c>
      <c r="N1178" s="9" t="n">
        <v>1</v>
      </c>
      <c r="O1178" s="9" t="n">
        <v>1</v>
      </c>
      <c r="P1178" s="9" t="n"/>
      <c r="Q1178" s="9" t="n"/>
      <c r="R1178" s="9" t="n"/>
      <c r="S1178" s="9" t="inlineStr">
        <is>
          <t>Duct bank</t>
        </is>
      </c>
      <c r="T1178" s="10" t="n">
        <v>1349</v>
      </c>
      <c r="U1178" s="10" t="n">
        <v>203</v>
      </c>
      <c r="V1178" s="10">
        <f>ROUNDUP((T1178+U1178+2*'Read Me'!$B$13)*(1+'Read Me'!$B$12),-1)</f>
        <v/>
      </c>
      <c r="W1178" s="10">
        <f>V1178*N1178*O1178</f>
        <v/>
      </c>
      <c r="X1178" s="9">
        <f>IF(LEFT(I1178,2)="MV",2*N1178*IF(L1178="1/C",O1178,1),0)</f>
        <v/>
      </c>
      <c r="Y1178" s="9">
        <f>IF(OR(LEFT(K1178,4)="LVAX",LEFT(K1178,6)="MV15AX",LEFT(K1178,4)="CTAX",LEFT(K1178,2)="W|"),2*N1178*O1178,0)</f>
        <v/>
      </c>
      <c r="Z1178" s="9" t="inlineStr"/>
    </row>
    <row r="1179">
      <c r="A1179" s="9" t="inlineStr">
        <is>
          <t>C-C-0058</t>
        </is>
      </c>
      <c r="B1179" s="9" t="inlineStr">
        <is>
          <t>C</t>
        </is>
      </c>
      <c r="C1179" s="9" t="inlineStr">
        <is>
          <t>Grid interface</t>
        </is>
      </c>
      <c r="D1179" s="9" t="inlineStr">
        <is>
          <t>Control</t>
        </is>
      </c>
      <c r="E1179" s="9" t="inlineStr">
        <is>
          <t>RH</t>
        </is>
      </c>
      <c r="F1179" s="9" t="inlineStr">
        <is>
          <t>RH: switchyard relay / control house (52 x 70 ft)</t>
        </is>
      </c>
      <c r="G1179" s="9" t="inlineStr">
        <is>
          <t>D3-CB3</t>
        </is>
      </c>
      <c r="H1179" s="9" t="inlineStr">
        <is>
          <t>D3 230 kV breaker 3</t>
        </is>
      </c>
      <c r="I1179" s="9" t="inlineStr">
        <is>
          <t>Control</t>
        </is>
      </c>
      <c r="J1179" s="9" t="inlineStr">
        <is>
          <t>Control cable 600 V Type TC-ER, Cu #14 AWG, PVC jacket</t>
        </is>
      </c>
      <c r="K1179" s="9" t="inlineStr">
        <is>
          <t>CT|12/C|14</t>
        </is>
      </c>
      <c r="L1179" s="9" t="inlineStr">
        <is>
          <t>12/C</t>
        </is>
      </c>
      <c r="M1179" s="9" t="inlineStr">
        <is>
          <t>14</t>
        </is>
      </c>
      <c r="N1179" s="9" t="n">
        <v>1</v>
      </c>
      <c r="O1179" s="9" t="n">
        <v>1</v>
      </c>
      <c r="P1179" s="9" t="n"/>
      <c r="Q1179" s="9" t="n"/>
      <c r="R1179" s="9" t="n"/>
      <c r="S1179" s="9" t="inlineStr">
        <is>
          <t>Duct bank</t>
        </is>
      </c>
      <c r="T1179" s="10" t="n">
        <v>1349</v>
      </c>
      <c r="U1179" s="10" t="n">
        <v>203</v>
      </c>
      <c r="V1179" s="10">
        <f>ROUNDUP((T1179+U1179+2*'Read Me'!$B$13)*(1+'Read Me'!$B$12),-1)</f>
        <v/>
      </c>
      <c r="W1179" s="10">
        <f>V1179*N1179*O1179</f>
        <v/>
      </c>
      <c r="X1179" s="9">
        <f>IF(LEFT(I1179,2)="MV",2*N1179*IF(L1179="1/C",O1179,1),0)</f>
        <v/>
      </c>
      <c r="Y1179" s="9">
        <f>IF(OR(LEFT(K1179,4)="LVAX",LEFT(K1179,6)="MV15AX",LEFT(K1179,4)="CTAX",LEFT(K1179,2)="W|"),2*N1179*O1179,0)</f>
        <v/>
      </c>
      <c r="Z1179" s="9" t="inlineStr"/>
    </row>
    <row r="1180">
      <c r="A1180" s="9" t="inlineStr">
        <is>
          <t>C-C-0059</t>
        </is>
      </c>
      <c r="B1180" s="9" t="inlineStr">
        <is>
          <t>C</t>
        </is>
      </c>
      <c r="C1180" s="9" t="inlineStr">
        <is>
          <t>Grid interface</t>
        </is>
      </c>
      <c r="D1180" s="9" t="inlineStr">
        <is>
          <t>Control</t>
        </is>
      </c>
      <c r="E1180" s="9" t="inlineStr">
        <is>
          <t>RH</t>
        </is>
      </c>
      <c r="F1180" s="9" t="inlineStr">
        <is>
          <t>RH: switchyard relay / control house (52 x 70 ft)</t>
        </is>
      </c>
      <c r="G1180" s="9" t="inlineStr">
        <is>
          <t>D3-CB3</t>
        </is>
      </c>
      <c r="H1180" s="9" t="inlineStr">
        <is>
          <t>D3 230 kV breaker 3</t>
        </is>
      </c>
      <c r="I1180" s="9" t="inlineStr">
        <is>
          <t>Control</t>
        </is>
      </c>
      <c r="J1180" s="9" t="inlineStr">
        <is>
          <t>Control cable 600 V Type TC-ER, Cu #14 AWG, PVC jacket</t>
        </is>
      </c>
      <c r="K1180" s="9" t="inlineStr">
        <is>
          <t>CT|12/C|14</t>
        </is>
      </c>
      <c r="L1180" s="9" t="inlineStr">
        <is>
          <t>12/C</t>
        </is>
      </c>
      <c r="M1180" s="9" t="inlineStr">
        <is>
          <t>14</t>
        </is>
      </c>
      <c r="N1180" s="9" t="n">
        <v>1</v>
      </c>
      <c r="O1180" s="9" t="n">
        <v>1</v>
      </c>
      <c r="P1180" s="9" t="n"/>
      <c r="Q1180" s="9" t="n"/>
      <c r="R1180" s="9" t="n"/>
      <c r="S1180" s="9" t="inlineStr">
        <is>
          <t>Duct bank</t>
        </is>
      </c>
      <c r="T1180" s="10" t="n">
        <v>1349</v>
      </c>
      <c r="U1180" s="10" t="n">
        <v>203</v>
      </c>
      <c r="V1180" s="10">
        <f>ROUNDUP((T1180+U1180+2*'Read Me'!$B$13)*(1+'Read Me'!$B$12),-1)</f>
        <v/>
      </c>
      <c r="W1180" s="10">
        <f>V1180*N1180*O1180</f>
        <v/>
      </c>
      <c r="X1180" s="9">
        <f>IF(LEFT(I1180,2)="MV",2*N1180*IF(L1180="1/C",O1180,1),0)</f>
        <v/>
      </c>
      <c r="Y1180" s="9">
        <f>IF(OR(LEFT(K1180,4)="LVAX",LEFT(K1180,6)="MV15AX",LEFT(K1180,4)="CTAX",LEFT(K1180,2)="W|"),2*N1180*O1180,0)</f>
        <v/>
      </c>
      <c r="Z1180" s="9" t="inlineStr"/>
    </row>
    <row r="1181">
      <c r="A1181" s="9" t="inlineStr">
        <is>
          <t>C-C-0060</t>
        </is>
      </c>
      <c r="B1181" s="9" t="inlineStr">
        <is>
          <t>C</t>
        </is>
      </c>
      <c r="C1181" s="9" t="inlineStr">
        <is>
          <t>Grid interface</t>
        </is>
      </c>
      <c r="D1181" s="9" t="inlineStr">
        <is>
          <t>Control</t>
        </is>
      </c>
      <c r="E1181" s="9" t="inlineStr">
        <is>
          <t>RH</t>
        </is>
      </c>
      <c r="F1181" s="9" t="inlineStr">
        <is>
          <t>RH: switchyard relay / control house (52 x 70 ft)</t>
        </is>
      </c>
      <c r="G1181" s="9" t="inlineStr">
        <is>
          <t>D3-CB3</t>
        </is>
      </c>
      <c r="H1181" s="9" t="inlineStr">
        <is>
          <t>D3 230 kV breaker 3</t>
        </is>
      </c>
      <c r="I1181" s="9" t="inlineStr">
        <is>
          <t>Control</t>
        </is>
      </c>
      <c r="J1181" s="9" t="inlineStr">
        <is>
          <t>Control cable 600 V Type TC-ER, Cu #14 AWG, PVC jacket</t>
        </is>
      </c>
      <c r="K1181" s="9" t="inlineStr">
        <is>
          <t>CT|12/C|14</t>
        </is>
      </c>
      <c r="L1181" s="9" t="inlineStr">
        <is>
          <t>12/C</t>
        </is>
      </c>
      <c r="M1181" s="9" t="inlineStr">
        <is>
          <t>14</t>
        </is>
      </c>
      <c r="N1181" s="9" t="n">
        <v>1</v>
      </c>
      <c r="O1181" s="9" t="n">
        <v>1</v>
      </c>
      <c r="P1181" s="9" t="n"/>
      <c r="Q1181" s="9" t="n"/>
      <c r="R1181" s="9" t="n"/>
      <c r="S1181" s="9" t="inlineStr">
        <is>
          <t>Duct bank</t>
        </is>
      </c>
      <c r="T1181" s="10" t="n">
        <v>1349</v>
      </c>
      <c r="U1181" s="10" t="n">
        <v>203</v>
      </c>
      <c r="V1181" s="10">
        <f>ROUNDUP((T1181+U1181+2*'Read Me'!$B$13)*(1+'Read Me'!$B$12),-1)</f>
        <v/>
      </c>
      <c r="W1181" s="10">
        <f>V1181*N1181*O1181</f>
        <v/>
      </c>
      <c r="X1181" s="9">
        <f>IF(LEFT(I1181,2)="MV",2*N1181*IF(L1181="1/C",O1181,1),0)</f>
        <v/>
      </c>
      <c r="Y1181" s="9">
        <f>IF(OR(LEFT(K1181,4)="LVAX",LEFT(K1181,6)="MV15AX",LEFT(K1181,4)="CTAX",LEFT(K1181,2)="W|"),2*N1181*O1181,0)</f>
        <v/>
      </c>
      <c r="Z1181" s="9" t="inlineStr"/>
    </row>
    <row r="1182">
      <c r="A1182" s="9" t="inlineStr">
        <is>
          <t>C-C-0061</t>
        </is>
      </c>
      <c r="B1182" s="9" t="inlineStr">
        <is>
          <t>C</t>
        </is>
      </c>
      <c r="C1182" s="9" t="inlineStr">
        <is>
          <t>Grid interface</t>
        </is>
      </c>
      <c r="D1182" s="9" t="inlineStr">
        <is>
          <t>CT / VT</t>
        </is>
      </c>
      <c r="E1182" s="9" t="inlineStr">
        <is>
          <t>RH</t>
        </is>
      </c>
      <c r="F1182" s="9" t="inlineStr">
        <is>
          <t>RH: switchyard relay / control house (52 x 70 ft)</t>
        </is>
      </c>
      <c r="G1182" s="9" t="inlineStr">
        <is>
          <t>D3-CB3</t>
        </is>
      </c>
      <c r="H1182" s="9" t="inlineStr">
        <is>
          <t>D3 230 kV breaker 3</t>
        </is>
      </c>
      <c r="I1182" s="9" t="inlineStr">
        <is>
          <t>Control</t>
        </is>
      </c>
      <c r="J1182" s="9" t="inlineStr">
        <is>
          <t>Control cable 600 V Type TC-ER, Cu #10 AWG (CT / VT circuits)</t>
        </is>
      </c>
      <c r="K1182" s="9" t="inlineStr">
        <is>
          <t>CTCT|4/C|10</t>
        </is>
      </c>
      <c r="L1182" s="9" t="inlineStr">
        <is>
          <t>4/C</t>
        </is>
      </c>
      <c r="M1182" s="9" t="inlineStr">
        <is>
          <t>10</t>
        </is>
      </c>
      <c r="N1182" s="9" t="n">
        <v>1</v>
      </c>
      <c r="O1182" s="9" t="n">
        <v>1</v>
      </c>
      <c r="P1182" s="9" t="n"/>
      <c r="Q1182" s="9" t="n"/>
      <c r="R1182" s="9" t="n"/>
      <c r="S1182" s="9" t="inlineStr">
        <is>
          <t>Duct bank</t>
        </is>
      </c>
      <c r="T1182" s="10" t="n">
        <v>1349</v>
      </c>
      <c r="U1182" s="10" t="n">
        <v>203</v>
      </c>
      <c r="V1182" s="10">
        <f>ROUNDUP((T1182+U1182+2*'Read Me'!$B$13)*(1+'Read Me'!$B$12),-1)</f>
        <v/>
      </c>
      <c r="W1182" s="10">
        <f>V1182*N1182*O1182</f>
        <v/>
      </c>
      <c r="X1182" s="9">
        <f>IF(LEFT(I1182,2)="MV",2*N1182*IF(L1182="1/C",O1182,1),0)</f>
        <v/>
      </c>
      <c r="Y1182" s="9">
        <f>IF(OR(LEFT(K1182,4)="LVAX",LEFT(K1182,6)="MV15AX",LEFT(K1182,4)="CTAX",LEFT(K1182,2)="W|"),2*N1182*O1182,0)</f>
        <v/>
      </c>
      <c r="Z1182" s="9" t="inlineStr"/>
    </row>
    <row r="1183">
      <c r="A1183" s="9" t="inlineStr">
        <is>
          <t>C-C-0062</t>
        </is>
      </c>
      <c r="B1183" s="9" t="inlineStr">
        <is>
          <t>C</t>
        </is>
      </c>
      <c r="C1183" s="9" t="inlineStr">
        <is>
          <t>Grid interface</t>
        </is>
      </c>
      <c r="D1183" s="9" t="inlineStr">
        <is>
          <t>CT / VT</t>
        </is>
      </c>
      <c r="E1183" s="9" t="inlineStr">
        <is>
          <t>RH</t>
        </is>
      </c>
      <c r="F1183" s="9" t="inlineStr">
        <is>
          <t>RH: switchyard relay / control house (52 x 70 ft)</t>
        </is>
      </c>
      <c r="G1183" s="9" t="inlineStr">
        <is>
          <t>D3-CB3</t>
        </is>
      </c>
      <c r="H1183" s="9" t="inlineStr">
        <is>
          <t>D3 230 kV breaker 3</t>
        </is>
      </c>
      <c r="I1183" s="9" t="inlineStr">
        <is>
          <t>Control</t>
        </is>
      </c>
      <c r="J1183" s="9" t="inlineStr">
        <is>
          <t>Control cable 600 V Type TC-ER, Cu #10 AWG (CT / VT circuits)</t>
        </is>
      </c>
      <c r="K1183" s="9" t="inlineStr">
        <is>
          <t>CTCT|4/C|10</t>
        </is>
      </c>
      <c r="L1183" s="9" t="inlineStr">
        <is>
          <t>4/C</t>
        </is>
      </c>
      <c r="M1183" s="9" t="inlineStr">
        <is>
          <t>10</t>
        </is>
      </c>
      <c r="N1183" s="9" t="n">
        <v>1</v>
      </c>
      <c r="O1183" s="9" t="n">
        <v>1</v>
      </c>
      <c r="P1183" s="9" t="n"/>
      <c r="Q1183" s="9" t="n"/>
      <c r="R1183" s="9" t="n"/>
      <c r="S1183" s="9" t="inlineStr">
        <is>
          <t>Duct bank</t>
        </is>
      </c>
      <c r="T1183" s="10" t="n">
        <v>1349</v>
      </c>
      <c r="U1183" s="10" t="n">
        <v>203</v>
      </c>
      <c r="V1183" s="10">
        <f>ROUNDUP((T1183+U1183+2*'Read Me'!$B$13)*(1+'Read Me'!$B$12),-1)</f>
        <v/>
      </c>
      <c r="W1183" s="10">
        <f>V1183*N1183*O1183</f>
        <v/>
      </c>
      <c r="X1183" s="9">
        <f>IF(LEFT(I1183,2)="MV",2*N1183*IF(L1183="1/C",O1183,1),0)</f>
        <v/>
      </c>
      <c r="Y1183" s="9">
        <f>IF(OR(LEFT(K1183,4)="LVAX",LEFT(K1183,6)="MV15AX",LEFT(K1183,4)="CTAX",LEFT(K1183,2)="W|"),2*N1183*O1183,0)</f>
        <v/>
      </c>
      <c r="Z1183" s="9" t="inlineStr"/>
    </row>
    <row r="1184">
      <c r="A1184" s="9" t="inlineStr">
        <is>
          <t>C-C-0063</t>
        </is>
      </c>
      <c r="B1184" s="9" t="inlineStr">
        <is>
          <t>C</t>
        </is>
      </c>
      <c r="C1184" s="9" t="inlineStr">
        <is>
          <t>Grid interface</t>
        </is>
      </c>
      <c r="D1184" s="9" t="inlineStr">
        <is>
          <t>CT / VT</t>
        </is>
      </c>
      <c r="E1184" s="9" t="inlineStr">
        <is>
          <t>RH</t>
        </is>
      </c>
      <c r="F1184" s="9" t="inlineStr">
        <is>
          <t>RH: switchyard relay / control house (52 x 70 ft)</t>
        </is>
      </c>
      <c r="G1184" s="9" t="inlineStr">
        <is>
          <t>D3-CB3</t>
        </is>
      </c>
      <c r="H1184" s="9" t="inlineStr">
        <is>
          <t>D3 230 kV breaker 3</t>
        </is>
      </c>
      <c r="I1184" s="9" t="inlineStr">
        <is>
          <t>Control</t>
        </is>
      </c>
      <c r="J1184" s="9" t="inlineStr">
        <is>
          <t>Control cable 600 V Type TC-ER, Cu #10 AWG (CT / VT circuits)</t>
        </is>
      </c>
      <c r="K1184" s="9" t="inlineStr">
        <is>
          <t>CTCT|4/C|10</t>
        </is>
      </c>
      <c r="L1184" s="9" t="inlineStr">
        <is>
          <t>4/C</t>
        </is>
      </c>
      <c r="M1184" s="9" t="inlineStr">
        <is>
          <t>10</t>
        </is>
      </c>
      <c r="N1184" s="9" t="n">
        <v>1</v>
      </c>
      <c r="O1184" s="9" t="n">
        <v>1</v>
      </c>
      <c r="P1184" s="9" t="n"/>
      <c r="Q1184" s="9" t="n"/>
      <c r="R1184" s="9" t="n"/>
      <c r="S1184" s="9" t="inlineStr">
        <is>
          <t>Duct bank</t>
        </is>
      </c>
      <c r="T1184" s="10" t="n">
        <v>1349</v>
      </c>
      <c r="U1184" s="10" t="n">
        <v>203</v>
      </c>
      <c r="V1184" s="10">
        <f>ROUNDUP((T1184+U1184+2*'Read Me'!$B$13)*(1+'Read Me'!$B$12),-1)</f>
        <v/>
      </c>
      <c r="W1184" s="10">
        <f>V1184*N1184*O1184</f>
        <v/>
      </c>
      <c r="X1184" s="9">
        <f>IF(LEFT(I1184,2)="MV",2*N1184*IF(L1184="1/C",O1184,1),0)</f>
        <v/>
      </c>
      <c r="Y1184" s="9">
        <f>IF(OR(LEFT(K1184,4)="LVAX",LEFT(K1184,6)="MV15AX",LEFT(K1184,4)="CTAX",LEFT(K1184,2)="W|"),2*N1184*O1184,0)</f>
        <v/>
      </c>
      <c r="Z1184" s="9" t="inlineStr"/>
    </row>
    <row r="1185">
      <c r="A1185" s="9" t="inlineStr">
        <is>
          <t>C-C-0064</t>
        </is>
      </c>
      <c r="B1185" s="9" t="inlineStr">
        <is>
          <t>C</t>
        </is>
      </c>
      <c r="C1185" s="9" t="inlineStr">
        <is>
          <t>Grid interface</t>
        </is>
      </c>
      <c r="D1185" s="9" t="inlineStr">
        <is>
          <t>Control</t>
        </is>
      </c>
      <c r="E1185" s="9" t="inlineStr">
        <is>
          <t>RH</t>
        </is>
      </c>
      <c r="F1185" s="9" t="inlineStr">
        <is>
          <t>RH: switchyard relay / control house (52 x 70 ft)</t>
        </is>
      </c>
      <c r="G1185" s="9" t="inlineStr">
        <is>
          <t>D4-CB1</t>
        </is>
      </c>
      <c r="H1185" s="9" t="inlineStr">
        <is>
          <t>D4 230 kV breaker 1 (build-out)</t>
        </is>
      </c>
      <c r="I1185" s="9" t="inlineStr">
        <is>
          <t>Control</t>
        </is>
      </c>
      <c r="J1185" s="9" t="inlineStr">
        <is>
          <t>Control cable 600 V Type TC-ER, Cu #14 AWG, PVC jacket</t>
        </is>
      </c>
      <c r="K1185" s="9" t="inlineStr">
        <is>
          <t>CT|12/C|14</t>
        </is>
      </c>
      <c r="L1185" s="9" t="inlineStr">
        <is>
          <t>12/C</t>
        </is>
      </c>
      <c r="M1185" s="9" t="inlineStr">
        <is>
          <t>14</t>
        </is>
      </c>
      <c r="N1185" s="9" t="n">
        <v>1</v>
      </c>
      <c r="O1185" s="9" t="n">
        <v>1</v>
      </c>
      <c r="P1185" s="9" t="n"/>
      <c r="Q1185" s="9" t="n"/>
      <c r="R1185" s="9" t="n"/>
      <c r="S1185" s="9" t="inlineStr">
        <is>
          <t>Estimated</t>
        </is>
      </c>
      <c r="T1185" s="10" t="n">
        <v>1361</v>
      </c>
      <c r="U1185" s="10" t="n">
        <v>40</v>
      </c>
      <c r="V1185" s="10">
        <f>ROUNDUP((T1185+U1185+2*'Read Me'!$B$13)*(1+'Read Me'!$B$12),-1)</f>
        <v/>
      </c>
      <c r="W1185" s="10">
        <f>V1185*N1185*O1185</f>
        <v/>
      </c>
      <c r="X1185" s="9">
        <f>IF(LEFT(I1185,2)="MV",2*N1185*IF(L1185="1/C",O1185,1),0)</f>
        <v/>
      </c>
      <c r="Y1185" s="9">
        <f>IF(OR(LEFT(K1185,4)="LVAX",LEFT(K1185,6)="MV15AX",LEFT(K1185,4)="CTAX",LEFT(K1185,2)="W|"),2*N1185*O1185,0)</f>
        <v/>
      </c>
      <c r="Z1185" s="9" t="inlineStr"/>
    </row>
    <row r="1186">
      <c r="A1186" s="9" t="inlineStr">
        <is>
          <t>C-C-0065</t>
        </is>
      </c>
      <c r="B1186" s="9" t="inlineStr">
        <is>
          <t>C</t>
        </is>
      </c>
      <c r="C1186" s="9" t="inlineStr">
        <is>
          <t>Grid interface</t>
        </is>
      </c>
      <c r="D1186" s="9" t="inlineStr">
        <is>
          <t>Control</t>
        </is>
      </c>
      <c r="E1186" s="9" t="inlineStr">
        <is>
          <t>RH</t>
        </is>
      </c>
      <c r="F1186" s="9" t="inlineStr">
        <is>
          <t>RH: switchyard relay / control house (52 x 70 ft)</t>
        </is>
      </c>
      <c r="G1186" s="9" t="inlineStr">
        <is>
          <t>D4-CB1</t>
        </is>
      </c>
      <c r="H1186" s="9" t="inlineStr">
        <is>
          <t>D4 230 kV breaker 1 (build-out)</t>
        </is>
      </c>
      <c r="I1186" s="9" t="inlineStr">
        <is>
          <t>Control</t>
        </is>
      </c>
      <c r="J1186" s="9" t="inlineStr">
        <is>
          <t>Control cable 600 V Type TC-ER, Cu #14 AWG, PVC jacket</t>
        </is>
      </c>
      <c r="K1186" s="9" t="inlineStr">
        <is>
          <t>CT|12/C|14</t>
        </is>
      </c>
      <c r="L1186" s="9" t="inlineStr">
        <is>
          <t>12/C</t>
        </is>
      </c>
      <c r="M1186" s="9" t="inlineStr">
        <is>
          <t>14</t>
        </is>
      </c>
      <c r="N1186" s="9" t="n">
        <v>1</v>
      </c>
      <c r="O1186" s="9" t="n">
        <v>1</v>
      </c>
      <c r="P1186" s="9" t="n"/>
      <c r="Q1186" s="9" t="n"/>
      <c r="R1186" s="9" t="n"/>
      <c r="S1186" s="9" t="inlineStr">
        <is>
          <t>Estimated</t>
        </is>
      </c>
      <c r="T1186" s="10" t="n">
        <v>1361</v>
      </c>
      <c r="U1186" s="10" t="n">
        <v>40</v>
      </c>
      <c r="V1186" s="10">
        <f>ROUNDUP((T1186+U1186+2*'Read Me'!$B$13)*(1+'Read Me'!$B$12),-1)</f>
        <v/>
      </c>
      <c r="W1186" s="10">
        <f>V1186*N1186*O1186</f>
        <v/>
      </c>
      <c r="X1186" s="9">
        <f>IF(LEFT(I1186,2)="MV",2*N1186*IF(L1186="1/C",O1186,1),0)</f>
        <v/>
      </c>
      <c r="Y1186" s="9">
        <f>IF(OR(LEFT(K1186,4)="LVAX",LEFT(K1186,6)="MV15AX",LEFT(K1186,4)="CTAX",LEFT(K1186,2)="W|"),2*N1186*O1186,0)</f>
        <v/>
      </c>
      <c r="Z1186" s="9" t="inlineStr"/>
    </row>
    <row r="1187">
      <c r="A1187" s="9" t="inlineStr">
        <is>
          <t>C-C-0066</t>
        </is>
      </c>
      <c r="B1187" s="9" t="inlineStr">
        <is>
          <t>C</t>
        </is>
      </c>
      <c r="C1187" s="9" t="inlineStr">
        <is>
          <t>Grid interface</t>
        </is>
      </c>
      <c r="D1187" s="9" t="inlineStr">
        <is>
          <t>Control</t>
        </is>
      </c>
      <c r="E1187" s="9" t="inlineStr">
        <is>
          <t>RH</t>
        </is>
      </c>
      <c r="F1187" s="9" t="inlineStr">
        <is>
          <t>RH: switchyard relay / control house (52 x 70 ft)</t>
        </is>
      </c>
      <c r="G1187" s="9" t="inlineStr">
        <is>
          <t>D4-CB1</t>
        </is>
      </c>
      <c r="H1187" s="9" t="inlineStr">
        <is>
          <t>D4 230 kV breaker 1 (build-out)</t>
        </is>
      </c>
      <c r="I1187" s="9" t="inlineStr">
        <is>
          <t>Control</t>
        </is>
      </c>
      <c r="J1187" s="9" t="inlineStr">
        <is>
          <t>Control cable 600 V Type TC-ER, Cu #14 AWG, PVC jacket</t>
        </is>
      </c>
      <c r="K1187" s="9" t="inlineStr">
        <is>
          <t>CT|12/C|14</t>
        </is>
      </c>
      <c r="L1187" s="9" t="inlineStr">
        <is>
          <t>12/C</t>
        </is>
      </c>
      <c r="M1187" s="9" t="inlineStr">
        <is>
          <t>14</t>
        </is>
      </c>
      <c r="N1187" s="9" t="n">
        <v>1</v>
      </c>
      <c r="O1187" s="9" t="n">
        <v>1</v>
      </c>
      <c r="P1187" s="9" t="n"/>
      <c r="Q1187" s="9" t="n"/>
      <c r="R1187" s="9" t="n"/>
      <c r="S1187" s="9" t="inlineStr">
        <is>
          <t>Estimated</t>
        </is>
      </c>
      <c r="T1187" s="10" t="n">
        <v>1361</v>
      </c>
      <c r="U1187" s="10" t="n">
        <v>40</v>
      </c>
      <c r="V1187" s="10">
        <f>ROUNDUP((T1187+U1187+2*'Read Me'!$B$13)*(1+'Read Me'!$B$12),-1)</f>
        <v/>
      </c>
      <c r="W1187" s="10">
        <f>V1187*N1187*O1187</f>
        <v/>
      </c>
      <c r="X1187" s="9">
        <f>IF(LEFT(I1187,2)="MV",2*N1187*IF(L1187="1/C",O1187,1),0)</f>
        <v/>
      </c>
      <c r="Y1187" s="9">
        <f>IF(OR(LEFT(K1187,4)="LVAX",LEFT(K1187,6)="MV15AX",LEFT(K1187,4)="CTAX",LEFT(K1187,2)="W|"),2*N1187*O1187,0)</f>
        <v/>
      </c>
      <c r="Z1187" s="9" t="inlineStr"/>
    </row>
    <row r="1188">
      <c r="A1188" s="9" t="inlineStr">
        <is>
          <t>C-C-0067</t>
        </is>
      </c>
      <c r="B1188" s="9" t="inlineStr">
        <is>
          <t>C</t>
        </is>
      </c>
      <c r="C1188" s="9" t="inlineStr">
        <is>
          <t>Grid interface</t>
        </is>
      </c>
      <c r="D1188" s="9" t="inlineStr">
        <is>
          <t>Control</t>
        </is>
      </c>
      <c r="E1188" s="9" t="inlineStr">
        <is>
          <t>RH</t>
        </is>
      </c>
      <c r="F1188" s="9" t="inlineStr">
        <is>
          <t>RH: switchyard relay / control house (52 x 70 ft)</t>
        </is>
      </c>
      <c r="G1188" s="9" t="inlineStr">
        <is>
          <t>D4-CB1</t>
        </is>
      </c>
      <c r="H1188" s="9" t="inlineStr">
        <is>
          <t>D4 230 kV breaker 1 (build-out)</t>
        </is>
      </c>
      <c r="I1188" s="9" t="inlineStr">
        <is>
          <t>Control</t>
        </is>
      </c>
      <c r="J1188" s="9" t="inlineStr">
        <is>
          <t>Control cable 600 V Type TC-ER, Cu #14 AWG, PVC jacket</t>
        </is>
      </c>
      <c r="K1188" s="9" t="inlineStr">
        <is>
          <t>CT|12/C|14</t>
        </is>
      </c>
      <c r="L1188" s="9" t="inlineStr">
        <is>
          <t>12/C</t>
        </is>
      </c>
      <c r="M1188" s="9" t="inlineStr">
        <is>
          <t>14</t>
        </is>
      </c>
      <c r="N1188" s="9" t="n">
        <v>1</v>
      </c>
      <c r="O1188" s="9" t="n">
        <v>1</v>
      </c>
      <c r="P1188" s="9" t="n"/>
      <c r="Q1188" s="9" t="n"/>
      <c r="R1188" s="9" t="n"/>
      <c r="S1188" s="9" t="inlineStr">
        <is>
          <t>Estimated</t>
        </is>
      </c>
      <c r="T1188" s="10" t="n">
        <v>1361</v>
      </c>
      <c r="U1188" s="10" t="n">
        <v>40</v>
      </c>
      <c r="V1188" s="10">
        <f>ROUNDUP((T1188+U1188+2*'Read Me'!$B$13)*(1+'Read Me'!$B$12),-1)</f>
        <v/>
      </c>
      <c r="W1188" s="10">
        <f>V1188*N1188*O1188</f>
        <v/>
      </c>
      <c r="X1188" s="9">
        <f>IF(LEFT(I1188,2)="MV",2*N1188*IF(L1188="1/C",O1188,1),0)</f>
        <v/>
      </c>
      <c r="Y1188" s="9">
        <f>IF(OR(LEFT(K1188,4)="LVAX",LEFT(K1188,6)="MV15AX",LEFT(K1188,4)="CTAX",LEFT(K1188,2)="W|"),2*N1188*O1188,0)</f>
        <v/>
      </c>
      <c r="Z1188" s="9" t="inlineStr"/>
    </row>
    <row r="1189">
      <c r="A1189" s="9" t="inlineStr">
        <is>
          <t>C-C-0068</t>
        </is>
      </c>
      <c r="B1189" s="9" t="inlineStr">
        <is>
          <t>C</t>
        </is>
      </c>
      <c r="C1189" s="9" t="inlineStr">
        <is>
          <t>Grid interface</t>
        </is>
      </c>
      <c r="D1189" s="9" t="inlineStr">
        <is>
          <t>CT / VT</t>
        </is>
      </c>
      <c r="E1189" s="9" t="inlineStr">
        <is>
          <t>RH</t>
        </is>
      </c>
      <c r="F1189" s="9" t="inlineStr">
        <is>
          <t>RH: switchyard relay / control house (52 x 70 ft)</t>
        </is>
      </c>
      <c r="G1189" s="9" t="inlineStr">
        <is>
          <t>D4-CB1</t>
        </is>
      </c>
      <c r="H1189" s="9" t="inlineStr">
        <is>
          <t>D4 230 kV breaker 1 (build-out)</t>
        </is>
      </c>
      <c r="I1189" s="9" t="inlineStr">
        <is>
          <t>Control</t>
        </is>
      </c>
      <c r="J1189" s="9" t="inlineStr">
        <is>
          <t>Control cable 600 V Type TC-ER, Cu #10 AWG (CT / VT circuits)</t>
        </is>
      </c>
      <c r="K1189" s="9" t="inlineStr">
        <is>
          <t>CTCT|4/C|10</t>
        </is>
      </c>
      <c r="L1189" s="9" t="inlineStr">
        <is>
          <t>4/C</t>
        </is>
      </c>
      <c r="M1189" s="9" t="inlineStr">
        <is>
          <t>10</t>
        </is>
      </c>
      <c r="N1189" s="9" t="n">
        <v>1</v>
      </c>
      <c r="O1189" s="9" t="n">
        <v>1</v>
      </c>
      <c r="P1189" s="9" t="n"/>
      <c r="Q1189" s="9" t="n"/>
      <c r="R1189" s="9" t="n"/>
      <c r="S1189" s="9" t="inlineStr">
        <is>
          <t>Estimated</t>
        </is>
      </c>
      <c r="T1189" s="10" t="n">
        <v>1361</v>
      </c>
      <c r="U1189" s="10" t="n">
        <v>40</v>
      </c>
      <c r="V1189" s="10">
        <f>ROUNDUP((T1189+U1189+2*'Read Me'!$B$13)*(1+'Read Me'!$B$12),-1)</f>
        <v/>
      </c>
      <c r="W1189" s="10">
        <f>V1189*N1189*O1189</f>
        <v/>
      </c>
      <c r="X1189" s="9">
        <f>IF(LEFT(I1189,2)="MV",2*N1189*IF(L1189="1/C",O1189,1),0)</f>
        <v/>
      </c>
      <c r="Y1189" s="9">
        <f>IF(OR(LEFT(K1189,4)="LVAX",LEFT(K1189,6)="MV15AX",LEFT(K1189,4)="CTAX",LEFT(K1189,2)="W|"),2*N1189*O1189,0)</f>
        <v/>
      </c>
      <c r="Z1189" s="9" t="inlineStr"/>
    </row>
    <row r="1190">
      <c r="A1190" s="9" t="inlineStr">
        <is>
          <t>C-C-0069</t>
        </is>
      </c>
      <c r="B1190" s="9" t="inlineStr">
        <is>
          <t>C</t>
        </is>
      </c>
      <c r="C1190" s="9" t="inlineStr">
        <is>
          <t>Grid interface</t>
        </is>
      </c>
      <c r="D1190" s="9" t="inlineStr">
        <is>
          <t>CT / VT</t>
        </is>
      </c>
      <c r="E1190" s="9" t="inlineStr">
        <is>
          <t>RH</t>
        </is>
      </c>
      <c r="F1190" s="9" t="inlineStr">
        <is>
          <t>RH: switchyard relay / control house (52 x 70 ft)</t>
        </is>
      </c>
      <c r="G1190" s="9" t="inlineStr">
        <is>
          <t>D4-CB1</t>
        </is>
      </c>
      <c r="H1190" s="9" t="inlineStr">
        <is>
          <t>D4 230 kV breaker 1 (build-out)</t>
        </is>
      </c>
      <c r="I1190" s="9" t="inlineStr">
        <is>
          <t>Control</t>
        </is>
      </c>
      <c r="J1190" s="9" t="inlineStr">
        <is>
          <t>Control cable 600 V Type TC-ER, Cu #10 AWG (CT / VT circuits)</t>
        </is>
      </c>
      <c r="K1190" s="9" t="inlineStr">
        <is>
          <t>CTCT|4/C|10</t>
        </is>
      </c>
      <c r="L1190" s="9" t="inlineStr">
        <is>
          <t>4/C</t>
        </is>
      </c>
      <c r="M1190" s="9" t="inlineStr">
        <is>
          <t>10</t>
        </is>
      </c>
      <c r="N1190" s="9" t="n">
        <v>1</v>
      </c>
      <c r="O1190" s="9" t="n">
        <v>1</v>
      </c>
      <c r="P1190" s="9" t="n"/>
      <c r="Q1190" s="9" t="n"/>
      <c r="R1190" s="9" t="n"/>
      <c r="S1190" s="9" t="inlineStr">
        <is>
          <t>Estimated</t>
        </is>
      </c>
      <c r="T1190" s="10" t="n">
        <v>1361</v>
      </c>
      <c r="U1190" s="10" t="n">
        <v>40</v>
      </c>
      <c r="V1190" s="10">
        <f>ROUNDUP((T1190+U1190+2*'Read Me'!$B$13)*(1+'Read Me'!$B$12),-1)</f>
        <v/>
      </c>
      <c r="W1190" s="10">
        <f>V1190*N1190*O1190</f>
        <v/>
      </c>
      <c r="X1190" s="9">
        <f>IF(LEFT(I1190,2)="MV",2*N1190*IF(L1190="1/C",O1190,1),0)</f>
        <v/>
      </c>
      <c r="Y1190" s="9">
        <f>IF(OR(LEFT(K1190,4)="LVAX",LEFT(K1190,6)="MV15AX",LEFT(K1190,4)="CTAX",LEFT(K1190,2)="W|"),2*N1190*O1190,0)</f>
        <v/>
      </c>
      <c r="Z1190" s="9" t="inlineStr"/>
    </row>
    <row r="1191">
      <c r="A1191" s="9" t="inlineStr">
        <is>
          <t>C-C-0070</t>
        </is>
      </c>
      <c r="B1191" s="9" t="inlineStr">
        <is>
          <t>C</t>
        </is>
      </c>
      <c r="C1191" s="9" t="inlineStr">
        <is>
          <t>Grid interface</t>
        </is>
      </c>
      <c r="D1191" s="9" t="inlineStr">
        <is>
          <t>CT / VT</t>
        </is>
      </c>
      <c r="E1191" s="9" t="inlineStr">
        <is>
          <t>RH</t>
        </is>
      </c>
      <c r="F1191" s="9" t="inlineStr">
        <is>
          <t>RH: switchyard relay / control house (52 x 70 ft)</t>
        </is>
      </c>
      <c r="G1191" s="9" t="inlineStr">
        <is>
          <t>D4-CB1</t>
        </is>
      </c>
      <c r="H1191" s="9" t="inlineStr">
        <is>
          <t>D4 230 kV breaker 1 (build-out)</t>
        </is>
      </c>
      <c r="I1191" s="9" t="inlineStr">
        <is>
          <t>Control</t>
        </is>
      </c>
      <c r="J1191" s="9" t="inlineStr">
        <is>
          <t>Control cable 600 V Type TC-ER, Cu #10 AWG (CT / VT circuits)</t>
        </is>
      </c>
      <c r="K1191" s="9" t="inlineStr">
        <is>
          <t>CTCT|4/C|10</t>
        </is>
      </c>
      <c r="L1191" s="9" t="inlineStr">
        <is>
          <t>4/C</t>
        </is>
      </c>
      <c r="M1191" s="9" t="inlineStr">
        <is>
          <t>10</t>
        </is>
      </c>
      <c r="N1191" s="9" t="n">
        <v>1</v>
      </c>
      <c r="O1191" s="9" t="n">
        <v>1</v>
      </c>
      <c r="P1191" s="9" t="n"/>
      <c r="Q1191" s="9" t="n"/>
      <c r="R1191" s="9" t="n"/>
      <c r="S1191" s="9" t="inlineStr">
        <is>
          <t>Estimated</t>
        </is>
      </c>
      <c r="T1191" s="10" t="n">
        <v>1361</v>
      </c>
      <c r="U1191" s="10" t="n">
        <v>40</v>
      </c>
      <c r="V1191" s="10">
        <f>ROUNDUP((T1191+U1191+2*'Read Me'!$B$13)*(1+'Read Me'!$B$12),-1)</f>
        <v/>
      </c>
      <c r="W1191" s="10">
        <f>V1191*N1191*O1191</f>
        <v/>
      </c>
      <c r="X1191" s="9">
        <f>IF(LEFT(I1191,2)="MV",2*N1191*IF(L1191="1/C",O1191,1),0)</f>
        <v/>
      </c>
      <c r="Y1191" s="9">
        <f>IF(OR(LEFT(K1191,4)="LVAX",LEFT(K1191,6)="MV15AX",LEFT(K1191,4)="CTAX",LEFT(K1191,2)="W|"),2*N1191*O1191,0)</f>
        <v/>
      </c>
      <c r="Z1191" s="9" t="inlineStr"/>
    </row>
    <row r="1192">
      <c r="A1192" s="9" t="inlineStr">
        <is>
          <t>C-C-0071</t>
        </is>
      </c>
      <c r="B1192" s="9" t="inlineStr">
        <is>
          <t>C</t>
        </is>
      </c>
      <c r="C1192" s="9" t="inlineStr">
        <is>
          <t>Grid interface</t>
        </is>
      </c>
      <c r="D1192" s="9" t="inlineStr">
        <is>
          <t>Control</t>
        </is>
      </c>
      <c r="E1192" s="9" t="inlineStr">
        <is>
          <t>RH</t>
        </is>
      </c>
      <c r="F1192" s="9" t="inlineStr">
        <is>
          <t>RH: switchyard relay / control house (52 x 70 ft)</t>
        </is>
      </c>
      <c r="G1192" s="9" t="inlineStr">
        <is>
          <t>D4-CB2</t>
        </is>
      </c>
      <c r="H1192" s="9" t="inlineStr">
        <is>
          <t>D4 230 kV breaker 2 (build-out)</t>
        </is>
      </c>
      <c r="I1192" s="9" t="inlineStr">
        <is>
          <t>Control</t>
        </is>
      </c>
      <c r="J1192" s="9" t="inlineStr">
        <is>
          <t>Control cable 600 V Type TC-ER, Cu #14 AWG, PVC jacket</t>
        </is>
      </c>
      <c r="K1192" s="9" t="inlineStr">
        <is>
          <t>CT|12/C|14</t>
        </is>
      </c>
      <c r="L1192" s="9" t="inlineStr">
        <is>
          <t>12/C</t>
        </is>
      </c>
      <c r="M1192" s="9" t="inlineStr">
        <is>
          <t>14</t>
        </is>
      </c>
      <c r="N1192" s="9" t="n">
        <v>1</v>
      </c>
      <c r="O1192" s="9" t="n">
        <v>1</v>
      </c>
      <c r="P1192" s="9" t="n"/>
      <c r="Q1192" s="9" t="n"/>
      <c r="R1192" s="9" t="n"/>
      <c r="S1192" s="9" t="inlineStr">
        <is>
          <t>Estimated</t>
        </is>
      </c>
      <c r="T1192" s="10" t="n">
        <v>1321</v>
      </c>
      <c r="U1192" s="10" t="n">
        <v>40</v>
      </c>
      <c r="V1192" s="10">
        <f>ROUNDUP((T1192+U1192+2*'Read Me'!$B$13)*(1+'Read Me'!$B$12),-1)</f>
        <v/>
      </c>
      <c r="W1192" s="10">
        <f>V1192*N1192*O1192</f>
        <v/>
      </c>
      <c r="X1192" s="9">
        <f>IF(LEFT(I1192,2)="MV",2*N1192*IF(L1192="1/C",O1192,1),0)</f>
        <v/>
      </c>
      <c r="Y1192" s="9">
        <f>IF(OR(LEFT(K1192,4)="LVAX",LEFT(K1192,6)="MV15AX",LEFT(K1192,4)="CTAX",LEFT(K1192,2)="W|"),2*N1192*O1192,0)</f>
        <v/>
      </c>
      <c r="Z1192" s="9" t="inlineStr"/>
    </row>
    <row r="1193">
      <c r="A1193" s="9" t="inlineStr">
        <is>
          <t>C-C-0072</t>
        </is>
      </c>
      <c r="B1193" s="9" t="inlineStr">
        <is>
          <t>C</t>
        </is>
      </c>
      <c r="C1193" s="9" t="inlineStr">
        <is>
          <t>Grid interface</t>
        </is>
      </c>
      <c r="D1193" s="9" t="inlineStr">
        <is>
          <t>Control</t>
        </is>
      </c>
      <c r="E1193" s="9" t="inlineStr">
        <is>
          <t>RH</t>
        </is>
      </c>
      <c r="F1193" s="9" t="inlineStr">
        <is>
          <t>RH: switchyard relay / control house (52 x 70 ft)</t>
        </is>
      </c>
      <c r="G1193" s="9" t="inlineStr">
        <is>
          <t>D4-CB2</t>
        </is>
      </c>
      <c r="H1193" s="9" t="inlineStr">
        <is>
          <t>D4 230 kV breaker 2 (build-out)</t>
        </is>
      </c>
      <c r="I1193" s="9" t="inlineStr">
        <is>
          <t>Control</t>
        </is>
      </c>
      <c r="J1193" s="9" t="inlineStr">
        <is>
          <t>Control cable 600 V Type TC-ER, Cu #14 AWG, PVC jacket</t>
        </is>
      </c>
      <c r="K1193" s="9" t="inlineStr">
        <is>
          <t>CT|12/C|14</t>
        </is>
      </c>
      <c r="L1193" s="9" t="inlineStr">
        <is>
          <t>12/C</t>
        </is>
      </c>
      <c r="M1193" s="9" t="inlineStr">
        <is>
          <t>14</t>
        </is>
      </c>
      <c r="N1193" s="9" t="n">
        <v>1</v>
      </c>
      <c r="O1193" s="9" t="n">
        <v>1</v>
      </c>
      <c r="P1193" s="9" t="n"/>
      <c r="Q1193" s="9" t="n"/>
      <c r="R1193" s="9" t="n"/>
      <c r="S1193" s="9" t="inlineStr">
        <is>
          <t>Estimated</t>
        </is>
      </c>
      <c r="T1193" s="10" t="n">
        <v>1321</v>
      </c>
      <c r="U1193" s="10" t="n">
        <v>40</v>
      </c>
      <c r="V1193" s="10">
        <f>ROUNDUP((T1193+U1193+2*'Read Me'!$B$13)*(1+'Read Me'!$B$12),-1)</f>
        <v/>
      </c>
      <c r="W1193" s="10">
        <f>V1193*N1193*O1193</f>
        <v/>
      </c>
      <c r="X1193" s="9">
        <f>IF(LEFT(I1193,2)="MV",2*N1193*IF(L1193="1/C",O1193,1),0)</f>
        <v/>
      </c>
      <c r="Y1193" s="9">
        <f>IF(OR(LEFT(K1193,4)="LVAX",LEFT(K1193,6)="MV15AX",LEFT(K1193,4)="CTAX",LEFT(K1193,2)="W|"),2*N1193*O1193,0)</f>
        <v/>
      </c>
      <c r="Z1193" s="9" t="inlineStr"/>
    </row>
    <row r="1194">
      <c r="A1194" s="9" t="inlineStr">
        <is>
          <t>C-C-0073</t>
        </is>
      </c>
      <c r="B1194" s="9" t="inlineStr">
        <is>
          <t>C</t>
        </is>
      </c>
      <c r="C1194" s="9" t="inlineStr">
        <is>
          <t>Grid interface</t>
        </is>
      </c>
      <c r="D1194" s="9" t="inlineStr">
        <is>
          <t>Control</t>
        </is>
      </c>
      <c r="E1194" s="9" t="inlineStr">
        <is>
          <t>RH</t>
        </is>
      </c>
      <c r="F1194" s="9" t="inlineStr">
        <is>
          <t>RH: switchyard relay / control house (52 x 70 ft)</t>
        </is>
      </c>
      <c r="G1194" s="9" t="inlineStr">
        <is>
          <t>D4-CB2</t>
        </is>
      </c>
      <c r="H1194" s="9" t="inlineStr">
        <is>
          <t>D4 230 kV breaker 2 (build-out)</t>
        </is>
      </c>
      <c r="I1194" s="9" t="inlineStr">
        <is>
          <t>Control</t>
        </is>
      </c>
      <c r="J1194" s="9" t="inlineStr">
        <is>
          <t>Control cable 600 V Type TC-ER, Cu #14 AWG, PVC jacket</t>
        </is>
      </c>
      <c r="K1194" s="9" t="inlineStr">
        <is>
          <t>CT|12/C|14</t>
        </is>
      </c>
      <c r="L1194" s="9" t="inlineStr">
        <is>
          <t>12/C</t>
        </is>
      </c>
      <c r="M1194" s="9" t="inlineStr">
        <is>
          <t>14</t>
        </is>
      </c>
      <c r="N1194" s="9" t="n">
        <v>1</v>
      </c>
      <c r="O1194" s="9" t="n">
        <v>1</v>
      </c>
      <c r="P1194" s="9" t="n"/>
      <c r="Q1194" s="9" t="n"/>
      <c r="R1194" s="9" t="n"/>
      <c r="S1194" s="9" t="inlineStr">
        <is>
          <t>Estimated</t>
        </is>
      </c>
      <c r="T1194" s="10" t="n">
        <v>1321</v>
      </c>
      <c r="U1194" s="10" t="n">
        <v>40</v>
      </c>
      <c r="V1194" s="10">
        <f>ROUNDUP((T1194+U1194+2*'Read Me'!$B$13)*(1+'Read Me'!$B$12),-1)</f>
        <v/>
      </c>
      <c r="W1194" s="10">
        <f>V1194*N1194*O1194</f>
        <v/>
      </c>
      <c r="X1194" s="9">
        <f>IF(LEFT(I1194,2)="MV",2*N1194*IF(L1194="1/C",O1194,1),0)</f>
        <v/>
      </c>
      <c r="Y1194" s="9">
        <f>IF(OR(LEFT(K1194,4)="LVAX",LEFT(K1194,6)="MV15AX",LEFT(K1194,4)="CTAX",LEFT(K1194,2)="W|"),2*N1194*O1194,0)</f>
        <v/>
      </c>
      <c r="Z1194" s="9" t="inlineStr"/>
    </row>
    <row r="1195">
      <c r="A1195" s="9" t="inlineStr">
        <is>
          <t>C-C-0074</t>
        </is>
      </c>
      <c r="B1195" s="9" t="inlineStr">
        <is>
          <t>C</t>
        </is>
      </c>
      <c r="C1195" s="9" t="inlineStr">
        <is>
          <t>Grid interface</t>
        </is>
      </c>
      <c r="D1195" s="9" t="inlineStr">
        <is>
          <t>Control</t>
        </is>
      </c>
      <c r="E1195" s="9" t="inlineStr">
        <is>
          <t>RH</t>
        </is>
      </c>
      <c r="F1195" s="9" t="inlineStr">
        <is>
          <t>RH: switchyard relay / control house (52 x 70 ft)</t>
        </is>
      </c>
      <c r="G1195" s="9" t="inlineStr">
        <is>
          <t>D4-CB2</t>
        </is>
      </c>
      <c r="H1195" s="9" t="inlineStr">
        <is>
          <t>D4 230 kV breaker 2 (build-out)</t>
        </is>
      </c>
      <c r="I1195" s="9" t="inlineStr">
        <is>
          <t>Control</t>
        </is>
      </c>
      <c r="J1195" s="9" t="inlineStr">
        <is>
          <t>Control cable 600 V Type TC-ER, Cu #14 AWG, PVC jacket</t>
        </is>
      </c>
      <c r="K1195" s="9" t="inlineStr">
        <is>
          <t>CT|12/C|14</t>
        </is>
      </c>
      <c r="L1195" s="9" t="inlineStr">
        <is>
          <t>12/C</t>
        </is>
      </c>
      <c r="M1195" s="9" t="inlineStr">
        <is>
          <t>14</t>
        </is>
      </c>
      <c r="N1195" s="9" t="n">
        <v>1</v>
      </c>
      <c r="O1195" s="9" t="n">
        <v>1</v>
      </c>
      <c r="P1195" s="9" t="n"/>
      <c r="Q1195" s="9" t="n"/>
      <c r="R1195" s="9" t="n"/>
      <c r="S1195" s="9" t="inlineStr">
        <is>
          <t>Estimated</t>
        </is>
      </c>
      <c r="T1195" s="10" t="n">
        <v>1321</v>
      </c>
      <c r="U1195" s="10" t="n">
        <v>40</v>
      </c>
      <c r="V1195" s="10">
        <f>ROUNDUP((T1195+U1195+2*'Read Me'!$B$13)*(1+'Read Me'!$B$12),-1)</f>
        <v/>
      </c>
      <c r="W1195" s="10">
        <f>V1195*N1195*O1195</f>
        <v/>
      </c>
      <c r="X1195" s="9">
        <f>IF(LEFT(I1195,2)="MV",2*N1195*IF(L1195="1/C",O1195,1),0)</f>
        <v/>
      </c>
      <c r="Y1195" s="9">
        <f>IF(OR(LEFT(K1195,4)="LVAX",LEFT(K1195,6)="MV15AX",LEFT(K1195,4)="CTAX",LEFT(K1195,2)="W|"),2*N1195*O1195,0)</f>
        <v/>
      </c>
      <c r="Z1195" s="9" t="inlineStr"/>
    </row>
    <row r="1196">
      <c r="A1196" s="9" t="inlineStr">
        <is>
          <t>C-C-0075</t>
        </is>
      </c>
      <c r="B1196" s="9" t="inlineStr">
        <is>
          <t>C</t>
        </is>
      </c>
      <c r="C1196" s="9" t="inlineStr">
        <is>
          <t>Grid interface</t>
        </is>
      </c>
      <c r="D1196" s="9" t="inlineStr">
        <is>
          <t>CT / VT</t>
        </is>
      </c>
      <c r="E1196" s="9" t="inlineStr">
        <is>
          <t>RH</t>
        </is>
      </c>
      <c r="F1196" s="9" t="inlineStr">
        <is>
          <t>RH: switchyard relay / control house (52 x 70 ft)</t>
        </is>
      </c>
      <c r="G1196" s="9" t="inlineStr">
        <is>
          <t>D4-CB2</t>
        </is>
      </c>
      <c r="H1196" s="9" t="inlineStr">
        <is>
          <t>D4 230 kV breaker 2 (build-out)</t>
        </is>
      </c>
      <c r="I1196" s="9" t="inlineStr">
        <is>
          <t>Control</t>
        </is>
      </c>
      <c r="J1196" s="9" t="inlineStr">
        <is>
          <t>Control cable 600 V Type TC-ER, Cu #10 AWG (CT / VT circuits)</t>
        </is>
      </c>
      <c r="K1196" s="9" t="inlineStr">
        <is>
          <t>CTCT|4/C|10</t>
        </is>
      </c>
      <c r="L1196" s="9" t="inlineStr">
        <is>
          <t>4/C</t>
        </is>
      </c>
      <c r="M1196" s="9" t="inlineStr">
        <is>
          <t>10</t>
        </is>
      </c>
      <c r="N1196" s="9" t="n">
        <v>1</v>
      </c>
      <c r="O1196" s="9" t="n">
        <v>1</v>
      </c>
      <c r="P1196" s="9" t="n"/>
      <c r="Q1196" s="9" t="n"/>
      <c r="R1196" s="9" t="n"/>
      <c r="S1196" s="9" t="inlineStr">
        <is>
          <t>Estimated</t>
        </is>
      </c>
      <c r="T1196" s="10" t="n">
        <v>1321</v>
      </c>
      <c r="U1196" s="10" t="n">
        <v>40</v>
      </c>
      <c r="V1196" s="10">
        <f>ROUNDUP((T1196+U1196+2*'Read Me'!$B$13)*(1+'Read Me'!$B$12),-1)</f>
        <v/>
      </c>
      <c r="W1196" s="10">
        <f>V1196*N1196*O1196</f>
        <v/>
      </c>
      <c r="X1196" s="9">
        <f>IF(LEFT(I1196,2)="MV",2*N1196*IF(L1196="1/C",O1196,1),0)</f>
        <v/>
      </c>
      <c r="Y1196" s="9">
        <f>IF(OR(LEFT(K1196,4)="LVAX",LEFT(K1196,6)="MV15AX",LEFT(K1196,4)="CTAX",LEFT(K1196,2)="W|"),2*N1196*O1196,0)</f>
        <v/>
      </c>
      <c r="Z1196" s="9" t="inlineStr"/>
    </row>
    <row r="1197">
      <c r="A1197" s="9" t="inlineStr">
        <is>
          <t>C-C-0076</t>
        </is>
      </c>
      <c r="B1197" s="9" t="inlineStr">
        <is>
          <t>C</t>
        </is>
      </c>
      <c r="C1197" s="9" t="inlineStr">
        <is>
          <t>Grid interface</t>
        </is>
      </c>
      <c r="D1197" s="9" t="inlineStr">
        <is>
          <t>CT / VT</t>
        </is>
      </c>
      <c r="E1197" s="9" t="inlineStr">
        <is>
          <t>RH</t>
        </is>
      </c>
      <c r="F1197" s="9" t="inlineStr">
        <is>
          <t>RH: switchyard relay / control house (52 x 70 ft)</t>
        </is>
      </c>
      <c r="G1197" s="9" t="inlineStr">
        <is>
          <t>D4-CB2</t>
        </is>
      </c>
      <c r="H1197" s="9" t="inlineStr">
        <is>
          <t>D4 230 kV breaker 2 (build-out)</t>
        </is>
      </c>
      <c r="I1197" s="9" t="inlineStr">
        <is>
          <t>Control</t>
        </is>
      </c>
      <c r="J1197" s="9" t="inlineStr">
        <is>
          <t>Control cable 600 V Type TC-ER, Cu #10 AWG (CT / VT circuits)</t>
        </is>
      </c>
      <c r="K1197" s="9" t="inlineStr">
        <is>
          <t>CTCT|4/C|10</t>
        </is>
      </c>
      <c r="L1197" s="9" t="inlineStr">
        <is>
          <t>4/C</t>
        </is>
      </c>
      <c r="M1197" s="9" t="inlineStr">
        <is>
          <t>10</t>
        </is>
      </c>
      <c r="N1197" s="9" t="n">
        <v>1</v>
      </c>
      <c r="O1197" s="9" t="n">
        <v>1</v>
      </c>
      <c r="P1197" s="9" t="n"/>
      <c r="Q1197" s="9" t="n"/>
      <c r="R1197" s="9" t="n"/>
      <c r="S1197" s="9" t="inlineStr">
        <is>
          <t>Estimated</t>
        </is>
      </c>
      <c r="T1197" s="10" t="n">
        <v>1321</v>
      </c>
      <c r="U1197" s="10" t="n">
        <v>40</v>
      </c>
      <c r="V1197" s="10">
        <f>ROUNDUP((T1197+U1197+2*'Read Me'!$B$13)*(1+'Read Me'!$B$12),-1)</f>
        <v/>
      </c>
      <c r="W1197" s="10">
        <f>V1197*N1197*O1197</f>
        <v/>
      </c>
      <c r="X1197" s="9">
        <f>IF(LEFT(I1197,2)="MV",2*N1197*IF(L1197="1/C",O1197,1),0)</f>
        <v/>
      </c>
      <c r="Y1197" s="9">
        <f>IF(OR(LEFT(K1197,4)="LVAX",LEFT(K1197,6)="MV15AX",LEFT(K1197,4)="CTAX",LEFT(K1197,2)="W|"),2*N1197*O1197,0)</f>
        <v/>
      </c>
      <c r="Z1197" s="9" t="inlineStr"/>
    </row>
    <row r="1198">
      <c r="A1198" s="9" t="inlineStr">
        <is>
          <t>C-C-0077</t>
        </is>
      </c>
      <c r="B1198" s="9" t="inlineStr">
        <is>
          <t>C</t>
        </is>
      </c>
      <c r="C1198" s="9" t="inlineStr">
        <is>
          <t>Grid interface</t>
        </is>
      </c>
      <c r="D1198" s="9" t="inlineStr">
        <is>
          <t>CT / VT</t>
        </is>
      </c>
      <c r="E1198" s="9" t="inlineStr">
        <is>
          <t>RH</t>
        </is>
      </c>
      <c r="F1198" s="9" t="inlineStr">
        <is>
          <t>RH: switchyard relay / control house (52 x 70 ft)</t>
        </is>
      </c>
      <c r="G1198" s="9" t="inlineStr">
        <is>
          <t>D4-CB2</t>
        </is>
      </c>
      <c r="H1198" s="9" t="inlineStr">
        <is>
          <t>D4 230 kV breaker 2 (build-out)</t>
        </is>
      </c>
      <c r="I1198" s="9" t="inlineStr">
        <is>
          <t>Control</t>
        </is>
      </c>
      <c r="J1198" s="9" t="inlineStr">
        <is>
          <t>Control cable 600 V Type TC-ER, Cu #10 AWG (CT / VT circuits)</t>
        </is>
      </c>
      <c r="K1198" s="9" t="inlineStr">
        <is>
          <t>CTCT|4/C|10</t>
        </is>
      </c>
      <c r="L1198" s="9" t="inlineStr">
        <is>
          <t>4/C</t>
        </is>
      </c>
      <c r="M1198" s="9" t="inlineStr">
        <is>
          <t>10</t>
        </is>
      </c>
      <c r="N1198" s="9" t="n">
        <v>1</v>
      </c>
      <c r="O1198" s="9" t="n">
        <v>1</v>
      </c>
      <c r="P1198" s="9" t="n"/>
      <c r="Q1198" s="9" t="n"/>
      <c r="R1198" s="9" t="n"/>
      <c r="S1198" s="9" t="inlineStr">
        <is>
          <t>Estimated</t>
        </is>
      </c>
      <c r="T1198" s="10" t="n">
        <v>1321</v>
      </c>
      <c r="U1198" s="10" t="n">
        <v>40</v>
      </c>
      <c r="V1198" s="10">
        <f>ROUNDUP((T1198+U1198+2*'Read Me'!$B$13)*(1+'Read Me'!$B$12),-1)</f>
        <v/>
      </c>
      <c r="W1198" s="10">
        <f>V1198*N1198*O1198</f>
        <v/>
      </c>
      <c r="X1198" s="9">
        <f>IF(LEFT(I1198,2)="MV",2*N1198*IF(L1198="1/C",O1198,1),0)</f>
        <v/>
      </c>
      <c r="Y1198" s="9">
        <f>IF(OR(LEFT(K1198,4)="LVAX",LEFT(K1198,6)="MV15AX",LEFT(K1198,4)="CTAX",LEFT(K1198,2)="W|"),2*N1198*O1198,0)</f>
        <v/>
      </c>
      <c r="Z1198" s="9" t="inlineStr"/>
    </row>
    <row r="1199">
      <c r="A1199" s="9" t="inlineStr">
        <is>
          <t>C-C-0078</t>
        </is>
      </c>
      <c r="B1199" s="9" t="inlineStr">
        <is>
          <t>C</t>
        </is>
      </c>
      <c r="C1199" s="9" t="inlineStr">
        <is>
          <t>Grid interface</t>
        </is>
      </c>
      <c r="D1199" s="9" t="inlineStr">
        <is>
          <t>Control</t>
        </is>
      </c>
      <c r="E1199" s="9" t="inlineStr">
        <is>
          <t>RH</t>
        </is>
      </c>
      <c r="F1199" s="9" t="inlineStr">
        <is>
          <t>RH: switchyard relay / control house (52 x 70 ft)</t>
        </is>
      </c>
      <c r="G1199" s="9" t="inlineStr">
        <is>
          <t>D4-CB3</t>
        </is>
      </c>
      <c r="H1199" s="9" t="inlineStr">
        <is>
          <t>D4 230 kV breaker 3 (build-out)</t>
        </is>
      </c>
      <c r="I1199" s="9" t="inlineStr">
        <is>
          <t>Control</t>
        </is>
      </c>
      <c r="J1199" s="9" t="inlineStr">
        <is>
          <t>Control cable 600 V Type TC-ER, Cu #14 AWG, PVC jacket</t>
        </is>
      </c>
      <c r="K1199" s="9" t="inlineStr">
        <is>
          <t>CT|12/C|14</t>
        </is>
      </c>
      <c r="L1199" s="9" t="inlineStr">
        <is>
          <t>12/C</t>
        </is>
      </c>
      <c r="M1199" s="9" t="inlineStr">
        <is>
          <t>14</t>
        </is>
      </c>
      <c r="N1199" s="9" t="n">
        <v>1</v>
      </c>
      <c r="O1199" s="9" t="n">
        <v>1</v>
      </c>
      <c r="P1199" s="9" t="n"/>
      <c r="Q1199" s="9" t="n"/>
      <c r="R1199" s="9" t="n"/>
      <c r="S1199" s="9" t="inlineStr">
        <is>
          <t>Estimated</t>
        </is>
      </c>
      <c r="T1199" s="10" t="n">
        <v>1281</v>
      </c>
      <c r="U1199" s="10" t="n">
        <v>40</v>
      </c>
      <c r="V1199" s="10">
        <f>ROUNDUP((T1199+U1199+2*'Read Me'!$B$13)*(1+'Read Me'!$B$12),-1)</f>
        <v/>
      </c>
      <c r="W1199" s="10">
        <f>V1199*N1199*O1199</f>
        <v/>
      </c>
      <c r="X1199" s="9">
        <f>IF(LEFT(I1199,2)="MV",2*N1199*IF(L1199="1/C",O1199,1),0)</f>
        <v/>
      </c>
      <c r="Y1199" s="9">
        <f>IF(OR(LEFT(K1199,4)="LVAX",LEFT(K1199,6)="MV15AX",LEFT(K1199,4)="CTAX",LEFT(K1199,2)="W|"),2*N1199*O1199,0)</f>
        <v/>
      </c>
      <c r="Z1199" s="9" t="inlineStr"/>
    </row>
    <row r="1200">
      <c r="A1200" s="9" t="inlineStr">
        <is>
          <t>C-C-0079</t>
        </is>
      </c>
      <c r="B1200" s="9" t="inlineStr">
        <is>
          <t>C</t>
        </is>
      </c>
      <c r="C1200" s="9" t="inlineStr">
        <is>
          <t>Grid interface</t>
        </is>
      </c>
      <c r="D1200" s="9" t="inlineStr">
        <is>
          <t>Control</t>
        </is>
      </c>
      <c r="E1200" s="9" t="inlineStr">
        <is>
          <t>RH</t>
        </is>
      </c>
      <c r="F1200" s="9" t="inlineStr">
        <is>
          <t>RH: switchyard relay / control house (52 x 70 ft)</t>
        </is>
      </c>
      <c r="G1200" s="9" t="inlineStr">
        <is>
          <t>D4-CB3</t>
        </is>
      </c>
      <c r="H1200" s="9" t="inlineStr">
        <is>
          <t>D4 230 kV breaker 3 (build-out)</t>
        </is>
      </c>
      <c r="I1200" s="9" t="inlineStr">
        <is>
          <t>Control</t>
        </is>
      </c>
      <c r="J1200" s="9" t="inlineStr">
        <is>
          <t>Control cable 600 V Type TC-ER, Cu #14 AWG, PVC jacket</t>
        </is>
      </c>
      <c r="K1200" s="9" t="inlineStr">
        <is>
          <t>CT|12/C|14</t>
        </is>
      </c>
      <c r="L1200" s="9" t="inlineStr">
        <is>
          <t>12/C</t>
        </is>
      </c>
      <c r="M1200" s="9" t="inlineStr">
        <is>
          <t>14</t>
        </is>
      </c>
      <c r="N1200" s="9" t="n">
        <v>1</v>
      </c>
      <c r="O1200" s="9" t="n">
        <v>1</v>
      </c>
      <c r="P1200" s="9" t="n"/>
      <c r="Q1200" s="9" t="n"/>
      <c r="R1200" s="9" t="n"/>
      <c r="S1200" s="9" t="inlineStr">
        <is>
          <t>Estimated</t>
        </is>
      </c>
      <c r="T1200" s="10" t="n">
        <v>1281</v>
      </c>
      <c r="U1200" s="10" t="n">
        <v>40</v>
      </c>
      <c r="V1200" s="10">
        <f>ROUNDUP((T1200+U1200+2*'Read Me'!$B$13)*(1+'Read Me'!$B$12),-1)</f>
        <v/>
      </c>
      <c r="W1200" s="10">
        <f>V1200*N1200*O1200</f>
        <v/>
      </c>
      <c r="X1200" s="9">
        <f>IF(LEFT(I1200,2)="MV",2*N1200*IF(L1200="1/C",O1200,1),0)</f>
        <v/>
      </c>
      <c r="Y1200" s="9">
        <f>IF(OR(LEFT(K1200,4)="LVAX",LEFT(K1200,6)="MV15AX",LEFT(K1200,4)="CTAX",LEFT(K1200,2)="W|"),2*N1200*O1200,0)</f>
        <v/>
      </c>
      <c r="Z1200" s="9" t="inlineStr"/>
    </row>
    <row r="1201">
      <c r="A1201" s="9" t="inlineStr">
        <is>
          <t>C-C-0080</t>
        </is>
      </c>
      <c r="B1201" s="9" t="inlineStr">
        <is>
          <t>C</t>
        </is>
      </c>
      <c r="C1201" s="9" t="inlineStr">
        <is>
          <t>Grid interface</t>
        </is>
      </c>
      <c r="D1201" s="9" t="inlineStr">
        <is>
          <t>Control</t>
        </is>
      </c>
      <c r="E1201" s="9" t="inlineStr">
        <is>
          <t>RH</t>
        </is>
      </c>
      <c r="F1201" s="9" t="inlineStr">
        <is>
          <t>RH: switchyard relay / control house (52 x 70 ft)</t>
        </is>
      </c>
      <c r="G1201" s="9" t="inlineStr">
        <is>
          <t>D4-CB3</t>
        </is>
      </c>
      <c r="H1201" s="9" t="inlineStr">
        <is>
          <t>D4 230 kV breaker 3 (build-out)</t>
        </is>
      </c>
      <c r="I1201" s="9" t="inlineStr">
        <is>
          <t>Control</t>
        </is>
      </c>
      <c r="J1201" s="9" t="inlineStr">
        <is>
          <t>Control cable 600 V Type TC-ER, Cu #14 AWG, PVC jacket</t>
        </is>
      </c>
      <c r="K1201" s="9" t="inlineStr">
        <is>
          <t>CT|12/C|14</t>
        </is>
      </c>
      <c r="L1201" s="9" t="inlineStr">
        <is>
          <t>12/C</t>
        </is>
      </c>
      <c r="M1201" s="9" t="inlineStr">
        <is>
          <t>14</t>
        </is>
      </c>
      <c r="N1201" s="9" t="n">
        <v>1</v>
      </c>
      <c r="O1201" s="9" t="n">
        <v>1</v>
      </c>
      <c r="P1201" s="9" t="n"/>
      <c r="Q1201" s="9" t="n"/>
      <c r="R1201" s="9" t="n"/>
      <c r="S1201" s="9" t="inlineStr">
        <is>
          <t>Estimated</t>
        </is>
      </c>
      <c r="T1201" s="10" t="n">
        <v>1281</v>
      </c>
      <c r="U1201" s="10" t="n">
        <v>40</v>
      </c>
      <c r="V1201" s="10">
        <f>ROUNDUP((T1201+U1201+2*'Read Me'!$B$13)*(1+'Read Me'!$B$12),-1)</f>
        <v/>
      </c>
      <c r="W1201" s="10">
        <f>V1201*N1201*O1201</f>
        <v/>
      </c>
      <c r="X1201" s="9">
        <f>IF(LEFT(I1201,2)="MV",2*N1201*IF(L1201="1/C",O1201,1),0)</f>
        <v/>
      </c>
      <c r="Y1201" s="9">
        <f>IF(OR(LEFT(K1201,4)="LVAX",LEFT(K1201,6)="MV15AX",LEFT(K1201,4)="CTAX",LEFT(K1201,2)="W|"),2*N1201*O1201,0)</f>
        <v/>
      </c>
      <c r="Z1201" s="9" t="inlineStr"/>
    </row>
    <row r="1202">
      <c r="A1202" s="9" t="inlineStr">
        <is>
          <t>C-C-0081</t>
        </is>
      </c>
      <c r="B1202" s="9" t="inlineStr">
        <is>
          <t>C</t>
        </is>
      </c>
      <c r="C1202" s="9" t="inlineStr">
        <is>
          <t>Grid interface</t>
        </is>
      </c>
      <c r="D1202" s="9" t="inlineStr">
        <is>
          <t>Control</t>
        </is>
      </c>
      <c r="E1202" s="9" t="inlineStr">
        <is>
          <t>RH</t>
        </is>
      </c>
      <c r="F1202" s="9" t="inlineStr">
        <is>
          <t>RH: switchyard relay / control house (52 x 70 ft)</t>
        </is>
      </c>
      <c r="G1202" s="9" t="inlineStr">
        <is>
          <t>D4-CB3</t>
        </is>
      </c>
      <c r="H1202" s="9" t="inlineStr">
        <is>
          <t>D4 230 kV breaker 3 (build-out)</t>
        </is>
      </c>
      <c r="I1202" s="9" t="inlineStr">
        <is>
          <t>Control</t>
        </is>
      </c>
      <c r="J1202" s="9" t="inlineStr">
        <is>
          <t>Control cable 600 V Type TC-ER, Cu #14 AWG, PVC jacket</t>
        </is>
      </c>
      <c r="K1202" s="9" t="inlineStr">
        <is>
          <t>CT|12/C|14</t>
        </is>
      </c>
      <c r="L1202" s="9" t="inlineStr">
        <is>
          <t>12/C</t>
        </is>
      </c>
      <c r="M1202" s="9" t="inlineStr">
        <is>
          <t>14</t>
        </is>
      </c>
      <c r="N1202" s="9" t="n">
        <v>1</v>
      </c>
      <c r="O1202" s="9" t="n">
        <v>1</v>
      </c>
      <c r="P1202" s="9" t="n"/>
      <c r="Q1202" s="9" t="n"/>
      <c r="R1202" s="9" t="n"/>
      <c r="S1202" s="9" t="inlineStr">
        <is>
          <t>Estimated</t>
        </is>
      </c>
      <c r="T1202" s="10" t="n">
        <v>1281</v>
      </c>
      <c r="U1202" s="10" t="n">
        <v>40</v>
      </c>
      <c r="V1202" s="10">
        <f>ROUNDUP((T1202+U1202+2*'Read Me'!$B$13)*(1+'Read Me'!$B$12),-1)</f>
        <v/>
      </c>
      <c r="W1202" s="10">
        <f>V1202*N1202*O1202</f>
        <v/>
      </c>
      <c r="X1202" s="9">
        <f>IF(LEFT(I1202,2)="MV",2*N1202*IF(L1202="1/C",O1202,1),0)</f>
        <v/>
      </c>
      <c r="Y1202" s="9">
        <f>IF(OR(LEFT(K1202,4)="LVAX",LEFT(K1202,6)="MV15AX",LEFT(K1202,4)="CTAX",LEFT(K1202,2)="W|"),2*N1202*O1202,0)</f>
        <v/>
      </c>
      <c r="Z1202" s="9" t="inlineStr"/>
    </row>
    <row r="1203">
      <c r="A1203" s="9" t="inlineStr">
        <is>
          <t>C-C-0082</t>
        </is>
      </c>
      <c r="B1203" s="9" t="inlineStr">
        <is>
          <t>C</t>
        </is>
      </c>
      <c r="C1203" s="9" t="inlineStr">
        <is>
          <t>Grid interface</t>
        </is>
      </c>
      <c r="D1203" s="9" t="inlineStr">
        <is>
          <t>CT / VT</t>
        </is>
      </c>
      <c r="E1203" s="9" t="inlineStr">
        <is>
          <t>RH</t>
        </is>
      </c>
      <c r="F1203" s="9" t="inlineStr">
        <is>
          <t>RH: switchyard relay / control house (52 x 70 ft)</t>
        </is>
      </c>
      <c r="G1203" s="9" t="inlineStr">
        <is>
          <t>D4-CB3</t>
        </is>
      </c>
      <c r="H1203" s="9" t="inlineStr">
        <is>
          <t>D4 230 kV breaker 3 (build-out)</t>
        </is>
      </c>
      <c r="I1203" s="9" t="inlineStr">
        <is>
          <t>Control</t>
        </is>
      </c>
      <c r="J1203" s="9" t="inlineStr">
        <is>
          <t>Control cable 600 V Type TC-ER, Cu #10 AWG (CT / VT circuits)</t>
        </is>
      </c>
      <c r="K1203" s="9" t="inlineStr">
        <is>
          <t>CTCT|4/C|10</t>
        </is>
      </c>
      <c r="L1203" s="9" t="inlineStr">
        <is>
          <t>4/C</t>
        </is>
      </c>
      <c r="M1203" s="9" t="inlineStr">
        <is>
          <t>10</t>
        </is>
      </c>
      <c r="N1203" s="9" t="n">
        <v>1</v>
      </c>
      <c r="O1203" s="9" t="n">
        <v>1</v>
      </c>
      <c r="P1203" s="9" t="n"/>
      <c r="Q1203" s="9" t="n"/>
      <c r="R1203" s="9" t="n"/>
      <c r="S1203" s="9" t="inlineStr">
        <is>
          <t>Estimated</t>
        </is>
      </c>
      <c r="T1203" s="10" t="n">
        <v>1281</v>
      </c>
      <c r="U1203" s="10" t="n">
        <v>40</v>
      </c>
      <c r="V1203" s="10">
        <f>ROUNDUP((T1203+U1203+2*'Read Me'!$B$13)*(1+'Read Me'!$B$12),-1)</f>
        <v/>
      </c>
      <c r="W1203" s="10">
        <f>V1203*N1203*O1203</f>
        <v/>
      </c>
      <c r="X1203" s="9">
        <f>IF(LEFT(I1203,2)="MV",2*N1203*IF(L1203="1/C",O1203,1),0)</f>
        <v/>
      </c>
      <c r="Y1203" s="9">
        <f>IF(OR(LEFT(K1203,4)="LVAX",LEFT(K1203,6)="MV15AX",LEFT(K1203,4)="CTAX",LEFT(K1203,2)="W|"),2*N1203*O1203,0)</f>
        <v/>
      </c>
      <c r="Z1203" s="9" t="inlineStr"/>
    </row>
    <row r="1204">
      <c r="A1204" s="9" t="inlineStr">
        <is>
          <t>C-C-0083</t>
        </is>
      </c>
      <c r="B1204" s="9" t="inlineStr">
        <is>
          <t>C</t>
        </is>
      </c>
      <c r="C1204" s="9" t="inlineStr">
        <is>
          <t>Grid interface</t>
        </is>
      </c>
      <c r="D1204" s="9" t="inlineStr">
        <is>
          <t>CT / VT</t>
        </is>
      </c>
      <c r="E1204" s="9" t="inlineStr">
        <is>
          <t>RH</t>
        </is>
      </c>
      <c r="F1204" s="9" t="inlineStr">
        <is>
          <t>RH: switchyard relay / control house (52 x 70 ft)</t>
        </is>
      </c>
      <c r="G1204" s="9" t="inlineStr">
        <is>
          <t>D4-CB3</t>
        </is>
      </c>
      <c r="H1204" s="9" t="inlineStr">
        <is>
          <t>D4 230 kV breaker 3 (build-out)</t>
        </is>
      </c>
      <c r="I1204" s="9" t="inlineStr">
        <is>
          <t>Control</t>
        </is>
      </c>
      <c r="J1204" s="9" t="inlineStr">
        <is>
          <t>Control cable 600 V Type TC-ER, Cu #10 AWG (CT / VT circuits)</t>
        </is>
      </c>
      <c r="K1204" s="9" t="inlineStr">
        <is>
          <t>CTCT|4/C|10</t>
        </is>
      </c>
      <c r="L1204" s="9" t="inlineStr">
        <is>
          <t>4/C</t>
        </is>
      </c>
      <c r="M1204" s="9" t="inlineStr">
        <is>
          <t>10</t>
        </is>
      </c>
      <c r="N1204" s="9" t="n">
        <v>1</v>
      </c>
      <c r="O1204" s="9" t="n">
        <v>1</v>
      </c>
      <c r="P1204" s="9" t="n"/>
      <c r="Q1204" s="9" t="n"/>
      <c r="R1204" s="9" t="n"/>
      <c r="S1204" s="9" t="inlineStr">
        <is>
          <t>Estimated</t>
        </is>
      </c>
      <c r="T1204" s="10" t="n">
        <v>1281</v>
      </c>
      <c r="U1204" s="10" t="n">
        <v>40</v>
      </c>
      <c r="V1204" s="10">
        <f>ROUNDUP((T1204+U1204+2*'Read Me'!$B$13)*(1+'Read Me'!$B$12),-1)</f>
        <v/>
      </c>
      <c r="W1204" s="10">
        <f>V1204*N1204*O1204</f>
        <v/>
      </c>
      <c r="X1204" s="9">
        <f>IF(LEFT(I1204,2)="MV",2*N1204*IF(L1204="1/C",O1204,1),0)</f>
        <v/>
      </c>
      <c r="Y1204" s="9">
        <f>IF(OR(LEFT(K1204,4)="LVAX",LEFT(K1204,6)="MV15AX",LEFT(K1204,4)="CTAX",LEFT(K1204,2)="W|"),2*N1204*O1204,0)</f>
        <v/>
      </c>
      <c r="Z1204" s="9" t="inlineStr"/>
    </row>
    <row r="1205">
      <c r="A1205" s="9" t="inlineStr">
        <is>
          <t>C-C-0084</t>
        </is>
      </c>
      <c r="B1205" s="9" t="inlineStr">
        <is>
          <t>C</t>
        </is>
      </c>
      <c r="C1205" s="9" t="inlineStr">
        <is>
          <t>Grid interface</t>
        </is>
      </c>
      <c r="D1205" s="9" t="inlineStr">
        <is>
          <t>CT / VT</t>
        </is>
      </c>
      <c r="E1205" s="9" t="inlineStr">
        <is>
          <t>RH</t>
        </is>
      </c>
      <c r="F1205" s="9" t="inlineStr">
        <is>
          <t>RH: switchyard relay / control house (52 x 70 ft)</t>
        </is>
      </c>
      <c r="G1205" s="9" t="inlineStr">
        <is>
          <t>D4-CB3</t>
        </is>
      </c>
      <c r="H1205" s="9" t="inlineStr">
        <is>
          <t>D4 230 kV breaker 3 (build-out)</t>
        </is>
      </c>
      <c r="I1205" s="9" t="inlineStr">
        <is>
          <t>Control</t>
        </is>
      </c>
      <c r="J1205" s="9" t="inlineStr">
        <is>
          <t>Control cable 600 V Type TC-ER, Cu #10 AWG (CT / VT circuits)</t>
        </is>
      </c>
      <c r="K1205" s="9" t="inlineStr">
        <is>
          <t>CTCT|4/C|10</t>
        </is>
      </c>
      <c r="L1205" s="9" t="inlineStr">
        <is>
          <t>4/C</t>
        </is>
      </c>
      <c r="M1205" s="9" t="inlineStr">
        <is>
          <t>10</t>
        </is>
      </c>
      <c r="N1205" s="9" t="n">
        <v>1</v>
      </c>
      <c r="O1205" s="9" t="n">
        <v>1</v>
      </c>
      <c r="P1205" s="9" t="n"/>
      <c r="Q1205" s="9" t="n"/>
      <c r="R1205" s="9" t="n"/>
      <c r="S1205" s="9" t="inlineStr">
        <is>
          <t>Estimated</t>
        </is>
      </c>
      <c r="T1205" s="10" t="n">
        <v>1281</v>
      </c>
      <c r="U1205" s="10" t="n">
        <v>40</v>
      </c>
      <c r="V1205" s="10">
        <f>ROUNDUP((T1205+U1205+2*'Read Me'!$B$13)*(1+'Read Me'!$B$12),-1)</f>
        <v/>
      </c>
      <c r="W1205" s="10">
        <f>V1205*N1205*O1205</f>
        <v/>
      </c>
      <c r="X1205" s="9">
        <f>IF(LEFT(I1205,2)="MV",2*N1205*IF(L1205="1/C",O1205,1),0)</f>
        <v/>
      </c>
      <c r="Y1205" s="9">
        <f>IF(OR(LEFT(K1205,4)="LVAX",LEFT(K1205,6)="MV15AX",LEFT(K1205,4)="CTAX",LEFT(K1205,2)="W|"),2*N1205*O1205,0)</f>
        <v/>
      </c>
      <c r="Z1205" s="9" t="inlineStr"/>
    </row>
    <row r="1206">
      <c r="A1206" s="9" t="inlineStr">
        <is>
          <t>C-C-0085</t>
        </is>
      </c>
      <c r="B1206" s="9" t="inlineStr">
        <is>
          <t>C</t>
        </is>
      </c>
      <c r="C1206" s="9" t="inlineStr">
        <is>
          <t>Grid interface</t>
        </is>
      </c>
      <c r="D1206" s="9" t="inlineStr">
        <is>
          <t>Control</t>
        </is>
      </c>
      <c r="E1206" s="9" t="inlineStr">
        <is>
          <t>RH</t>
        </is>
      </c>
      <c r="F1206" s="9" t="inlineStr">
        <is>
          <t>RH: switchyard relay / control house (52 x 70 ft)</t>
        </is>
      </c>
      <c r="G1206" s="9" t="inlineStr">
        <is>
          <t>D5-CB1</t>
        </is>
      </c>
      <c r="H1206" s="9" t="inlineStr">
        <is>
          <t>D5 230 kV breaker 1 (build-out)</t>
        </is>
      </c>
      <c r="I1206" s="9" t="inlineStr">
        <is>
          <t>Control</t>
        </is>
      </c>
      <c r="J1206" s="9" t="inlineStr">
        <is>
          <t>Control cable 600 V Type TC-ER, Cu #14 AWG, PVC jacket</t>
        </is>
      </c>
      <c r="K1206" s="9" t="inlineStr">
        <is>
          <t>CT|12/C|14</t>
        </is>
      </c>
      <c r="L1206" s="9" t="inlineStr">
        <is>
          <t>12/C</t>
        </is>
      </c>
      <c r="M1206" s="9" t="inlineStr">
        <is>
          <t>14</t>
        </is>
      </c>
      <c r="N1206" s="9" t="n">
        <v>1</v>
      </c>
      <c r="O1206" s="9" t="n">
        <v>1</v>
      </c>
      <c r="P1206" s="9" t="n"/>
      <c r="Q1206" s="9" t="n"/>
      <c r="R1206" s="9" t="n"/>
      <c r="S1206" s="9" t="inlineStr">
        <is>
          <t>Trench</t>
        </is>
      </c>
      <c r="T1206" s="10" t="n">
        <v>1584</v>
      </c>
      <c r="U1206" s="10" t="n">
        <v>166</v>
      </c>
      <c r="V1206" s="10">
        <f>ROUNDUP((T1206+U1206+2*'Read Me'!$B$13)*(1+'Read Me'!$B$12),-1)</f>
        <v/>
      </c>
      <c r="W1206" s="10">
        <f>V1206*N1206*O1206</f>
        <v/>
      </c>
      <c r="X1206" s="9">
        <f>IF(LEFT(I1206,2)="MV",2*N1206*IF(L1206="1/C",O1206,1),0)</f>
        <v/>
      </c>
      <c r="Y1206" s="9">
        <f>IF(OR(LEFT(K1206,4)="LVAX",LEFT(K1206,6)="MV15AX",LEFT(K1206,4)="CTAX",LEFT(K1206,2)="W|"),2*N1206*O1206,0)</f>
        <v/>
      </c>
      <c r="Z1206" s="9" t="inlineStr"/>
    </row>
    <row r="1207">
      <c r="A1207" s="9" t="inlineStr">
        <is>
          <t>C-C-0086</t>
        </is>
      </c>
      <c r="B1207" s="9" t="inlineStr">
        <is>
          <t>C</t>
        </is>
      </c>
      <c r="C1207" s="9" t="inlineStr">
        <is>
          <t>Grid interface</t>
        </is>
      </c>
      <c r="D1207" s="9" t="inlineStr">
        <is>
          <t>Control</t>
        </is>
      </c>
      <c r="E1207" s="9" t="inlineStr">
        <is>
          <t>RH</t>
        </is>
      </c>
      <c r="F1207" s="9" t="inlineStr">
        <is>
          <t>RH: switchyard relay / control house (52 x 70 ft)</t>
        </is>
      </c>
      <c r="G1207" s="9" t="inlineStr">
        <is>
          <t>D5-CB1</t>
        </is>
      </c>
      <c r="H1207" s="9" t="inlineStr">
        <is>
          <t>D5 230 kV breaker 1 (build-out)</t>
        </is>
      </c>
      <c r="I1207" s="9" t="inlineStr">
        <is>
          <t>Control</t>
        </is>
      </c>
      <c r="J1207" s="9" t="inlineStr">
        <is>
          <t>Control cable 600 V Type TC-ER, Cu #14 AWG, PVC jacket</t>
        </is>
      </c>
      <c r="K1207" s="9" t="inlineStr">
        <is>
          <t>CT|12/C|14</t>
        </is>
      </c>
      <c r="L1207" s="9" t="inlineStr">
        <is>
          <t>12/C</t>
        </is>
      </c>
      <c r="M1207" s="9" t="inlineStr">
        <is>
          <t>14</t>
        </is>
      </c>
      <c r="N1207" s="9" t="n">
        <v>1</v>
      </c>
      <c r="O1207" s="9" t="n">
        <v>1</v>
      </c>
      <c r="P1207" s="9" t="n"/>
      <c r="Q1207" s="9" t="n"/>
      <c r="R1207" s="9" t="n"/>
      <c r="S1207" s="9" t="inlineStr">
        <is>
          <t>Trench</t>
        </is>
      </c>
      <c r="T1207" s="10" t="n">
        <v>1584</v>
      </c>
      <c r="U1207" s="10" t="n">
        <v>166</v>
      </c>
      <c r="V1207" s="10">
        <f>ROUNDUP((T1207+U1207+2*'Read Me'!$B$13)*(1+'Read Me'!$B$12),-1)</f>
        <v/>
      </c>
      <c r="W1207" s="10">
        <f>V1207*N1207*O1207</f>
        <v/>
      </c>
      <c r="X1207" s="9">
        <f>IF(LEFT(I1207,2)="MV",2*N1207*IF(L1207="1/C",O1207,1),0)</f>
        <v/>
      </c>
      <c r="Y1207" s="9">
        <f>IF(OR(LEFT(K1207,4)="LVAX",LEFT(K1207,6)="MV15AX",LEFT(K1207,4)="CTAX",LEFT(K1207,2)="W|"),2*N1207*O1207,0)</f>
        <v/>
      </c>
      <c r="Z1207" s="9" t="inlineStr"/>
    </row>
    <row r="1208">
      <c r="A1208" s="9" t="inlineStr">
        <is>
          <t>C-C-0087</t>
        </is>
      </c>
      <c r="B1208" s="9" t="inlineStr">
        <is>
          <t>C</t>
        </is>
      </c>
      <c r="C1208" s="9" t="inlineStr">
        <is>
          <t>Grid interface</t>
        </is>
      </c>
      <c r="D1208" s="9" t="inlineStr">
        <is>
          <t>Control</t>
        </is>
      </c>
      <c r="E1208" s="9" t="inlineStr">
        <is>
          <t>RH</t>
        </is>
      </c>
      <c r="F1208" s="9" t="inlineStr">
        <is>
          <t>RH: switchyard relay / control house (52 x 70 ft)</t>
        </is>
      </c>
      <c r="G1208" s="9" t="inlineStr">
        <is>
          <t>D5-CB1</t>
        </is>
      </c>
      <c r="H1208" s="9" t="inlineStr">
        <is>
          <t>D5 230 kV breaker 1 (build-out)</t>
        </is>
      </c>
      <c r="I1208" s="9" t="inlineStr">
        <is>
          <t>Control</t>
        </is>
      </c>
      <c r="J1208" s="9" t="inlineStr">
        <is>
          <t>Control cable 600 V Type TC-ER, Cu #14 AWG, PVC jacket</t>
        </is>
      </c>
      <c r="K1208" s="9" t="inlineStr">
        <is>
          <t>CT|12/C|14</t>
        </is>
      </c>
      <c r="L1208" s="9" t="inlineStr">
        <is>
          <t>12/C</t>
        </is>
      </c>
      <c r="M1208" s="9" t="inlineStr">
        <is>
          <t>14</t>
        </is>
      </c>
      <c r="N1208" s="9" t="n">
        <v>1</v>
      </c>
      <c r="O1208" s="9" t="n">
        <v>1</v>
      </c>
      <c r="P1208" s="9" t="n"/>
      <c r="Q1208" s="9" t="n"/>
      <c r="R1208" s="9" t="n"/>
      <c r="S1208" s="9" t="inlineStr">
        <is>
          <t>Trench</t>
        </is>
      </c>
      <c r="T1208" s="10" t="n">
        <v>1584</v>
      </c>
      <c r="U1208" s="10" t="n">
        <v>166</v>
      </c>
      <c r="V1208" s="10">
        <f>ROUNDUP((T1208+U1208+2*'Read Me'!$B$13)*(1+'Read Me'!$B$12),-1)</f>
        <v/>
      </c>
      <c r="W1208" s="10">
        <f>V1208*N1208*O1208</f>
        <v/>
      </c>
      <c r="X1208" s="9">
        <f>IF(LEFT(I1208,2)="MV",2*N1208*IF(L1208="1/C",O1208,1),0)</f>
        <v/>
      </c>
      <c r="Y1208" s="9">
        <f>IF(OR(LEFT(K1208,4)="LVAX",LEFT(K1208,6)="MV15AX",LEFT(K1208,4)="CTAX",LEFT(K1208,2)="W|"),2*N1208*O1208,0)</f>
        <v/>
      </c>
      <c r="Z1208" s="9" t="inlineStr"/>
    </row>
    <row r="1209">
      <c r="A1209" s="9" t="inlineStr">
        <is>
          <t>C-C-0088</t>
        </is>
      </c>
      <c r="B1209" s="9" t="inlineStr">
        <is>
          <t>C</t>
        </is>
      </c>
      <c r="C1209" s="9" t="inlineStr">
        <is>
          <t>Grid interface</t>
        </is>
      </c>
      <c r="D1209" s="9" t="inlineStr">
        <is>
          <t>Control</t>
        </is>
      </c>
      <c r="E1209" s="9" t="inlineStr">
        <is>
          <t>RH</t>
        </is>
      </c>
      <c r="F1209" s="9" t="inlineStr">
        <is>
          <t>RH: switchyard relay / control house (52 x 70 ft)</t>
        </is>
      </c>
      <c r="G1209" s="9" t="inlineStr">
        <is>
          <t>D5-CB1</t>
        </is>
      </c>
      <c r="H1209" s="9" t="inlineStr">
        <is>
          <t>D5 230 kV breaker 1 (build-out)</t>
        </is>
      </c>
      <c r="I1209" s="9" t="inlineStr">
        <is>
          <t>Control</t>
        </is>
      </c>
      <c r="J1209" s="9" t="inlineStr">
        <is>
          <t>Control cable 600 V Type TC-ER, Cu #14 AWG, PVC jacket</t>
        </is>
      </c>
      <c r="K1209" s="9" t="inlineStr">
        <is>
          <t>CT|12/C|14</t>
        </is>
      </c>
      <c r="L1209" s="9" t="inlineStr">
        <is>
          <t>12/C</t>
        </is>
      </c>
      <c r="M1209" s="9" t="inlineStr">
        <is>
          <t>14</t>
        </is>
      </c>
      <c r="N1209" s="9" t="n">
        <v>1</v>
      </c>
      <c r="O1209" s="9" t="n">
        <v>1</v>
      </c>
      <c r="P1209" s="9" t="n"/>
      <c r="Q1209" s="9" t="n"/>
      <c r="R1209" s="9" t="n"/>
      <c r="S1209" s="9" t="inlineStr">
        <is>
          <t>Trench</t>
        </is>
      </c>
      <c r="T1209" s="10" t="n">
        <v>1584</v>
      </c>
      <c r="U1209" s="10" t="n">
        <v>166</v>
      </c>
      <c r="V1209" s="10">
        <f>ROUNDUP((T1209+U1209+2*'Read Me'!$B$13)*(1+'Read Me'!$B$12),-1)</f>
        <v/>
      </c>
      <c r="W1209" s="10">
        <f>V1209*N1209*O1209</f>
        <v/>
      </c>
      <c r="X1209" s="9">
        <f>IF(LEFT(I1209,2)="MV",2*N1209*IF(L1209="1/C",O1209,1),0)</f>
        <v/>
      </c>
      <c r="Y1209" s="9">
        <f>IF(OR(LEFT(K1209,4)="LVAX",LEFT(K1209,6)="MV15AX",LEFT(K1209,4)="CTAX",LEFT(K1209,2)="W|"),2*N1209*O1209,0)</f>
        <v/>
      </c>
      <c r="Z1209" s="9" t="inlineStr"/>
    </row>
    <row r="1210">
      <c r="A1210" s="9" t="inlineStr">
        <is>
          <t>C-C-0089</t>
        </is>
      </c>
      <c r="B1210" s="9" t="inlineStr">
        <is>
          <t>C</t>
        </is>
      </c>
      <c r="C1210" s="9" t="inlineStr">
        <is>
          <t>Grid interface</t>
        </is>
      </c>
      <c r="D1210" s="9" t="inlineStr">
        <is>
          <t>CT / VT</t>
        </is>
      </c>
      <c r="E1210" s="9" t="inlineStr">
        <is>
          <t>RH</t>
        </is>
      </c>
      <c r="F1210" s="9" t="inlineStr">
        <is>
          <t>RH: switchyard relay / control house (52 x 70 ft)</t>
        </is>
      </c>
      <c r="G1210" s="9" t="inlineStr">
        <is>
          <t>D5-CB1</t>
        </is>
      </c>
      <c r="H1210" s="9" t="inlineStr">
        <is>
          <t>D5 230 kV breaker 1 (build-out)</t>
        </is>
      </c>
      <c r="I1210" s="9" t="inlineStr">
        <is>
          <t>Control</t>
        </is>
      </c>
      <c r="J1210" s="9" t="inlineStr">
        <is>
          <t>Control cable 600 V Type TC-ER, Cu #10 AWG (CT / VT circuits)</t>
        </is>
      </c>
      <c r="K1210" s="9" t="inlineStr">
        <is>
          <t>CTCT|4/C|10</t>
        </is>
      </c>
      <c r="L1210" s="9" t="inlineStr">
        <is>
          <t>4/C</t>
        </is>
      </c>
      <c r="M1210" s="9" t="inlineStr">
        <is>
          <t>10</t>
        </is>
      </c>
      <c r="N1210" s="9" t="n">
        <v>1</v>
      </c>
      <c r="O1210" s="9" t="n">
        <v>1</v>
      </c>
      <c r="P1210" s="9" t="n"/>
      <c r="Q1210" s="9" t="n"/>
      <c r="R1210" s="9" t="n"/>
      <c r="S1210" s="9" t="inlineStr">
        <is>
          <t>Trench</t>
        </is>
      </c>
      <c r="T1210" s="10" t="n">
        <v>1584</v>
      </c>
      <c r="U1210" s="10" t="n">
        <v>166</v>
      </c>
      <c r="V1210" s="10">
        <f>ROUNDUP((T1210+U1210+2*'Read Me'!$B$13)*(1+'Read Me'!$B$12),-1)</f>
        <v/>
      </c>
      <c r="W1210" s="10">
        <f>V1210*N1210*O1210</f>
        <v/>
      </c>
      <c r="X1210" s="9">
        <f>IF(LEFT(I1210,2)="MV",2*N1210*IF(L1210="1/C",O1210,1),0)</f>
        <v/>
      </c>
      <c r="Y1210" s="9">
        <f>IF(OR(LEFT(K1210,4)="LVAX",LEFT(K1210,6)="MV15AX",LEFT(K1210,4)="CTAX",LEFT(K1210,2)="W|"),2*N1210*O1210,0)</f>
        <v/>
      </c>
      <c r="Z1210" s="9" t="inlineStr"/>
    </row>
    <row r="1211">
      <c r="A1211" s="9" t="inlineStr">
        <is>
          <t>C-C-0090</t>
        </is>
      </c>
      <c r="B1211" s="9" t="inlineStr">
        <is>
          <t>C</t>
        </is>
      </c>
      <c r="C1211" s="9" t="inlineStr">
        <is>
          <t>Grid interface</t>
        </is>
      </c>
      <c r="D1211" s="9" t="inlineStr">
        <is>
          <t>CT / VT</t>
        </is>
      </c>
      <c r="E1211" s="9" t="inlineStr">
        <is>
          <t>RH</t>
        </is>
      </c>
      <c r="F1211" s="9" t="inlineStr">
        <is>
          <t>RH: switchyard relay / control house (52 x 70 ft)</t>
        </is>
      </c>
      <c r="G1211" s="9" t="inlineStr">
        <is>
          <t>D5-CB1</t>
        </is>
      </c>
      <c r="H1211" s="9" t="inlineStr">
        <is>
          <t>D5 230 kV breaker 1 (build-out)</t>
        </is>
      </c>
      <c r="I1211" s="9" t="inlineStr">
        <is>
          <t>Control</t>
        </is>
      </c>
      <c r="J1211" s="9" t="inlineStr">
        <is>
          <t>Control cable 600 V Type TC-ER, Cu #10 AWG (CT / VT circuits)</t>
        </is>
      </c>
      <c r="K1211" s="9" t="inlineStr">
        <is>
          <t>CTCT|4/C|10</t>
        </is>
      </c>
      <c r="L1211" s="9" t="inlineStr">
        <is>
          <t>4/C</t>
        </is>
      </c>
      <c r="M1211" s="9" t="inlineStr">
        <is>
          <t>10</t>
        </is>
      </c>
      <c r="N1211" s="9" t="n">
        <v>1</v>
      </c>
      <c r="O1211" s="9" t="n">
        <v>1</v>
      </c>
      <c r="P1211" s="9" t="n"/>
      <c r="Q1211" s="9" t="n"/>
      <c r="R1211" s="9" t="n"/>
      <c r="S1211" s="9" t="inlineStr">
        <is>
          <t>Trench</t>
        </is>
      </c>
      <c r="T1211" s="10" t="n">
        <v>1584</v>
      </c>
      <c r="U1211" s="10" t="n">
        <v>166</v>
      </c>
      <c r="V1211" s="10">
        <f>ROUNDUP((T1211+U1211+2*'Read Me'!$B$13)*(1+'Read Me'!$B$12),-1)</f>
        <v/>
      </c>
      <c r="W1211" s="10">
        <f>V1211*N1211*O1211</f>
        <v/>
      </c>
      <c r="X1211" s="9">
        <f>IF(LEFT(I1211,2)="MV",2*N1211*IF(L1211="1/C",O1211,1),0)</f>
        <v/>
      </c>
      <c r="Y1211" s="9">
        <f>IF(OR(LEFT(K1211,4)="LVAX",LEFT(K1211,6)="MV15AX",LEFT(K1211,4)="CTAX",LEFT(K1211,2)="W|"),2*N1211*O1211,0)</f>
        <v/>
      </c>
      <c r="Z1211" s="9" t="inlineStr"/>
    </row>
    <row r="1212">
      <c r="A1212" s="9" t="inlineStr">
        <is>
          <t>C-C-0091</t>
        </is>
      </c>
      <c r="B1212" s="9" t="inlineStr">
        <is>
          <t>C</t>
        </is>
      </c>
      <c r="C1212" s="9" t="inlineStr">
        <is>
          <t>Grid interface</t>
        </is>
      </c>
      <c r="D1212" s="9" t="inlineStr">
        <is>
          <t>CT / VT</t>
        </is>
      </c>
      <c r="E1212" s="9" t="inlineStr">
        <is>
          <t>RH</t>
        </is>
      </c>
      <c r="F1212" s="9" t="inlineStr">
        <is>
          <t>RH: switchyard relay / control house (52 x 70 ft)</t>
        </is>
      </c>
      <c r="G1212" s="9" t="inlineStr">
        <is>
          <t>D5-CB1</t>
        </is>
      </c>
      <c r="H1212" s="9" t="inlineStr">
        <is>
          <t>D5 230 kV breaker 1 (build-out)</t>
        </is>
      </c>
      <c r="I1212" s="9" t="inlineStr">
        <is>
          <t>Control</t>
        </is>
      </c>
      <c r="J1212" s="9" t="inlineStr">
        <is>
          <t>Control cable 600 V Type TC-ER, Cu #10 AWG (CT / VT circuits)</t>
        </is>
      </c>
      <c r="K1212" s="9" t="inlineStr">
        <is>
          <t>CTCT|4/C|10</t>
        </is>
      </c>
      <c r="L1212" s="9" t="inlineStr">
        <is>
          <t>4/C</t>
        </is>
      </c>
      <c r="M1212" s="9" t="inlineStr">
        <is>
          <t>10</t>
        </is>
      </c>
      <c r="N1212" s="9" t="n">
        <v>1</v>
      </c>
      <c r="O1212" s="9" t="n">
        <v>1</v>
      </c>
      <c r="P1212" s="9" t="n"/>
      <c r="Q1212" s="9" t="n"/>
      <c r="R1212" s="9" t="n"/>
      <c r="S1212" s="9" t="inlineStr">
        <is>
          <t>Trench</t>
        </is>
      </c>
      <c r="T1212" s="10" t="n">
        <v>1584</v>
      </c>
      <c r="U1212" s="10" t="n">
        <v>166</v>
      </c>
      <c r="V1212" s="10">
        <f>ROUNDUP((T1212+U1212+2*'Read Me'!$B$13)*(1+'Read Me'!$B$12),-1)</f>
        <v/>
      </c>
      <c r="W1212" s="10">
        <f>V1212*N1212*O1212</f>
        <v/>
      </c>
      <c r="X1212" s="9">
        <f>IF(LEFT(I1212,2)="MV",2*N1212*IF(L1212="1/C",O1212,1),0)</f>
        <v/>
      </c>
      <c r="Y1212" s="9">
        <f>IF(OR(LEFT(K1212,4)="LVAX",LEFT(K1212,6)="MV15AX",LEFT(K1212,4)="CTAX",LEFT(K1212,2)="W|"),2*N1212*O1212,0)</f>
        <v/>
      </c>
      <c r="Z1212" s="9" t="inlineStr"/>
    </row>
    <row r="1213">
      <c r="A1213" s="9" t="inlineStr">
        <is>
          <t>C-C-0092</t>
        </is>
      </c>
      <c r="B1213" s="9" t="inlineStr">
        <is>
          <t>C</t>
        </is>
      </c>
      <c r="C1213" s="9" t="inlineStr">
        <is>
          <t>Grid interface</t>
        </is>
      </c>
      <c r="D1213" s="9" t="inlineStr">
        <is>
          <t>Control</t>
        </is>
      </c>
      <c r="E1213" s="9" t="inlineStr">
        <is>
          <t>RH</t>
        </is>
      </c>
      <c r="F1213" s="9" t="inlineStr">
        <is>
          <t>RH: switchyard relay / control house (52 x 70 ft)</t>
        </is>
      </c>
      <c r="G1213" s="9" t="inlineStr">
        <is>
          <t>D5-CB2</t>
        </is>
      </c>
      <c r="H1213" s="9" t="inlineStr">
        <is>
          <t>D5 230 kV breaker 2 (build-out)</t>
        </is>
      </c>
      <c r="I1213" s="9" t="inlineStr">
        <is>
          <t>Control</t>
        </is>
      </c>
      <c r="J1213" s="9" t="inlineStr">
        <is>
          <t>Control cable 600 V Type TC-ER, Cu #14 AWG, PVC jacket</t>
        </is>
      </c>
      <c r="K1213" s="9" t="inlineStr">
        <is>
          <t>CT|12/C|14</t>
        </is>
      </c>
      <c r="L1213" s="9" t="inlineStr">
        <is>
          <t>12/C</t>
        </is>
      </c>
      <c r="M1213" s="9" t="inlineStr">
        <is>
          <t>14</t>
        </is>
      </c>
      <c r="N1213" s="9" t="n">
        <v>1</v>
      </c>
      <c r="O1213" s="9" t="n">
        <v>1</v>
      </c>
      <c r="P1213" s="9" t="n"/>
      <c r="Q1213" s="9" t="n"/>
      <c r="R1213" s="9" t="n"/>
      <c r="S1213" s="9" t="inlineStr">
        <is>
          <t>Estimated</t>
        </is>
      </c>
      <c r="T1213" s="10" t="n">
        <v>1461</v>
      </c>
      <c r="U1213" s="10" t="n">
        <v>40</v>
      </c>
      <c r="V1213" s="10">
        <f>ROUNDUP((T1213+U1213+2*'Read Me'!$B$13)*(1+'Read Me'!$B$12),-1)</f>
        <v/>
      </c>
      <c r="W1213" s="10">
        <f>V1213*N1213*O1213</f>
        <v/>
      </c>
      <c r="X1213" s="9">
        <f>IF(LEFT(I1213,2)="MV",2*N1213*IF(L1213="1/C",O1213,1),0)</f>
        <v/>
      </c>
      <c r="Y1213" s="9">
        <f>IF(OR(LEFT(K1213,4)="LVAX",LEFT(K1213,6)="MV15AX",LEFT(K1213,4)="CTAX",LEFT(K1213,2)="W|"),2*N1213*O1213,0)</f>
        <v/>
      </c>
      <c r="Z1213" s="9" t="inlineStr"/>
    </row>
    <row r="1214">
      <c r="A1214" s="9" t="inlineStr">
        <is>
          <t>C-C-0093</t>
        </is>
      </c>
      <c r="B1214" s="9" t="inlineStr">
        <is>
          <t>C</t>
        </is>
      </c>
      <c r="C1214" s="9" t="inlineStr">
        <is>
          <t>Grid interface</t>
        </is>
      </c>
      <c r="D1214" s="9" t="inlineStr">
        <is>
          <t>Control</t>
        </is>
      </c>
      <c r="E1214" s="9" t="inlineStr">
        <is>
          <t>RH</t>
        </is>
      </c>
      <c r="F1214" s="9" t="inlineStr">
        <is>
          <t>RH: switchyard relay / control house (52 x 70 ft)</t>
        </is>
      </c>
      <c r="G1214" s="9" t="inlineStr">
        <is>
          <t>D5-CB2</t>
        </is>
      </c>
      <c r="H1214" s="9" t="inlineStr">
        <is>
          <t>D5 230 kV breaker 2 (build-out)</t>
        </is>
      </c>
      <c r="I1214" s="9" t="inlineStr">
        <is>
          <t>Control</t>
        </is>
      </c>
      <c r="J1214" s="9" t="inlineStr">
        <is>
          <t>Control cable 600 V Type TC-ER, Cu #14 AWG, PVC jacket</t>
        </is>
      </c>
      <c r="K1214" s="9" t="inlineStr">
        <is>
          <t>CT|12/C|14</t>
        </is>
      </c>
      <c r="L1214" s="9" t="inlineStr">
        <is>
          <t>12/C</t>
        </is>
      </c>
      <c r="M1214" s="9" t="inlineStr">
        <is>
          <t>14</t>
        </is>
      </c>
      <c r="N1214" s="9" t="n">
        <v>1</v>
      </c>
      <c r="O1214" s="9" t="n">
        <v>1</v>
      </c>
      <c r="P1214" s="9" t="n"/>
      <c r="Q1214" s="9" t="n"/>
      <c r="R1214" s="9" t="n"/>
      <c r="S1214" s="9" t="inlineStr">
        <is>
          <t>Estimated</t>
        </is>
      </c>
      <c r="T1214" s="10" t="n">
        <v>1461</v>
      </c>
      <c r="U1214" s="10" t="n">
        <v>40</v>
      </c>
      <c r="V1214" s="10">
        <f>ROUNDUP((T1214+U1214+2*'Read Me'!$B$13)*(1+'Read Me'!$B$12),-1)</f>
        <v/>
      </c>
      <c r="W1214" s="10">
        <f>V1214*N1214*O1214</f>
        <v/>
      </c>
      <c r="X1214" s="9">
        <f>IF(LEFT(I1214,2)="MV",2*N1214*IF(L1214="1/C",O1214,1),0)</f>
        <v/>
      </c>
      <c r="Y1214" s="9">
        <f>IF(OR(LEFT(K1214,4)="LVAX",LEFT(K1214,6)="MV15AX",LEFT(K1214,4)="CTAX",LEFT(K1214,2)="W|"),2*N1214*O1214,0)</f>
        <v/>
      </c>
      <c r="Z1214" s="9" t="inlineStr"/>
    </row>
    <row r="1215">
      <c r="A1215" s="9" t="inlineStr">
        <is>
          <t>C-C-0094</t>
        </is>
      </c>
      <c r="B1215" s="9" t="inlineStr">
        <is>
          <t>C</t>
        </is>
      </c>
      <c r="C1215" s="9" t="inlineStr">
        <is>
          <t>Grid interface</t>
        </is>
      </c>
      <c r="D1215" s="9" t="inlineStr">
        <is>
          <t>Control</t>
        </is>
      </c>
      <c r="E1215" s="9" t="inlineStr">
        <is>
          <t>RH</t>
        </is>
      </c>
      <c r="F1215" s="9" t="inlineStr">
        <is>
          <t>RH: switchyard relay / control house (52 x 70 ft)</t>
        </is>
      </c>
      <c r="G1215" s="9" t="inlineStr">
        <is>
          <t>D5-CB2</t>
        </is>
      </c>
      <c r="H1215" s="9" t="inlineStr">
        <is>
          <t>D5 230 kV breaker 2 (build-out)</t>
        </is>
      </c>
      <c r="I1215" s="9" t="inlineStr">
        <is>
          <t>Control</t>
        </is>
      </c>
      <c r="J1215" s="9" t="inlineStr">
        <is>
          <t>Control cable 600 V Type TC-ER, Cu #14 AWG, PVC jacket</t>
        </is>
      </c>
      <c r="K1215" s="9" t="inlineStr">
        <is>
          <t>CT|12/C|14</t>
        </is>
      </c>
      <c r="L1215" s="9" t="inlineStr">
        <is>
          <t>12/C</t>
        </is>
      </c>
      <c r="M1215" s="9" t="inlineStr">
        <is>
          <t>14</t>
        </is>
      </c>
      <c r="N1215" s="9" t="n">
        <v>1</v>
      </c>
      <c r="O1215" s="9" t="n">
        <v>1</v>
      </c>
      <c r="P1215" s="9" t="n"/>
      <c r="Q1215" s="9" t="n"/>
      <c r="R1215" s="9" t="n"/>
      <c r="S1215" s="9" t="inlineStr">
        <is>
          <t>Estimated</t>
        </is>
      </c>
      <c r="T1215" s="10" t="n">
        <v>1461</v>
      </c>
      <c r="U1215" s="10" t="n">
        <v>40</v>
      </c>
      <c r="V1215" s="10">
        <f>ROUNDUP((T1215+U1215+2*'Read Me'!$B$13)*(1+'Read Me'!$B$12),-1)</f>
        <v/>
      </c>
      <c r="W1215" s="10">
        <f>V1215*N1215*O1215</f>
        <v/>
      </c>
      <c r="X1215" s="9">
        <f>IF(LEFT(I1215,2)="MV",2*N1215*IF(L1215="1/C",O1215,1),0)</f>
        <v/>
      </c>
      <c r="Y1215" s="9">
        <f>IF(OR(LEFT(K1215,4)="LVAX",LEFT(K1215,6)="MV15AX",LEFT(K1215,4)="CTAX",LEFT(K1215,2)="W|"),2*N1215*O1215,0)</f>
        <v/>
      </c>
      <c r="Z1215" s="9" t="inlineStr"/>
    </row>
    <row r="1216">
      <c r="A1216" s="9" t="inlineStr">
        <is>
          <t>C-C-0095</t>
        </is>
      </c>
      <c r="B1216" s="9" t="inlineStr">
        <is>
          <t>C</t>
        </is>
      </c>
      <c r="C1216" s="9" t="inlineStr">
        <is>
          <t>Grid interface</t>
        </is>
      </c>
      <c r="D1216" s="9" t="inlineStr">
        <is>
          <t>Control</t>
        </is>
      </c>
      <c r="E1216" s="9" t="inlineStr">
        <is>
          <t>RH</t>
        </is>
      </c>
      <c r="F1216" s="9" t="inlineStr">
        <is>
          <t>RH: switchyard relay / control house (52 x 70 ft)</t>
        </is>
      </c>
      <c r="G1216" s="9" t="inlineStr">
        <is>
          <t>D5-CB2</t>
        </is>
      </c>
      <c r="H1216" s="9" t="inlineStr">
        <is>
          <t>D5 230 kV breaker 2 (build-out)</t>
        </is>
      </c>
      <c r="I1216" s="9" t="inlineStr">
        <is>
          <t>Control</t>
        </is>
      </c>
      <c r="J1216" s="9" t="inlineStr">
        <is>
          <t>Control cable 600 V Type TC-ER, Cu #14 AWG, PVC jacket</t>
        </is>
      </c>
      <c r="K1216" s="9" t="inlineStr">
        <is>
          <t>CT|12/C|14</t>
        </is>
      </c>
      <c r="L1216" s="9" t="inlineStr">
        <is>
          <t>12/C</t>
        </is>
      </c>
      <c r="M1216" s="9" t="inlineStr">
        <is>
          <t>14</t>
        </is>
      </c>
      <c r="N1216" s="9" t="n">
        <v>1</v>
      </c>
      <c r="O1216" s="9" t="n">
        <v>1</v>
      </c>
      <c r="P1216" s="9" t="n"/>
      <c r="Q1216" s="9" t="n"/>
      <c r="R1216" s="9" t="n"/>
      <c r="S1216" s="9" t="inlineStr">
        <is>
          <t>Estimated</t>
        </is>
      </c>
      <c r="T1216" s="10" t="n">
        <v>1461</v>
      </c>
      <c r="U1216" s="10" t="n">
        <v>40</v>
      </c>
      <c r="V1216" s="10">
        <f>ROUNDUP((T1216+U1216+2*'Read Me'!$B$13)*(1+'Read Me'!$B$12),-1)</f>
        <v/>
      </c>
      <c r="W1216" s="10">
        <f>V1216*N1216*O1216</f>
        <v/>
      </c>
      <c r="X1216" s="9">
        <f>IF(LEFT(I1216,2)="MV",2*N1216*IF(L1216="1/C",O1216,1),0)</f>
        <v/>
      </c>
      <c r="Y1216" s="9">
        <f>IF(OR(LEFT(K1216,4)="LVAX",LEFT(K1216,6)="MV15AX",LEFT(K1216,4)="CTAX",LEFT(K1216,2)="W|"),2*N1216*O1216,0)</f>
        <v/>
      </c>
      <c r="Z1216" s="9" t="inlineStr"/>
    </row>
    <row r="1217">
      <c r="A1217" s="9" t="inlineStr">
        <is>
          <t>C-C-0096</t>
        </is>
      </c>
      <c r="B1217" s="9" t="inlineStr">
        <is>
          <t>C</t>
        </is>
      </c>
      <c r="C1217" s="9" t="inlineStr">
        <is>
          <t>Grid interface</t>
        </is>
      </c>
      <c r="D1217" s="9" t="inlineStr">
        <is>
          <t>CT / VT</t>
        </is>
      </c>
      <c r="E1217" s="9" t="inlineStr">
        <is>
          <t>RH</t>
        </is>
      </c>
      <c r="F1217" s="9" t="inlineStr">
        <is>
          <t>RH: switchyard relay / control house (52 x 70 ft)</t>
        </is>
      </c>
      <c r="G1217" s="9" t="inlineStr">
        <is>
          <t>D5-CB2</t>
        </is>
      </c>
      <c r="H1217" s="9" t="inlineStr">
        <is>
          <t>D5 230 kV breaker 2 (build-out)</t>
        </is>
      </c>
      <c r="I1217" s="9" t="inlineStr">
        <is>
          <t>Control</t>
        </is>
      </c>
      <c r="J1217" s="9" t="inlineStr">
        <is>
          <t>Control cable 600 V Type TC-ER, Cu #10 AWG (CT / VT circuits)</t>
        </is>
      </c>
      <c r="K1217" s="9" t="inlineStr">
        <is>
          <t>CTCT|4/C|10</t>
        </is>
      </c>
      <c r="L1217" s="9" t="inlineStr">
        <is>
          <t>4/C</t>
        </is>
      </c>
      <c r="M1217" s="9" t="inlineStr">
        <is>
          <t>10</t>
        </is>
      </c>
      <c r="N1217" s="9" t="n">
        <v>1</v>
      </c>
      <c r="O1217" s="9" t="n">
        <v>1</v>
      </c>
      <c r="P1217" s="9" t="n"/>
      <c r="Q1217" s="9" t="n"/>
      <c r="R1217" s="9" t="n"/>
      <c r="S1217" s="9" t="inlineStr">
        <is>
          <t>Estimated</t>
        </is>
      </c>
      <c r="T1217" s="10" t="n">
        <v>1461</v>
      </c>
      <c r="U1217" s="10" t="n">
        <v>40</v>
      </c>
      <c r="V1217" s="10">
        <f>ROUNDUP((T1217+U1217+2*'Read Me'!$B$13)*(1+'Read Me'!$B$12),-1)</f>
        <v/>
      </c>
      <c r="W1217" s="10">
        <f>V1217*N1217*O1217</f>
        <v/>
      </c>
      <c r="X1217" s="9">
        <f>IF(LEFT(I1217,2)="MV",2*N1217*IF(L1217="1/C",O1217,1),0)</f>
        <v/>
      </c>
      <c r="Y1217" s="9">
        <f>IF(OR(LEFT(K1217,4)="LVAX",LEFT(K1217,6)="MV15AX",LEFT(K1217,4)="CTAX",LEFT(K1217,2)="W|"),2*N1217*O1217,0)</f>
        <v/>
      </c>
      <c r="Z1217" s="9" t="inlineStr"/>
    </row>
    <row r="1218">
      <c r="A1218" s="9" t="inlineStr">
        <is>
          <t>C-C-0097</t>
        </is>
      </c>
      <c r="B1218" s="9" t="inlineStr">
        <is>
          <t>C</t>
        </is>
      </c>
      <c r="C1218" s="9" t="inlineStr">
        <is>
          <t>Grid interface</t>
        </is>
      </c>
      <c r="D1218" s="9" t="inlineStr">
        <is>
          <t>CT / VT</t>
        </is>
      </c>
      <c r="E1218" s="9" t="inlineStr">
        <is>
          <t>RH</t>
        </is>
      </c>
      <c r="F1218" s="9" t="inlineStr">
        <is>
          <t>RH: switchyard relay / control house (52 x 70 ft)</t>
        </is>
      </c>
      <c r="G1218" s="9" t="inlineStr">
        <is>
          <t>D5-CB2</t>
        </is>
      </c>
      <c r="H1218" s="9" t="inlineStr">
        <is>
          <t>D5 230 kV breaker 2 (build-out)</t>
        </is>
      </c>
      <c r="I1218" s="9" t="inlineStr">
        <is>
          <t>Control</t>
        </is>
      </c>
      <c r="J1218" s="9" t="inlineStr">
        <is>
          <t>Control cable 600 V Type TC-ER, Cu #10 AWG (CT / VT circuits)</t>
        </is>
      </c>
      <c r="K1218" s="9" t="inlineStr">
        <is>
          <t>CTCT|4/C|10</t>
        </is>
      </c>
      <c r="L1218" s="9" t="inlineStr">
        <is>
          <t>4/C</t>
        </is>
      </c>
      <c r="M1218" s="9" t="inlineStr">
        <is>
          <t>10</t>
        </is>
      </c>
      <c r="N1218" s="9" t="n">
        <v>1</v>
      </c>
      <c r="O1218" s="9" t="n">
        <v>1</v>
      </c>
      <c r="P1218" s="9" t="n"/>
      <c r="Q1218" s="9" t="n"/>
      <c r="R1218" s="9" t="n"/>
      <c r="S1218" s="9" t="inlineStr">
        <is>
          <t>Estimated</t>
        </is>
      </c>
      <c r="T1218" s="10" t="n">
        <v>1461</v>
      </c>
      <c r="U1218" s="10" t="n">
        <v>40</v>
      </c>
      <c r="V1218" s="10">
        <f>ROUNDUP((T1218+U1218+2*'Read Me'!$B$13)*(1+'Read Me'!$B$12),-1)</f>
        <v/>
      </c>
      <c r="W1218" s="10">
        <f>V1218*N1218*O1218</f>
        <v/>
      </c>
      <c r="X1218" s="9">
        <f>IF(LEFT(I1218,2)="MV",2*N1218*IF(L1218="1/C",O1218,1),0)</f>
        <v/>
      </c>
      <c r="Y1218" s="9">
        <f>IF(OR(LEFT(K1218,4)="LVAX",LEFT(K1218,6)="MV15AX",LEFT(K1218,4)="CTAX",LEFT(K1218,2)="W|"),2*N1218*O1218,0)</f>
        <v/>
      </c>
      <c r="Z1218" s="9" t="inlineStr"/>
    </row>
    <row r="1219">
      <c r="A1219" s="9" t="inlineStr">
        <is>
          <t>C-C-0098</t>
        </is>
      </c>
      <c r="B1219" s="9" t="inlineStr">
        <is>
          <t>C</t>
        </is>
      </c>
      <c r="C1219" s="9" t="inlineStr">
        <is>
          <t>Grid interface</t>
        </is>
      </c>
      <c r="D1219" s="9" t="inlineStr">
        <is>
          <t>CT / VT</t>
        </is>
      </c>
      <c r="E1219" s="9" t="inlineStr">
        <is>
          <t>RH</t>
        </is>
      </c>
      <c r="F1219" s="9" t="inlineStr">
        <is>
          <t>RH: switchyard relay / control house (52 x 70 ft)</t>
        </is>
      </c>
      <c r="G1219" s="9" t="inlineStr">
        <is>
          <t>D5-CB2</t>
        </is>
      </c>
      <c r="H1219" s="9" t="inlineStr">
        <is>
          <t>D5 230 kV breaker 2 (build-out)</t>
        </is>
      </c>
      <c r="I1219" s="9" t="inlineStr">
        <is>
          <t>Control</t>
        </is>
      </c>
      <c r="J1219" s="9" t="inlineStr">
        <is>
          <t>Control cable 600 V Type TC-ER, Cu #10 AWG (CT / VT circuits)</t>
        </is>
      </c>
      <c r="K1219" s="9" t="inlineStr">
        <is>
          <t>CTCT|4/C|10</t>
        </is>
      </c>
      <c r="L1219" s="9" t="inlineStr">
        <is>
          <t>4/C</t>
        </is>
      </c>
      <c r="M1219" s="9" t="inlineStr">
        <is>
          <t>10</t>
        </is>
      </c>
      <c r="N1219" s="9" t="n">
        <v>1</v>
      </c>
      <c r="O1219" s="9" t="n">
        <v>1</v>
      </c>
      <c r="P1219" s="9" t="n"/>
      <c r="Q1219" s="9" t="n"/>
      <c r="R1219" s="9" t="n"/>
      <c r="S1219" s="9" t="inlineStr">
        <is>
          <t>Estimated</t>
        </is>
      </c>
      <c r="T1219" s="10" t="n">
        <v>1461</v>
      </c>
      <c r="U1219" s="10" t="n">
        <v>40</v>
      </c>
      <c r="V1219" s="10">
        <f>ROUNDUP((T1219+U1219+2*'Read Me'!$B$13)*(1+'Read Me'!$B$12),-1)</f>
        <v/>
      </c>
      <c r="W1219" s="10">
        <f>V1219*N1219*O1219</f>
        <v/>
      </c>
      <c r="X1219" s="9">
        <f>IF(LEFT(I1219,2)="MV",2*N1219*IF(L1219="1/C",O1219,1),0)</f>
        <v/>
      </c>
      <c r="Y1219" s="9">
        <f>IF(OR(LEFT(K1219,4)="LVAX",LEFT(K1219,6)="MV15AX",LEFT(K1219,4)="CTAX",LEFT(K1219,2)="W|"),2*N1219*O1219,0)</f>
        <v/>
      </c>
      <c r="Z1219" s="9" t="inlineStr"/>
    </row>
    <row r="1220">
      <c r="A1220" s="9" t="inlineStr">
        <is>
          <t>C-C-0099</t>
        </is>
      </c>
      <c r="B1220" s="9" t="inlineStr">
        <is>
          <t>C</t>
        </is>
      </c>
      <c r="C1220" s="9" t="inlineStr">
        <is>
          <t>Grid interface</t>
        </is>
      </c>
      <c r="D1220" s="9" t="inlineStr">
        <is>
          <t>Control</t>
        </is>
      </c>
      <c r="E1220" s="9" t="inlineStr">
        <is>
          <t>RH</t>
        </is>
      </c>
      <c r="F1220" s="9" t="inlineStr">
        <is>
          <t>RH: switchyard relay / control house (52 x 70 ft)</t>
        </is>
      </c>
      <c r="G1220" s="9" t="inlineStr">
        <is>
          <t>D5-CB3</t>
        </is>
      </c>
      <c r="H1220" s="9" t="inlineStr">
        <is>
          <t>D5 230 kV breaker 3 (build-out)</t>
        </is>
      </c>
      <c r="I1220" s="9" t="inlineStr">
        <is>
          <t>Control</t>
        </is>
      </c>
      <c r="J1220" s="9" t="inlineStr">
        <is>
          <t>Control cable 600 V Type TC-ER, Cu #14 AWG, PVC jacket</t>
        </is>
      </c>
      <c r="K1220" s="9" t="inlineStr">
        <is>
          <t>CT|12/C|14</t>
        </is>
      </c>
      <c r="L1220" s="9" t="inlineStr">
        <is>
          <t>12/C</t>
        </is>
      </c>
      <c r="M1220" s="9" t="inlineStr">
        <is>
          <t>14</t>
        </is>
      </c>
      <c r="N1220" s="9" t="n">
        <v>1</v>
      </c>
      <c r="O1220" s="9" t="n">
        <v>1</v>
      </c>
      <c r="P1220" s="9" t="n"/>
      <c r="Q1220" s="9" t="n"/>
      <c r="R1220" s="9" t="n"/>
      <c r="S1220" s="9" t="inlineStr">
        <is>
          <t>Estimated</t>
        </is>
      </c>
      <c r="T1220" s="10" t="n">
        <v>1421</v>
      </c>
      <c r="U1220" s="10" t="n">
        <v>40</v>
      </c>
      <c r="V1220" s="10">
        <f>ROUNDUP((T1220+U1220+2*'Read Me'!$B$13)*(1+'Read Me'!$B$12),-1)</f>
        <v/>
      </c>
      <c r="W1220" s="10">
        <f>V1220*N1220*O1220</f>
        <v/>
      </c>
      <c r="X1220" s="9">
        <f>IF(LEFT(I1220,2)="MV",2*N1220*IF(L1220="1/C",O1220,1),0)</f>
        <v/>
      </c>
      <c r="Y1220" s="9">
        <f>IF(OR(LEFT(K1220,4)="LVAX",LEFT(K1220,6)="MV15AX",LEFT(K1220,4)="CTAX",LEFT(K1220,2)="W|"),2*N1220*O1220,0)</f>
        <v/>
      </c>
      <c r="Z1220" s="9" t="inlineStr"/>
    </row>
    <row r="1221">
      <c r="A1221" s="9" t="inlineStr">
        <is>
          <t>C-C-0100</t>
        </is>
      </c>
      <c r="B1221" s="9" t="inlineStr">
        <is>
          <t>C</t>
        </is>
      </c>
      <c r="C1221" s="9" t="inlineStr">
        <is>
          <t>Grid interface</t>
        </is>
      </c>
      <c r="D1221" s="9" t="inlineStr">
        <is>
          <t>Control</t>
        </is>
      </c>
      <c r="E1221" s="9" t="inlineStr">
        <is>
          <t>RH</t>
        </is>
      </c>
      <c r="F1221" s="9" t="inlineStr">
        <is>
          <t>RH: switchyard relay / control house (52 x 70 ft)</t>
        </is>
      </c>
      <c r="G1221" s="9" t="inlineStr">
        <is>
          <t>D5-CB3</t>
        </is>
      </c>
      <c r="H1221" s="9" t="inlineStr">
        <is>
          <t>D5 230 kV breaker 3 (build-out)</t>
        </is>
      </c>
      <c r="I1221" s="9" t="inlineStr">
        <is>
          <t>Control</t>
        </is>
      </c>
      <c r="J1221" s="9" t="inlineStr">
        <is>
          <t>Control cable 600 V Type TC-ER, Cu #14 AWG, PVC jacket</t>
        </is>
      </c>
      <c r="K1221" s="9" t="inlineStr">
        <is>
          <t>CT|12/C|14</t>
        </is>
      </c>
      <c r="L1221" s="9" t="inlineStr">
        <is>
          <t>12/C</t>
        </is>
      </c>
      <c r="M1221" s="9" t="inlineStr">
        <is>
          <t>14</t>
        </is>
      </c>
      <c r="N1221" s="9" t="n">
        <v>1</v>
      </c>
      <c r="O1221" s="9" t="n">
        <v>1</v>
      </c>
      <c r="P1221" s="9" t="n"/>
      <c r="Q1221" s="9" t="n"/>
      <c r="R1221" s="9" t="n"/>
      <c r="S1221" s="9" t="inlineStr">
        <is>
          <t>Estimated</t>
        </is>
      </c>
      <c r="T1221" s="10" t="n">
        <v>1421</v>
      </c>
      <c r="U1221" s="10" t="n">
        <v>40</v>
      </c>
      <c r="V1221" s="10">
        <f>ROUNDUP((T1221+U1221+2*'Read Me'!$B$13)*(1+'Read Me'!$B$12),-1)</f>
        <v/>
      </c>
      <c r="W1221" s="10">
        <f>V1221*N1221*O1221</f>
        <v/>
      </c>
      <c r="X1221" s="9">
        <f>IF(LEFT(I1221,2)="MV",2*N1221*IF(L1221="1/C",O1221,1),0)</f>
        <v/>
      </c>
      <c r="Y1221" s="9">
        <f>IF(OR(LEFT(K1221,4)="LVAX",LEFT(K1221,6)="MV15AX",LEFT(K1221,4)="CTAX",LEFT(K1221,2)="W|"),2*N1221*O1221,0)</f>
        <v/>
      </c>
      <c r="Z1221" s="9" t="inlineStr"/>
    </row>
    <row r="1222">
      <c r="A1222" s="9" t="inlineStr">
        <is>
          <t>C-C-0101</t>
        </is>
      </c>
      <c r="B1222" s="9" t="inlineStr">
        <is>
          <t>C</t>
        </is>
      </c>
      <c r="C1222" s="9" t="inlineStr">
        <is>
          <t>Grid interface</t>
        </is>
      </c>
      <c r="D1222" s="9" t="inlineStr">
        <is>
          <t>Control</t>
        </is>
      </c>
      <c r="E1222" s="9" t="inlineStr">
        <is>
          <t>RH</t>
        </is>
      </c>
      <c r="F1222" s="9" t="inlineStr">
        <is>
          <t>RH: switchyard relay / control house (52 x 70 ft)</t>
        </is>
      </c>
      <c r="G1222" s="9" t="inlineStr">
        <is>
          <t>D5-CB3</t>
        </is>
      </c>
      <c r="H1222" s="9" t="inlineStr">
        <is>
          <t>D5 230 kV breaker 3 (build-out)</t>
        </is>
      </c>
      <c r="I1222" s="9" t="inlineStr">
        <is>
          <t>Control</t>
        </is>
      </c>
      <c r="J1222" s="9" t="inlineStr">
        <is>
          <t>Control cable 600 V Type TC-ER, Cu #14 AWG, PVC jacket</t>
        </is>
      </c>
      <c r="K1222" s="9" t="inlineStr">
        <is>
          <t>CT|12/C|14</t>
        </is>
      </c>
      <c r="L1222" s="9" t="inlineStr">
        <is>
          <t>12/C</t>
        </is>
      </c>
      <c r="M1222" s="9" t="inlineStr">
        <is>
          <t>14</t>
        </is>
      </c>
      <c r="N1222" s="9" t="n">
        <v>1</v>
      </c>
      <c r="O1222" s="9" t="n">
        <v>1</v>
      </c>
      <c r="P1222" s="9" t="n"/>
      <c r="Q1222" s="9" t="n"/>
      <c r="R1222" s="9" t="n"/>
      <c r="S1222" s="9" t="inlineStr">
        <is>
          <t>Estimated</t>
        </is>
      </c>
      <c r="T1222" s="10" t="n">
        <v>1421</v>
      </c>
      <c r="U1222" s="10" t="n">
        <v>40</v>
      </c>
      <c r="V1222" s="10">
        <f>ROUNDUP((T1222+U1222+2*'Read Me'!$B$13)*(1+'Read Me'!$B$12),-1)</f>
        <v/>
      </c>
      <c r="W1222" s="10">
        <f>V1222*N1222*O1222</f>
        <v/>
      </c>
      <c r="X1222" s="9">
        <f>IF(LEFT(I1222,2)="MV",2*N1222*IF(L1222="1/C",O1222,1),0)</f>
        <v/>
      </c>
      <c r="Y1222" s="9">
        <f>IF(OR(LEFT(K1222,4)="LVAX",LEFT(K1222,6)="MV15AX",LEFT(K1222,4)="CTAX",LEFT(K1222,2)="W|"),2*N1222*O1222,0)</f>
        <v/>
      </c>
      <c r="Z1222" s="9" t="inlineStr"/>
    </row>
    <row r="1223">
      <c r="A1223" s="9" t="inlineStr">
        <is>
          <t>C-C-0102</t>
        </is>
      </c>
      <c r="B1223" s="9" t="inlineStr">
        <is>
          <t>C</t>
        </is>
      </c>
      <c r="C1223" s="9" t="inlineStr">
        <is>
          <t>Grid interface</t>
        </is>
      </c>
      <c r="D1223" s="9" t="inlineStr">
        <is>
          <t>Control</t>
        </is>
      </c>
      <c r="E1223" s="9" t="inlineStr">
        <is>
          <t>RH</t>
        </is>
      </c>
      <c r="F1223" s="9" t="inlineStr">
        <is>
          <t>RH: switchyard relay / control house (52 x 70 ft)</t>
        </is>
      </c>
      <c r="G1223" s="9" t="inlineStr">
        <is>
          <t>D5-CB3</t>
        </is>
      </c>
      <c r="H1223" s="9" t="inlineStr">
        <is>
          <t>D5 230 kV breaker 3 (build-out)</t>
        </is>
      </c>
      <c r="I1223" s="9" t="inlineStr">
        <is>
          <t>Control</t>
        </is>
      </c>
      <c r="J1223" s="9" t="inlineStr">
        <is>
          <t>Control cable 600 V Type TC-ER, Cu #14 AWG, PVC jacket</t>
        </is>
      </c>
      <c r="K1223" s="9" t="inlineStr">
        <is>
          <t>CT|12/C|14</t>
        </is>
      </c>
      <c r="L1223" s="9" t="inlineStr">
        <is>
          <t>12/C</t>
        </is>
      </c>
      <c r="M1223" s="9" t="inlineStr">
        <is>
          <t>14</t>
        </is>
      </c>
      <c r="N1223" s="9" t="n">
        <v>1</v>
      </c>
      <c r="O1223" s="9" t="n">
        <v>1</v>
      </c>
      <c r="P1223" s="9" t="n"/>
      <c r="Q1223" s="9" t="n"/>
      <c r="R1223" s="9" t="n"/>
      <c r="S1223" s="9" t="inlineStr">
        <is>
          <t>Estimated</t>
        </is>
      </c>
      <c r="T1223" s="10" t="n">
        <v>1421</v>
      </c>
      <c r="U1223" s="10" t="n">
        <v>40</v>
      </c>
      <c r="V1223" s="10">
        <f>ROUNDUP((T1223+U1223+2*'Read Me'!$B$13)*(1+'Read Me'!$B$12),-1)</f>
        <v/>
      </c>
      <c r="W1223" s="10">
        <f>V1223*N1223*O1223</f>
        <v/>
      </c>
      <c r="X1223" s="9">
        <f>IF(LEFT(I1223,2)="MV",2*N1223*IF(L1223="1/C",O1223,1),0)</f>
        <v/>
      </c>
      <c r="Y1223" s="9">
        <f>IF(OR(LEFT(K1223,4)="LVAX",LEFT(K1223,6)="MV15AX",LEFT(K1223,4)="CTAX",LEFT(K1223,2)="W|"),2*N1223*O1223,0)</f>
        <v/>
      </c>
      <c r="Z1223" s="9" t="inlineStr"/>
    </row>
    <row r="1224">
      <c r="A1224" s="9" t="inlineStr">
        <is>
          <t>C-C-0103</t>
        </is>
      </c>
      <c r="B1224" s="9" t="inlineStr">
        <is>
          <t>C</t>
        </is>
      </c>
      <c r="C1224" s="9" t="inlineStr">
        <is>
          <t>Grid interface</t>
        </is>
      </c>
      <c r="D1224" s="9" t="inlineStr">
        <is>
          <t>CT / VT</t>
        </is>
      </c>
      <c r="E1224" s="9" t="inlineStr">
        <is>
          <t>RH</t>
        </is>
      </c>
      <c r="F1224" s="9" t="inlineStr">
        <is>
          <t>RH: switchyard relay / control house (52 x 70 ft)</t>
        </is>
      </c>
      <c r="G1224" s="9" t="inlineStr">
        <is>
          <t>D5-CB3</t>
        </is>
      </c>
      <c r="H1224" s="9" t="inlineStr">
        <is>
          <t>D5 230 kV breaker 3 (build-out)</t>
        </is>
      </c>
      <c r="I1224" s="9" t="inlineStr">
        <is>
          <t>Control</t>
        </is>
      </c>
      <c r="J1224" s="9" t="inlineStr">
        <is>
          <t>Control cable 600 V Type TC-ER, Cu #10 AWG (CT / VT circuits)</t>
        </is>
      </c>
      <c r="K1224" s="9" t="inlineStr">
        <is>
          <t>CTCT|4/C|10</t>
        </is>
      </c>
      <c r="L1224" s="9" t="inlineStr">
        <is>
          <t>4/C</t>
        </is>
      </c>
      <c r="M1224" s="9" t="inlineStr">
        <is>
          <t>10</t>
        </is>
      </c>
      <c r="N1224" s="9" t="n">
        <v>1</v>
      </c>
      <c r="O1224" s="9" t="n">
        <v>1</v>
      </c>
      <c r="P1224" s="9" t="n"/>
      <c r="Q1224" s="9" t="n"/>
      <c r="R1224" s="9" t="n"/>
      <c r="S1224" s="9" t="inlineStr">
        <is>
          <t>Estimated</t>
        </is>
      </c>
      <c r="T1224" s="10" t="n">
        <v>1421</v>
      </c>
      <c r="U1224" s="10" t="n">
        <v>40</v>
      </c>
      <c r="V1224" s="10">
        <f>ROUNDUP((T1224+U1224+2*'Read Me'!$B$13)*(1+'Read Me'!$B$12),-1)</f>
        <v/>
      </c>
      <c r="W1224" s="10">
        <f>V1224*N1224*O1224</f>
        <v/>
      </c>
      <c r="X1224" s="9">
        <f>IF(LEFT(I1224,2)="MV",2*N1224*IF(L1224="1/C",O1224,1),0)</f>
        <v/>
      </c>
      <c r="Y1224" s="9">
        <f>IF(OR(LEFT(K1224,4)="LVAX",LEFT(K1224,6)="MV15AX",LEFT(K1224,4)="CTAX",LEFT(K1224,2)="W|"),2*N1224*O1224,0)</f>
        <v/>
      </c>
      <c r="Z1224" s="9" t="inlineStr"/>
    </row>
    <row r="1225">
      <c r="A1225" s="9" t="inlineStr">
        <is>
          <t>C-C-0104</t>
        </is>
      </c>
      <c r="B1225" s="9" t="inlineStr">
        <is>
          <t>C</t>
        </is>
      </c>
      <c r="C1225" s="9" t="inlineStr">
        <is>
          <t>Grid interface</t>
        </is>
      </c>
      <c r="D1225" s="9" t="inlineStr">
        <is>
          <t>CT / VT</t>
        </is>
      </c>
      <c r="E1225" s="9" t="inlineStr">
        <is>
          <t>RH</t>
        </is>
      </c>
      <c r="F1225" s="9" t="inlineStr">
        <is>
          <t>RH: switchyard relay / control house (52 x 70 ft)</t>
        </is>
      </c>
      <c r="G1225" s="9" t="inlineStr">
        <is>
          <t>D5-CB3</t>
        </is>
      </c>
      <c r="H1225" s="9" t="inlineStr">
        <is>
          <t>D5 230 kV breaker 3 (build-out)</t>
        </is>
      </c>
      <c r="I1225" s="9" t="inlineStr">
        <is>
          <t>Control</t>
        </is>
      </c>
      <c r="J1225" s="9" t="inlineStr">
        <is>
          <t>Control cable 600 V Type TC-ER, Cu #10 AWG (CT / VT circuits)</t>
        </is>
      </c>
      <c r="K1225" s="9" t="inlineStr">
        <is>
          <t>CTCT|4/C|10</t>
        </is>
      </c>
      <c r="L1225" s="9" t="inlineStr">
        <is>
          <t>4/C</t>
        </is>
      </c>
      <c r="M1225" s="9" t="inlineStr">
        <is>
          <t>10</t>
        </is>
      </c>
      <c r="N1225" s="9" t="n">
        <v>1</v>
      </c>
      <c r="O1225" s="9" t="n">
        <v>1</v>
      </c>
      <c r="P1225" s="9" t="n"/>
      <c r="Q1225" s="9" t="n"/>
      <c r="R1225" s="9" t="n"/>
      <c r="S1225" s="9" t="inlineStr">
        <is>
          <t>Estimated</t>
        </is>
      </c>
      <c r="T1225" s="10" t="n">
        <v>1421</v>
      </c>
      <c r="U1225" s="10" t="n">
        <v>40</v>
      </c>
      <c r="V1225" s="10">
        <f>ROUNDUP((T1225+U1225+2*'Read Me'!$B$13)*(1+'Read Me'!$B$12),-1)</f>
        <v/>
      </c>
      <c r="W1225" s="10">
        <f>V1225*N1225*O1225</f>
        <v/>
      </c>
      <c r="X1225" s="9">
        <f>IF(LEFT(I1225,2)="MV",2*N1225*IF(L1225="1/C",O1225,1),0)</f>
        <v/>
      </c>
      <c r="Y1225" s="9">
        <f>IF(OR(LEFT(K1225,4)="LVAX",LEFT(K1225,6)="MV15AX",LEFT(K1225,4)="CTAX",LEFT(K1225,2)="W|"),2*N1225*O1225,0)</f>
        <v/>
      </c>
      <c r="Z1225" s="9" t="inlineStr"/>
    </row>
    <row r="1226">
      <c r="A1226" s="9" t="inlineStr">
        <is>
          <t>C-C-0105</t>
        </is>
      </c>
      <c r="B1226" s="9" t="inlineStr">
        <is>
          <t>C</t>
        </is>
      </c>
      <c r="C1226" s="9" t="inlineStr">
        <is>
          <t>Grid interface</t>
        </is>
      </c>
      <c r="D1226" s="9" t="inlineStr">
        <is>
          <t>CT / VT</t>
        </is>
      </c>
      <c r="E1226" s="9" t="inlineStr">
        <is>
          <t>RH</t>
        </is>
      </c>
      <c r="F1226" s="9" t="inlineStr">
        <is>
          <t>RH: switchyard relay / control house (52 x 70 ft)</t>
        </is>
      </c>
      <c r="G1226" s="9" t="inlineStr">
        <is>
          <t>D5-CB3</t>
        </is>
      </c>
      <c r="H1226" s="9" t="inlineStr">
        <is>
          <t>D5 230 kV breaker 3 (build-out)</t>
        </is>
      </c>
      <c r="I1226" s="9" t="inlineStr">
        <is>
          <t>Control</t>
        </is>
      </c>
      <c r="J1226" s="9" t="inlineStr">
        <is>
          <t>Control cable 600 V Type TC-ER, Cu #10 AWG (CT / VT circuits)</t>
        </is>
      </c>
      <c r="K1226" s="9" t="inlineStr">
        <is>
          <t>CTCT|4/C|10</t>
        </is>
      </c>
      <c r="L1226" s="9" t="inlineStr">
        <is>
          <t>4/C</t>
        </is>
      </c>
      <c r="M1226" s="9" t="inlineStr">
        <is>
          <t>10</t>
        </is>
      </c>
      <c r="N1226" s="9" t="n">
        <v>1</v>
      </c>
      <c r="O1226" s="9" t="n">
        <v>1</v>
      </c>
      <c r="P1226" s="9" t="n"/>
      <c r="Q1226" s="9" t="n"/>
      <c r="R1226" s="9" t="n"/>
      <c r="S1226" s="9" t="inlineStr">
        <is>
          <t>Estimated</t>
        </is>
      </c>
      <c r="T1226" s="10" t="n">
        <v>1421</v>
      </c>
      <c r="U1226" s="10" t="n">
        <v>40</v>
      </c>
      <c r="V1226" s="10">
        <f>ROUNDUP((T1226+U1226+2*'Read Me'!$B$13)*(1+'Read Me'!$B$12),-1)</f>
        <v/>
      </c>
      <c r="W1226" s="10">
        <f>V1226*N1226*O1226</f>
        <v/>
      </c>
      <c r="X1226" s="9">
        <f>IF(LEFT(I1226,2)="MV",2*N1226*IF(L1226="1/C",O1226,1),0)</f>
        <v/>
      </c>
      <c r="Y1226" s="9">
        <f>IF(OR(LEFT(K1226,4)="LVAX",LEFT(K1226,6)="MV15AX",LEFT(K1226,4)="CTAX",LEFT(K1226,2)="W|"),2*N1226*O1226,0)</f>
        <v/>
      </c>
      <c r="Z1226" s="9" t="inlineStr"/>
    </row>
    <row r="1227">
      <c r="A1227" s="9" t="inlineStr">
        <is>
          <t>C-C-0106</t>
        </is>
      </c>
      <c r="B1227" s="9" t="inlineStr">
        <is>
          <t>C</t>
        </is>
      </c>
      <c r="C1227" s="9" t="inlineStr">
        <is>
          <t>Grid interface</t>
        </is>
      </c>
      <c r="D1227" s="9" t="inlineStr">
        <is>
          <t>Control</t>
        </is>
      </c>
      <c r="E1227" s="9" t="inlineStr">
        <is>
          <t>RH</t>
        </is>
      </c>
      <c r="F1227" s="9" t="inlineStr">
        <is>
          <t>RH: switchyard relay / control house (52 x 70 ft)</t>
        </is>
      </c>
      <c r="G1227" s="9" t="inlineStr">
        <is>
          <t>D6-CB1</t>
        </is>
      </c>
      <c r="H1227" s="9" t="inlineStr">
        <is>
          <t>D6 230 kV breaker 1 (build-out)</t>
        </is>
      </c>
      <c r="I1227" s="9" t="inlineStr">
        <is>
          <t>Control</t>
        </is>
      </c>
      <c r="J1227" s="9" t="inlineStr">
        <is>
          <t>Control cable 600 V Type TC-ER, Cu #14 AWG, PVC jacket</t>
        </is>
      </c>
      <c r="K1227" s="9" t="inlineStr">
        <is>
          <t>CT|12/C|14</t>
        </is>
      </c>
      <c r="L1227" s="9" t="inlineStr">
        <is>
          <t>12/C</t>
        </is>
      </c>
      <c r="M1227" s="9" t="inlineStr">
        <is>
          <t>14</t>
        </is>
      </c>
      <c r="N1227" s="9" t="n">
        <v>1</v>
      </c>
      <c r="O1227" s="9" t="n">
        <v>1</v>
      </c>
      <c r="P1227" s="9" t="n"/>
      <c r="Q1227" s="9" t="n"/>
      <c r="R1227" s="9" t="n"/>
      <c r="S1227" s="9" t="inlineStr">
        <is>
          <t>Trench</t>
        </is>
      </c>
      <c r="T1227" s="10" t="n">
        <v>1584</v>
      </c>
      <c r="U1227" s="10" t="n">
        <v>40</v>
      </c>
      <c r="V1227" s="10">
        <f>ROUNDUP((T1227+U1227+2*'Read Me'!$B$13)*(1+'Read Me'!$B$12),-1)</f>
        <v/>
      </c>
      <c r="W1227" s="10">
        <f>V1227*N1227*O1227</f>
        <v/>
      </c>
      <c r="X1227" s="9">
        <f>IF(LEFT(I1227,2)="MV",2*N1227*IF(L1227="1/C",O1227,1),0)</f>
        <v/>
      </c>
      <c r="Y1227" s="9">
        <f>IF(OR(LEFT(K1227,4)="LVAX",LEFT(K1227,6)="MV15AX",LEFT(K1227,4)="CTAX",LEFT(K1227,2)="W|"),2*N1227*O1227,0)</f>
        <v/>
      </c>
      <c r="Z1227" s="9" t="inlineStr"/>
    </row>
    <row r="1228">
      <c r="A1228" s="9" t="inlineStr">
        <is>
          <t>C-C-0107</t>
        </is>
      </c>
      <c r="B1228" s="9" t="inlineStr">
        <is>
          <t>C</t>
        </is>
      </c>
      <c r="C1228" s="9" t="inlineStr">
        <is>
          <t>Grid interface</t>
        </is>
      </c>
      <c r="D1228" s="9" t="inlineStr">
        <is>
          <t>Control</t>
        </is>
      </c>
      <c r="E1228" s="9" t="inlineStr">
        <is>
          <t>RH</t>
        </is>
      </c>
      <c r="F1228" s="9" t="inlineStr">
        <is>
          <t>RH: switchyard relay / control house (52 x 70 ft)</t>
        </is>
      </c>
      <c r="G1228" s="9" t="inlineStr">
        <is>
          <t>D6-CB1</t>
        </is>
      </c>
      <c r="H1228" s="9" t="inlineStr">
        <is>
          <t>D6 230 kV breaker 1 (build-out)</t>
        </is>
      </c>
      <c r="I1228" s="9" t="inlineStr">
        <is>
          <t>Control</t>
        </is>
      </c>
      <c r="J1228" s="9" t="inlineStr">
        <is>
          <t>Control cable 600 V Type TC-ER, Cu #14 AWG, PVC jacket</t>
        </is>
      </c>
      <c r="K1228" s="9" t="inlineStr">
        <is>
          <t>CT|12/C|14</t>
        </is>
      </c>
      <c r="L1228" s="9" t="inlineStr">
        <is>
          <t>12/C</t>
        </is>
      </c>
      <c r="M1228" s="9" t="inlineStr">
        <is>
          <t>14</t>
        </is>
      </c>
      <c r="N1228" s="9" t="n">
        <v>1</v>
      </c>
      <c r="O1228" s="9" t="n">
        <v>1</v>
      </c>
      <c r="P1228" s="9" t="n"/>
      <c r="Q1228" s="9" t="n"/>
      <c r="R1228" s="9" t="n"/>
      <c r="S1228" s="9" t="inlineStr">
        <is>
          <t>Trench</t>
        </is>
      </c>
      <c r="T1228" s="10" t="n">
        <v>1584</v>
      </c>
      <c r="U1228" s="10" t="n">
        <v>40</v>
      </c>
      <c r="V1228" s="10">
        <f>ROUNDUP((T1228+U1228+2*'Read Me'!$B$13)*(1+'Read Me'!$B$12),-1)</f>
        <v/>
      </c>
      <c r="W1228" s="10">
        <f>V1228*N1228*O1228</f>
        <v/>
      </c>
      <c r="X1228" s="9">
        <f>IF(LEFT(I1228,2)="MV",2*N1228*IF(L1228="1/C",O1228,1),0)</f>
        <v/>
      </c>
      <c r="Y1228" s="9">
        <f>IF(OR(LEFT(K1228,4)="LVAX",LEFT(K1228,6)="MV15AX",LEFT(K1228,4)="CTAX",LEFT(K1228,2)="W|"),2*N1228*O1228,0)</f>
        <v/>
      </c>
      <c r="Z1228" s="9" t="inlineStr"/>
    </row>
    <row r="1229">
      <c r="A1229" s="9" t="inlineStr">
        <is>
          <t>C-C-0108</t>
        </is>
      </c>
      <c r="B1229" s="9" t="inlineStr">
        <is>
          <t>C</t>
        </is>
      </c>
      <c r="C1229" s="9" t="inlineStr">
        <is>
          <t>Grid interface</t>
        </is>
      </c>
      <c r="D1229" s="9" t="inlineStr">
        <is>
          <t>Control</t>
        </is>
      </c>
      <c r="E1229" s="9" t="inlineStr">
        <is>
          <t>RH</t>
        </is>
      </c>
      <c r="F1229" s="9" t="inlineStr">
        <is>
          <t>RH: switchyard relay / control house (52 x 70 ft)</t>
        </is>
      </c>
      <c r="G1229" s="9" t="inlineStr">
        <is>
          <t>D6-CB1</t>
        </is>
      </c>
      <c r="H1229" s="9" t="inlineStr">
        <is>
          <t>D6 230 kV breaker 1 (build-out)</t>
        </is>
      </c>
      <c r="I1229" s="9" t="inlineStr">
        <is>
          <t>Control</t>
        </is>
      </c>
      <c r="J1229" s="9" t="inlineStr">
        <is>
          <t>Control cable 600 V Type TC-ER, Cu #14 AWG, PVC jacket</t>
        </is>
      </c>
      <c r="K1229" s="9" t="inlineStr">
        <is>
          <t>CT|12/C|14</t>
        </is>
      </c>
      <c r="L1229" s="9" t="inlineStr">
        <is>
          <t>12/C</t>
        </is>
      </c>
      <c r="M1229" s="9" t="inlineStr">
        <is>
          <t>14</t>
        </is>
      </c>
      <c r="N1229" s="9" t="n">
        <v>1</v>
      </c>
      <c r="O1229" s="9" t="n">
        <v>1</v>
      </c>
      <c r="P1229" s="9" t="n"/>
      <c r="Q1229" s="9" t="n"/>
      <c r="R1229" s="9" t="n"/>
      <c r="S1229" s="9" t="inlineStr">
        <is>
          <t>Trench</t>
        </is>
      </c>
      <c r="T1229" s="10" t="n">
        <v>1584</v>
      </c>
      <c r="U1229" s="10" t="n">
        <v>40</v>
      </c>
      <c r="V1229" s="10">
        <f>ROUNDUP((T1229+U1229+2*'Read Me'!$B$13)*(1+'Read Me'!$B$12),-1)</f>
        <v/>
      </c>
      <c r="W1229" s="10">
        <f>V1229*N1229*O1229</f>
        <v/>
      </c>
      <c r="X1229" s="9">
        <f>IF(LEFT(I1229,2)="MV",2*N1229*IF(L1229="1/C",O1229,1),0)</f>
        <v/>
      </c>
      <c r="Y1229" s="9">
        <f>IF(OR(LEFT(K1229,4)="LVAX",LEFT(K1229,6)="MV15AX",LEFT(K1229,4)="CTAX",LEFT(K1229,2)="W|"),2*N1229*O1229,0)</f>
        <v/>
      </c>
      <c r="Z1229" s="9" t="inlineStr"/>
    </row>
    <row r="1230">
      <c r="A1230" s="9" t="inlineStr">
        <is>
          <t>C-C-0109</t>
        </is>
      </c>
      <c r="B1230" s="9" t="inlineStr">
        <is>
          <t>C</t>
        </is>
      </c>
      <c r="C1230" s="9" t="inlineStr">
        <is>
          <t>Grid interface</t>
        </is>
      </c>
      <c r="D1230" s="9" t="inlineStr">
        <is>
          <t>Control</t>
        </is>
      </c>
      <c r="E1230" s="9" t="inlineStr">
        <is>
          <t>RH</t>
        </is>
      </c>
      <c r="F1230" s="9" t="inlineStr">
        <is>
          <t>RH: switchyard relay / control house (52 x 70 ft)</t>
        </is>
      </c>
      <c r="G1230" s="9" t="inlineStr">
        <is>
          <t>D6-CB1</t>
        </is>
      </c>
      <c r="H1230" s="9" t="inlineStr">
        <is>
          <t>D6 230 kV breaker 1 (build-out)</t>
        </is>
      </c>
      <c r="I1230" s="9" t="inlineStr">
        <is>
          <t>Control</t>
        </is>
      </c>
      <c r="J1230" s="9" t="inlineStr">
        <is>
          <t>Control cable 600 V Type TC-ER, Cu #14 AWG, PVC jacket</t>
        </is>
      </c>
      <c r="K1230" s="9" t="inlineStr">
        <is>
          <t>CT|12/C|14</t>
        </is>
      </c>
      <c r="L1230" s="9" t="inlineStr">
        <is>
          <t>12/C</t>
        </is>
      </c>
      <c r="M1230" s="9" t="inlineStr">
        <is>
          <t>14</t>
        </is>
      </c>
      <c r="N1230" s="9" t="n">
        <v>1</v>
      </c>
      <c r="O1230" s="9" t="n">
        <v>1</v>
      </c>
      <c r="P1230" s="9" t="n"/>
      <c r="Q1230" s="9" t="n"/>
      <c r="R1230" s="9" t="n"/>
      <c r="S1230" s="9" t="inlineStr">
        <is>
          <t>Trench</t>
        </is>
      </c>
      <c r="T1230" s="10" t="n">
        <v>1584</v>
      </c>
      <c r="U1230" s="10" t="n">
        <v>40</v>
      </c>
      <c r="V1230" s="10">
        <f>ROUNDUP((T1230+U1230+2*'Read Me'!$B$13)*(1+'Read Me'!$B$12),-1)</f>
        <v/>
      </c>
      <c r="W1230" s="10">
        <f>V1230*N1230*O1230</f>
        <v/>
      </c>
      <c r="X1230" s="9">
        <f>IF(LEFT(I1230,2)="MV",2*N1230*IF(L1230="1/C",O1230,1),0)</f>
        <v/>
      </c>
      <c r="Y1230" s="9">
        <f>IF(OR(LEFT(K1230,4)="LVAX",LEFT(K1230,6)="MV15AX",LEFT(K1230,4)="CTAX",LEFT(K1230,2)="W|"),2*N1230*O1230,0)</f>
        <v/>
      </c>
      <c r="Z1230" s="9" t="inlineStr"/>
    </row>
    <row r="1231">
      <c r="A1231" s="9" t="inlineStr">
        <is>
          <t>C-C-0110</t>
        </is>
      </c>
      <c r="B1231" s="9" t="inlineStr">
        <is>
          <t>C</t>
        </is>
      </c>
      <c r="C1231" s="9" t="inlineStr">
        <is>
          <t>Grid interface</t>
        </is>
      </c>
      <c r="D1231" s="9" t="inlineStr">
        <is>
          <t>CT / VT</t>
        </is>
      </c>
      <c r="E1231" s="9" t="inlineStr">
        <is>
          <t>RH</t>
        </is>
      </c>
      <c r="F1231" s="9" t="inlineStr">
        <is>
          <t>RH: switchyard relay / control house (52 x 70 ft)</t>
        </is>
      </c>
      <c r="G1231" s="9" t="inlineStr">
        <is>
          <t>D6-CB1</t>
        </is>
      </c>
      <c r="H1231" s="9" t="inlineStr">
        <is>
          <t>D6 230 kV breaker 1 (build-out)</t>
        </is>
      </c>
      <c r="I1231" s="9" t="inlineStr">
        <is>
          <t>Control</t>
        </is>
      </c>
      <c r="J1231" s="9" t="inlineStr">
        <is>
          <t>Control cable 600 V Type TC-ER, Cu #10 AWG (CT / VT circuits)</t>
        </is>
      </c>
      <c r="K1231" s="9" t="inlineStr">
        <is>
          <t>CTCT|4/C|10</t>
        </is>
      </c>
      <c r="L1231" s="9" t="inlineStr">
        <is>
          <t>4/C</t>
        </is>
      </c>
      <c r="M1231" s="9" t="inlineStr">
        <is>
          <t>10</t>
        </is>
      </c>
      <c r="N1231" s="9" t="n">
        <v>1</v>
      </c>
      <c r="O1231" s="9" t="n">
        <v>1</v>
      </c>
      <c r="P1231" s="9" t="n"/>
      <c r="Q1231" s="9" t="n"/>
      <c r="R1231" s="9" t="n"/>
      <c r="S1231" s="9" t="inlineStr">
        <is>
          <t>Trench</t>
        </is>
      </c>
      <c r="T1231" s="10" t="n">
        <v>1584</v>
      </c>
      <c r="U1231" s="10" t="n">
        <v>40</v>
      </c>
      <c r="V1231" s="10">
        <f>ROUNDUP((T1231+U1231+2*'Read Me'!$B$13)*(1+'Read Me'!$B$12),-1)</f>
        <v/>
      </c>
      <c r="W1231" s="10">
        <f>V1231*N1231*O1231</f>
        <v/>
      </c>
      <c r="X1231" s="9">
        <f>IF(LEFT(I1231,2)="MV",2*N1231*IF(L1231="1/C",O1231,1),0)</f>
        <v/>
      </c>
      <c r="Y1231" s="9">
        <f>IF(OR(LEFT(K1231,4)="LVAX",LEFT(K1231,6)="MV15AX",LEFT(K1231,4)="CTAX",LEFT(K1231,2)="W|"),2*N1231*O1231,0)</f>
        <v/>
      </c>
      <c r="Z1231" s="9" t="inlineStr"/>
    </row>
    <row r="1232">
      <c r="A1232" s="9" t="inlineStr">
        <is>
          <t>C-C-0111</t>
        </is>
      </c>
      <c r="B1232" s="9" t="inlineStr">
        <is>
          <t>C</t>
        </is>
      </c>
      <c r="C1232" s="9" t="inlineStr">
        <is>
          <t>Grid interface</t>
        </is>
      </c>
      <c r="D1232" s="9" t="inlineStr">
        <is>
          <t>CT / VT</t>
        </is>
      </c>
      <c r="E1232" s="9" t="inlineStr">
        <is>
          <t>RH</t>
        </is>
      </c>
      <c r="F1232" s="9" t="inlineStr">
        <is>
          <t>RH: switchyard relay / control house (52 x 70 ft)</t>
        </is>
      </c>
      <c r="G1232" s="9" t="inlineStr">
        <is>
          <t>D6-CB1</t>
        </is>
      </c>
      <c r="H1232" s="9" t="inlineStr">
        <is>
          <t>D6 230 kV breaker 1 (build-out)</t>
        </is>
      </c>
      <c r="I1232" s="9" t="inlineStr">
        <is>
          <t>Control</t>
        </is>
      </c>
      <c r="J1232" s="9" t="inlineStr">
        <is>
          <t>Control cable 600 V Type TC-ER, Cu #10 AWG (CT / VT circuits)</t>
        </is>
      </c>
      <c r="K1232" s="9" t="inlineStr">
        <is>
          <t>CTCT|4/C|10</t>
        </is>
      </c>
      <c r="L1232" s="9" t="inlineStr">
        <is>
          <t>4/C</t>
        </is>
      </c>
      <c r="M1232" s="9" t="inlineStr">
        <is>
          <t>10</t>
        </is>
      </c>
      <c r="N1232" s="9" t="n">
        <v>1</v>
      </c>
      <c r="O1232" s="9" t="n">
        <v>1</v>
      </c>
      <c r="P1232" s="9" t="n"/>
      <c r="Q1232" s="9" t="n"/>
      <c r="R1232" s="9" t="n"/>
      <c r="S1232" s="9" t="inlineStr">
        <is>
          <t>Trench</t>
        </is>
      </c>
      <c r="T1232" s="10" t="n">
        <v>1584</v>
      </c>
      <c r="U1232" s="10" t="n">
        <v>40</v>
      </c>
      <c r="V1232" s="10">
        <f>ROUNDUP((T1232+U1232+2*'Read Me'!$B$13)*(1+'Read Me'!$B$12),-1)</f>
        <v/>
      </c>
      <c r="W1232" s="10">
        <f>V1232*N1232*O1232</f>
        <v/>
      </c>
      <c r="X1232" s="9">
        <f>IF(LEFT(I1232,2)="MV",2*N1232*IF(L1232="1/C",O1232,1),0)</f>
        <v/>
      </c>
      <c r="Y1232" s="9">
        <f>IF(OR(LEFT(K1232,4)="LVAX",LEFT(K1232,6)="MV15AX",LEFT(K1232,4)="CTAX",LEFT(K1232,2)="W|"),2*N1232*O1232,0)</f>
        <v/>
      </c>
      <c r="Z1232" s="9" t="inlineStr"/>
    </row>
    <row r="1233">
      <c r="A1233" s="9" t="inlineStr">
        <is>
          <t>C-C-0112</t>
        </is>
      </c>
      <c r="B1233" s="9" t="inlineStr">
        <is>
          <t>C</t>
        </is>
      </c>
      <c r="C1233" s="9" t="inlineStr">
        <is>
          <t>Grid interface</t>
        </is>
      </c>
      <c r="D1233" s="9" t="inlineStr">
        <is>
          <t>CT / VT</t>
        </is>
      </c>
      <c r="E1233" s="9" t="inlineStr">
        <is>
          <t>RH</t>
        </is>
      </c>
      <c r="F1233" s="9" t="inlineStr">
        <is>
          <t>RH: switchyard relay / control house (52 x 70 ft)</t>
        </is>
      </c>
      <c r="G1233" s="9" t="inlineStr">
        <is>
          <t>D6-CB1</t>
        </is>
      </c>
      <c r="H1233" s="9" t="inlineStr">
        <is>
          <t>D6 230 kV breaker 1 (build-out)</t>
        </is>
      </c>
      <c r="I1233" s="9" t="inlineStr">
        <is>
          <t>Control</t>
        </is>
      </c>
      <c r="J1233" s="9" t="inlineStr">
        <is>
          <t>Control cable 600 V Type TC-ER, Cu #10 AWG (CT / VT circuits)</t>
        </is>
      </c>
      <c r="K1233" s="9" t="inlineStr">
        <is>
          <t>CTCT|4/C|10</t>
        </is>
      </c>
      <c r="L1233" s="9" t="inlineStr">
        <is>
          <t>4/C</t>
        </is>
      </c>
      <c r="M1233" s="9" t="inlineStr">
        <is>
          <t>10</t>
        </is>
      </c>
      <c r="N1233" s="9" t="n">
        <v>1</v>
      </c>
      <c r="O1233" s="9" t="n">
        <v>1</v>
      </c>
      <c r="P1233" s="9" t="n"/>
      <c r="Q1233" s="9" t="n"/>
      <c r="R1233" s="9" t="n"/>
      <c r="S1233" s="9" t="inlineStr">
        <is>
          <t>Trench</t>
        </is>
      </c>
      <c r="T1233" s="10" t="n">
        <v>1584</v>
      </c>
      <c r="U1233" s="10" t="n">
        <v>40</v>
      </c>
      <c r="V1233" s="10">
        <f>ROUNDUP((T1233+U1233+2*'Read Me'!$B$13)*(1+'Read Me'!$B$12),-1)</f>
        <v/>
      </c>
      <c r="W1233" s="10">
        <f>V1233*N1233*O1233</f>
        <v/>
      </c>
      <c r="X1233" s="9">
        <f>IF(LEFT(I1233,2)="MV",2*N1233*IF(L1233="1/C",O1233,1),0)</f>
        <v/>
      </c>
      <c r="Y1233" s="9">
        <f>IF(OR(LEFT(K1233,4)="LVAX",LEFT(K1233,6)="MV15AX",LEFT(K1233,4)="CTAX",LEFT(K1233,2)="W|"),2*N1233*O1233,0)</f>
        <v/>
      </c>
      <c r="Z1233" s="9" t="inlineStr"/>
    </row>
    <row r="1234">
      <c r="A1234" s="9" t="inlineStr">
        <is>
          <t>C-C-0113</t>
        </is>
      </c>
      <c r="B1234" s="9" t="inlineStr">
        <is>
          <t>C</t>
        </is>
      </c>
      <c r="C1234" s="9" t="inlineStr">
        <is>
          <t>Grid interface</t>
        </is>
      </c>
      <c r="D1234" s="9" t="inlineStr">
        <is>
          <t>Control</t>
        </is>
      </c>
      <c r="E1234" s="9" t="inlineStr">
        <is>
          <t>RH</t>
        </is>
      </c>
      <c r="F1234" s="9" t="inlineStr">
        <is>
          <t>RH: switchyard relay / control house (52 x 70 ft)</t>
        </is>
      </c>
      <c r="G1234" s="9" t="inlineStr">
        <is>
          <t>D6-CB2</t>
        </is>
      </c>
      <c r="H1234" s="9" t="inlineStr">
        <is>
          <t>D6 230 kV breaker 2 (build-out)</t>
        </is>
      </c>
      <c r="I1234" s="9" t="inlineStr">
        <is>
          <t>Control</t>
        </is>
      </c>
      <c r="J1234" s="9" t="inlineStr">
        <is>
          <t>Control cable 600 V Type TC-ER, Cu #14 AWG, PVC jacket</t>
        </is>
      </c>
      <c r="K1234" s="9" t="inlineStr">
        <is>
          <t>CT|12/C|14</t>
        </is>
      </c>
      <c r="L1234" s="9" t="inlineStr">
        <is>
          <t>12/C</t>
        </is>
      </c>
      <c r="M1234" s="9" t="inlineStr">
        <is>
          <t>14</t>
        </is>
      </c>
      <c r="N1234" s="9" t="n">
        <v>1</v>
      </c>
      <c r="O1234" s="9" t="n">
        <v>1</v>
      </c>
      <c r="P1234" s="9" t="n"/>
      <c r="Q1234" s="9" t="n"/>
      <c r="R1234" s="9" t="n"/>
      <c r="S1234" s="9" t="inlineStr">
        <is>
          <t>Trench</t>
        </is>
      </c>
      <c r="T1234" s="10" t="n">
        <v>1584</v>
      </c>
      <c r="U1234" s="10" t="n">
        <v>52</v>
      </c>
      <c r="V1234" s="10">
        <f>ROUNDUP((T1234+U1234+2*'Read Me'!$B$13)*(1+'Read Me'!$B$12),-1)</f>
        <v/>
      </c>
      <c r="W1234" s="10">
        <f>V1234*N1234*O1234</f>
        <v/>
      </c>
      <c r="X1234" s="9">
        <f>IF(LEFT(I1234,2)="MV",2*N1234*IF(L1234="1/C",O1234,1),0)</f>
        <v/>
      </c>
      <c r="Y1234" s="9">
        <f>IF(OR(LEFT(K1234,4)="LVAX",LEFT(K1234,6)="MV15AX",LEFT(K1234,4)="CTAX",LEFT(K1234,2)="W|"),2*N1234*O1234,0)</f>
        <v/>
      </c>
      <c r="Z1234" s="9" t="inlineStr"/>
    </row>
    <row r="1235">
      <c r="A1235" s="9" t="inlineStr">
        <is>
          <t>C-C-0114</t>
        </is>
      </c>
      <c r="B1235" s="9" t="inlineStr">
        <is>
          <t>C</t>
        </is>
      </c>
      <c r="C1235" s="9" t="inlineStr">
        <is>
          <t>Grid interface</t>
        </is>
      </c>
      <c r="D1235" s="9" t="inlineStr">
        <is>
          <t>Control</t>
        </is>
      </c>
      <c r="E1235" s="9" t="inlineStr">
        <is>
          <t>RH</t>
        </is>
      </c>
      <c r="F1235" s="9" t="inlineStr">
        <is>
          <t>RH: switchyard relay / control house (52 x 70 ft)</t>
        </is>
      </c>
      <c r="G1235" s="9" t="inlineStr">
        <is>
          <t>D6-CB2</t>
        </is>
      </c>
      <c r="H1235" s="9" t="inlineStr">
        <is>
          <t>D6 230 kV breaker 2 (build-out)</t>
        </is>
      </c>
      <c r="I1235" s="9" t="inlineStr">
        <is>
          <t>Control</t>
        </is>
      </c>
      <c r="J1235" s="9" t="inlineStr">
        <is>
          <t>Control cable 600 V Type TC-ER, Cu #14 AWG, PVC jacket</t>
        </is>
      </c>
      <c r="K1235" s="9" t="inlineStr">
        <is>
          <t>CT|12/C|14</t>
        </is>
      </c>
      <c r="L1235" s="9" t="inlineStr">
        <is>
          <t>12/C</t>
        </is>
      </c>
      <c r="M1235" s="9" t="inlineStr">
        <is>
          <t>14</t>
        </is>
      </c>
      <c r="N1235" s="9" t="n">
        <v>1</v>
      </c>
      <c r="O1235" s="9" t="n">
        <v>1</v>
      </c>
      <c r="P1235" s="9" t="n"/>
      <c r="Q1235" s="9" t="n"/>
      <c r="R1235" s="9" t="n"/>
      <c r="S1235" s="9" t="inlineStr">
        <is>
          <t>Trench</t>
        </is>
      </c>
      <c r="T1235" s="10" t="n">
        <v>1584</v>
      </c>
      <c r="U1235" s="10" t="n">
        <v>52</v>
      </c>
      <c r="V1235" s="10">
        <f>ROUNDUP((T1235+U1235+2*'Read Me'!$B$13)*(1+'Read Me'!$B$12),-1)</f>
        <v/>
      </c>
      <c r="W1235" s="10">
        <f>V1235*N1235*O1235</f>
        <v/>
      </c>
      <c r="X1235" s="9">
        <f>IF(LEFT(I1235,2)="MV",2*N1235*IF(L1235="1/C",O1235,1),0)</f>
        <v/>
      </c>
      <c r="Y1235" s="9">
        <f>IF(OR(LEFT(K1235,4)="LVAX",LEFT(K1235,6)="MV15AX",LEFT(K1235,4)="CTAX",LEFT(K1235,2)="W|"),2*N1235*O1235,0)</f>
        <v/>
      </c>
      <c r="Z1235" s="9" t="inlineStr"/>
    </row>
    <row r="1236">
      <c r="A1236" s="9" t="inlineStr">
        <is>
          <t>C-C-0115</t>
        </is>
      </c>
      <c r="B1236" s="9" t="inlineStr">
        <is>
          <t>C</t>
        </is>
      </c>
      <c r="C1236" s="9" t="inlineStr">
        <is>
          <t>Grid interface</t>
        </is>
      </c>
      <c r="D1236" s="9" t="inlineStr">
        <is>
          <t>Control</t>
        </is>
      </c>
      <c r="E1236" s="9" t="inlineStr">
        <is>
          <t>RH</t>
        </is>
      </c>
      <c r="F1236" s="9" t="inlineStr">
        <is>
          <t>RH: switchyard relay / control house (52 x 70 ft)</t>
        </is>
      </c>
      <c r="G1236" s="9" t="inlineStr">
        <is>
          <t>D6-CB2</t>
        </is>
      </c>
      <c r="H1236" s="9" t="inlineStr">
        <is>
          <t>D6 230 kV breaker 2 (build-out)</t>
        </is>
      </c>
      <c r="I1236" s="9" t="inlineStr">
        <is>
          <t>Control</t>
        </is>
      </c>
      <c r="J1236" s="9" t="inlineStr">
        <is>
          <t>Control cable 600 V Type TC-ER, Cu #14 AWG, PVC jacket</t>
        </is>
      </c>
      <c r="K1236" s="9" t="inlineStr">
        <is>
          <t>CT|12/C|14</t>
        </is>
      </c>
      <c r="L1236" s="9" t="inlineStr">
        <is>
          <t>12/C</t>
        </is>
      </c>
      <c r="M1236" s="9" t="inlineStr">
        <is>
          <t>14</t>
        </is>
      </c>
      <c r="N1236" s="9" t="n">
        <v>1</v>
      </c>
      <c r="O1236" s="9" t="n">
        <v>1</v>
      </c>
      <c r="P1236" s="9" t="n"/>
      <c r="Q1236" s="9" t="n"/>
      <c r="R1236" s="9" t="n"/>
      <c r="S1236" s="9" t="inlineStr">
        <is>
          <t>Trench</t>
        </is>
      </c>
      <c r="T1236" s="10" t="n">
        <v>1584</v>
      </c>
      <c r="U1236" s="10" t="n">
        <v>52</v>
      </c>
      <c r="V1236" s="10">
        <f>ROUNDUP((T1236+U1236+2*'Read Me'!$B$13)*(1+'Read Me'!$B$12),-1)</f>
        <v/>
      </c>
      <c r="W1236" s="10">
        <f>V1236*N1236*O1236</f>
        <v/>
      </c>
      <c r="X1236" s="9">
        <f>IF(LEFT(I1236,2)="MV",2*N1236*IF(L1236="1/C",O1236,1),0)</f>
        <v/>
      </c>
      <c r="Y1236" s="9">
        <f>IF(OR(LEFT(K1236,4)="LVAX",LEFT(K1236,6)="MV15AX",LEFT(K1236,4)="CTAX",LEFT(K1236,2)="W|"),2*N1236*O1236,0)</f>
        <v/>
      </c>
      <c r="Z1236" s="9" t="inlineStr"/>
    </row>
    <row r="1237">
      <c r="A1237" s="9" t="inlineStr">
        <is>
          <t>C-C-0116</t>
        </is>
      </c>
      <c r="B1237" s="9" t="inlineStr">
        <is>
          <t>C</t>
        </is>
      </c>
      <c r="C1237" s="9" t="inlineStr">
        <is>
          <t>Grid interface</t>
        </is>
      </c>
      <c r="D1237" s="9" t="inlineStr">
        <is>
          <t>Control</t>
        </is>
      </c>
      <c r="E1237" s="9" t="inlineStr">
        <is>
          <t>RH</t>
        </is>
      </c>
      <c r="F1237" s="9" t="inlineStr">
        <is>
          <t>RH: switchyard relay / control house (52 x 70 ft)</t>
        </is>
      </c>
      <c r="G1237" s="9" t="inlineStr">
        <is>
          <t>D6-CB2</t>
        </is>
      </c>
      <c r="H1237" s="9" t="inlineStr">
        <is>
          <t>D6 230 kV breaker 2 (build-out)</t>
        </is>
      </c>
      <c r="I1237" s="9" t="inlineStr">
        <is>
          <t>Control</t>
        </is>
      </c>
      <c r="J1237" s="9" t="inlineStr">
        <is>
          <t>Control cable 600 V Type TC-ER, Cu #14 AWG, PVC jacket</t>
        </is>
      </c>
      <c r="K1237" s="9" t="inlineStr">
        <is>
          <t>CT|12/C|14</t>
        </is>
      </c>
      <c r="L1237" s="9" t="inlineStr">
        <is>
          <t>12/C</t>
        </is>
      </c>
      <c r="M1237" s="9" t="inlineStr">
        <is>
          <t>14</t>
        </is>
      </c>
      <c r="N1237" s="9" t="n">
        <v>1</v>
      </c>
      <c r="O1237" s="9" t="n">
        <v>1</v>
      </c>
      <c r="P1237" s="9" t="n"/>
      <c r="Q1237" s="9" t="n"/>
      <c r="R1237" s="9" t="n"/>
      <c r="S1237" s="9" t="inlineStr">
        <is>
          <t>Trench</t>
        </is>
      </c>
      <c r="T1237" s="10" t="n">
        <v>1584</v>
      </c>
      <c r="U1237" s="10" t="n">
        <v>52</v>
      </c>
      <c r="V1237" s="10">
        <f>ROUNDUP((T1237+U1237+2*'Read Me'!$B$13)*(1+'Read Me'!$B$12),-1)</f>
        <v/>
      </c>
      <c r="W1237" s="10">
        <f>V1237*N1237*O1237</f>
        <v/>
      </c>
      <c r="X1237" s="9">
        <f>IF(LEFT(I1237,2)="MV",2*N1237*IF(L1237="1/C",O1237,1),0)</f>
        <v/>
      </c>
      <c r="Y1237" s="9">
        <f>IF(OR(LEFT(K1237,4)="LVAX",LEFT(K1237,6)="MV15AX",LEFT(K1237,4)="CTAX",LEFT(K1237,2)="W|"),2*N1237*O1237,0)</f>
        <v/>
      </c>
      <c r="Z1237" s="9" t="inlineStr"/>
    </row>
    <row r="1238">
      <c r="A1238" s="9" t="inlineStr">
        <is>
          <t>C-C-0117</t>
        </is>
      </c>
      <c r="B1238" s="9" t="inlineStr">
        <is>
          <t>C</t>
        </is>
      </c>
      <c r="C1238" s="9" t="inlineStr">
        <is>
          <t>Grid interface</t>
        </is>
      </c>
      <c r="D1238" s="9" t="inlineStr">
        <is>
          <t>CT / VT</t>
        </is>
      </c>
      <c r="E1238" s="9" t="inlineStr">
        <is>
          <t>RH</t>
        </is>
      </c>
      <c r="F1238" s="9" t="inlineStr">
        <is>
          <t>RH: switchyard relay / control house (52 x 70 ft)</t>
        </is>
      </c>
      <c r="G1238" s="9" t="inlineStr">
        <is>
          <t>D6-CB2</t>
        </is>
      </c>
      <c r="H1238" s="9" t="inlineStr">
        <is>
          <t>D6 230 kV breaker 2 (build-out)</t>
        </is>
      </c>
      <c r="I1238" s="9" t="inlineStr">
        <is>
          <t>Control</t>
        </is>
      </c>
      <c r="J1238" s="9" t="inlineStr">
        <is>
          <t>Control cable 600 V Type TC-ER, Cu #10 AWG (CT / VT circuits)</t>
        </is>
      </c>
      <c r="K1238" s="9" t="inlineStr">
        <is>
          <t>CTCT|4/C|10</t>
        </is>
      </c>
      <c r="L1238" s="9" t="inlineStr">
        <is>
          <t>4/C</t>
        </is>
      </c>
      <c r="M1238" s="9" t="inlineStr">
        <is>
          <t>10</t>
        </is>
      </c>
      <c r="N1238" s="9" t="n">
        <v>1</v>
      </c>
      <c r="O1238" s="9" t="n">
        <v>1</v>
      </c>
      <c r="P1238" s="9" t="n"/>
      <c r="Q1238" s="9" t="n"/>
      <c r="R1238" s="9" t="n"/>
      <c r="S1238" s="9" t="inlineStr">
        <is>
          <t>Trench</t>
        </is>
      </c>
      <c r="T1238" s="10" t="n">
        <v>1584</v>
      </c>
      <c r="U1238" s="10" t="n">
        <v>52</v>
      </c>
      <c r="V1238" s="10">
        <f>ROUNDUP((T1238+U1238+2*'Read Me'!$B$13)*(1+'Read Me'!$B$12),-1)</f>
        <v/>
      </c>
      <c r="W1238" s="10">
        <f>V1238*N1238*O1238</f>
        <v/>
      </c>
      <c r="X1238" s="9">
        <f>IF(LEFT(I1238,2)="MV",2*N1238*IF(L1238="1/C",O1238,1),0)</f>
        <v/>
      </c>
      <c r="Y1238" s="9">
        <f>IF(OR(LEFT(K1238,4)="LVAX",LEFT(K1238,6)="MV15AX",LEFT(K1238,4)="CTAX",LEFT(K1238,2)="W|"),2*N1238*O1238,0)</f>
        <v/>
      </c>
      <c r="Z1238" s="9" t="inlineStr"/>
    </row>
    <row r="1239">
      <c r="A1239" s="9" t="inlineStr">
        <is>
          <t>C-C-0118</t>
        </is>
      </c>
      <c r="B1239" s="9" t="inlineStr">
        <is>
          <t>C</t>
        </is>
      </c>
      <c r="C1239" s="9" t="inlineStr">
        <is>
          <t>Grid interface</t>
        </is>
      </c>
      <c r="D1239" s="9" t="inlineStr">
        <is>
          <t>CT / VT</t>
        </is>
      </c>
      <c r="E1239" s="9" t="inlineStr">
        <is>
          <t>RH</t>
        </is>
      </c>
      <c r="F1239" s="9" t="inlineStr">
        <is>
          <t>RH: switchyard relay / control house (52 x 70 ft)</t>
        </is>
      </c>
      <c r="G1239" s="9" t="inlineStr">
        <is>
          <t>D6-CB2</t>
        </is>
      </c>
      <c r="H1239" s="9" t="inlineStr">
        <is>
          <t>D6 230 kV breaker 2 (build-out)</t>
        </is>
      </c>
      <c r="I1239" s="9" t="inlineStr">
        <is>
          <t>Control</t>
        </is>
      </c>
      <c r="J1239" s="9" t="inlineStr">
        <is>
          <t>Control cable 600 V Type TC-ER, Cu #10 AWG (CT / VT circuits)</t>
        </is>
      </c>
      <c r="K1239" s="9" t="inlineStr">
        <is>
          <t>CTCT|4/C|10</t>
        </is>
      </c>
      <c r="L1239" s="9" t="inlineStr">
        <is>
          <t>4/C</t>
        </is>
      </c>
      <c r="M1239" s="9" t="inlineStr">
        <is>
          <t>10</t>
        </is>
      </c>
      <c r="N1239" s="9" t="n">
        <v>1</v>
      </c>
      <c r="O1239" s="9" t="n">
        <v>1</v>
      </c>
      <c r="P1239" s="9" t="n"/>
      <c r="Q1239" s="9" t="n"/>
      <c r="R1239" s="9" t="n"/>
      <c r="S1239" s="9" t="inlineStr">
        <is>
          <t>Trench</t>
        </is>
      </c>
      <c r="T1239" s="10" t="n">
        <v>1584</v>
      </c>
      <c r="U1239" s="10" t="n">
        <v>52</v>
      </c>
      <c r="V1239" s="10">
        <f>ROUNDUP((T1239+U1239+2*'Read Me'!$B$13)*(1+'Read Me'!$B$12),-1)</f>
        <v/>
      </c>
      <c r="W1239" s="10">
        <f>V1239*N1239*O1239</f>
        <v/>
      </c>
      <c r="X1239" s="9">
        <f>IF(LEFT(I1239,2)="MV",2*N1239*IF(L1239="1/C",O1239,1),0)</f>
        <v/>
      </c>
      <c r="Y1239" s="9">
        <f>IF(OR(LEFT(K1239,4)="LVAX",LEFT(K1239,6)="MV15AX",LEFT(K1239,4)="CTAX",LEFT(K1239,2)="W|"),2*N1239*O1239,0)</f>
        <v/>
      </c>
      <c r="Z1239" s="9" t="inlineStr"/>
    </row>
    <row r="1240">
      <c r="A1240" s="9" t="inlineStr">
        <is>
          <t>C-C-0119</t>
        </is>
      </c>
      <c r="B1240" s="9" t="inlineStr">
        <is>
          <t>C</t>
        </is>
      </c>
      <c r="C1240" s="9" t="inlineStr">
        <is>
          <t>Grid interface</t>
        </is>
      </c>
      <c r="D1240" s="9" t="inlineStr">
        <is>
          <t>CT / VT</t>
        </is>
      </c>
      <c r="E1240" s="9" t="inlineStr">
        <is>
          <t>RH</t>
        </is>
      </c>
      <c r="F1240" s="9" t="inlineStr">
        <is>
          <t>RH: switchyard relay / control house (52 x 70 ft)</t>
        </is>
      </c>
      <c r="G1240" s="9" t="inlineStr">
        <is>
          <t>D6-CB2</t>
        </is>
      </c>
      <c r="H1240" s="9" t="inlineStr">
        <is>
          <t>D6 230 kV breaker 2 (build-out)</t>
        </is>
      </c>
      <c r="I1240" s="9" t="inlineStr">
        <is>
          <t>Control</t>
        </is>
      </c>
      <c r="J1240" s="9" t="inlineStr">
        <is>
          <t>Control cable 600 V Type TC-ER, Cu #10 AWG (CT / VT circuits)</t>
        </is>
      </c>
      <c r="K1240" s="9" t="inlineStr">
        <is>
          <t>CTCT|4/C|10</t>
        </is>
      </c>
      <c r="L1240" s="9" t="inlineStr">
        <is>
          <t>4/C</t>
        </is>
      </c>
      <c r="M1240" s="9" t="inlineStr">
        <is>
          <t>10</t>
        </is>
      </c>
      <c r="N1240" s="9" t="n">
        <v>1</v>
      </c>
      <c r="O1240" s="9" t="n">
        <v>1</v>
      </c>
      <c r="P1240" s="9" t="n"/>
      <c r="Q1240" s="9" t="n"/>
      <c r="R1240" s="9" t="n"/>
      <c r="S1240" s="9" t="inlineStr">
        <is>
          <t>Trench</t>
        </is>
      </c>
      <c r="T1240" s="10" t="n">
        <v>1584</v>
      </c>
      <c r="U1240" s="10" t="n">
        <v>52</v>
      </c>
      <c r="V1240" s="10">
        <f>ROUNDUP((T1240+U1240+2*'Read Me'!$B$13)*(1+'Read Me'!$B$12),-1)</f>
        <v/>
      </c>
      <c r="W1240" s="10">
        <f>V1240*N1240*O1240</f>
        <v/>
      </c>
      <c r="X1240" s="9">
        <f>IF(LEFT(I1240,2)="MV",2*N1240*IF(L1240="1/C",O1240,1),0)</f>
        <v/>
      </c>
      <c r="Y1240" s="9">
        <f>IF(OR(LEFT(K1240,4)="LVAX",LEFT(K1240,6)="MV15AX",LEFT(K1240,4)="CTAX",LEFT(K1240,2)="W|"),2*N1240*O1240,0)</f>
        <v/>
      </c>
      <c r="Z1240" s="9" t="inlineStr"/>
    </row>
    <row r="1241">
      <c r="A1241" s="9" t="inlineStr">
        <is>
          <t>C-C-0120</t>
        </is>
      </c>
      <c r="B1241" s="9" t="inlineStr">
        <is>
          <t>C</t>
        </is>
      </c>
      <c r="C1241" s="9" t="inlineStr">
        <is>
          <t>Grid interface</t>
        </is>
      </c>
      <c r="D1241" s="9" t="inlineStr">
        <is>
          <t>Control</t>
        </is>
      </c>
      <c r="E1241" s="9" t="inlineStr">
        <is>
          <t>RH</t>
        </is>
      </c>
      <c r="F1241" s="9" t="inlineStr">
        <is>
          <t>RH: switchyard relay / control house (52 x 70 ft)</t>
        </is>
      </c>
      <c r="G1241" s="9" t="inlineStr">
        <is>
          <t>D6-CB3</t>
        </is>
      </c>
      <c r="H1241" s="9" t="inlineStr">
        <is>
          <t>D6 230 kV breaker 3 (build-out)</t>
        </is>
      </c>
      <c r="I1241" s="9" t="inlineStr">
        <is>
          <t>Control</t>
        </is>
      </c>
      <c r="J1241" s="9" t="inlineStr">
        <is>
          <t>Control cable 600 V Type TC-ER, Cu #14 AWG, PVC jacket</t>
        </is>
      </c>
      <c r="K1241" s="9" t="inlineStr">
        <is>
          <t>CT|12/C|14</t>
        </is>
      </c>
      <c r="L1241" s="9" t="inlineStr">
        <is>
          <t>12/C</t>
        </is>
      </c>
      <c r="M1241" s="9" t="inlineStr">
        <is>
          <t>14</t>
        </is>
      </c>
      <c r="N1241" s="9" t="n">
        <v>1</v>
      </c>
      <c r="O1241" s="9" t="n">
        <v>1</v>
      </c>
      <c r="P1241" s="9" t="n"/>
      <c r="Q1241" s="9" t="n"/>
      <c r="R1241" s="9" t="n"/>
      <c r="S1241" s="9" t="inlineStr">
        <is>
          <t>Trench</t>
        </is>
      </c>
      <c r="T1241" s="10" t="n">
        <v>1584</v>
      </c>
      <c r="U1241" s="10" t="n">
        <v>92</v>
      </c>
      <c r="V1241" s="10">
        <f>ROUNDUP((T1241+U1241+2*'Read Me'!$B$13)*(1+'Read Me'!$B$12),-1)</f>
        <v/>
      </c>
      <c r="W1241" s="10">
        <f>V1241*N1241*O1241</f>
        <v/>
      </c>
      <c r="X1241" s="9">
        <f>IF(LEFT(I1241,2)="MV",2*N1241*IF(L1241="1/C",O1241,1),0)</f>
        <v/>
      </c>
      <c r="Y1241" s="9">
        <f>IF(OR(LEFT(K1241,4)="LVAX",LEFT(K1241,6)="MV15AX",LEFT(K1241,4)="CTAX",LEFT(K1241,2)="W|"),2*N1241*O1241,0)</f>
        <v/>
      </c>
      <c r="Z1241" s="9" t="inlineStr"/>
    </row>
    <row r="1242">
      <c r="A1242" s="9" t="inlineStr">
        <is>
          <t>C-C-0121</t>
        </is>
      </c>
      <c r="B1242" s="9" t="inlineStr">
        <is>
          <t>C</t>
        </is>
      </c>
      <c r="C1242" s="9" t="inlineStr">
        <is>
          <t>Grid interface</t>
        </is>
      </c>
      <c r="D1242" s="9" t="inlineStr">
        <is>
          <t>Control</t>
        </is>
      </c>
      <c r="E1242" s="9" t="inlineStr">
        <is>
          <t>RH</t>
        </is>
      </c>
      <c r="F1242" s="9" t="inlineStr">
        <is>
          <t>RH: switchyard relay / control house (52 x 70 ft)</t>
        </is>
      </c>
      <c r="G1242" s="9" t="inlineStr">
        <is>
          <t>D6-CB3</t>
        </is>
      </c>
      <c r="H1242" s="9" t="inlineStr">
        <is>
          <t>D6 230 kV breaker 3 (build-out)</t>
        </is>
      </c>
      <c r="I1242" s="9" t="inlineStr">
        <is>
          <t>Control</t>
        </is>
      </c>
      <c r="J1242" s="9" t="inlineStr">
        <is>
          <t>Control cable 600 V Type TC-ER, Cu #14 AWG, PVC jacket</t>
        </is>
      </c>
      <c r="K1242" s="9" t="inlineStr">
        <is>
          <t>CT|12/C|14</t>
        </is>
      </c>
      <c r="L1242" s="9" t="inlineStr">
        <is>
          <t>12/C</t>
        </is>
      </c>
      <c r="M1242" s="9" t="inlineStr">
        <is>
          <t>14</t>
        </is>
      </c>
      <c r="N1242" s="9" t="n">
        <v>1</v>
      </c>
      <c r="O1242" s="9" t="n">
        <v>1</v>
      </c>
      <c r="P1242" s="9" t="n"/>
      <c r="Q1242" s="9" t="n"/>
      <c r="R1242" s="9" t="n"/>
      <c r="S1242" s="9" t="inlineStr">
        <is>
          <t>Trench</t>
        </is>
      </c>
      <c r="T1242" s="10" t="n">
        <v>1584</v>
      </c>
      <c r="U1242" s="10" t="n">
        <v>92</v>
      </c>
      <c r="V1242" s="10">
        <f>ROUNDUP((T1242+U1242+2*'Read Me'!$B$13)*(1+'Read Me'!$B$12),-1)</f>
        <v/>
      </c>
      <c r="W1242" s="10">
        <f>V1242*N1242*O1242</f>
        <v/>
      </c>
      <c r="X1242" s="9">
        <f>IF(LEFT(I1242,2)="MV",2*N1242*IF(L1242="1/C",O1242,1),0)</f>
        <v/>
      </c>
      <c r="Y1242" s="9">
        <f>IF(OR(LEFT(K1242,4)="LVAX",LEFT(K1242,6)="MV15AX",LEFT(K1242,4)="CTAX",LEFT(K1242,2)="W|"),2*N1242*O1242,0)</f>
        <v/>
      </c>
      <c r="Z1242" s="9" t="inlineStr"/>
    </row>
    <row r="1243">
      <c r="A1243" s="9" t="inlineStr">
        <is>
          <t>C-C-0122</t>
        </is>
      </c>
      <c r="B1243" s="9" t="inlineStr">
        <is>
          <t>C</t>
        </is>
      </c>
      <c r="C1243" s="9" t="inlineStr">
        <is>
          <t>Grid interface</t>
        </is>
      </c>
      <c r="D1243" s="9" t="inlineStr">
        <is>
          <t>Control</t>
        </is>
      </c>
      <c r="E1243" s="9" t="inlineStr">
        <is>
          <t>RH</t>
        </is>
      </c>
      <c r="F1243" s="9" t="inlineStr">
        <is>
          <t>RH: switchyard relay / control house (52 x 70 ft)</t>
        </is>
      </c>
      <c r="G1243" s="9" t="inlineStr">
        <is>
          <t>D6-CB3</t>
        </is>
      </c>
      <c r="H1243" s="9" t="inlineStr">
        <is>
          <t>D6 230 kV breaker 3 (build-out)</t>
        </is>
      </c>
      <c r="I1243" s="9" t="inlineStr">
        <is>
          <t>Control</t>
        </is>
      </c>
      <c r="J1243" s="9" t="inlineStr">
        <is>
          <t>Control cable 600 V Type TC-ER, Cu #14 AWG, PVC jacket</t>
        </is>
      </c>
      <c r="K1243" s="9" t="inlineStr">
        <is>
          <t>CT|12/C|14</t>
        </is>
      </c>
      <c r="L1243" s="9" t="inlineStr">
        <is>
          <t>12/C</t>
        </is>
      </c>
      <c r="M1243" s="9" t="inlineStr">
        <is>
          <t>14</t>
        </is>
      </c>
      <c r="N1243" s="9" t="n">
        <v>1</v>
      </c>
      <c r="O1243" s="9" t="n">
        <v>1</v>
      </c>
      <c r="P1243" s="9" t="n"/>
      <c r="Q1243" s="9" t="n"/>
      <c r="R1243" s="9" t="n"/>
      <c r="S1243" s="9" t="inlineStr">
        <is>
          <t>Trench</t>
        </is>
      </c>
      <c r="T1243" s="10" t="n">
        <v>1584</v>
      </c>
      <c r="U1243" s="10" t="n">
        <v>92</v>
      </c>
      <c r="V1243" s="10">
        <f>ROUNDUP((T1243+U1243+2*'Read Me'!$B$13)*(1+'Read Me'!$B$12),-1)</f>
        <v/>
      </c>
      <c r="W1243" s="10">
        <f>V1243*N1243*O1243</f>
        <v/>
      </c>
      <c r="X1243" s="9">
        <f>IF(LEFT(I1243,2)="MV",2*N1243*IF(L1243="1/C",O1243,1),0)</f>
        <v/>
      </c>
      <c r="Y1243" s="9">
        <f>IF(OR(LEFT(K1243,4)="LVAX",LEFT(K1243,6)="MV15AX",LEFT(K1243,4)="CTAX",LEFT(K1243,2)="W|"),2*N1243*O1243,0)</f>
        <v/>
      </c>
      <c r="Z1243" s="9" t="inlineStr"/>
    </row>
    <row r="1244">
      <c r="A1244" s="9" t="inlineStr">
        <is>
          <t>C-C-0123</t>
        </is>
      </c>
      <c r="B1244" s="9" t="inlineStr">
        <is>
          <t>C</t>
        </is>
      </c>
      <c r="C1244" s="9" t="inlineStr">
        <is>
          <t>Grid interface</t>
        </is>
      </c>
      <c r="D1244" s="9" t="inlineStr">
        <is>
          <t>Control</t>
        </is>
      </c>
      <c r="E1244" s="9" t="inlineStr">
        <is>
          <t>RH</t>
        </is>
      </c>
      <c r="F1244" s="9" t="inlineStr">
        <is>
          <t>RH: switchyard relay / control house (52 x 70 ft)</t>
        </is>
      </c>
      <c r="G1244" s="9" t="inlineStr">
        <is>
          <t>D6-CB3</t>
        </is>
      </c>
      <c r="H1244" s="9" t="inlineStr">
        <is>
          <t>D6 230 kV breaker 3 (build-out)</t>
        </is>
      </c>
      <c r="I1244" s="9" t="inlineStr">
        <is>
          <t>Control</t>
        </is>
      </c>
      <c r="J1244" s="9" t="inlineStr">
        <is>
          <t>Control cable 600 V Type TC-ER, Cu #14 AWG, PVC jacket</t>
        </is>
      </c>
      <c r="K1244" s="9" t="inlineStr">
        <is>
          <t>CT|12/C|14</t>
        </is>
      </c>
      <c r="L1244" s="9" t="inlineStr">
        <is>
          <t>12/C</t>
        </is>
      </c>
      <c r="M1244" s="9" t="inlineStr">
        <is>
          <t>14</t>
        </is>
      </c>
      <c r="N1244" s="9" t="n">
        <v>1</v>
      </c>
      <c r="O1244" s="9" t="n">
        <v>1</v>
      </c>
      <c r="P1244" s="9" t="n"/>
      <c r="Q1244" s="9" t="n"/>
      <c r="R1244" s="9" t="n"/>
      <c r="S1244" s="9" t="inlineStr">
        <is>
          <t>Trench</t>
        </is>
      </c>
      <c r="T1244" s="10" t="n">
        <v>1584</v>
      </c>
      <c r="U1244" s="10" t="n">
        <v>92</v>
      </c>
      <c r="V1244" s="10">
        <f>ROUNDUP((T1244+U1244+2*'Read Me'!$B$13)*(1+'Read Me'!$B$12),-1)</f>
        <v/>
      </c>
      <c r="W1244" s="10">
        <f>V1244*N1244*O1244</f>
        <v/>
      </c>
      <c r="X1244" s="9">
        <f>IF(LEFT(I1244,2)="MV",2*N1244*IF(L1244="1/C",O1244,1),0)</f>
        <v/>
      </c>
      <c r="Y1244" s="9">
        <f>IF(OR(LEFT(K1244,4)="LVAX",LEFT(K1244,6)="MV15AX",LEFT(K1244,4)="CTAX",LEFT(K1244,2)="W|"),2*N1244*O1244,0)</f>
        <v/>
      </c>
      <c r="Z1244" s="9" t="inlineStr"/>
    </row>
    <row r="1245">
      <c r="A1245" s="9" t="inlineStr">
        <is>
          <t>C-C-0124</t>
        </is>
      </c>
      <c r="B1245" s="9" t="inlineStr">
        <is>
          <t>C</t>
        </is>
      </c>
      <c r="C1245" s="9" t="inlineStr">
        <is>
          <t>Grid interface</t>
        </is>
      </c>
      <c r="D1245" s="9" t="inlineStr">
        <is>
          <t>CT / VT</t>
        </is>
      </c>
      <c r="E1245" s="9" t="inlineStr">
        <is>
          <t>RH</t>
        </is>
      </c>
      <c r="F1245" s="9" t="inlineStr">
        <is>
          <t>RH: switchyard relay / control house (52 x 70 ft)</t>
        </is>
      </c>
      <c r="G1245" s="9" t="inlineStr">
        <is>
          <t>D6-CB3</t>
        </is>
      </c>
      <c r="H1245" s="9" t="inlineStr">
        <is>
          <t>D6 230 kV breaker 3 (build-out)</t>
        </is>
      </c>
      <c r="I1245" s="9" t="inlineStr">
        <is>
          <t>Control</t>
        </is>
      </c>
      <c r="J1245" s="9" t="inlineStr">
        <is>
          <t>Control cable 600 V Type TC-ER, Cu #10 AWG (CT / VT circuits)</t>
        </is>
      </c>
      <c r="K1245" s="9" t="inlineStr">
        <is>
          <t>CTCT|4/C|10</t>
        </is>
      </c>
      <c r="L1245" s="9" t="inlineStr">
        <is>
          <t>4/C</t>
        </is>
      </c>
      <c r="M1245" s="9" t="inlineStr">
        <is>
          <t>10</t>
        </is>
      </c>
      <c r="N1245" s="9" t="n">
        <v>1</v>
      </c>
      <c r="O1245" s="9" t="n">
        <v>1</v>
      </c>
      <c r="P1245" s="9" t="n"/>
      <c r="Q1245" s="9" t="n"/>
      <c r="R1245" s="9" t="n"/>
      <c r="S1245" s="9" t="inlineStr">
        <is>
          <t>Trench</t>
        </is>
      </c>
      <c r="T1245" s="10" t="n">
        <v>1584</v>
      </c>
      <c r="U1245" s="10" t="n">
        <v>92</v>
      </c>
      <c r="V1245" s="10">
        <f>ROUNDUP((T1245+U1245+2*'Read Me'!$B$13)*(1+'Read Me'!$B$12),-1)</f>
        <v/>
      </c>
      <c r="W1245" s="10">
        <f>V1245*N1245*O1245</f>
        <v/>
      </c>
      <c r="X1245" s="9">
        <f>IF(LEFT(I1245,2)="MV",2*N1245*IF(L1245="1/C",O1245,1),0)</f>
        <v/>
      </c>
      <c r="Y1245" s="9">
        <f>IF(OR(LEFT(K1245,4)="LVAX",LEFT(K1245,6)="MV15AX",LEFT(K1245,4)="CTAX",LEFT(K1245,2)="W|"),2*N1245*O1245,0)</f>
        <v/>
      </c>
      <c r="Z1245" s="9" t="inlineStr"/>
    </row>
    <row r="1246">
      <c r="A1246" s="9" t="inlineStr">
        <is>
          <t>C-C-0125</t>
        </is>
      </c>
      <c r="B1246" s="9" t="inlineStr">
        <is>
          <t>C</t>
        </is>
      </c>
      <c r="C1246" s="9" t="inlineStr">
        <is>
          <t>Grid interface</t>
        </is>
      </c>
      <c r="D1246" s="9" t="inlineStr">
        <is>
          <t>CT / VT</t>
        </is>
      </c>
      <c r="E1246" s="9" t="inlineStr">
        <is>
          <t>RH</t>
        </is>
      </c>
      <c r="F1246" s="9" t="inlineStr">
        <is>
          <t>RH: switchyard relay / control house (52 x 70 ft)</t>
        </is>
      </c>
      <c r="G1246" s="9" t="inlineStr">
        <is>
          <t>D6-CB3</t>
        </is>
      </c>
      <c r="H1246" s="9" t="inlineStr">
        <is>
          <t>D6 230 kV breaker 3 (build-out)</t>
        </is>
      </c>
      <c r="I1246" s="9" t="inlineStr">
        <is>
          <t>Control</t>
        </is>
      </c>
      <c r="J1246" s="9" t="inlineStr">
        <is>
          <t>Control cable 600 V Type TC-ER, Cu #10 AWG (CT / VT circuits)</t>
        </is>
      </c>
      <c r="K1246" s="9" t="inlineStr">
        <is>
          <t>CTCT|4/C|10</t>
        </is>
      </c>
      <c r="L1246" s="9" t="inlineStr">
        <is>
          <t>4/C</t>
        </is>
      </c>
      <c r="M1246" s="9" t="inlineStr">
        <is>
          <t>10</t>
        </is>
      </c>
      <c r="N1246" s="9" t="n">
        <v>1</v>
      </c>
      <c r="O1246" s="9" t="n">
        <v>1</v>
      </c>
      <c r="P1246" s="9" t="n"/>
      <c r="Q1246" s="9" t="n"/>
      <c r="R1246" s="9" t="n"/>
      <c r="S1246" s="9" t="inlineStr">
        <is>
          <t>Trench</t>
        </is>
      </c>
      <c r="T1246" s="10" t="n">
        <v>1584</v>
      </c>
      <c r="U1246" s="10" t="n">
        <v>92</v>
      </c>
      <c r="V1246" s="10">
        <f>ROUNDUP((T1246+U1246+2*'Read Me'!$B$13)*(1+'Read Me'!$B$12),-1)</f>
        <v/>
      </c>
      <c r="W1246" s="10">
        <f>V1246*N1246*O1246</f>
        <v/>
      </c>
      <c r="X1246" s="9">
        <f>IF(LEFT(I1246,2)="MV",2*N1246*IF(L1246="1/C",O1246,1),0)</f>
        <v/>
      </c>
      <c r="Y1246" s="9">
        <f>IF(OR(LEFT(K1246,4)="LVAX",LEFT(K1246,6)="MV15AX",LEFT(K1246,4)="CTAX",LEFT(K1246,2)="W|"),2*N1246*O1246,0)</f>
        <v/>
      </c>
      <c r="Z1246" s="9" t="inlineStr"/>
    </row>
    <row r="1247">
      <c r="A1247" s="9" t="inlineStr">
        <is>
          <t>C-C-0126</t>
        </is>
      </c>
      <c r="B1247" s="9" t="inlineStr">
        <is>
          <t>C</t>
        </is>
      </c>
      <c r="C1247" s="9" t="inlineStr">
        <is>
          <t>Grid interface</t>
        </is>
      </c>
      <c r="D1247" s="9" t="inlineStr">
        <is>
          <t>CT / VT</t>
        </is>
      </c>
      <c r="E1247" s="9" t="inlineStr">
        <is>
          <t>RH</t>
        </is>
      </c>
      <c r="F1247" s="9" t="inlineStr">
        <is>
          <t>RH: switchyard relay / control house (52 x 70 ft)</t>
        </is>
      </c>
      <c r="G1247" s="9" t="inlineStr">
        <is>
          <t>D6-CB3</t>
        </is>
      </c>
      <c r="H1247" s="9" t="inlineStr">
        <is>
          <t>D6 230 kV breaker 3 (build-out)</t>
        </is>
      </c>
      <c r="I1247" s="9" t="inlineStr">
        <is>
          <t>Control</t>
        </is>
      </c>
      <c r="J1247" s="9" t="inlineStr">
        <is>
          <t>Control cable 600 V Type TC-ER, Cu #10 AWG (CT / VT circuits)</t>
        </is>
      </c>
      <c r="K1247" s="9" t="inlineStr">
        <is>
          <t>CTCT|4/C|10</t>
        </is>
      </c>
      <c r="L1247" s="9" t="inlineStr">
        <is>
          <t>4/C</t>
        </is>
      </c>
      <c r="M1247" s="9" t="inlineStr">
        <is>
          <t>10</t>
        </is>
      </c>
      <c r="N1247" s="9" t="n">
        <v>1</v>
      </c>
      <c r="O1247" s="9" t="n">
        <v>1</v>
      </c>
      <c r="P1247" s="9" t="n"/>
      <c r="Q1247" s="9" t="n"/>
      <c r="R1247" s="9" t="n"/>
      <c r="S1247" s="9" t="inlineStr">
        <is>
          <t>Trench</t>
        </is>
      </c>
      <c r="T1247" s="10" t="n">
        <v>1584</v>
      </c>
      <c r="U1247" s="10" t="n">
        <v>92</v>
      </c>
      <c r="V1247" s="10">
        <f>ROUNDUP((T1247+U1247+2*'Read Me'!$B$13)*(1+'Read Me'!$B$12),-1)</f>
        <v/>
      </c>
      <c r="W1247" s="10">
        <f>V1247*N1247*O1247</f>
        <v/>
      </c>
      <c r="X1247" s="9">
        <f>IF(LEFT(I1247,2)="MV",2*N1247*IF(L1247="1/C",O1247,1),0)</f>
        <v/>
      </c>
      <c r="Y1247" s="9">
        <f>IF(OR(LEFT(K1247,4)="LVAX",LEFT(K1247,6)="MV15AX",LEFT(K1247,4)="CTAX",LEFT(K1247,2)="W|"),2*N1247*O1247,0)</f>
        <v/>
      </c>
      <c r="Z1247" s="9" t="inlineStr"/>
    </row>
    <row r="1248">
      <c r="A1248" s="9" t="inlineStr">
        <is>
          <t>C-C-0127</t>
        </is>
      </c>
      <c r="B1248" s="9" t="inlineStr">
        <is>
          <t>C</t>
        </is>
      </c>
      <c r="C1248" s="9" t="inlineStr">
        <is>
          <t>Grid interface</t>
        </is>
      </c>
      <c r="D1248" s="9" t="inlineStr">
        <is>
          <t>Control</t>
        </is>
      </c>
      <c r="E1248" s="9" t="inlineStr">
        <is>
          <t>RH</t>
        </is>
      </c>
      <c r="F1248" s="9" t="inlineStr">
        <is>
          <t>RH: switchyard relay / control house (52 x 70 ft)</t>
        </is>
      </c>
      <c r="G1248" s="9" t="inlineStr">
        <is>
          <t>Line-1</t>
        </is>
      </c>
      <c r="H1248" s="9" t="inlineStr">
        <is>
          <t>Line 1 230 kV terminal tower</t>
        </is>
      </c>
      <c r="I1248" s="9" t="inlineStr">
        <is>
          <t>Control</t>
        </is>
      </c>
      <c r="J1248" s="9" t="inlineStr">
        <is>
          <t>Control cable 600 V Type TC-ER, Cu #14 AWG, PVC jacket</t>
        </is>
      </c>
      <c r="K1248" s="9" t="inlineStr">
        <is>
          <t>CT|7/C|14</t>
        </is>
      </c>
      <c r="L1248" s="9" t="inlineStr">
        <is>
          <t>7/C</t>
        </is>
      </c>
      <c r="M1248" s="9" t="inlineStr">
        <is>
          <t>14</t>
        </is>
      </c>
      <c r="N1248" s="9" t="n">
        <v>1</v>
      </c>
      <c r="O1248" s="9" t="n">
        <v>1</v>
      </c>
      <c r="P1248" s="9" t="n"/>
      <c r="Q1248" s="9" t="n"/>
      <c r="R1248" s="9" t="n"/>
      <c r="S1248" s="9" t="inlineStr">
        <is>
          <t>Trench</t>
        </is>
      </c>
      <c r="T1248" s="10" t="n">
        <v>91</v>
      </c>
      <c r="U1248" s="10" t="n">
        <v>285</v>
      </c>
      <c r="V1248" s="10">
        <f>ROUNDUP((T1248+U1248+2*'Read Me'!$B$13)*(1+'Read Me'!$B$12),-1)</f>
        <v/>
      </c>
      <c r="W1248" s="10">
        <f>V1248*N1248*O1248</f>
        <v/>
      </c>
      <c r="X1248" s="9">
        <f>IF(LEFT(I1248,2)="MV",2*N1248*IF(L1248="1/C",O1248,1),0)</f>
        <v/>
      </c>
      <c r="Y1248" s="9">
        <f>IF(OR(LEFT(K1248,4)="LVAX",LEFT(K1248,6)="MV15AX",LEFT(K1248,4)="CTAX",LEFT(K1248,2)="W|"),2*N1248*O1248,0)</f>
        <v/>
      </c>
      <c r="Z1248" s="9" t="inlineStr"/>
    </row>
    <row r="1249">
      <c r="A1249" s="9" t="inlineStr">
        <is>
          <t>C-C-0128</t>
        </is>
      </c>
      <c r="B1249" s="9" t="inlineStr">
        <is>
          <t>C</t>
        </is>
      </c>
      <c r="C1249" s="9" t="inlineStr">
        <is>
          <t>Grid interface</t>
        </is>
      </c>
      <c r="D1249" s="9" t="inlineStr">
        <is>
          <t>Control</t>
        </is>
      </c>
      <c r="E1249" s="9" t="inlineStr">
        <is>
          <t>RH</t>
        </is>
      </c>
      <c r="F1249" s="9" t="inlineStr">
        <is>
          <t>RH: switchyard relay / control house (52 x 70 ft)</t>
        </is>
      </c>
      <c r="G1249" s="9" t="inlineStr"/>
      <c r="H1249" s="9" t="inlineStr">
        <is>
          <t>Line 1 entrance: surge arresters, CCVTs and line traps</t>
        </is>
      </c>
      <c r="I1249" s="9" t="inlineStr">
        <is>
          <t>Control</t>
        </is>
      </c>
      <c r="J1249" s="9" t="inlineStr">
        <is>
          <t>Control cable 600 V Type TC-ER, Cu #14 AWG, PVC jacket</t>
        </is>
      </c>
      <c r="K1249" s="9" t="inlineStr">
        <is>
          <t>CT|7/C|14</t>
        </is>
      </c>
      <c r="L1249" s="9" t="inlineStr">
        <is>
          <t>7/C</t>
        </is>
      </c>
      <c r="M1249" s="9" t="inlineStr">
        <is>
          <t>14</t>
        </is>
      </c>
      <c r="N1249" s="9" t="n">
        <v>1</v>
      </c>
      <c r="O1249" s="9" t="n">
        <v>1</v>
      </c>
      <c r="P1249" s="9" t="n"/>
      <c r="Q1249" s="9" t="n"/>
      <c r="R1249" s="9" t="n"/>
      <c r="S1249" s="9" t="inlineStr">
        <is>
          <t>Trench</t>
        </is>
      </c>
      <c r="T1249" s="10" t="n">
        <v>91</v>
      </c>
      <c r="U1249" s="10" t="n">
        <v>226</v>
      </c>
      <c r="V1249" s="10">
        <f>ROUNDUP((T1249+U1249+2*'Read Me'!$B$13)*(1+'Read Me'!$B$12),-1)</f>
        <v/>
      </c>
      <c r="W1249" s="10">
        <f>V1249*N1249*O1249</f>
        <v/>
      </c>
      <c r="X1249" s="9">
        <f>IF(LEFT(I1249,2)="MV",2*N1249*IF(L1249="1/C",O1249,1),0)</f>
        <v/>
      </c>
      <c r="Y1249" s="9">
        <f>IF(OR(LEFT(K1249,4)="LVAX",LEFT(K1249,6)="MV15AX",LEFT(K1249,4)="CTAX",LEFT(K1249,2)="W|"),2*N1249*O1249,0)</f>
        <v/>
      </c>
      <c r="Z1249" s="9" t="inlineStr"/>
    </row>
    <row r="1250">
      <c r="A1250" s="9" t="inlineStr">
        <is>
          <t>C-C-0129</t>
        </is>
      </c>
      <c r="B1250" s="9" t="inlineStr">
        <is>
          <t>C</t>
        </is>
      </c>
      <c r="C1250" s="9" t="inlineStr">
        <is>
          <t>Grid interface</t>
        </is>
      </c>
      <c r="D1250" s="9" t="inlineStr">
        <is>
          <t>Control</t>
        </is>
      </c>
      <c r="E1250" s="9" t="inlineStr">
        <is>
          <t>RH</t>
        </is>
      </c>
      <c r="F1250" s="9" t="inlineStr">
        <is>
          <t>RH: switchyard relay / control house (52 x 70 ft)</t>
        </is>
      </c>
      <c r="G1250" s="9" t="inlineStr">
        <is>
          <t>Line-2</t>
        </is>
      </c>
      <c r="H1250" s="9" t="inlineStr">
        <is>
          <t>Line 2 230 kV terminal tower</t>
        </is>
      </c>
      <c r="I1250" s="9" t="inlineStr">
        <is>
          <t>Control</t>
        </is>
      </c>
      <c r="J1250" s="9" t="inlineStr">
        <is>
          <t>Control cable 600 V Type TC-ER, Cu #14 AWG, PVC jacket</t>
        </is>
      </c>
      <c r="K1250" s="9" t="inlineStr">
        <is>
          <t>CT|7/C|14</t>
        </is>
      </c>
      <c r="L1250" s="9" t="inlineStr">
        <is>
          <t>7/C</t>
        </is>
      </c>
      <c r="M1250" s="9" t="inlineStr">
        <is>
          <t>14</t>
        </is>
      </c>
      <c r="N1250" s="9" t="n">
        <v>1</v>
      </c>
      <c r="O1250" s="9" t="n">
        <v>1</v>
      </c>
      <c r="P1250" s="9" t="n"/>
      <c r="Q1250" s="9" t="n"/>
      <c r="R1250" s="9" t="n"/>
      <c r="S1250" s="9" t="inlineStr">
        <is>
          <t>Estimated</t>
        </is>
      </c>
      <c r="T1250" s="10" t="n">
        <v>603</v>
      </c>
      <c r="U1250" s="10" t="n">
        <v>40</v>
      </c>
      <c r="V1250" s="10">
        <f>ROUNDUP((T1250+U1250+2*'Read Me'!$B$13)*(1+'Read Me'!$B$12),-1)</f>
        <v/>
      </c>
      <c r="W1250" s="10">
        <f>V1250*N1250*O1250</f>
        <v/>
      </c>
      <c r="X1250" s="9">
        <f>IF(LEFT(I1250,2)="MV",2*N1250*IF(L1250="1/C",O1250,1),0)</f>
        <v/>
      </c>
      <c r="Y1250" s="9">
        <f>IF(OR(LEFT(K1250,4)="LVAX",LEFT(K1250,6)="MV15AX",LEFT(K1250,4)="CTAX",LEFT(K1250,2)="W|"),2*N1250*O1250,0)</f>
        <v/>
      </c>
      <c r="Z1250" s="9" t="inlineStr"/>
    </row>
    <row r="1251">
      <c r="A1251" s="9" t="inlineStr">
        <is>
          <t>C-C-0130</t>
        </is>
      </c>
      <c r="B1251" s="9" t="inlineStr">
        <is>
          <t>C</t>
        </is>
      </c>
      <c r="C1251" s="9" t="inlineStr">
        <is>
          <t>Grid interface</t>
        </is>
      </c>
      <c r="D1251" s="9" t="inlineStr">
        <is>
          <t>Control</t>
        </is>
      </c>
      <c r="E1251" s="9" t="inlineStr">
        <is>
          <t>RH</t>
        </is>
      </c>
      <c r="F1251" s="9" t="inlineStr">
        <is>
          <t>RH: switchyard relay / control house (52 x 70 ft)</t>
        </is>
      </c>
      <c r="G1251" s="9" t="inlineStr"/>
      <c r="H1251" s="9" t="inlineStr">
        <is>
          <t>Line 2 entrance: surge arresters, CCVTs and line traps</t>
        </is>
      </c>
      <c r="I1251" s="9" t="inlineStr">
        <is>
          <t>Control</t>
        </is>
      </c>
      <c r="J1251" s="9" t="inlineStr">
        <is>
          <t>Control cable 600 V Type TC-ER, Cu #14 AWG, PVC jacket</t>
        </is>
      </c>
      <c r="K1251" s="9" t="inlineStr">
        <is>
          <t>CT|7/C|14</t>
        </is>
      </c>
      <c r="L1251" s="9" t="inlineStr">
        <is>
          <t>7/C</t>
        </is>
      </c>
      <c r="M1251" s="9" t="inlineStr">
        <is>
          <t>14</t>
        </is>
      </c>
      <c r="N1251" s="9" t="n">
        <v>1</v>
      </c>
      <c r="O1251" s="9" t="n">
        <v>1</v>
      </c>
      <c r="P1251" s="9" t="n"/>
      <c r="Q1251" s="9" t="n"/>
      <c r="R1251" s="9" t="n"/>
      <c r="S1251" s="9" t="inlineStr">
        <is>
          <t>Estimated</t>
        </is>
      </c>
      <c r="T1251" s="10" t="n">
        <v>542</v>
      </c>
      <c r="U1251" s="10" t="n">
        <v>40</v>
      </c>
      <c r="V1251" s="10">
        <f>ROUNDUP((T1251+U1251+2*'Read Me'!$B$13)*(1+'Read Me'!$B$12),-1)</f>
        <v/>
      </c>
      <c r="W1251" s="10">
        <f>V1251*N1251*O1251</f>
        <v/>
      </c>
      <c r="X1251" s="9">
        <f>IF(LEFT(I1251,2)="MV",2*N1251*IF(L1251="1/C",O1251,1),0)</f>
        <v/>
      </c>
      <c r="Y1251" s="9">
        <f>IF(OR(LEFT(K1251,4)="LVAX",LEFT(K1251,6)="MV15AX",LEFT(K1251,4)="CTAX",LEFT(K1251,2)="W|"),2*N1251*O1251,0)</f>
        <v/>
      </c>
      <c r="Z1251" s="9" t="inlineStr"/>
    </row>
    <row r="1252">
      <c r="A1252" s="9" t="inlineStr">
        <is>
          <t>C-C-0131</t>
        </is>
      </c>
      <c r="B1252" s="9" t="inlineStr">
        <is>
          <t>C</t>
        </is>
      </c>
      <c r="C1252" s="9" t="inlineStr">
        <is>
          <t>Grid interface</t>
        </is>
      </c>
      <c r="D1252" s="9" t="inlineStr">
        <is>
          <t>Control</t>
        </is>
      </c>
      <c r="E1252" s="9" t="inlineStr">
        <is>
          <t>RH</t>
        </is>
      </c>
      <c r="F1252" s="9" t="inlineStr">
        <is>
          <t>RH: switchyard relay / control house (52 x 70 ft)</t>
        </is>
      </c>
      <c r="G1252" s="9" t="inlineStr">
        <is>
          <t>RH</t>
        </is>
      </c>
      <c r="H1252" s="9" t="inlineStr">
        <is>
          <t>RH: switchyard relay / control house (52 x 70 ft)</t>
        </is>
      </c>
      <c r="I1252" s="9" t="inlineStr">
        <is>
          <t>Control</t>
        </is>
      </c>
      <c r="J1252" s="9" t="inlineStr">
        <is>
          <t>Control cable 600 V Type TC-ER, Cu #14 AWG, PVC jacket</t>
        </is>
      </c>
      <c r="K1252" s="9" t="inlineStr">
        <is>
          <t>CT|7/C|14</t>
        </is>
      </c>
      <c r="L1252" s="9" t="inlineStr">
        <is>
          <t>7/C</t>
        </is>
      </c>
      <c r="M1252" s="9" t="inlineStr">
        <is>
          <t>14</t>
        </is>
      </c>
      <c r="N1252" s="9" t="n">
        <v>1</v>
      </c>
      <c r="O1252" s="9" t="n">
        <v>1</v>
      </c>
      <c r="P1252" s="9" t="n"/>
      <c r="Q1252" s="9" t="n"/>
      <c r="R1252" s="9" t="n"/>
      <c r="S1252" s="9" t="inlineStr">
        <is>
          <t>Tray</t>
        </is>
      </c>
      <c r="T1252" s="10" t="n">
        <v>0</v>
      </c>
      <c r="U1252" s="10" t="n">
        <v>30</v>
      </c>
      <c r="V1252" s="10">
        <f>ROUNDUP((T1252+U1252+2*'Read Me'!$B$13)*(1+'Read Me'!$B$12),-1)</f>
        <v/>
      </c>
      <c r="W1252" s="10">
        <f>V1252*N1252*O1252</f>
        <v/>
      </c>
      <c r="X1252" s="9">
        <f>IF(LEFT(I1252,2)="MV",2*N1252*IF(L1252="1/C",O1252,1),0)</f>
        <v/>
      </c>
      <c r="Y1252" s="9">
        <f>IF(OR(LEFT(K1252,4)="LVAX",LEFT(K1252,6)="MV15AX",LEFT(K1252,4)="CTAX",LEFT(K1252,2)="W|"),2*N1252*O1252,0)</f>
        <v/>
      </c>
      <c r="Z1252" s="9" t="inlineStr"/>
    </row>
    <row r="1253">
      <c r="A1253" s="9" t="inlineStr">
        <is>
          <t>C-F-0001</t>
        </is>
      </c>
      <c r="B1253" s="9" t="inlineStr">
        <is>
          <t>C</t>
        </is>
      </c>
      <c r="C1253" s="9" t="inlineStr">
        <is>
          <t>Grid interface</t>
        </is>
      </c>
      <c r="D1253" s="9" t="inlineStr">
        <is>
          <t>Plant network / DCS fibre</t>
        </is>
      </c>
      <c r="E1253" s="9" t="inlineStr">
        <is>
          <t>CR</t>
        </is>
      </c>
      <c r="F1253" s="9" t="inlineStr">
        <is>
          <t>Control / admin building (main control room)</t>
        </is>
      </c>
      <c r="G1253" s="9" t="inlineStr">
        <is>
          <t>RH</t>
        </is>
      </c>
      <c r="H1253" s="9" t="inlineStr">
        <is>
          <t>RH: switchyard relay / control house (52 x 70 ft)</t>
        </is>
      </c>
      <c r="I1253" s="9" t="inlineStr">
        <is>
          <t>Fibre / data</t>
        </is>
      </c>
      <c r="J1253" s="9" t="inlineStr">
        <is>
          <t>Fibre optic, single-mode, 12-fibre, armored, orange jacket</t>
        </is>
      </c>
      <c r="K1253" s="9" t="inlineStr">
        <is>
          <t>FO|12 SM|-</t>
        </is>
      </c>
      <c r="L1253" s="9" t="inlineStr">
        <is>
          <t>12 SM</t>
        </is>
      </c>
      <c r="M1253" s="9" t="inlineStr">
        <is>
          <t>-</t>
        </is>
      </c>
      <c r="N1253" s="9" t="n">
        <v>1</v>
      </c>
      <c r="O1253" s="9" t="n">
        <v>1</v>
      </c>
      <c r="P1253" s="9" t="n"/>
      <c r="Q1253" s="9" t="n"/>
      <c r="R1253" s="9" t="n"/>
      <c r="S1253" s="9" t="inlineStr">
        <is>
          <t>Duct bank</t>
        </is>
      </c>
      <c r="T1253" s="10" t="n">
        <v>757</v>
      </c>
      <c r="U1253" s="10" t="n">
        <v>32</v>
      </c>
      <c r="V1253" s="10">
        <f>ROUNDUP((T1253+U1253+2*'Read Me'!$B$13)*(1+'Read Me'!$B$12),-1)</f>
        <v/>
      </c>
      <c r="W1253" s="10">
        <f>V1253*N1253*O1253</f>
        <v/>
      </c>
      <c r="X1253" s="9">
        <f>IF(LEFT(I1253,2)="MV",2*N1253*IF(L1253="1/C",O1253,1),0)</f>
        <v/>
      </c>
      <c r="Y1253" s="9">
        <f>IF(OR(LEFT(K1253,4)="LVAX",LEFT(K1253,6)="MV15AX",LEFT(K1253,4)="CTAX",LEFT(K1253,2)="W|"),2*N1253*O1253,0)</f>
        <v/>
      </c>
      <c r="Z1253" s="9" t="inlineStr"/>
    </row>
    <row r="1254">
      <c r="A1254" s="9" t="inlineStr">
        <is>
          <t>C-FA-0001</t>
        </is>
      </c>
      <c r="B1254" s="9" t="inlineStr">
        <is>
          <t>C</t>
        </is>
      </c>
      <c r="C1254" s="9" t="inlineStr">
        <is>
          <t>Grid interface</t>
        </is>
      </c>
      <c r="D1254" s="9" t="inlineStr">
        <is>
          <t>Fire alarm / F&amp;G loop (to the local FACP / F&amp;G node)</t>
        </is>
      </c>
      <c r="E1254" s="9" t="inlineStr">
        <is>
          <t>RH</t>
        </is>
      </c>
      <c r="F1254" s="9" t="inlineStr">
        <is>
          <t>RH: switchyard relay / control house (52 x 70 ft)</t>
        </is>
      </c>
      <c r="G1254" s="9" t="inlineStr">
        <is>
          <t>RH</t>
        </is>
      </c>
      <c r="H1254" s="9" t="inlineStr">
        <is>
          <t>RH: switchyard relay / control house (52 x 70 ft)</t>
        </is>
      </c>
      <c r="I1254" s="9" t="inlineStr">
        <is>
          <t>Fire alarm</t>
        </is>
      </c>
      <c r="J1254" s="9" t="inlineStr">
        <is>
          <t>Fire alarm FPLR 2/C #14 shielded, red jacket (NEC 760)</t>
        </is>
      </c>
      <c r="K1254" s="9" t="inlineStr">
        <is>
          <t>FA|2/C|14</t>
        </is>
      </c>
      <c r="L1254" s="9" t="inlineStr">
        <is>
          <t>2/C</t>
        </is>
      </c>
      <c r="M1254" s="9" t="inlineStr">
        <is>
          <t>14</t>
        </is>
      </c>
      <c r="N1254" s="9" t="n">
        <v>1</v>
      </c>
      <c r="O1254" s="9" t="n">
        <v>1</v>
      </c>
      <c r="P1254" s="9" t="n"/>
      <c r="Q1254" s="9" t="n"/>
      <c r="R1254" s="9" t="n"/>
      <c r="S1254" s="9" t="inlineStr">
        <is>
          <t>Tray</t>
        </is>
      </c>
      <c r="T1254" s="10" t="n">
        <v>0</v>
      </c>
      <c r="U1254" s="10" t="n">
        <v>30</v>
      </c>
      <c r="V1254" s="10">
        <f>ROUNDUP((T1254+U1254+2*'Read Me'!$B$13)*(1+'Read Me'!$B$12),-1)</f>
        <v/>
      </c>
      <c r="W1254" s="10">
        <f>V1254*N1254*O1254</f>
        <v/>
      </c>
      <c r="X1254" s="9">
        <f>IF(LEFT(I1254,2)="MV",2*N1254*IF(L1254="1/C",O1254,1),0)</f>
        <v/>
      </c>
      <c r="Y1254" s="9">
        <f>IF(OR(LEFT(K1254,4)="LVAX",LEFT(K1254,6)="MV15AX",LEFT(K1254,4)="CTAX",LEFT(K1254,2)="W|"),2*N1254*O1254,0)</f>
        <v/>
      </c>
      <c r="Z1254" s="9" t="inlineStr"/>
    </row>
    <row r="1255">
      <c r="A1255" s="9" t="inlineStr">
        <is>
          <t>C-G-0001</t>
        </is>
      </c>
      <c r="B1255" s="9" t="inlineStr">
        <is>
          <t>C</t>
        </is>
      </c>
      <c r="C1255" s="9" t="inlineStr">
        <is>
          <t>Grid interface</t>
        </is>
      </c>
      <c r="D1255" s="9" t="inlineStr">
        <is>
          <t>Equipment ground leads: 416 items x 2 leads x 30 ft</t>
        </is>
      </c>
      <c r="E1255" s="9" t="inlineStr"/>
      <c r="F1255" s="9" t="inlineStr">
        <is>
          <t>Equipment grounding</t>
        </is>
      </c>
      <c r="G1255" s="9" t="inlineStr"/>
      <c r="H1255" s="9" t="inlineStr">
        <is>
          <t>Equipment grounding</t>
        </is>
      </c>
      <c r="I1255" s="9" t="inlineStr">
        <is>
          <t>Grounding</t>
        </is>
      </c>
      <c r="J1255" s="9" t="inlineStr">
        <is>
          <t>Bare Cu 4/0 AWG, 19 strand (ground grid and equipment grounds)</t>
        </is>
      </c>
      <c r="K1255" s="9" t="inlineStr">
        <is>
          <t>BARE|1/C|4/0</t>
        </is>
      </c>
      <c r="L1255" s="9" t="inlineStr">
        <is>
          <t>1/C</t>
        </is>
      </c>
      <c r="M1255" s="9" t="inlineStr">
        <is>
          <t>4/0</t>
        </is>
      </c>
      <c r="N1255" s="9" t="n">
        <v>1</v>
      </c>
      <c r="O1255" s="9" t="n">
        <v>1</v>
      </c>
      <c r="P1255" s="9" t="n"/>
      <c r="Q1255" s="9" t="n"/>
      <c r="R1255" s="9" t="n"/>
      <c r="S1255" s="9" t="inlineStr">
        <is>
          <t>Buried</t>
        </is>
      </c>
      <c r="T1255" s="10" t="n">
        <v>24960</v>
      </c>
      <c r="U1255" s="10" t="n">
        <v>0</v>
      </c>
      <c r="V1255" s="10">
        <f>ROUNDUP((T1255+U1255+2*'Read Me'!$B$13)*(1+'Read Me'!$B$12),-1)</f>
        <v/>
      </c>
      <c r="W1255" s="10">
        <f>V1255*N1255*O1255</f>
        <v/>
      </c>
      <c r="X1255" s="9">
        <f>IF(LEFT(I1255,2)="MV",2*N1255*IF(L1255="1/C",O1255,1),0)</f>
        <v/>
      </c>
      <c r="Y1255" s="9">
        <f>IF(OR(LEFT(K1255,4)="LVAX",LEFT(K1255,6)="MV15AX",LEFT(K1255,4)="CTAX",LEFT(K1255,2)="W|"),2*N1255*O1255,0)</f>
        <v/>
      </c>
      <c r="Z1255" s="9" t="inlineStr">
        <is>
          <t>allowance</t>
        </is>
      </c>
    </row>
    <row r="1256">
      <c r="A1256" s="9" t="inlineStr">
        <is>
          <t>C-G-0002</t>
        </is>
      </c>
      <c r="B1256" s="9" t="inlineStr">
        <is>
          <t>C</t>
        </is>
      </c>
      <c r="C1256" s="9" t="inlineStr">
        <is>
          <t>Grid interface</t>
        </is>
      </c>
      <c r="D1256" s="9" t="inlineStr">
        <is>
          <t>Station ground grid, rods and risers (from the model)</t>
        </is>
      </c>
      <c r="E1256" s="9" t="inlineStr"/>
      <c r="F1256" s="9" t="inlineStr">
        <is>
          <t>Underground: station ground grid (bare 4/0 Cu mesh, rods, risers)</t>
        </is>
      </c>
      <c r="G1256" s="9" t="inlineStr"/>
      <c r="H1256" s="9" t="inlineStr">
        <is>
          <t>Underground: station ground grid (bare 4/0 Cu mesh, rods, risers)</t>
        </is>
      </c>
      <c r="I1256" s="9" t="inlineStr">
        <is>
          <t>Grounding</t>
        </is>
      </c>
      <c r="J1256" s="9" t="inlineStr">
        <is>
          <t>Bare Cu 4/0 AWG, 19 strand (ground grid and equipment grounds)</t>
        </is>
      </c>
      <c r="K1256" s="9" t="inlineStr">
        <is>
          <t>BARE|1/C|4/0</t>
        </is>
      </c>
      <c r="L1256" s="9" t="inlineStr">
        <is>
          <t>1/C</t>
        </is>
      </c>
      <c r="M1256" s="9" t="inlineStr">
        <is>
          <t>4/0</t>
        </is>
      </c>
      <c r="N1256" s="9" t="n">
        <v>1</v>
      </c>
      <c r="O1256" s="9" t="n">
        <v>1</v>
      </c>
      <c r="P1256" s="9" t="n"/>
      <c r="Q1256" s="9" t="n"/>
      <c r="R1256" s="9" t="n"/>
      <c r="S1256" s="9" t="inlineStr">
        <is>
          <t>Buried</t>
        </is>
      </c>
      <c r="T1256" s="10" t="n">
        <v>68700</v>
      </c>
      <c r="U1256" s="10" t="n">
        <v>0</v>
      </c>
      <c r="V1256" s="10">
        <f>ROUNDUP((T1256+U1256+2*'Read Me'!$B$13)*(1+'Read Me'!$B$12),-1)</f>
        <v/>
      </c>
      <c r="W1256" s="10">
        <f>V1256*N1256*O1256</f>
        <v/>
      </c>
      <c r="X1256" s="9">
        <f>IF(LEFT(I1256,2)="MV",2*N1256*IF(L1256="1/C",O1256,1),0)</f>
        <v/>
      </c>
      <c r="Y1256" s="9">
        <f>IF(OR(LEFT(K1256,4)="LVAX",LEFT(K1256,6)="MV15AX",LEFT(K1256,4)="CTAX",LEFT(K1256,2)="W|"),2*N1256*O1256,0)</f>
        <v/>
      </c>
      <c r="Z1256" s="9" t="inlineStr">
        <is>
          <t>measured from the modelled grid</t>
        </is>
      </c>
    </row>
    <row r="1257">
      <c r="A1257" s="9" t="inlineStr">
        <is>
          <t>C-HV-0001</t>
        </is>
      </c>
      <c r="B1257" s="9" t="inlineStr">
        <is>
          <t>C</t>
        </is>
      </c>
      <c r="C1257" s="9" t="inlineStr">
        <is>
          <t>Grid interface</t>
        </is>
      </c>
      <c r="D1257" s="9" t="inlineStr">
        <is>
          <t>230 kV underground circuit (BESS)</t>
        </is>
      </c>
      <c r="E1257" s="9" t="inlineStr">
        <is>
          <t>BESS-230-A</t>
        </is>
      </c>
      <c r="F1257" s="9" t="inlineStr">
        <is>
          <t>230 kV BESS tie: switchyard end</t>
        </is>
      </c>
      <c r="G1257" s="9" t="inlineStr">
        <is>
          <t>BESS-230-B</t>
        </is>
      </c>
      <c r="H1257" s="9" t="inlineStr">
        <is>
          <t>230 kV BESS tie: plant end</t>
        </is>
      </c>
      <c r="I1257" s="9" t="inlineStr">
        <is>
          <t>HV 230 kV</t>
        </is>
      </c>
      <c r="J1257" s="9" t="inlineStr">
        <is>
          <t>HV XLPE 230 kV 1/C 2500 kcmil Cu, Cu wire shield, Al laminate, HDPE jacket</t>
        </is>
      </c>
      <c r="K1257" s="9" t="inlineStr">
        <is>
          <t>HV230|1/C|2500</t>
        </is>
      </c>
      <c r="L1257" s="9" t="inlineStr">
        <is>
          <t>1/C</t>
        </is>
      </c>
      <c r="M1257" s="9" t="inlineStr">
        <is>
          <t>2500 kcmil</t>
        </is>
      </c>
      <c r="N1257" s="9" t="n">
        <v>1</v>
      </c>
      <c r="O1257" s="9" t="n">
        <v>3</v>
      </c>
      <c r="P1257" s="9" t="n">
        <v>230000</v>
      </c>
      <c r="Q1257" s="9" t="n"/>
      <c r="R1257" s="9" t="n"/>
      <c r="S1257" s="9" t="inlineStr">
        <is>
          <t>HV duct bank</t>
        </is>
      </c>
      <c r="T1257" s="10" t="n">
        <v>182</v>
      </c>
      <c r="U1257" s="10" t="n">
        <v>80</v>
      </c>
      <c r="V1257" s="10">
        <f>ROUNDUP((T1257+U1257+2*'Read Me'!$B$13)*(1+'Read Me'!$B$12),-1)</f>
        <v/>
      </c>
      <c r="W1257" s="10">
        <f>V1257*N1257*O1257</f>
        <v/>
      </c>
      <c r="X1257" s="9">
        <f>IF(LEFT(I1257,2)="MV",2*N1257*IF(L1257="1/C",O1257,1),0)</f>
        <v/>
      </c>
      <c r="Y1257" s="9">
        <f>IF(OR(LEFT(K1257,4)="LVAX",LEFT(K1257,6)="MV15AX",LEFT(K1257,4)="CTAX",LEFT(K1257,2)="W|"),2*N1257*O1257,0)</f>
        <v/>
      </c>
      <c r="Z1257" s="9" t="inlineStr">
        <is>
          <t>route length from the model + 2 x 40 ft risers</t>
        </is>
      </c>
    </row>
    <row r="1258">
      <c r="A1258" s="9" t="inlineStr">
        <is>
          <t>C-HV-0002</t>
        </is>
      </c>
      <c r="B1258" s="9" t="inlineStr">
        <is>
          <t>C</t>
        </is>
      </c>
      <c r="C1258" s="9" t="inlineStr">
        <is>
          <t>Grid interface</t>
        </is>
      </c>
      <c r="D1258" s="9" t="inlineStr">
        <is>
          <t>230 kV underground circuit (CCS)</t>
        </is>
      </c>
      <c r="E1258" s="9" t="inlineStr">
        <is>
          <t>CCS-230-A</t>
        </is>
      </c>
      <c r="F1258" s="9" t="inlineStr">
        <is>
          <t>230 kV CCS tie: switchyard end</t>
        </is>
      </c>
      <c r="G1258" s="9" t="inlineStr">
        <is>
          <t>CCS-230-B</t>
        </is>
      </c>
      <c r="H1258" s="9" t="inlineStr">
        <is>
          <t>230 kV CCS tie: plant end</t>
        </is>
      </c>
      <c r="I1258" s="9" t="inlineStr">
        <is>
          <t>HV 230 kV</t>
        </is>
      </c>
      <c r="J1258" s="9" t="inlineStr">
        <is>
          <t>HV XLPE 230 kV 1/C 2500 kcmil Cu, Cu wire shield, Al laminate, HDPE jacket</t>
        </is>
      </c>
      <c r="K1258" s="9" t="inlineStr">
        <is>
          <t>HV230|1/C|2500</t>
        </is>
      </c>
      <c r="L1258" s="9" t="inlineStr">
        <is>
          <t>1/C</t>
        </is>
      </c>
      <c r="M1258" s="9" t="inlineStr">
        <is>
          <t>2500 kcmil</t>
        </is>
      </c>
      <c r="N1258" s="9" t="n">
        <v>1</v>
      </c>
      <c r="O1258" s="9" t="n">
        <v>3</v>
      </c>
      <c r="P1258" s="9" t="n">
        <v>230000</v>
      </c>
      <c r="Q1258" s="9" t="n"/>
      <c r="R1258" s="9" t="n"/>
      <c r="S1258" s="9" t="inlineStr">
        <is>
          <t>HV duct bank</t>
        </is>
      </c>
      <c r="T1258" s="10" t="n">
        <v>1486</v>
      </c>
      <c r="U1258" s="10" t="n">
        <v>80</v>
      </c>
      <c r="V1258" s="10">
        <f>ROUNDUP((T1258+U1258+2*'Read Me'!$B$13)*(1+'Read Me'!$B$12),-1)</f>
        <v/>
      </c>
      <c r="W1258" s="10">
        <f>V1258*N1258*O1258</f>
        <v/>
      </c>
      <c r="X1258" s="9">
        <f>IF(LEFT(I1258,2)="MV",2*N1258*IF(L1258="1/C",O1258,1),0)</f>
        <v/>
      </c>
      <c r="Y1258" s="9">
        <f>IF(OR(LEFT(K1258,4)="LVAX",LEFT(K1258,6)="MV15AX",LEFT(K1258,4)="CTAX",LEFT(K1258,2)="W|"),2*N1258*O1258,0)</f>
        <v/>
      </c>
      <c r="Z1258" s="9" t="inlineStr">
        <is>
          <t>route length from the model + 2 x 40 ft risers</t>
        </is>
      </c>
    </row>
    <row r="1259">
      <c r="A1259" s="9" t="inlineStr">
        <is>
          <t>C-HV-0003</t>
        </is>
      </c>
      <c r="B1259" s="9" t="inlineStr">
        <is>
          <t>C</t>
        </is>
      </c>
      <c r="C1259" s="9" t="inlineStr">
        <is>
          <t>Grid interface</t>
        </is>
      </c>
      <c r="D1259" s="9" t="inlineStr">
        <is>
          <t>230 kV underground circuit (CCS)</t>
        </is>
      </c>
      <c r="E1259" s="9" t="inlineStr">
        <is>
          <t>CCS-230-A</t>
        </is>
      </c>
      <c r="F1259" s="9" t="inlineStr">
        <is>
          <t>230 kV CCS tie: switchyard end</t>
        </is>
      </c>
      <c r="G1259" s="9" t="inlineStr">
        <is>
          <t>CCS-230-B</t>
        </is>
      </c>
      <c r="H1259" s="9" t="inlineStr">
        <is>
          <t>230 kV CCS tie: plant end</t>
        </is>
      </c>
      <c r="I1259" s="9" t="inlineStr">
        <is>
          <t>HV 230 kV</t>
        </is>
      </c>
      <c r="J1259" s="9" t="inlineStr">
        <is>
          <t>HV XLPE 230 kV 1/C 2500 kcmil Cu, Cu wire shield, Al laminate, HDPE jacket</t>
        </is>
      </c>
      <c r="K1259" s="9" t="inlineStr">
        <is>
          <t>HV230|1/C|2500</t>
        </is>
      </c>
      <c r="L1259" s="9" t="inlineStr">
        <is>
          <t>1/C</t>
        </is>
      </c>
      <c r="M1259" s="9" t="inlineStr">
        <is>
          <t>2500 kcmil</t>
        </is>
      </c>
      <c r="N1259" s="9" t="n">
        <v>1</v>
      </c>
      <c r="O1259" s="9" t="n">
        <v>3</v>
      </c>
      <c r="P1259" s="9" t="n">
        <v>230000</v>
      </c>
      <c r="Q1259" s="9" t="n"/>
      <c r="R1259" s="9" t="n"/>
      <c r="S1259" s="9" t="inlineStr">
        <is>
          <t>HV duct bank</t>
        </is>
      </c>
      <c r="T1259" s="10" t="n">
        <v>1536</v>
      </c>
      <c r="U1259" s="10" t="n">
        <v>80</v>
      </c>
      <c r="V1259" s="10">
        <f>ROUNDUP((T1259+U1259+2*'Read Me'!$B$13)*(1+'Read Me'!$B$12),-1)</f>
        <v/>
      </c>
      <c r="W1259" s="10">
        <f>V1259*N1259*O1259</f>
        <v/>
      </c>
      <c r="X1259" s="9">
        <f>IF(LEFT(I1259,2)="MV",2*N1259*IF(L1259="1/C",O1259,1),0)</f>
        <v/>
      </c>
      <c r="Y1259" s="9">
        <f>IF(OR(LEFT(K1259,4)="LVAX",LEFT(K1259,6)="MV15AX",LEFT(K1259,4)="CTAX",LEFT(K1259,2)="W|"),2*N1259*O1259,0)</f>
        <v/>
      </c>
      <c r="Z1259" s="9" t="inlineStr">
        <is>
          <t>route length from the model + 2 x 40 ft risers</t>
        </is>
      </c>
    </row>
    <row r="1260">
      <c r="A1260" s="9" t="inlineStr">
        <is>
          <t>C-HV-0004</t>
        </is>
      </c>
      <c r="B1260" s="9" t="inlineStr">
        <is>
          <t>C</t>
        </is>
      </c>
      <c r="C1260" s="9" t="inlineStr">
        <is>
          <t>Grid interface</t>
        </is>
      </c>
      <c r="D1260" s="9" t="inlineStr">
        <is>
          <t>230 kV underground circuit (H2)</t>
        </is>
      </c>
      <c r="E1260" s="9" t="inlineStr">
        <is>
          <t>H2-230-A</t>
        </is>
      </c>
      <c r="F1260" s="9" t="inlineStr">
        <is>
          <t>230 kV H2 tie: switchyard end</t>
        </is>
      </c>
      <c r="G1260" s="9" t="inlineStr">
        <is>
          <t>H2-230-B</t>
        </is>
      </c>
      <c r="H1260" s="9" t="inlineStr">
        <is>
          <t>230 kV H2 tie: plant end</t>
        </is>
      </c>
      <c r="I1260" s="9" t="inlineStr">
        <is>
          <t>HV 230 kV</t>
        </is>
      </c>
      <c r="J1260" s="9" t="inlineStr">
        <is>
          <t>HV XLPE 230 kV 1/C 2500 kcmil Cu, Cu wire shield, Al laminate, HDPE jacket</t>
        </is>
      </c>
      <c r="K1260" s="9" t="inlineStr">
        <is>
          <t>HV230|1/C|2500</t>
        </is>
      </c>
      <c r="L1260" s="9" t="inlineStr">
        <is>
          <t>1/C</t>
        </is>
      </c>
      <c r="M1260" s="9" t="inlineStr">
        <is>
          <t>2500 kcmil</t>
        </is>
      </c>
      <c r="N1260" s="9" t="n">
        <v>1</v>
      </c>
      <c r="O1260" s="9" t="n">
        <v>3</v>
      </c>
      <c r="P1260" s="9" t="n">
        <v>230000</v>
      </c>
      <c r="Q1260" s="9" t="n"/>
      <c r="R1260" s="9" t="n"/>
      <c r="S1260" s="9" t="inlineStr">
        <is>
          <t>HV duct bank</t>
        </is>
      </c>
      <c r="T1260" s="10" t="n">
        <v>1720</v>
      </c>
      <c r="U1260" s="10" t="n">
        <v>80</v>
      </c>
      <c r="V1260" s="10">
        <f>ROUNDUP((T1260+U1260+2*'Read Me'!$B$13)*(1+'Read Me'!$B$12),-1)</f>
        <v/>
      </c>
      <c r="W1260" s="10">
        <f>V1260*N1260*O1260</f>
        <v/>
      </c>
      <c r="X1260" s="9">
        <f>IF(LEFT(I1260,2)="MV",2*N1260*IF(L1260="1/C",O1260,1),0)</f>
        <v/>
      </c>
      <c r="Y1260" s="9">
        <f>IF(OR(LEFT(K1260,4)="LVAX",LEFT(K1260,6)="MV15AX",LEFT(K1260,4)="CTAX",LEFT(K1260,2)="W|"),2*N1260*O1260,0)</f>
        <v/>
      </c>
      <c r="Z1260" s="9" t="inlineStr">
        <is>
          <t>route length from the model + 2 x 40 ft risers</t>
        </is>
      </c>
    </row>
    <row r="1261">
      <c r="A1261" s="9" t="inlineStr">
        <is>
          <t>C-HV-0005</t>
        </is>
      </c>
      <c r="B1261" s="9" t="inlineStr">
        <is>
          <t>C</t>
        </is>
      </c>
      <c r="C1261" s="9" t="inlineStr">
        <is>
          <t>Grid interface</t>
        </is>
      </c>
      <c r="D1261" s="9" t="inlineStr">
        <is>
          <t>230 kV underground circuit (H2)</t>
        </is>
      </c>
      <c r="E1261" s="9" t="inlineStr">
        <is>
          <t>H2-230-A</t>
        </is>
      </c>
      <c r="F1261" s="9" t="inlineStr">
        <is>
          <t>230 kV H2 tie: switchyard end</t>
        </is>
      </c>
      <c r="G1261" s="9" t="inlineStr">
        <is>
          <t>H2-230-B</t>
        </is>
      </c>
      <c r="H1261" s="9" t="inlineStr">
        <is>
          <t>230 kV H2 tie: plant end</t>
        </is>
      </c>
      <c r="I1261" s="9" t="inlineStr">
        <is>
          <t>HV 230 kV</t>
        </is>
      </c>
      <c r="J1261" s="9" t="inlineStr">
        <is>
          <t>HV XLPE 230 kV 1/C 2500 kcmil Cu, Cu wire shield, Al laminate, HDPE jacket</t>
        </is>
      </c>
      <c r="K1261" s="9" t="inlineStr">
        <is>
          <t>HV230|1/C|2500</t>
        </is>
      </c>
      <c r="L1261" s="9" t="inlineStr">
        <is>
          <t>1/C</t>
        </is>
      </c>
      <c r="M1261" s="9" t="inlineStr">
        <is>
          <t>2500 kcmil</t>
        </is>
      </c>
      <c r="N1261" s="9" t="n">
        <v>1</v>
      </c>
      <c r="O1261" s="9" t="n">
        <v>3</v>
      </c>
      <c r="P1261" s="9" t="n">
        <v>230000</v>
      </c>
      <c r="Q1261" s="9" t="n"/>
      <c r="R1261" s="9" t="n"/>
      <c r="S1261" s="9" t="inlineStr">
        <is>
          <t>HV duct bank</t>
        </is>
      </c>
      <c r="T1261" s="10" t="n">
        <v>12</v>
      </c>
      <c r="U1261" s="10" t="n">
        <v>80</v>
      </c>
      <c r="V1261" s="10">
        <f>ROUNDUP((T1261+U1261+2*'Read Me'!$B$13)*(1+'Read Me'!$B$12),-1)</f>
        <v/>
      </c>
      <c r="W1261" s="10">
        <f>V1261*N1261*O1261</f>
        <v/>
      </c>
      <c r="X1261" s="9">
        <f>IF(LEFT(I1261,2)="MV",2*N1261*IF(L1261="1/C",O1261,1),0)</f>
        <v/>
      </c>
      <c r="Y1261" s="9">
        <f>IF(OR(LEFT(K1261,4)="LVAX",LEFT(K1261,6)="MV15AX",LEFT(K1261,4)="CTAX",LEFT(K1261,2)="W|"),2*N1261*O1261,0)</f>
        <v/>
      </c>
      <c r="Z1261" s="9" t="inlineStr">
        <is>
          <t>route length from the model + 2 x 40 ft risers</t>
        </is>
      </c>
    </row>
    <row r="1262">
      <c r="A1262" s="9" t="inlineStr">
        <is>
          <t>C-HV-0006</t>
        </is>
      </c>
      <c r="B1262" s="9" t="inlineStr">
        <is>
          <t>C</t>
        </is>
      </c>
      <c r="C1262" s="9" t="inlineStr">
        <is>
          <t>Grid interface</t>
        </is>
      </c>
      <c r="D1262" s="9" t="inlineStr">
        <is>
          <t>230 kV underground circuit (MOD)</t>
        </is>
      </c>
      <c r="E1262" s="9" t="inlineStr">
        <is>
          <t>MOD-230-A</t>
        </is>
      </c>
      <c r="F1262" s="9" t="inlineStr">
        <is>
          <t>230 kV MOD tie: switchyard end</t>
        </is>
      </c>
      <c r="G1262" s="9" t="inlineStr">
        <is>
          <t>MOD-230-B</t>
        </is>
      </c>
      <c r="H1262" s="9" t="inlineStr">
        <is>
          <t>230 kV MOD tie: plant end</t>
        </is>
      </c>
      <c r="I1262" s="9" t="inlineStr">
        <is>
          <t>HV 230 kV</t>
        </is>
      </c>
      <c r="J1262" s="9" t="inlineStr">
        <is>
          <t>HV XLPE 230 kV 1/C 2500 kcmil Cu, Cu wire shield, Al laminate, HDPE jacket</t>
        </is>
      </c>
      <c r="K1262" s="9" t="inlineStr">
        <is>
          <t>HV230|1/C|2500</t>
        </is>
      </c>
      <c r="L1262" s="9" t="inlineStr">
        <is>
          <t>1/C</t>
        </is>
      </c>
      <c r="M1262" s="9" t="inlineStr">
        <is>
          <t>2500 kcmil</t>
        </is>
      </c>
      <c r="N1262" s="9" t="n">
        <v>1</v>
      </c>
      <c r="O1262" s="9" t="n">
        <v>3</v>
      </c>
      <c r="P1262" s="9" t="n">
        <v>230000</v>
      </c>
      <c r="Q1262" s="9" t="n"/>
      <c r="R1262" s="9" t="n"/>
      <c r="S1262" s="9" t="inlineStr">
        <is>
          <t>HV duct bank</t>
        </is>
      </c>
      <c r="T1262" s="10" t="n">
        <v>10</v>
      </c>
      <c r="U1262" s="10" t="n">
        <v>80</v>
      </c>
      <c r="V1262" s="10">
        <f>ROUNDUP((T1262+U1262+2*'Read Me'!$B$13)*(1+'Read Me'!$B$12),-1)</f>
        <v/>
      </c>
      <c r="W1262" s="10">
        <f>V1262*N1262*O1262</f>
        <v/>
      </c>
      <c r="X1262" s="9">
        <f>IF(LEFT(I1262,2)="MV",2*N1262*IF(L1262="1/C",O1262,1),0)</f>
        <v/>
      </c>
      <c r="Y1262" s="9">
        <f>IF(OR(LEFT(K1262,4)="LVAX",LEFT(K1262,6)="MV15AX",LEFT(K1262,4)="CTAX",LEFT(K1262,2)="W|"),2*N1262*O1262,0)</f>
        <v/>
      </c>
      <c r="Z1262" s="9" t="inlineStr">
        <is>
          <t>route length from the model + 2 x 40 ft risers</t>
        </is>
      </c>
    </row>
    <row r="1263">
      <c r="A1263" s="9" t="inlineStr">
        <is>
          <t>C-I-0001</t>
        </is>
      </c>
      <c r="B1263" s="9" t="inlineStr">
        <is>
          <t>C</t>
        </is>
      </c>
      <c r="C1263" s="9" t="inlineStr">
        <is>
          <t>Grid interface</t>
        </is>
      </c>
      <c r="D1263" s="9" t="inlineStr">
        <is>
          <t>Instrumentation</t>
        </is>
      </c>
      <c r="E1263" s="9" t="inlineStr">
        <is>
          <t>RH</t>
        </is>
      </c>
      <c r="F1263" s="9" t="inlineStr">
        <is>
          <t>RH: switchyard relay / control house (52 x 70 ft)</t>
        </is>
      </c>
      <c r="G1263" s="9" t="inlineStr">
        <is>
          <t>D1-CB1</t>
        </is>
      </c>
      <c r="H1263" s="9" t="inlineStr">
        <is>
          <t>D1 230 kV breaker 1</t>
        </is>
      </c>
      <c r="I1263" s="9" t="inlineStr">
        <is>
          <t>Instrumentation</t>
        </is>
      </c>
      <c r="J1263" s="9" t="inlineStr">
        <is>
          <t>Instrumentation PLTC / TC-ER 300 V, #18 twisted shielded pairs, overall shield</t>
        </is>
      </c>
      <c r="K1263" s="9" t="inlineStr">
        <is>
          <t>PLTC|4 pr|18</t>
        </is>
      </c>
      <c r="L1263" s="9" t="inlineStr">
        <is>
          <t>4 pr</t>
        </is>
      </c>
      <c r="M1263" s="9" t="inlineStr">
        <is>
          <t>18</t>
        </is>
      </c>
      <c r="N1263" s="9" t="n">
        <v>1</v>
      </c>
      <c r="O1263" s="9" t="n">
        <v>1</v>
      </c>
      <c r="P1263" s="9" t="n"/>
      <c r="Q1263" s="9" t="n"/>
      <c r="R1263" s="9" t="n"/>
      <c r="S1263" s="9" t="inlineStr">
        <is>
          <t>Trench</t>
        </is>
      </c>
      <c r="T1263" s="10" t="n">
        <v>91</v>
      </c>
      <c r="U1263" s="10" t="n">
        <v>223</v>
      </c>
      <c r="V1263" s="10">
        <f>ROUNDUP((T1263+U1263+2*'Read Me'!$B$13)*(1+'Read Me'!$B$12),-1)</f>
        <v/>
      </c>
      <c r="W1263" s="10">
        <f>V1263*N1263*O1263</f>
        <v/>
      </c>
      <c r="X1263" s="9">
        <f>IF(LEFT(I1263,2)="MV",2*N1263*IF(L1263="1/C",O1263,1),0)</f>
        <v/>
      </c>
      <c r="Y1263" s="9">
        <f>IF(OR(LEFT(K1263,4)="LVAX",LEFT(K1263,6)="MV15AX",LEFT(K1263,4)="CTAX",LEFT(K1263,2)="W|"),2*N1263*O1263,0)</f>
        <v/>
      </c>
      <c r="Z1263" s="9" t="inlineStr"/>
    </row>
    <row r="1264">
      <c r="A1264" s="9" t="inlineStr">
        <is>
          <t>C-I-0002</t>
        </is>
      </c>
      <c r="B1264" s="9" t="inlineStr">
        <is>
          <t>C</t>
        </is>
      </c>
      <c r="C1264" s="9" t="inlineStr">
        <is>
          <t>Grid interface</t>
        </is>
      </c>
      <c r="D1264" s="9" t="inlineStr">
        <is>
          <t>Instrumentation</t>
        </is>
      </c>
      <c r="E1264" s="9" t="inlineStr">
        <is>
          <t>RH</t>
        </is>
      </c>
      <c r="F1264" s="9" t="inlineStr">
        <is>
          <t>RH: switchyard relay / control house (52 x 70 ft)</t>
        </is>
      </c>
      <c r="G1264" s="9" t="inlineStr">
        <is>
          <t>D1-CB2</t>
        </is>
      </c>
      <c r="H1264" s="9" t="inlineStr">
        <is>
          <t>D1 230 kV breaker 2</t>
        </is>
      </c>
      <c r="I1264" s="9" t="inlineStr">
        <is>
          <t>Instrumentation</t>
        </is>
      </c>
      <c r="J1264" s="9" t="inlineStr">
        <is>
          <t>Instrumentation PLTC / TC-ER 300 V, #18 twisted shielded pairs, overall shield</t>
        </is>
      </c>
      <c r="K1264" s="9" t="inlineStr">
        <is>
          <t>PLTC|4 pr|18</t>
        </is>
      </c>
      <c r="L1264" s="9" t="inlineStr">
        <is>
          <t>4 pr</t>
        </is>
      </c>
      <c r="M1264" s="9" t="inlineStr">
        <is>
          <t>18</t>
        </is>
      </c>
      <c r="N1264" s="9" t="n">
        <v>1</v>
      </c>
      <c r="O1264" s="9" t="n">
        <v>1</v>
      </c>
      <c r="P1264" s="9" t="n"/>
      <c r="Q1264" s="9" t="n"/>
      <c r="R1264" s="9" t="n"/>
      <c r="S1264" s="9" t="inlineStr">
        <is>
          <t>Duct bank</t>
        </is>
      </c>
      <c r="T1264" s="10" t="n">
        <v>982</v>
      </c>
      <c r="U1264" s="10" t="n">
        <v>210</v>
      </c>
      <c r="V1264" s="10">
        <f>ROUNDUP((T1264+U1264+2*'Read Me'!$B$13)*(1+'Read Me'!$B$12),-1)</f>
        <v/>
      </c>
      <c r="W1264" s="10">
        <f>V1264*N1264*O1264</f>
        <v/>
      </c>
      <c r="X1264" s="9">
        <f>IF(LEFT(I1264,2)="MV",2*N1264*IF(L1264="1/C",O1264,1),0)</f>
        <v/>
      </c>
      <c r="Y1264" s="9">
        <f>IF(OR(LEFT(K1264,4)="LVAX",LEFT(K1264,6)="MV15AX",LEFT(K1264,4)="CTAX",LEFT(K1264,2)="W|"),2*N1264*O1264,0)</f>
        <v/>
      </c>
      <c r="Z1264" s="9" t="inlineStr"/>
    </row>
    <row r="1265">
      <c r="A1265" s="9" t="inlineStr">
        <is>
          <t>C-I-0003</t>
        </is>
      </c>
      <c r="B1265" s="9" t="inlineStr">
        <is>
          <t>C</t>
        </is>
      </c>
      <c r="C1265" s="9" t="inlineStr">
        <is>
          <t>Grid interface</t>
        </is>
      </c>
      <c r="D1265" s="9" t="inlineStr">
        <is>
          <t>Instrumentation</t>
        </is>
      </c>
      <c r="E1265" s="9" t="inlineStr">
        <is>
          <t>RH</t>
        </is>
      </c>
      <c r="F1265" s="9" t="inlineStr">
        <is>
          <t>RH: switchyard relay / control house (52 x 70 ft)</t>
        </is>
      </c>
      <c r="G1265" s="9" t="inlineStr">
        <is>
          <t>D1-CB3</t>
        </is>
      </c>
      <c r="H1265" s="9" t="inlineStr">
        <is>
          <t>D1 230 kV breaker 3</t>
        </is>
      </c>
      <c r="I1265" s="9" t="inlineStr">
        <is>
          <t>Instrumentation</t>
        </is>
      </c>
      <c r="J1265" s="9" t="inlineStr">
        <is>
          <t>Instrumentation PLTC / TC-ER 300 V, #18 twisted shielded pairs, overall shield</t>
        </is>
      </c>
      <c r="K1265" s="9" t="inlineStr">
        <is>
          <t>PLTC|4 pr|18</t>
        </is>
      </c>
      <c r="L1265" s="9" t="inlineStr">
        <is>
          <t>4 pr</t>
        </is>
      </c>
      <c r="M1265" s="9" t="inlineStr">
        <is>
          <t>18</t>
        </is>
      </c>
      <c r="N1265" s="9" t="n">
        <v>1</v>
      </c>
      <c r="O1265" s="9" t="n">
        <v>1</v>
      </c>
      <c r="P1265" s="9" t="n"/>
      <c r="Q1265" s="9" t="n"/>
      <c r="R1265" s="9" t="n"/>
      <c r="S1265" s="9" t="inlineStr">
        <is>
          <t>Duct bank</t>
        </is>
      </c>
      <c r="T1265" s="10" t="n">
        <v>982</v>
      </c>
      <c r="U1265" s="10" t="n">
        <v>170</v>
      </c>
      <c r="V1265" s="10">
        <f>ROUNDUP((T1265+U1265+2*'Read Me'!$B$13)*(1+'Read Me'!$B$12),-1)</f>
        <v/>
      </c>
      <c r="W1265" s="10">
        <f>V1265*N1265*O1265</f>
        <v/>
      </c>
      <c r="X1265" s="9">
        <f>IF(LEFT(I1265,2)="MV",2*N1265*IF(L1265="1/C",O1265,1),0)</f>
        <v/>
      </c>
      <c r="Y1265" s="9">
        <f>IF(OR(LEFT(K1265,4)="LVAX",LEFT(K1265,6)="MV15AX",LEFT(K1265,4)="CTAX",LEFT(K1265,2)="W|"),2*N1265*O1265,0)</f>
        <v/>
      </c>
      <c r="Z1265" s="9" t="inlineStr"/>
    </row>
    <row r="1266">
      <c r="A1266" s="9" t="inlineStr">
        <is>
          <t>C-I-0004</t>
        </is>
      </c>
      <c r="B1266" s="9" t="inlineStr">
        <is>
          <t>C</t>
        </is>
      </c>
      <c r="C1266" s="9" t="inlineStr">
        <is>
          <t>Grid interface</t>
        </is>
      </c>
      <c r="D1266" s="9" t="inlineStr">
        <is>
          <t>Instrumentation</t>
        </is>
      </c>
      <c r="E1266" s="9" t="inlineStr">
        <is>
          <t>RH</t>
        </is>
      </c>
      <c r="F1266" s="9" t="inlineStr">
        <is>
          <t>RH: switchyard relay / control house (52 x 70 ft)</t>
        </is>
      </c>
      <c r="G1266" s="9" t="inlineStr">
        <is>
          <t>D2-CB1</t>
        </is>
      </c>
      <c r="H1266" s="9" t="inlineStr">
        <is>
          <t>D2 230 kV breaker 1</t>
        </is>
      </c>
      <c r="I1266" s="9" t="inlineStr">
        <is>
          <t>Instrumentation</t>
        </is>
      </c>
      <c r="J1266" s="9" t="inlineStr">
        <is>
          <t>Instrumentation PLTC / TC-ER 300 V, #18 twisted shielded pairs, overall shield</t>
        </is>
      </c>
      <c r="K1266" s="9" t="inlineStr">
        <is>
          <t>PLTC|4 pr|18</t>
        </is>
      </c>
      <c r="L1266" s="9" t="inlineStr">
        <is>
          <t>4 pr</t>
        </is>
      </c>
      <c r="M1266" s="9" t="inlineStr">
        <is>
          <t>18</t>
        </is>
      </c>
      <c r="N1266" s="9" t="n">
        <v>1</v>
      </c>
      <c r="O1266" s="9" t="n">
        <v>1</v>
      </c>
      <c r="P1266" s="9" t="n"/>
      <c r="Q1266" s="9" t="n"/>
      <c r="R1266" s="9" t="n"/>
      <c r="S1266" s="9" t="inlineStr">
        <is>
          <t>Duct bank</t>
        </is>
      </c>
      <c r="T1266" s="10" t="n">
        <v>1185</v>
      </c>
      <c r="U1266" s="10" t="n">
        <v>247</v>
      </c>
      <c r="V1266" s="10">
        <f>ROUNDUP((T1266+U1266+2*'Read Me'!$B$13)*(1+'Read Me'!$B$12),-1)</f>
        <v/>
      </c>
      <c r="W1266" s="10">
        <f>V1266*N1266*O1266</f>
        <v/>
      </c>
      <c r="X1266" s="9">
        <f>IF(LEFT(I1266,2)="MV",2*N1266*IF(L1266="1/C",O1266,1),0)</f>
        <v/>
      </c>
      <c r="Y1266" s="9">
        <f>IF(OR(LEFT(K1266,4)="LVAX",LEFT(K1266,6)="MV15AX",LEFT(K1266,4)="CTAX",LEFT(K1266,2)="W|"),2*N1266*O1266,0)</f>
        <v/>
      </c>
      <c r="Z1266" s="9" t="inlineStr"/>
    </row>
    <row r="1267">
      <c r="A1267" s="9" t="inlineStr">
        <is>
          <t>C-I-0005</t>
        </is>
      </c>
      <c r="B1267" s="9" t="inlineStr">
        <is>
          <t>C</t>
        </is>
      </c>
      <c r="C1267" s="9" t="inlineStr">
        <is>
          <t>Grid interface</t>
        </is>
      </c>
      <c r="D1267" s="9" t="inlineStr">
        <is>
          <t>Instrumentation</t>
        </is>
      </c>
      <c r="E1267" s="9" t="inlineStr">
        <is>
          <t>RH</t>
        </is>
      </c>
      <c r="F1267" s="9" t="inlineStr">
        <is>
          <t>RH: switchyard relay / control house (52 x 70 ft)</t>
        </is>
      </c>
      <c r="G1267" s="9" t="inlineStr">
        <is>
          <t>D2-CB2</t>
        </is>
      </c>
      <c r="H1267" s="9" t="inlineStr">
        <is>
          <t>D2 230 kV breaker 2</t>
        </is>
      </c>
      <c r="I1267" s="9" t="inlineStr">
        <is>
          <t>Instrumentation</t>
        </is>
      </c>
      <c r="J1267" s="9" t="inlineStr">
        <is>
          <t>Instrumentation PLTC / TC-ER 300 V, #18 twisted shielded pairs, overall shield</t>
        </is>
      </c>
      <c r="K1267" s="9" t="inlineStr">
        <is>
          <t>PLTC|4 pr|18</t>
        </is>
      </c>
      <c r="L1267" s="9" t="inlineStr">
        <is>
          <t>4 pr</t>
        </is>
      </c>
      <c r="M1267" s="9" t="inlineStr">
        <is>
          <t>18</t>
        </is>
      </c>
      <c r="N1267" s="9" t="n">
        <v>1</v>
      </c>
      <c r="O1267" s="9" t="n">
        <v>1</v>
      </c>
      <c r="P1267" s="9" t="n"/>
      <c r="Q1267" s="9" t="n"/>
      <c r="R1267" s="9" t="n"/>
      <c r="S1267" s="9" t="inlineStr">
        <is>
          <t>Duct bank</t>
        </is>
      </c>
      <c r="T1267" s="10" t="n">
        <v>1185</v>
      </c>
      <c r="U1267" s="10" t="n">
        <v>207</v>
      </c>
      <c r="V1267" s="10">
        <f>ROUNDUP((T1267+U1267+2*'Read Me'!$B$13)*(1+'Read Me'!$B$12),-1)</f>
        <v/>
      </c>
      <c r="W1267" s="10">
        <f>V1267*N1267*O1267</f>
        <v/>
      </c>
      <c r="X1267" s="9">
        <f>IF(LEFT(I1267,2)="MV",2*N1267*IF(L1267="1/C",O1267,1),0)</f>
        <v/>
      </c>
      <c r="Y1267" s="9">
        <f>IF(OR(LEFT(K1267,4)="LVAX",LEFT(K1267,6)="MV15AX",LEFT(K1267,4)="CTAX",LEFT(K1267,2)="W|"),2*N1267*O1267,0)</f>
        <v/>
      </c>
      <c r="Z1267" s="9" t="inlineStr"/>
    </row>
    <row r="1268">
      <c r="A1268" s="9" t="inlineStr">
        <is>
          <t>C-I-0006</t>
        </is>
      </c>
      <c r="B1268" s="9" t="inlineStr">
        <is>
          <t>C</t>
        </is>
      </c>
      <c r="C1268" s="9" t="inlineStr">
        <is>
          <t>Grid interface</t>
        </is>
      </c>
      <c r="D1268" s="9" t="inlineStr">
        <is>
          <t>Instrumentation</t>
        </is>
      </c>
      <c r="E1268" s="9" t="inlineStr">
        <is>
          <t>RH</t>
        </is>
      </c>
      <c r="F1268" s="9" t="inlineStr">
        <is>
          <t>RH: switchyard relay / control house (52 x 70 ft)</t>
        </is>
      </c>
      <c r="G1268" s="9" t="inlineStr">
        <is>
          <t>D2-CB3</t>
        </is>
      </c>
      <c r="H1268" s="9" t="inlineStr">
        <is>
          <t>D2 230 kV breaker 3</t>
        </is>
      </c>
      <c r="I1268" s="9" t="inlineStr">
        <is>
          <t>Instrumentation</t>
        </is>
      </c>
      <c r="J1268" s="9" t="inlineStr">
        <is>
          <t>Instrumentation PLTC / TC-ER 300 V, #18 twisted shielded pairs, overall shield</t>
        </is>
      </c>
      <c r="K1268" s="9" t="inlineStr">
        <is>
          <t>PLTC|4 pr|18</t>
        </is>
      </c>
      <c r="L1268" s="9" t="inlineStr">
        <is>
          <t>4 pr</t>
        </is>
      </c>
      <c r="M1268" s="9" t="inlineStr">
        <is>
          <t>18</t>
        </is>
      </c>
      <c r="N1268" s="9" t="n">
        <v>1</v>
      </c>
      <c r="O1268" s="9" t="n">
        <v>1</v>
      </c>
      <c r="P1268" s="9" t="n"/>
      <c r="Q1268" s="9" t="n"/>
      <c r="R1268" s="9" t="n"/>
      <c r="S1268" s="9" t="inlineStr">
        <is>
          <t>Duct bank</t>
        </is>
      </c>
      <c r="T1268" s="10" t="n">
        <v>1185</v>
      </c>
      <c r="U1268" s="10" t="n">
        <v>167</v>
      </c>
      <c r="V1268" s="10">
        <f>ROUNDUP((T1268+U1268+2*'Read Me'!$B$13)*(1+'Read Me'!$B$12),-1)</f>
        <v/>
      </c>
      <c r="W1268" s="10">
        <f>V1268*N1268*O1268</f>
        <v/>
      </c>
      <c r="X1268" s="9">
        <f>IF(LEFT(I1268,2)="MV",2*N1268*IF(L1268="1/C",O1268,1),0)</f>
        <v/>
      </c>
      <c r="Y1268" s="9">
        <f>IF(OR(LEFT(K1268,4)="LVAX",LEFT(K1268,6)="MV15AX",LEFT(K1268,4)="CTAX",LEFT(K1268,2)="W|"),2*N1268*O1268,0)</f>
        <v/>
      </c>
      <c r="Z1268" s="9" t="inlineStr"/>
    </row>
    <row r="1269">
      <c r="A1269" s="9" t="inlineStr">
        <is>
          <t>C-I-0007</t>
        </is>
      </c>
      <c r="B1269" s="9" t="inlineStr">
        <is>
          <t>C</t>
        </is>
      </c>
      <c r="C1269" s="9" t="inlineStr">
        <is>
          <t>Grid interface</t>
        </is>
      </c>
      <c r="D1269" s="9" t="inlineStr">
        <is>
          <t>Instrumentation</t>
        </is>
      </c>
      <c r="E1269" s="9" t="inlineStr">
        <is>
          <t>RH</t>
        </is>
      </c>
      <c r="F1269" s="9" t="inlineStr">
        <is>
          <t>RH: switchyard relay / control house (52 x 70 ft)</t>
        </is>
      </c>
      <c r="G1269" s="9" t="inlineStr">
        <is>
          <t>D3-CB1</t>
        </is>
      </c>
      <c r="H1269" s="9" t="inlineStr">
        <is>
          <t>D3 230 kV breaker 1</t>
        </is>
      </c>
      <c r="I1269" s="9" t="inlineStr">
        <is>
          <t>Instrumentation</t>
        </is>
      </c>
      <c r="J1269" s="9" t="inlineStr">
        <is>
          <t>Instrumentation PLTC / TC-ER 300 V, #18 twisted shielded pairs, overall shield</t>
        </is>
      </c>
      <c r="K1269" s="9" t="inlineStr">
        <is>
          <t>PLTC|4 pr|18</t>
        </is>
      </c>
      <c r="L1269" s="9" t="inlineStr">
        <is>
          <t>4 pr</t>
        </is>
      </c>
      <c r="M1269" s="9" t="inlineStr">
        <is>
          <t>18</t>
        </is>
      </c>
      <c r="N1269" s="9" t="n">
        <v>1</v>
      </c>
      <c r="O1269" s="9" t="n">
        <v>1</v>
      </c>
      <c r="P1269" s="9" t="n"/>
      <c r="Q1269" s="9" t="n"/>
      <c r="R1269" s="9" t="n"/>
      <c r="S1269" s="9" t="inlineStr">
        <is>
          <t>Trench</t>
        </is>
      </c>
      <c r="T1269" s="10" t="n">
        <v>886</v>
      </c>
      <c r="U1269" s="10" t="n">
        <v>228</v>
      </c>
      <c r="V1269" s="10">
        <f>ROUNDUP((T1269+U1269+2*'Read Me'!$B$13)*(1+'Read Me'!$B$12),-1)</f>
        <v/>
      </c>
      <c r="W1269" s="10">
        <f>V1269*N1269*O1269</f>
        <v/>
      </c>
      <c r="X1269" s="9">
        <f>IF(LEFT(I1269,2)="MV",2*N1269*IF(L1269="1/C",O1269,1),0)</f>
        <v/>
      </c>
      <c r="Y1269" s="9">
        <f>IF(OR(LEFT(K1269,4)="LVAX",LEFT(K1269,6)="MV15AX",LEFT(K1269,4)="CTAX",LEFT(K1269,2)="W|"),2*N1269*O1269,0)</f>
        <v/>
      </c>
      <c r="Z1269" s="9" t="inlineStr"/>
    </row>
    <row r="1270">
      <c r="A1270" s="9" t="inlineStr">
        <is>
          <t>C-I-0008</t>
        </is>
      </c>
      <c r="B1270" s="9" t="inlineStr">
        <is>
          <t>C</t>
        </is>
      </c>
      <c r="C1270" s="9" t="inlineStr">
        <is>
          <t>Grid interface</t>
        </is>
      </c>
      <c r="D1270" s="9" t="inlineStr">
        <is>
          <t>Instrumentation</t>
        </is>
      </c>
      <c r="E1270" s="9" t="inlineStr">
        <is>
          <t>RH</t>
        </is>
      </c>
      <c r="F1270" s="9" t="inlineStr">
        <is>
          <t>RH: switchyard relay / control house (52 x 70 ft)</t>
        </is>
      </c>
      <c r="G1270" s="9" t="inlineStr">
        <is>
          <t>D3-CB2</t>
        </is>
      </c>
      <c r="H1270" s="9" t="inlineStr">
        <is>
          <t>D3 230 kV breaker 2</t>
        </is>
      </c>
      <c r="I1270" s="9" t="inlineStr">
        <is>
          <t>Instrumentation</t>
        </is>
      </c>
      <c r="J1270" s="9" t="inlineStr">
        <is>
          <t>Instrumentation PLTC / TC-ER 300 V, #18 twisted shielded pairs, overall shield</t>
        </is>
      </c>
      <c r="K1270" s="9" t="inlineStr">
        <is>
          <t>PLTC|4 pr|18</t>
        </is>
      </c>
      <c r="L1270" s="9" t="inlineStr">
        <is>
          <t>4 pr</t>
        </is>
      </c>
      <c r="M1270" s="9" t="inlineStr">
        <is>
          <t>18</t>
        </is>
      </c>
      <c r="N1270" s="9" t="n">
        <v>1</v>
      </c>
      <c r="O1270" s="9" t="n">
        <v>1</v>
      </c>
      <c r="P1270" s="9" t="n"/>
      <c r="Q1270" s="9" t="n"/>
      <c r="R1270" s="9" t="n"/>
      <c r="S1270" s="9" t="inlineStr">
        <is>
          <t>Trench</t>
        </is>
      </c>
      <c r="T1270" s="10" t="n">
        <v>886</v>
      </c>
      <c r="U1270" s="10" t="n">
        <v>240</v>
      </c>
      <c r="V1270" s="10">
        <f>ROUNDUP((T1270+U1270+2*'Read Me'!$B$13)*(1+'Read Me'!$B$12),-1)</f>
        <v/>
      </c>
      <c r="W1270" s="10">
        <f>V1270*N1270*O1270</f>
        <v/>
      </c>
      <c r="X1270" s="9">
        <f>IF(LEFT(I1270,2)="MV",2*N1270*IF(L1270="1/C",O1270,1),0)</f>
        <v/>
      </c>
      <c r="Y1270" s="9">
        <f>IF(OR(LEFT(K1270,4)="LVAX",LEFT(K1270,6)="MV15AX",LEFT(K1270,4)="CTAX",LEFT(K1270,2)="W|"),2*N1270*O1270,0)</f>
        <v/>
      </c>
      <c r="Z1270" s="9" t="inlineStr"/>
    </row>
    <row r="1271">
      <c r="A1271" s="9" t="inlineStr">
        <is>
          <t>C-I-0009</t>
        </is>
      </c>
      <c r="B1271" s="9" t="inlineStr">
        <is>
          <t>C</t>
        </is>
      </c>
      <c r="C1271" s="9" t="inlineStr">
        <is>
          <t>Grid interface</t>
        </is>
      </c>
      <c r="D1271" s="9" t="inlineStr">
        <is>
          <t>Instrumentation</t>
        </is>
      </c>
      <c r="E1271" s="9" t="inlineStr">
        <is>
          <t>RH</t>
        </is>
      </c>
      <c r="F1271" s="9" t="inlineStr">
        <is>
          <t>RH: switchyard relay / control house (52 x 70 ft)</t>
        </is>
      </c>
      <c r="G1271" s="9" t="inlineStr">
        <is>
          <t>D3-CB3</t>
        </is>
      </c>
      <c r="H1271" s="9" t="inlineStr">
        <is>
          <t>D3 230 kV breaker 3</t>
        </is>
      </c>
      <c r="I1271" s="9" t="inlineStr">
        <is>
          <t>Instrumentation</t>
        </is>
      </c>
      <c r="J1271" s="9" t="inlineStr">
        <is>
          <t>Instrumentation PLTC / TC-ER 300 V, #18 twisted shielded pairs, overall shield</t>
        </is>
      </c>
      <c r="K1271" s="9" t="inlineStr">
        <is>
          <t>PLTC|4 pr|18</t>
        </is>
      </c>
      <c r="L1271" s="9" t="inlineStr">
        <is>
          <t>4 pr</t>
        </is>
      </c>
      <c r="M1271" s="9" t="inlineStr">
        <is>
          <t>18</t>
        </is>
      </c>
      <c r="N1271" s="9" t="n">
        <v>1</v>
      </c>
      <c r="O1271" s="9" t="n">
        <v>1</v>
      </c>
      <c r="P1271" s="9" t="n"/>
      <c r="Q1271" s="9" t="n"/>
      <c r="R1271" s="9" t="n"/>
      <c r="S1271" s="9" t="inlineStr">
        <is>
          <t>Duct bank</t>
        </is>
      </c>
      <c r="T1271" s="10" t="n">
        <v>1349</v>
      </c>
      <c r="U1271" s="10" t="n">
        <v>203</v>
      </c>
      <c r="V1271" s="10">
        <f>ROUNDUP((T1271+U1271+2*'Read Me'!$B$13)*(1+'Read Me'!$B$12),-1)</f>
        <v/>
      </c>
      <c r="W1271" s="10">
        <f>V1271*N1271*O1271</f>
        <v/>
      </c>
      <c r="X1271" s="9">
        <f>IF(LEFT(I1271,2)="MV",2*N1271*IF(L1271="1/C",O1271,1),0)</f>
        <v/>
      </c>
      <c r="Y1271" s="9">
        <f>IF(OR(LEFT(K1271,4)="LVAX",LEFT(K1271,6)="MV15AX",LEFT(K1271,4)="CTAX",LEFT(K1271,2)="W|"),2*N1271*O1271,0)</f>
        <v/>
      </c>
      <c r="Z1271" s="9" t="inlineStr"/>
    </row>
    <row r="1272">
      <c r="A1272" s="9" t="inlineStr">
        <is>
          <t>C-I-0010</t>
        </is>
      </c>
      <c r="B1272" s="9" t="inlineStr">
        <is>
          <t>C</t>
        </is>
      </c>
      <c r="C1272" s="9" t="inlineStr">
        <is>
          <t>Grid interface</t>
        </is>
      </c>
      <c r="D1272" s="9" t="inlineStr">
        <is>
          <t>Instrumentation</t>
        </is>
      </c>
      <c r="E1272" s="9" t="inlineStr">
        <is>
          <t>RH</t>
        </is>
      </c>
      <c r="F1272" s="9" t="inlineStr">
        <is>
          <t>RH: switchyard relay / control house (52 x 70 ft)</t>
        </is>
      </c>
      <c r="G1272" s="9" t="inlineStr">
        <is>
          <t>D4-CB1</t>
        </is>
      </c>
      <c r="H1272" s="9" t="inlineStr">
        <is>
          <t>D4 230 kV breaker 1 (build-out)</t>
        </is>
      </c>
      <c r="I1272" s="9" t="inlineStr">
        <is>
          <t>Instrumentation</t>
        </is>
      </c>
      <c r="J1272" s="9" t="inlineStr">
        <is>
          <t>Instrumentation PLTC / TC-ER 300 V, #18 twisted shielded pairs, overall shield</t>
        </is>
      </c>
      <c r="K1272" s="9" t="inlineStr">
        <is>
          <t>PLTC|4 pr|18</t>
        </is>
      </c>
      <c r="L1272" s="9" t="inlineStr">
        <is>
          <t>4 pr</t>
        </is>
      </c>
      <c r="M1272" s="9" t="inlineStr">
        <is>
          <t>18</t>
        </is>
      </c>
      <c r="N1272" s="9" t="n">
        <v>1</v>
      </c>
      <c r="O1272" s="9" t="n">
        <v>1</v>
      </c>
      <c r="P1272" s="9" t="n"/>
      <c r="Q1272" s="9" t="n"/>
      <c r="R1272" s="9" t="n"/>
      <c r="S1272" s="9" t="inlineStr">
        <is>
          <t>Estimated</t>
        </is>
      </c>
      <c r="T1272" s="10" t="n">
        <v>1361</v>
      </c>
      <c r="U1272" s="10" t="n">
        <v>40</v>
      </c>
      <c r="V1272" s="10">
        <f>ROUNDUP((T1272+U1272+2*'Read Me'!$B$13)*(1+'Read Me'!$B$12),-1)</f>
        <v/>
      </c>
      <c r="W1272" s="10">
        <f>V1272*N1272*O1272</f>
        <v/>
      </c>
      <c r="X1272" s="9">
        <f>IF(LEFT(I1272,2)="MV",2*N1272*IF(L1272="1/C",O1272,1),0)</f>
        <v/>
      </c>
      <c r="Y1272" s="9">
        <f>IF(OR(LEFT(K1272,4)="LVAX",LEFT(K1272,6)="MV15AX",LEFT(K1272,4)="CTAX",LEFT(K1272,2)="W|"),2*N1272*O1272,0)</f>
        <v/>
      </c>
      <c r="Z1272" s="9" t="inlineStr"/>
    </row>
    <row r="1273">
      <c r="A1273" s="9" t="inlineStr">
        <is>
          <t>C-I-0011</t>
        </is>
      </c>
      <c r="B1273" s="9" t="inlineStr">
        <is>
          <t>C</t>
        </is>
      </c>
      <c r="C1273" s="9" t="inlineStr">
        <is>
          <t>Grid interface</t>
        </is>
      </c>
      <c r="D1273" s="9" t="inlineStr">
        <is>
          <t>Instrumentation</t>
        </is>
      </c>
      <c r="E1273" s="9" t="inlineStr">
        <is>
          <t>RH</t>
        </is>
      </c>
      <c r="F1273" s="9" t="inlineStr">
        <is>
          <t>RH: switchyard relay / control house (52 x 70 ft)</t>
        </is>
      </c>
      <c r="G1273" s="9" t="inlineStr">
        <is>
          <t>D4-CB2</t>
        </is>
      </c>
      <c r="H1273" s="9" t="inlineStr">
        <is>
          <t>D4 230 kV breaker 2 (build-out)</t>
        </is>
      </c>
      <c r="I1273" s="9" t="inlineStr">
        <is>
          <t>Instrumentation</t>
        </is>
      </c>
      <c r="J1273" s="9" t="inlineStr">
        <is>
          <t>Instrumentation PLTC / TC-ER 300 V, #18 twisted shielded pairs, overall shield</t>
        </is>
      </c>
      <c r="K1273" s="9" t="inlineStr">
        <is>
          <t>PLTC|4 pr|18</t>
        </is>
      </c>
      <c r="L1273" s="9" t="inlineStr">
        <is>
          <t>4 pr</t>
        </is>
      </c>
      <c r="M1273" s="9" t="inlineStr">
        <is>
          <t>18</t>
        </is>
      </c>
      <c r="N1273" s="9" t="n">
        <v>1</v>
      </c>
      <c r="O1273" s="9" t="n">
        <v>1</v>
      </c>
      <c r="P1273" s="9" t="n"/>
      <c r="Q1273" s="9" t="n"/>
      <c r="R1273" s="9" t="n"/>
      <c r="S1273" s="9" t="inlineStr">
        <is>
          <t>Estimated</t>
        </is>
      </c>
      <c r="T1273" s="10" t="n">
        <v>1321</v>
      </c>
      <c r="U1273" s="10" t="n">
        <v>40</v>
      </c>
      <c r="V1273" s="10">
        <f>ROUNDUP((T1273+U1273+2*'Read Me'!$B$13)*(1+'Read Me'!$B$12),-1)</f>
        <v/>
      </c>
      <c r="W1273" s="10">
        <f>V1273*N1273*O1273</f>
        <v/>
      </c>
      <c r="X1273" s="9">
        <f>IF(LEFT(I1273,2)="MV",2*N1273*IF(L1273="1/C",O1273,1),0)</f>
        <v/>
      </c>
      <c r="Y1273" s="9">
        <f>IF(OR(LEFT(K1273,4)="LVAX",LEFT(K1273,6)="MV15AX",LEFT(K1273,4)="CTAX",LEFT(K1273,2)="W|"),2*N1273*O1273,0)</f>
        <v/>
      </c>
      <c r="Z1273" s="9" t="inlineStr"/>
    </row>
    <row r="1274">
      <c r="A1274" s="9" t="inlineStr">
        <is>
          <t>C-I-0012</t>
        </is>
      </c>
      <c r="B1274" s="9" t="inlineStr">
        <is>
          <t>C</t>
        </is>
      </c>
      <c r="C1274" s="9" t="inlineStr">
        <is>
          <t>Grid interface</t>
        </is>
      </c>
      <c r="D1274" s="9" t="inlineStr">
        <is>
          <t>Instrumentation</t>
        </is>
      </c>
      <c r="E1274" s="9" t="inlineStr">
        <is>
          <t>RH</t>
        </is>
      </c>
      <c r="F1274" s="9" t="inlineStr">
        <is>
          <t>RH: switchyard relay / control house (52 x 70 ft)</t>
        </is>
      </c>
      <c r="G1274" s="9" t="inlineStr">
        <is>
          <t>D4-CB3</t>
        </is>
      </c>
      <c r="H1274" s="9" t="inlineStr">
        <is>
          <t>D4 230 kV breaker 3 (build-out)</t>
        </is>
      </c>
      <c r="I1274" s="9" t="inlineStr">
        <is>
          <t>Instrumentation</t>
        </is>
      </c>
      <c r="J1274" s="9" t="inlineStr">
        <is>
          <t>Instrumentation PLTC / TC-ER 300 V, #18 twisted shielded pairs, overall shield</t>
        </is>
      </c>
      <c r="K1274" s="9" t="inlineStr">
        <is>
          <t>PLTC|4 pr|18</t>
        </is>
      </c>
      <c r="L1274" s="9" t="inlineStr">
        <is>
          <t>4 pr</t>
        </is>
      </c>
      <c r="M1274" s="9" t="inlineStr">
        <is>
          <t>18</t>
        </is>
      </c>
      <c r="N1274" s="9" t="n">
        <v>1</v>
      </c>
      <c r="O1274" s="9" t="n">
        <v>1</v>
      </c>
      <c r="P1274" s="9" t="n"/>
      <c r="Q1274" s="9" t="n"/>
      <c r="R1274" s="9" t="n"/>
      <c r="S1274" s="9" t="inlineStr">
        <is>
          <t>Estimated</t>
        </is>
      </c>
      <c r="T1274" s="10" t="n">
        <v>1281</v>
      </c>
      <c r="U1274" s="10" t="n">
        <v>40</v>
      </c>
      <c r="V1274" s="10">
        <f>ROUNDUP((T1274+U1274+2*'Read Me'!$B$13)*(1+'Read Me'!$B$12),-1)</f>
        <v/>
      </c>
      <c r="W1274" s="10">
        <f>V1274*N1274*O1274</f>
        <v/>
      </c>
      <c r="X1274" s="9">
        <f>IF(LEFT(I1274,2)="MV",2*N1274*IF(L1274="1/C",O1274,1),0)</f>
        <v/>
      </c>
      <c r="Y1274" s="9">
        <f>IF(OR(LEFT(K1274,4)="LVAX",LEFT(K1274,6)="MV15AX",LEFT(K1274,4)="CTAX",LEFT(K1274,2)="W|"),2*N1274*O1274,0)</f>
        <v/>
      </c>
      <c r="Z1274" s="9" t="inlineStr"/>
    </row>
    <row r="1275">
      <c r="A1275" s="9" t="inlineStr">
        <is>
          <t>C-I-0013</t>
        </is>
      </c>
      <c r="B1275" s="9" t="inlineStr">
        <is>
          <t>C</t>
        </is>
      </c>
      <c r="C1275" s="9" t="inlineStr">
        <is>
          <t>Grid interface</t>
        </is>
      </c>
      <c r="D1275" s="9" t="inlineStr">
        <is>
          <t>Instrumentation</t>
        </is>
      </c>
      <c r="E1275" s="9" t="inlineStr">
        <is>
          <t>RH</t>
        </is>
      </c>
      <c r="F1275" s="9" t="inlineStr">
        <is>
          <t>RH: switchyard relay / control house (52 x 70 ft)</t>
        </is>
      </c>
      <c r="G1275" s="9" t="inlineStr">
        <is>
          <t>D5-CB1</t>
        </is>
      </c>
      <c r="H1275" s="9" t="inlineStr">
        <is>
          <t>D5 230 kV breaker 1 (build-out)</t>
        </is>
      </c>
      <c r="I1275" s="9" t="inlineStr">
        <is>
          <t>Instrumentation</t>
        </is>
      </c>
      <c r="J1275" s="9" t="inlineStr">
        <is>
          <t>Instrumentation PLTC / TC-ER 300 V, #18 twisted shielded pairs, overall shield</t>
        </is>
      </c>
      <c r="K1275" s="9" t="inlineStr">
        <is>
          <t>PLTC|4 pr|18</t>
        </is>
      </c>
      <c r="L1275" s="9" t="inlineStr">
        <is>
          <t>4 pr</t>
        </is>
      </c>
      <c r="M1275" s="9" t="inlineStr">
        <is>
          <t>18</t>
        </is>
      </c>
      <c r="N1275" s="9" t="n">
        <v>1</v>
      </c>
      <c r="O1275" s="9" t="n">
        <v>1</v>
      </c>
      <c r="P1275" s="9" t="n"/>
      <c r="Q1275" s="9" t="n"/>
      <c r="R1275" s="9" t="n"/>
      <c r="S1275" s="9" t="inlineStr">
        <is>
          <t>Trench</t>
        </is>
      </c>
      <c r="T1275" s="10" t="n">
        <v>1584</v>
      </c>
      <c r="U1275" s="10" t="n">
        <v>166</v>
      </c>
      <c r="V1275" s="10">
        <f>ROUNDUP((T1275+U1275+2*'Read Me'!$B$13)*(1+'Read Me'!$B$12),-1)</f>
        <v/>
      </c>
      <c r="W1275" s="10">
        <f>V1275*N1275*O1275</f>
        <v/>
      </c>
      <c r="X1275" s="9">
        <f>IF(LEFT(I1275,2)="MV",2*N1275*IF(L1275="1/C",O1275,1),0)</f>
        <v/>
      </c>
      <c r="Y1275" s="9">
        <f>IF(OR(LEFT(K1275,4)="LVAX",LEFT(K1275,6)="MV15AX",LEFT(K1275,4)="CTAX",LEFT(K1275,2)="W|"),2*N1275*O1275,0)</f>
        <v/>
      </c>
      <c r="Z1275" s="9" t="inlineStr"/>
    </row>
    <row r="1276">
      <c r="A1276" s="9" t="inlineStr">
        <is>
          <t>C-I-0014</t>
        </is>
      </c>
      <c r="B1276" s="9" t="inlineStr">
        <is>
          <t>C</t>
        </is>
      </c>
      <c r="C1276" s="9" t="inlineStr">
        <is>
          <t>Grid interface</t>
        </is>
      </c>
      <c r="D1276" s="9" t="inlineStr">
        <is>
          <t>Instrumentation</t>
        </is>
      </c>
      <c r="E1276" s="9" t="inlineStr">
        <is>
          <t>RH</t>
        </is>
      </c>
      <c r="F1276" s="9" t="inlineStr">
        <is>
          <t>RH: switchyard relay / control house (52 x 70 ft)</t>
        </is>
      </c>
      <c r="G1276" s="9" t="inlineStr">
        <is>
          <t>D5-CB2</t>
        </is>
      </c>
      <c r="H1276" s="9" t="inlineStr">
        <is>
          <t>D5 230 kV breaker 2 (build-out)</t>
        </is>
      </c>
      <c r="I1276" s="9" t="inlineStr">
        <is>
          <t>Instrumentation</t>
        </is>
      </c>
      <c r="J1276" s="9" t="inlineStr">
        <is>
          <t>Instrumentation PLTC / TC-ER 300 V, #18 twisted shielded pairs, overall shield</t>
        </is>
      </c>
      <c r="K1276" s="9" t="inlineStr">
        <is>
          <t>PLTC|4 pr|18</t>
        </is>
      </c>
      <c r="L1276" s="9" t="inlineStr">
        <is>
          <t>4 pr</t>
        </is>
      </c>
      <c r="M1276" s="9" t="inlineStr">
        <is>
          <t>18</t>
        </is>
      </c>
      <c r="N1276" s="9" t="n">
        <v>1</v>
      </c>
      <c r="O1276" s="9" t="n">
        <v>1</v>
      </c>
      <c r="P1276" s="9" t="n"/>
      <c r="Q1276" s="9" t="n"/>
      <c r="R1276" s="9" t="n"/>
      <c r="S1276" s="9" t="inlineStr">
        <is>
          <t>Estimated</t>
        </is>
      </c>
      <c r="T1276" s="10" t="n">
        <v>1461</v>
      </c>
      <c r="U1276" s="10" t="n">
        <v>40</v>
      </c>
      <c r="V1276" s="10">
        <f>ROUNDUP((T1276+U1276+2*'Read Me'!$B$13)*(1+'Read Me'!$B$12),-1)</f>
        <v/>
      </c>
      <c r="W1276" s="10">
        <f>V1276*N1276*O1276</f>
        <v/>
      </c>
      <c r="X1276" s="9">
        <f>IF(LEFT(I1276,2)="MV",2*N1276*IF(L1276="1/C",O1276,1),0)</f>
        <v/>
      </c>
      <c r="Y1276" s="9">
        <f>IF(OR(LEFT(K1276,4)="LVAX",LEFT(K1276,6)="MV15AX",LEFT(K1276,4)="CTAX",LEFT(K1276,2)="W|"),2*N1276*O1276,0)</f>
        <v/>
      </c>
      <c r="Z1276" s="9" t="inlineStr"/>
    </row>
    <row r="1277">
      <c r="A1277" s="9" t="inlineStr">
        <is>
          <t>C-I-0015</t>
        </is>
      </c>
      <c r="B1277" s="9" t="inlineStr">
        <is>
          <t>C</t>
        </is>
      </c>
      <c r="C1277" s="9" t="inlineStr">
        <is>
          <t>Grid interface</t>
        </is>
      </c>
      <c r="D1277" s="9" t="inlineStr">
        <is>
          <t>Instrumentation</t>
        </is>
      </c>
      <c r="E1277" s="9" t="inlineStr">
        <is>
          <t>RH</t>
        </is>
      </c>
      <c r="F1277" s="9" t="inlineStr">
        <is>
          <t>RH: switchyard relay / control house (52 x 70 ft)</t>
        </is>
      </c>
      <c r="G1277" s="9" t="inlineStr">
        <is>
          <t>D5-CB3</t>
        </is>
      </c>
      <c r="H1277" s="9" t="inlineStr">
        <is>
          <t>D5 230 kV breaker 3 (build-out)</t>
        </is>
      </c>
      <c r="I1277" s="9" t="inlineStr">
        <is>
          <t>Instrumentation</t>
        </is>
      </c>
      <c r="J1277" s="9" t="inlineStr">
        <is>
          <t>Instrumentation PLTC / TC-ER 300 V, #18 twisted shielded pairs, overall shield</t>
        </is>
      </c>
      <c r="K1277" s="9" t="inlineStr">
        <is>
          <t>PLTC|4 pr|18</t>
        </is>
      </c>
      <c r="L1277" s="9" t="inlineStr">
        <is>
          <t>4 pr</t>
        </is>
      </c>
      <c r="M1277" s="9" t="inlineStr">
        <is>
          <t>18</t>
        </is>
      </c>
      <c r="N1277" s="9" t="n">
        <v>1</v>
      </c>
      <c r="O1277" s="9" t="n">
        <v>1</v>
      </c>
      <c r="P1277" s="9" t="n"/>
      <c r="Q1277" s="9" t="n"/>
      <c r="R1277" s="9" t="n"/>
      <c r="S1277" s="9" t="inlineStr">
        <is>
          <t>Estimated</t>
        </is>
      </c>
      <c r="T1277" s="10" t="n">
        <v>1421</v>
      </c>
      <c r="U1277" s="10" t="n">
        <v>40</v>
      </c>
      <c r="V1277" s="10">
        <f>ROUNDUP((T1277+U1277+2*'Read Me'!$B$13)*(1+'Read Me'!$B$12),-1)</f>
        <v/>
      </c>
      <c r="W1277" s="10">
        <f>V1277*N1277*O1277</f>
        <v/>
      </c>
      <c r="X1277" s="9">
        <f>IF(LEFT(I1277,2)="MV",2*N1277*IF(L1277="1/C",O1277,1),0)</f>
        <v/>
      </c>
      <c r="Y1277" s="9">
        <f>IF(OR(LEFT(K1277,4)="LVAX",LEFT(K1277,6)="MV15AX",LEFT(K1277,4)="CTAX",LEFT(K1277,2)="W|"),2*N1277*O1277,0)</f>
        <v/>
      </c>
      <c r="Z1277" s="9" t="inlineStr"/>
    </row>
    <row r="1278">
      <c r="A1278" s="9" t="inlineStr">
        <is>
          <t>C-I-0016</t>
        </is>
      </c>
      <c r="B1278" s="9" t="inlineStr">
        <is>
          <t>C</t>
        </is>
      </c>
      <c r="C1278" s="9" t="inlineStr">
        <is>
          <t>Grid interface</t>
        </is>
      </c>
      <c r="D1278" s="9" t="inlineStr">
        <is>
          <t>Instrumentation</t>
        </is>
      </c>
      <c r="E1278" s="9" t="inlineStr">
        <is>
          <t>RH</t>
        </is>
      </c>
      <c r="F1278" s="9" t="inlineStr">
        <is>
          <t>RH: switchyard relay / control house (52 x 70 ft)</t>
        </is>
      </c>
      <c r="G1278" s="9" t="inlineStr">
        <is>
          <t>D6-CB1</t>
        </is>
      </c>
      <c r="H1278" s="9" t="inlineStr">
        <is>
          <t>D6 230 kV breaker 1 (build-out)</t>
        </is>
      </c>
      <c r="I1278" s="9" t="inlineStr">
        <is>
          <t>Instrumentation</t>
        </is>
      </c>
      <c r="J1278" s="9" t="inlineStr">
        <is>
          <t>Instrumentation PLTC / TC-ER 300 V, #18 twisted shielded pairs, overall shield</t>
        </is>
      </c>
      <c r="K1278" s="9" t="inlineStr">
        <is>
          <t>PLTC|4 pr|18</t>
        </is>
      </c>
      <c r="L1278" s="9" t="inlineStr">
        <is>
          <t>4 pr</t>
        </is>
      </c>
      <c r="M1278" s="9" t="inlineStr">
        <is>
          <t>18</t>
        </is>
      </c>
      <c r="N1278" s="9" t="n">
        <v>1</v>
      </c>
      <c r="O1278" s="9" t="n">
        <v>1</v>
      </c>
      <c r="P1278" s="9" t="n"/>
      <c r="Q1278" s="9" t="n"/>
      <c r="R1278" s="9" t="n"/>
      <c r="S1278" s="9" t="inlineStr">
        <is>
          <t>Trench</t>
        </is>
      </c>
      <c r="T1278" s="10" t="n">
        <v>1584</v>
      </c>
      <c r="U1278" s="10" t="n">
        <v>40</v>
      </c>
      <c r="V1278" s="10">
        <f>ROUNDUP((T1278+U1278+2*'Read Me'!$B$13)*(1+'Read Me'!$B$12),-1)</f>
        <v/>
      </c>
      <c r="W1278" s="10">
        <f>V1278*N1278*O1278</f>
        <v/>
      </c>
      <c r="X1278" s="9">
        <f>IF(LEFT(I1278,2)="MV",2*N1278*IF(L1278="1/C",O1278,1),0)</f>
        <v/>
      </c>
      <c r="Y1278" s="9">
        <f>IF(OR(LEFT(K1278,4)="LVAX",LEFT(K1278,6)="MV15AX",LEFT(K1278,4)="CTAX",LEFT(K1278,2)="W|"),2*N1278*O1278,0)</f>
        <v/>
      </c>
      <c r="Z1278" s="9" t="inlineStr"/>
    </row>
    <row r="1279">
      <c r="A1279" s="9" t="inlineStr">
        <is>
          <t>C-I-0017</t>
        </is>
      </c>
      <c r="B1279" s="9" t="inlineStr">
        <is>
          <t>C</t>
        </is>
      </c>
      <c r="C1279" s="9" t="inlineStr">
        <is>
          <t>Grid interface</t>
        </is>
      </c>
      <c r="D1279" s="9" t="inlineStr">
        <is>
          <t>Instrumentation</t>
        </is>
      </c>
      <c r="E1279" s="9" t="inlineStr">
        <is>
          <t>RH</t>
        </is>
      </c>
      <c r="F1279" s="9" t="inlineStr">
        <is>
          <t>RH: switchyard relay / control house (52 x 70 ft)</t>
        </is>
      </c>
      <c r="G1279" s="9" t="inlineStr">
        <is>
          <t>D6-CB2</t>
        </is>
      </c>
      <c r="H1279" s="9" t="inlineStr">
        <is>
          <t>D6 230 kV breaker 2 (build-out)</t>
        </is>
      </c>
      <c r="I1279" s="9" t="inlineStr">
        <is>
          <t>Instrumentation</t>
        </is>
      </c>
      <c r="J1279" s="9" t="inlineStr">
        <is>
          <t>Instrumentation PLTC / TC-ER 300 V, #18 twisted shielded pairs, overall shield</t>
        </is>
      </c>
      <c r="K1279" s="9" t="inlineStr">
        <is>
          <t>PLTC|4 pr|18</t>
        </is>
      </c>
      <c r="L1279" s="9" t="inlineStr">
        <is>
          <t>4 pr</t>
        </is>
      </c>
      <c r="M1279" s="9" t="inlineStr">
        <is>
          <t>18</t>
        </is>
      </c>
      <c r="N1279" s="9" t="n">
        <v>1</v>
      </c>
      <c r="O1279" s="9" t="n">
        <v>1</v>
      </c>
      <c r="P1279" s="9" t="n"/>
      <c r="Q1279" s="9" t="n"/>
      <c r="R1279" s="9" t="n"/>
      <c r="S1279" s="9" t="inlineStr">
        <is>
          <t>Trench</t>
        </is>
      </c>
      <c r="T1279" s="10" t="n">
        <v>1584</v>
      </c>
      <c r="U1279" s="10" t="n">
        <v>52</v>
      </c>
      <c r="V1279" s="10">
        <f>ROUNDUP((T1279+U1279+2*'Read Me'!$B$13)*(1+'Read Me'!$B$12),-1)</f>
        <v/>
      </c>
      <c r="W1279" s="10">
        <f>V1279*N1279*O1279</f>
        <v/>
      </c>
      <c r="X1279" s="9">
        <f>IF(LEFT(I1279,2)="MV",2*N1279*IF(L1279="1/C",O1279,1),0)</f>
        <v/>
      </c>
      <c r="Y1279" s="9">
        <f>IF(OR(LEFT(K1279,4)="LVAX",LEFT(K1279,6)="MV15AX",LEFT(K1279,4)="CTAX",LEFT(K1279,2)="W|"),2*N1279*O1279,0)</f>
        <v/>
      </c>
      <c r="Z1279" s="9" t="inlineStr"/>
    </row>
    <row r="1280">
      <c r="A1280" s="9" t="inlineStr">
        <is>
          <t>C-I-0018</t>
        </is>
      </c>
      <c r="B1280" s="9" t="inlineStr">
        <is>
          <t>C</t>
        </is>
      </c>
      <c r="C1280" s="9" t="inlineStr">
        <is>
          <t>Grid interface</t>
        </is>
      </c>
      <c r="D1280" s="9" t="inlineStr">
        <is>
          <t>Instrumentation</t>
        </is>
      </c>
      <c r="E1280" s="9" t="inlineStr">
        <is>
          <t>RH</t>
        </is>
      </c>
      <c r="F1280" s="9" t="inlineStr">
        <is>
          <t>RH: switchyard relay / control house (52 x 70 ft)</t>
        </is>
      </c>
      <c r="G1280" s="9" t="inlineStr">
        <is>
          <t>D6-CB3</t>
        </is>
      </c>
      <c r="H1280" s="9" t="inlineStr">
        <is>
          <t>D6 230 kV breaker 3 (build-out)</t>
        </is>
      </c>
      <c r="I1280" s="9" t="inlineStr">
        <is>
          <t>Instrumentation</t>
        </is>
      </c>
      <c r="J1280" s="9" t="inlineStr">
        <is>
          <t>Instrumentation PLTC / TC-ER 300 V, #18 twisted shielded pairs, overall shield</t>
        </is>
      </c>
      <c r="K1280" s="9" t="inlineStr">
        <is>
          <t>PLTC|4 pr|18</t>
        </is>
      </c>
      <c r="L1280" s="9" t="inlineStr">
        <is>
          <t>4 pr</t>
        </is>
      </c>
      <c r="M1280" s="9" t="inlineStr">
        <is>
          <t>18</t>
        </is>
      </c>
      <c r="N1280" s="9" t="n">
        <v>1</v>
      </c>
      <c r="O1280" s="9" t="n">
        <v>1</v>
      </c>
      <c r="P1280" s="9" t="n"/>
      <c r="Q1280" s="9" t="n"/>
      <c r="R1280" s="9" t="n"/>
      <c r="S1280" s="9" t="inlineStr">
        <is>
          <t>Trench</t>
        </is>
      </c>
      <c r="T1280" s="10" t="n">
        <v>1584</v>
      </c>
      <c r="U1280" s="10" t="n">
        <v>92</v>
      </c>
      <c r="V1280" s="10">
        <f>ROUNDUP((T1280+U1280+2*'Read Me'!$B$13)*(1+'Read Me'!$B$12),-1)</f>
        <v/>
      </c>
      <c r="W1280" s="10">
        <f>V1280*N1280*O1280</f>
        <v/>
      </c>
      <c r="X1280" s="9">
        <f>IF(LEFT(I1280,2)="MV",2*N1280*IF(L1280="1/C",O1280,1),0)</f>
        <v/>
      </c>
      <c r="Y1280" s="9">
        <f>IF(OR(LEFT(K1280,4)="LVAX",LEFT(K1280,6)="MV15AX",LEFT(K1280,4)="CTAX",LEFT(K1280,2)="W|"),2*N1280*O1280,0)</f>
        <v/>
      </c>
      <c r="Z1280" s="9" t="inlineStr"/>
    </row>
    <row r="1281">
      <c r="A1281" s="9" t="inlineStr">
        <is>
          <t>C-I-0019</t>
        </is>
      </c>
      <c r="B1281" s="9" t="inlineStr">
        <is>
          <t>C</t>
        </is>
      </c>
      <c r="C1281" s="9" t="inlineStr">
        <is>
          <t>Grid interface</t>
        </is>
      </c>
      <c r="D1281" s="9" t="inlineStr">
        <is>
          <t>Instrumentation</t>
        </is>
      </c>
      <c r="E1281" s="9" t="inlineStr">
        <is>
          <t>RH</t>
        </is>
      </c>
      <c r="F1281" s="9" t="inlineStr">
        <is>
          <t>RH: switchyard relay / control house (52 x 70 ft)</t>
        </is>
      </c>
      <c r="G1281" s="9" t="inlineStr">
        <is>
          <t>Line-1</t>
        </is>
      </c>
      <c r="H1281" s="9" t="inlineStr">
        <is>
          <t>Line 1 230 kV terminal tower</t>
        </is>
      </c>
      <c r="I1281" s="9" t="inlineStr">
        <is>
          <t>Instrumentation</t>
        </is>
      </c>
      <c r="J1281" s="9" t="inlineStr">
        <is>
          <t>Instrumentation PLTC / TC-ER 300 V, #18 twisted shielded pairs, overall shield</t>
        </is>
      </c>
      <c r="K1281" s="9" t="inlineStr">
        <is>
          <t>PLTC|4 pr|18</t>
        </is>
      </c>
      <c r="L1281" s="9" t="inlineStr">
        <is>
          <t>4 pr</t>
        </is>
      </c>
      <c r="M1281" s="9" t="inlineStr">
        <is>
          <t>18</t>
        </is>
      </c>
      <c r="N1281" s="9" t="n">
        <v>1</v>
      </c>
      <c r="O1281" s="9" t="n">
        <v>1</v>
      </c>
      <c r="P1281" s="9" t="n"/>
      <c r="Q1281" s="9" t="n"/>
      <c r="R1281" s="9" t="n"/>
      <c r="S1281" s="9" t="inlineStr">
        <is>
          <t>Trench</t>
        </is>
      </c>
      <c r="T1281" s="10" t="n">
        <v>91</v>
      </c>
      <c r="U1281" s="10" t="n">
        <v>285</v>
      </c>
      <c r="V1281" s="10">
        <f>ROUNDUP((T1281+U1281+2*'Read Me'!$B$13)*(1+'Read Me'!$B$12),-1)</f>
        <v/>
      </c>
      <c r="W1281" s="10">
        <f>V1281*N1281*O1281</f>
        <v/>
      </c>
      <c r="X1281" s="9">
        <f>IF(LEFT(I1281,2)="MV",2*N1281*IF(L1281="1/C",O1281,1),0)</f>
        <v/>
      </c>
      <c r="Y1281" s="9">
        <f>IF(OR(LEFT(K1281,4)="LVAX",LEFT(K1281,6)="MV15AX",LEFT(K1281,4)="CTAX",LEFT(K1281,2)="W|"),2*N1281*O1281,0)</f>
        <v/>
      </c>
      <c r="Z1281" s="9" t="inlineStr"/>
    </row>
    <row r="1282">
      <c r="A1282" s="9" t="inlineStr">
        <is>
          <t>C-I-0020</t>
        </is>
      </c>
      <c r="B1282" s="9" t="inlineStr">
        <is>
          <t>C</t>
        </is>
      </c>
      <c r="C1282" s="9" t="inlineStr">
        <is>
          <t>Grid interface</t>
        </is>
      </c>
      <c r="D1282" s="9" t="inlineStr">
        <is>
          <t>Instrumentation</t>
        </is>
      </c>
      <c r="E1282" s="9" t="inlineStr">
        <is>
          <t>RH</t>
        </is>
      </c>
      <c r="F1282" s="9" t="inlineStr">
        <is>
          <t>RH: switchyard relay / control house (52 x 70 ft)</t>
        </is>
      </c>
      <c r="G1282" s="9" t="inlineStr"/>
      <c r="H1282" s="9" t="inlineStr">
        <is>
          <t>Line 1 entrance: surge arresters, CCVTs and line traps</t>
        </is>
      </c>
      <c r="I1282" s="9" t="inlineStr">
        <is>
          <t>Instrumentation</t>
        </is>
      </c>
      <c r="J1282" s="9" t="inlineStr">
        <is>
          <t>Instrumentation PLTC / TC-ER 300 V, #18 twisted shielded pairs, overall shield</t>
        </is>
      </c>
      <c r="K1282" s="9" t="inlineStr">
        <is>
          <t>PLTC|4 pr|18</t>
        </is>
      </c>
      <c r="L1282" s="9" t="inlineStr">
        <is>
          <t>4 pr</t>
        </is>
      </c>
      <c r="M1282" s="9" t="inlineStr">
        <is>
          <t>18</t>
        </is>
      </c>
      <c r="N1282" s="9" t="n">
        <v>1</v>
      </c>
      <c r="O1282" s="9" t="n">
        <v>1</v>
      </c>
      <c r="P1282" s="9" t="n"/>
      <c r="Q1282" s="9" t="n"/>
      <c r="R1282" s="9" t="n"/>
      <c r="S1282" s="9" t="inlineStr">
        <is>
          <t>Trench</t>
        </is>
      </c>
      <c r="T1282" s="10" t="n">
        <v>91</v>
      </c>
      <c r="U1282" s="10" t="n">
        <v>226</v>
      </c>
      <c r="V1282" s="10">
        <f>ROUNDUP((T1282+U1282+2*'Read Me'!$B$13)*(1+'Read Me'!$B$12),-1)</f>
        <v/>
      </c>
      <c r="W1282" s="10">
        <f>V1282*N1282*O1282</f>
        <v/>
      </c>
      <c r="X1282" s="9">
        <f>IF(LEFT(I1282,2)="MV",2*N1282*IF(L1282="1/C",O1282,1),0)</f>
        <v/>
      </c>
      <c r="Y1282" s="9">
        <f>IF(OR(LEFT(K1282,4)="LVAX",LEFT(K1282,6)="MV15AX",LEFT(K1282,4)="CTAX",LEFT(K1282,2)="W|"),2*N1282*O1282,0)</f>
        <v/>
      </c>
      <c r="Z1282" s="9" t="inlineStr"/>
    </row>
    <row r="1283">
      <c r="A1283" s="9" t="inlineStr">
        <is>
          <t>C-I-0021</t>
        </is>
      </c>
      <c r="B1283" s="9" t="inlineStr">
        <is>
          <t>C</t>
        </is>
      </c>
      <c r="C1283" s="9" t="inlineStr">
        <is>
          <t>Grid interface</t>
        </is>
      </c>
      <c r="D1283" s="9" t="inlineStr">
        <is>
          <t>Instrumentation</t>
        </is>
      </c>
      <c r="E1283" s="9" t="inlineStr">
        <is>
          <t>RH</t>
        </is>
      </c>
      <c r="F1283" s="9" t="inlineStr">
        <is>
          <t>RH: switchyard relay / control house (52 x 70 ft)</t>
        </is>
      </c>
      <c r="G1283" s="9" t="inlineStr">
        <is>
          <t>Line-2</t>
        </is>
      </c>
      <c r="H1283" s="9" t="inlineStr">
        <is>
          <t>Line 2 230 kV terminal tower</t>
        </is>
      </c>
      <c r="I1283" s="9" t="inlineStr">
        <is>
          <t>Instrumentation</t>
        </is>
      </c>
      <c r="J1283" s="9" t="inlineStr">
        <is>
          <t>Instrumentation PLTC / TC-ER 300 V, #18 twisted shielded pairs, overall shield</t>
        </is>
      </c>
      <c r="K1283" s="9" t="inlineStr">
        <is>
          <t>PLTC|4 pr|18</t>
        </is>
      </c>
      <c r="L1283" s="9" t="inlineStr">
        <is>
          <t>4 pr</t>
        </is>
      </c>
      <c r="M1283" s="9" t="inlineStr">
        <is>
          <t>18</t>
        </is>
      </c>
      <c r="N1283" s="9" t="n">
        <v>1</v>
      </c>
      <c r="O1283" s="9" t="n">
        <v>1</v>
      </c>
      <c r="P1283" s="9" t="n"/>
      <c r="Q1283" s="9" t="n"/>
      <c r="R1283" s="9" t="n"/>
      <c r="S1283" s="9" t="inlineStr">
        <is>
          <t>Estimated</t>
        </is>
      </c>
      <c r="T1283" s="10" t="n">
        <v>603</v>
      </c>
      <c r="U1283" s="10" t="n">
        <v>40</v>
      </c>
      <c r="V1283" s="10">
        <f>ROUNDUP((T1283+U1283+2*'Read Me'!$B$13)*(1+'Read Me'!$B$12),-1)</f>
        <v/>
      </c>
      <c r="W1283" s="10">
        <f>V1283*N1283*O1283</f>
        <v/>
      </c>
      <c r="X1283" s="9">
        <f>IF(LEFT(I1283,2)="MV",2*N1283*IF(L1283="1/C",O1283,1),0)</f>
        <v/>
      </c>
      <c r="Y1283" s="9">
        <f>IF(OR(LEFT(K1283,4)="LVAX",LEFT(K1283,6)="MV15AX",LEFT(K1283,4)="CTAX",LEFT(K1283,2)="W|"),2*N1283*O1283,0)</f>
        <v/>
      </c>
      <c r="Z1283" s="9" t="inlineStr"/>
    </row>
    <row r="1284">
      <c r="A1284" s="9" t="inlineStr">
        <is>
          <t>C-I-0022</t>
        </is>
      </c>
      <c r="B1284" s="9" t="inlineStr">
        <is>
          <t>C</t>
        </is>
      </c>
      <c r="C1284" s="9" t="inlineStr">
        <is>
          <t>Grid interface</t>
        </is>
      </c>
      <c r="D1284" s="9" t="inlineStr">
        <is>
          <t>Instrumentation</t>
        </is>
      </c>
      <c r="E1284" s="9" t="inlineStr">
        <is>
          <t>RH</t>
        </is>
      </c>
      <c r="F1284" s="9" t="inlineStr">
        <is>
          <t>RH: switchyard relay / control house (52 x 70 ft)</t>
        </is>
      </c>
      <c r="G1284" s="9" t="inlineStr"/>
      <c r="H1284" s="9" t="inlineStr">
        <is>
          <t>Line 2 entrance: surge arresters, CCVTs and line traps</t>
        </is>
      </c>
      <c r="I1284" s="9" t="inlineStr">
        <is>
          <t>Instrumentation</t>
        </is>
      </c>
      <c r="J1284" s="9" t="inlineStr">
        <is>
          <t>Instrumentation PLTC / TC-ER 300 V, #18 twisted shielded pairs, overall shield</t>
        </is>
      </c>
      <c r="K1284" s="9" t="inlineStr">
        <is>
          <t>PLTC|4 pr|18</t>
        </is>
      </c>
      <c r="L1284" s="9" t="inlineStr">
        <is>
          <t>4 pr</t>
        </is>
      </c>
      <c r="M1284" s="9" t="inlineStr">
        <is>
          <t>18</t>
        </is>
      </c>
      <c r="N1284" s="9" t="n">
        <v>1</v>
      </c>
      <c r="O1284" s="9" t="n">
        <v>1</v>
      </c>
      <c r="P1284" s="9" t="n"/>
      <c r="Q1284" s="9" t="n"/>
      <c r="R1284" s="9" t="n"/>
      <c r="S1284" s="9" t="inlineStr">
        <is>
          <t>Estimated</t>
        </is>
      </c>
      <c r="T1284" s="10" t="n">
        <v>542</v>
      </c>
      <c r="U1284" s="10" t="n">
        <v>40</v>
      </c>
      <c r="V1284" s="10">
        <f>ROUNDUP((T1284+U1284+2*'Read Me'!$B$13)*(1+'Read Me'!$B$12),-1)</f>
        <v/>
      </c>
      <c r="W1284" s="10">
        <f>V1284*N1284*O1284</f>
        <v/>
      </c>
      <c r="X1284" s="9">
        <f>IF(LEFT(I1284,2)="MV",2*N1284*IF(L1284="1/C",O1284,1),0)</f>
        <v/>
      </c>
      <c r="Y1284" s="9">
        <f>IF(OR(LEFT(K1284,4)="LVAX",LEFT(K1284,6)="MV15AX",LEFT(K1284,4)="CTAX",LEFT(K1284,2)="W|"),2*N1284*O1284,0)</f>
        <v/>
      </c>
      <c r="Z1284" s="9" t="inlineStr"/>
    </row>
    <row r="1285">
      <c r="A1285" s="9" t="inlineStr">
        <is>
          <t>C-P-0001</t>
        </is>
      </c>
      <c r="B1285" s="9" t="inlineStr">
        <is>
          <t>C</t>
        </is>
      </c>
      <c r="C1285" s="9" t="inlineStr">
        <is>
          <t>Grid interface</t>
        </is>
      </c>
      <c r="D1285" s="9" t="inlineStr">
        <is>
          <t>LV panel / distribution feeder</t>
        </is>
      </c>
      <c r="E1285" s="9" t="inlineStr">
        <is>
          <t>RH</t>
        </is>
      </c>
      <c r="F1285" s="9" t="inlineStr">
        <is>
          <t>RH: switchyard relay / control house (52 x 70 ft)</t>
        </is>
      </c>
      <c r="G1285" s="9" t="inlineStr">
        <is>
          <t>RH</t>
        </is>
      </c>
      <c r="H1285" s="9" t="inlineStr">
        <is>
          <t>RH: switchyard relay / control house (52 x 70 ft)</t>
        </is>
      </c>
      <c r="I1285" s="9" t="inlineStr">
        <is>
          <t>LV 600 V</t>
        </is>
      </c>
      <c r="J1285" s="9" t="inlineStr">
        <is>
          <t>Type TC-ER 600 V 3/C Cu XHHW-2 + ground, PVC jacket</t>
        </is>
      </c>
      <c r="K1285" s="9" t="inlineStr">
        <is>
          <t>LV|3/C+G|4</t>
        </is>
      </c>
      <c r="L1285" s="9" t="inlineStr">
        <is>
          <t>3/C+G</t>
        </is>
      </c>
      <c r="M1285" s="9" t="inlineStr">
        <is>
          <t>4</t>
        </is>
      </c>
      <c r="N1285" s="9" t="n">
        <v>1</v>
      </c>
      <c r="O1285" s="9" t="n">
        <v>1</v>
      </c>
      <c r="P1285" s="9" t="n">
        <v>480</v>
      </c>
      <c r="Q1285" s="9" t="n">
        <v>44</v>
      </c>
      <c r="R1285" s="9" t="n">
        <v>62</v>
      </c>
      <c r="S1285" s="9" t="inlineStr">
        <is>
          <t>Tray</t>
        </is>
      </c>
      <c r="T1285" s="10" t="n">
        <v>0</v>
      </c>
      <c r="U1285" s="10" t="n">
        <v>30</v>
      </c>
      <c r="V1285" s="10">
        <f>ROUNDUP((T1285+U1285+2*'Read Me'!$B$13)*(1+'Read Me'!$B$12),-1)</f>
        <v/>
      </c>
      <c r="W1285" s="10">
        <f>V1285*N1285*O1285</f>
        <v/>
      </c>
      <c r="X1285" s="9">
        <f>IF(LEFT(I1285,2)="MV",2*N1285*IF(L1285="1/C",O1285,1),0)</f>
        <v/>
      </c>
      <c r="Y1285" s="9">
        <f>IF(OR(LEFT(K1285,4)="LVAX",LEFT(K1285,6)="MV15AX",LEFT(K1285,4)="CTAX",LEFT(K1285,2)="W|"),2*N1285*O1285,0)</f>
        <v/>
      </c>
      <c r="Z1285" s="9" t="inlineStr">
        <is>
          <t>VD 0.2 %</t>
        </is>
      </c>
    </row>
    <row r="1286">
      <c r="A1286" s="9" t="inlineStr">
        <is>
          <t>C-OH-0001</t>
        </is>
      </c>
      <c r="B1286" s="9" t="inlineStr">
        <is>
          <t>C</t>
        </is>
      </c>
      <c r="C1286" s="9" t="inlineStr">
        <is>
          <t>Grid interface</t>
        </is>
      </c>
      <c r="D1286" s="9" t="inlineStr">
        <is>
          <t>230 kV overhead GSU / line conductors</t>
        </is>
      </c>
      <c r="E1286" s="9" t="inlineStr">
        <is>
          <t>OH-1-A</t>
        </is>
      </c>
      <c r="F1286" s="9" t="inlineStr">
        <is>
          <t>230 kV overhead span start</t>
        </is>
      </c>
      <c r="G1286" s="9" t="inlineStr">
        <is>
          <t>OH-1-B</t>
        </is>
      </c>
      <c r="H1286" s="9" t="inlineStr">
        <is>
          <t>230 kV overhead span end</t>
        </is>
      </c>
      <c r="I1286" s="9" t="inlineStr">
        <is>
          <t>Overhead</t>
        </is>
      </c>
      <c r="J1286" s="9" t="inlineStr">
        <is>
          <t>Overhead conductor ACSR 1590 kcmil 'Falcon' (typ.)</t>
        </is>
      </c>
      <c r="K1286" s="9" t="inlineStr">
        <is>
          <t>ACSR|1/C|1590</t>
        </is>
      </c>
      <c r="L1286" s="9" t="inlineStr">
        <is>
          <t>1/C</t>
        </is>
      </c>
      <c r="M1286" s="9" t="inlineStr">
        <is>
          <t>1590 kcmil</t>
        </is>
      </c>
      <c r="N1286" s="9" t="n">
        <v>1</v>
      </c>
      <c r="O1286" s="9" t="n">
        <v>3</v>
      </c>
      <c r="P1286" s="9" t="n">
        <v>230000</v>
      </c>
      <c r="Q1286" s="9" t="n"/>
      <c r="R1286" s="9" t="n"/>
      <c r="S1286" s="9" t="inlineStr">
        <is>
          <t>Overhead</t>
        </is>
      </c>
      <c r="T1286" s="10" t="n">
        <v>115</v>
      </c>
      <c r="U1286" s="10" t="n">
        <v>0</v>
      </c>
      <c r="V1286" s="10">
        <f>ROUNDUP((T1286+U1286+2*'Read Me'!$B$13)*(1+'Read Me'!$B$12),-1)</f>
        <v/>
      </c>
      <c r="W1286" s="10">
        <f>V1286*N1286*O1286</f>
        <v/>
      </c>
      <c r="X1286" s="9">
        <f>IF(LEFT(I1286,2)="MV",2*N1286*IF(L1286="1/C",O1286,1),0)</f>
        <v/>
      </c>
      <c r="Y1286" s="9">
        <f>IF(OR(LEFT(K1286,4)="LVAX",LEFT(K1286,6)="MV15AX",LEFT(K1286,4)="CTAX",LEFT(K1286,2)="W|"),2*N1286*O1286,0)</f>
        <v/>
      </c>
      <c r="Z1286" s="9" t="inlineStr">
        <is>
          <t>plus 3 % sag</t>
        </is>
      </c>
    </row>
    <row r="1287">
      <c r="A1287" s="9" t="inlineStr">
        <is>
          <t>C-OH-0002</t>
        </is>
      </c>
      <c r="B1287" s="9" t="inlineStr">
        <is>
          <t>C</t>
        </is>
      </c>
      <c r="C1287" s="9" t="inlineStr">
        <is>
          <t>Grid interface</t>
        </is>
      </c>
      <c r="D1287" s="9" t="inlineStr">
        <is>
          <t>230 kV overhead GSU / line conductors</t>
        </is>
      </c>
      <c r="E1287" s="9" t="inlineStr">
        <is>
          <t>OH-2-A</t>
        </is>
      </c>
      <c r="F1287" s="9" t="inlineStr">
        <is>
          <t>230 kV overhead span start</t>
        </is>
      </c>
      <c r="G1287" s="9" t="inlineStr">
        <is>
          <t>OH-2-B</t>
        </is>
      </c>
      <c r="H1287" s="9" t="inlineStr">
        <is>
          <t>230 kV overhead span end</t>
        </is>
      </c>
      <c r="I1287" s="9" t="inlineStr">
        <is>
          <t>Overhead</t>
        </is>
      </c>
      <c r="J1287" s="9" t="inlineStr">
        <is>
          <t>Overhead conductor ACSR 1590 kcmil 'Falcon' (typ.)</t>
        </is>
      </c>
      <c r="K1287" s="9" t="inlineStr">
        <is>
          <t>ACSR|1/C|1590</t>
        </is>
      </c>
      <c r="L1287" s="9" t="inlineStr">
        <is>
          <t>1/C</t>
        </is>
      </c>
      <c r="M1287" s="9" t="inlineStr">
        <is>
          <t>1590 kcmil</t>
        </is>
      </c>
      <c r="N1287" s="9" t="n">
        <v>1</v>
      </c>
      <c r="O1287" s="9" t="n">
        <v>3</v>
      </c>
      <c r="P1287" s="9" t="n">
        <v>230000</v>
      </c>
      <c r="Q1287" s="9" t="n"/>
      <c r="R1287" s="9" t="n"/>
      <c r="S1287" s="9" t="inlineStr">
        <is>
          <t>Overhead</t>
        </is>
      </c>
      <c r="T1287" s="10" t="n">
        <v>115</v>
      </c>
      <c r="U1287" s="10" t="n">
        <v>0</v>
      </c>
      <c r="V1287" s="10">
        <f>ROUNDUP((T1287+U1287+2*'Read Me'!$B$13)*(1+'Read Me'!$B$12),-1)</f>
        <v/>
      </c>
      <c r="W1287" s="10">
        <f>V1287*N1287*O1287</f>
        <v/>
      </c>
      <c r="X1287" s="9">
        <f>IF(LEFT(I1287,2)="MV",2*N1287*IF(L1287="1/C",O1287,1),0)</f>
        <v/>
      </c>
      <c r="Y1287" s="9">
        <f>IF(OR(LEFT(K1287,4)="LVAX",LEFT(K1287,6)="MV15AX",LEFT(K1287,4)="CTAX",LEFT(K1287,2)="W|"),2*N1287*O1287,0)</f>
        <v/>
      </c>
      <c r="Z1287" s="9" t="inlineStr">
        <is>
          <t>plus 3 % sag</t>
        </is>
      </c>
    </row>
    <row r="1288">
      <c r="A1288" s="9" t="inlineStr">
        <is>
          <t>C-OH-0003</t>
        </is>
      </c>
      <c r="B1288" s="9" t="inlineStr">
        <is>
          <t>C</t>
        </is>
      </c>
      <c r="C1288" s="9" t="inlineStr">
        <is>
          <t>Grid interface</t>
        </is>
      </c>
      <c r="D1288" s="9" t="inlineStr">
        <is>
          <t>230 kV overhead GSU / line conductors</t>
        </is>
      </c>
      <c r="E1288" s="9" t="inlineStr">
        <is>
          <t>OH-3-A</t>
        </is>
      </c>
      <c r="F1288" s="9" t="inlineStr">
        <is>
          <t>230 kV overhead span start</t>
        </is>
      </c>
      <c r="G1288" s="9" t="inlineStr">
        <is>
          <t>OH-3-B</t>
        </is>
      </c>
      <c r="H1288" s="9" t="inlineStr">
        <is>
          <t>230 kV overhead span end</t>
        </is>
      </c>
      <c r="I1288" s="9" t="inlineStr">
        <is>
          <t>Overhead</t>
        </is>
      </c>
      <c r="J1288" s="9" t="inlineStr">
        <is>
          <t>Overhead conductor ACSR 1590 kcmil 'Falcon' (typ.)</t>
        </is>
      </c>
      <c r="K1288" s="9" t="inlineStr">
        <is>
          <t>ACSR|1/C|1590</t>
        </is>
      </c>
      <c r="L1288" s="9" t="inlineStr">
        <is>
          <t>1/C</t>
        </is>
      </c>
      <c r="M1288" s="9" t="inlineStr">
        <is>
          <t>1590 kcmil</t>
        </is>
      </c>
      <c r="N1288" s="9" t="n">
        <v>1</v>
      </c>
      <c r="O1288" s="9" t="n">
        <v>3</v>
      </c>
      <c r="P1288" s="9" t="n">
        <v>230000</v>
      </c>
      <c r="Q1288" s="9" t="n"/>
      <c r="R1288" s="9" t="n"/>
      <c r="S1288" s="9" t="inlineStr">
        <is>
          <t>Overhead</t>
        </is>
      </c>
      <c r="T1288" s="10" t="n">
        <v>263</v>
      </c>
      <c r="U1288" s="10" t="n">
        <v>0</v>
      </c>
      <c r="V1288" s="10">
        <f>ROUNDUP((T1288+U1288+2*'Read Me'!$B$13)*(1+'Read Me'!$B$12),-1)</f>
        <v/>
      </c>
      <c r="W1288" s="10">
        <f>V1288*N1288*O1288</f>
        <v/>
      </c>
      <c r="X1288" s="9">
        <f>IF(LEFT(I1288,2)="MV",2*N1288*IF(L1288="1/C",O1288,1),0)</f>
        <v/>
      </c>
      <c r="Y1288" s="9">
        <f>IF(OR(LEFT(K1288,4)="LVAX",LEFT(K1288,6)="MV15AX",LEFT(K1288,4)="CTAX",LEFT(K1288,2)="W|"),2*N1288*O1288,0)</f>
        <v/>
      </c>
      <c r="Z1288" s="9" t="inlineStr">
        <is>
          <t>plus 3 % sag</t>
        </is>
      </c>
    </row>
    <row r="1289">
      <c r="A1289" s="9" t="inlineStr">
        <is>
          <t>C-OH-0004</t>
        </is>
      </c>
      <c r="B1289" s="9" t="inlineStr">
        <is>
          <t>C</t>
        </is>
      </c>
      <c r="C1289" s="9" t="inlineStr">
        <is>
          <t>Grid interface</t>
        </is>
      </c>
      <c r="D1289" s="9" t="inlineStr">
        <is>
          <t>230 kV overhead GSU / line conductors</t>
        </is>
      </c>
      <c r="E1289" s="9" t="inlineStr">
        <is>
          <t>OH-4-A</t>
        </is>
      </c>
      <c r="F1289" s="9" t="inlineStr">
        <is>
          <t>230 kV overhead span start</t>
        </is>
      </c>
      <c r="G1289" s="9" t="inlineStr">
        <is>
          <t>OH-4-B</t>
        </is>
      </c>
      <c r="H1289" s="9" t="inlineStr">
        <is>
          <t>230 kV overhead span end</t>
        </is>
      </c>
      <c r="I1289" s="9" t="inlineStr">
        <is>
          <t>Overhead</t>
        </is>
      </c>
      <c r="J1289" s="9" t="inlineStr">
        <is>
          <t>Overhead conductor ACSR 1590 kcmil 'Falcon' (typ.)</t>
        </is>
      </c>
      <c r="K1289" s="9" t="inlineStr">
        <is>
          <t>ACSR|1/C|1590</t>
        </is>
      </c>
      <c r="L1289" s="9" t="inlineStr">
        <is>
          <t>1/C</t>
        </is>
      </c>
      <c r="M1289" s="9" t="inlineStr">
        <is>
          <t>1590 kcmil</t>
        </is>
      </c>
      <c r="N1289" s="9" t="n">
        <v>1</v>
      </c>
      <c r="O1289" s="9" t="n">
        <v>3</v>
      </c>
      <c r="P1289" s="9" t="n">
        <v>230000</v>
      </c>
      <c r="Q1289" s="9" t="n"/>
      <c r="R1289" s="9" t="n"/>
      <c r="S1289" s="9" t="inlineStr">
        <is>
          <t>Overhead</t>
        </is>
      </c>
      <c r="T1289" s="10" t="n">
        <v>304</v>
      </c>
      <c r="U1289" s="10" t="n">
        <v>0</v>
      </c>
      <c r="V1289" s="10">
        <f>ROUNDUP((T1289+U1289+2*'Read Me'!$B$13)*(1+'Read Me'!$B$12),-1)</f>
        <v/>
      </c>
      <c r="W1289" s="10">
        <f>V1289*N1289*O1289</f>
        <v/>
      </c>
      <c r="X1289" s="9">
        <f>IF(LEFT(I1289,2)="MV",2*N1289*IF(L1289="1/C",O1289,1),0)</f>
        <v/>
      </c>
      <c r="Y1289" s="9">
        <f>IF(OR(LEFT(K1289,4)="LVAX",LEFT(K1289,6)="MV15AX",LEFT(K1289,4)="CTAX",LEFT(K1289,2)="W|"),2*N1289*O1289,0)</f>
        <v/>
      </c>
      <c r="Z1289" s="9" t="inlineStr">
        <is>
          <t>plus 3 % sag</t>
        </is>
      </c>
    </row>
    <row r="1290">
      <c r="A1290" s="9" t="inlineStr">
        <is>
          <t>C-OH-0005</t>
        </is>
      </c>
      <c r="B1290" s="9" t="inlineStr">
        <is>
          <t>C</t>
        </is>
      </c>
      <c r="C1290" s="9" t="inlineStr">
        <is>
          <t>Grid interface</t>
        </is>
      </c>
      <c r="D1290" s="9" t="inlineStr">
        <is>
          <t>230 kV overhead GSU / line conductors</t>
        </is>
      </c>
      <c r="E1290" s="9" t="inlineStr">
        <is>
          <t>OH-5-A</t>
        </is>
      </c>
      <c r="F1290" s="9" t="inlineStr">
        <is>
          <t>230 kV overhead span start</t>
        </is>
      </c>
      <c r="G1290" s="9" t="inlineStr">
        <is>
          <t>OH-5-B</t>
        </is>
      </c>
      <c r="H1290" s="9" t="inlineStr">
        <is>
          <t>230 kV overhead span end</t>
        </is>
      </c>
      <c r="I1290" s="9" t="inlineStr">
        <is>
          <t>Overhead</t>
        </is>
      </c>
      <c r="J1290" s="9" t="inlineStr">
        <is>
          <t>Overhead conductor ACSR 1590 kcmil 'Falcon' (typ.)</t>
        </is>
      </c>
      <c r="K1290" s="9" t="inlineStr">
        <is>
          <t>ACSR|1/C|1590</t>
        </is>
      </c>
      <c r="L1290" s="9" t="inlineStr">
        <is>
          <t>1/C</t>
        </is>
      </c>
      <c r="M1290" s="9" t="inlineStr">
        <is>
          <t>1590 kcmil</t>
        </is>
      </c>
      <c r="N1290" s="9" t="n">
        <v>1</v>
      </c>
      <c r="O1290" s="9" t="n">
        <v>3</v>
      </c>
      <c r="P1290" s="9" t="n">
        <v>230000</v>
      </c>
      <c r="Q1290" s="9" t="n"/>
      <c r="R1290" s="9" t="n"/>
      <c r="S1290" s="9" t="inlineStr">
        <is>
          <t>Overhead</t>
        </is>
      </c>
      <c r="T1290" s="10" t="n">
        <v>324</v>
      </c>
      <c r="U1290" s="10" t="n">
        <v>0</v>
      </c>
      <c r="V1290" s="10">
        <f>ROUNDUP((T1290+U1290+2*'Read Me'!$B$13)*(1+'Read Me'!$B$12),-1)</f>
        <v/>
      </c>
      <c r="W1290" s="10">
        <f>V1290*N1290*O1290</f>
        <v/>
      </c>
      <c r="X1290" s="9">
        <f>IF(LEFT(I1290,2)="MV",2*N1290*IF(L1290="1/C",O1290,1),0)</f>
        <v/>
      </c>
      <c r="Y1290" s="9">
        <f>IF(OR(LEFT(K1290,4)="LVAX",LEFT(K1290,6)="MV15AX",LEFT(K1290,4)="CTAX",LEFT(K1290,2)="W|"),2*N1290*O1290,0)</f>
        <v/>
      </c>
      <c r="Z1290" s="9" t="inlineStr">
        <is>
          <t>plus 3 % sag</t>
        </is>
      </c>
    </row>
    <row r="1291">
      <c r="A1291" s="9" t="inlineStr">
        <is>
          <t>C-OH-0006</t>
        </is>
      </c>
      <c r="B1291" s="9" t="inlineStr">
        <is>
          <t>C</t>
        </is>
      </c>
      <c r="C1291" s="9" t="inlineStr">
        <is>
          <t>Grid interface</t>
        </is>
      </c>
      <c r="D1291" s="9" t="inlineStr">
        <is>
          <t>230 kV overhead GSU / line conductors</t>
        </is>
      </c>
      <c r="E1291" s="9" t="inlineStr">
        <is>
          <t>OH-6-A</t>
        </is>
      </c>
      <c r="F1291" s="9" t="inlineStr">
        <is>
          <t>230 kV overhead span start</t>
        </is>
      </c>
      <c r="G1291" s="9" t="inlineStr">
        <is>
          <t>OH-6-B</t>
        </is>
      </c>
      <c r="H1291" s="9" t="inlineStr">
        <is>
          <t>230 kV overhead span end</t>
        </is>
      </c>
      <c r="I1291" s="9" t="inlineStr">
        <is>
          <t>Overhead</t>
        </is>
      </c>
      <c r="J1291" s="9" t="inlineStr">
        <is>
          <t>Overhead conductor ACSR 1590 kcmil 'Falcon' (typ.)</t>
        </is>
      </c>
      <c r="K1291" s="9" t="inlineStr">
        <is>
          <t>ACSR|1/C|1590</t>
        </is>
      </c>
      <c r="L1291" s="9" t="inlineStr">
        <is>
          <t>1/C</t>
        </is>
      </c>
      <c r="M1291" s="9" t="inlineStr">
        <is>
          <t>1590 kcmil</t>
        </is>
      </c>
      <c r="N1291" s="9" t="n">
        <v>1</v>
      </c>
      <c r="O1291" s="9" t="n">
        <v>3</v>
      </c>
      <c r="P1291" s="9" t="n">
        <v>230000</v>
      </c>
      <c r="Q1291" s="9" t="n"/>
      <c r="R1291" s="9" t="n"/>
      <c r="S1291" s="9" t="inlineStr">
        <is>
          <t>Overhead</t>
        </is>
      </c>
      <c r="T1291" s="10" t="n">
        <v>236</v>
      </c>
      <c r="U1291" s="10" t="n">
        <v>0</v>
      </c>
      <c r="V1291" s="10">
        <f>ROUNDUP((T1291+U1291+2*'Read Me'!$B$13)*(1+'Read Me'!$B$12),-1)</f>
        <v/>
      </c>
      <c r="W1291" s="10">
        <f>V1291*N1291*O1291</f>
        <v/>
      </c>
      <c r="X1291" s="9">
        <f>IF(LEFT(I1291,2)="MV",2*N1291*IF(L1291="1/C",O1291,1),0)</f>
        <v/>
      </c>
      <c r="Y1291" s="9">
        <f>IF(OR(LEFT(K1291,4)="LVAX",LEFT(K1291,6)="MV15AX",LEFT(K1291,4)="CTAX",LEFT(K1291,2)="W|"),2*N1291*O1291,0)</f>
        <v/>
      </c>
      <c r="Z1291" s="9" t="inlineStr">
        <is>
          <t>plus 3 % sag</t>
        </is>
      </c>
    </row>
    <row r="1292">
      <c r="A1292" s="9" t="inlineStr">
        <is>
          <t>C-OH-0007</t>
        </is>
      </c>
      <c r="B1292" s="9" t="inlineStr">
        <is>
          <t>C</t>
        </is>
      </c>
      <c r="C1292" s="9" t="inlineStr">
        <is>
          <t>Grid interface</t>
        </is>
      </c>
      <c r="D1292" s="9" t="inlineStr">
        <is>
          <t>230 kV overhead H-MOD tie conductors</t>
        </is>
      </c>
      <c r="E1292" s="9" t="inlineStr">
        <is>
          <t>OH-7-A</t>
        </is>
      </c>
      <c r="F1292" s="9" t="inlineStr">
        <is>
          <t>230 kV overhead span start</t>
        </is>
      </c>
      <c r="G1292" s="9" t="inlineStr">
        <is>
          <t>OH-7-B</t>
        </is>
      </c>
      <c r="H1292" s="9" t="inlineStr">
        <is>
          <t>230 kV overhead span end</t>
        </is>
      </c>
      <c r="I1292" s="9" t="inlineStr">
        <is>
          <t>Overhead</t>
        </is>
      </c>
      <c r="J1292" s="9" t="inlineStr">
        <is>
          <t>Overhead conductor ACSR 1590 kcmil 'Falcon' (typ.)</t>
        </is>
      </c>
      <c r="K1292" s="9" t="inlineStr">
        <is>
          <t>ACSR|1/C|1590</t>
        </is>
      </c>
      <c r="L1292" s="9" t="inlineStr">
        <is>
          <t>1/C</t>
        </is>
      </c>
      <c r="M1292" s="9" t="inlineStr">
        <is>
          <t>1590 kcmil</t>
        </is>
      </c>
      <c r="N1292" s="9" t="n">
        <v>1</v>
      </c>
      <c r="O1292" s="9" t="n">
        <v>3</v>
      </c>
      <c r="P1292" s="9" t="n">
        <v>230000</v>
      </c>
      <c r="Q1292" s="9" t="n"/>
      <c r="R1292" s="9" t="n"/>
      <c r="S1292" s="9" t="inlineStr">
        <is>
          <t>Overhead</t>
        </is>
      </c>
      <c r="T1292" s="10" t="n">
        <v>1544</v>
      </c>
      <c r="U1292" s="10" t="n">
        <v>0</v>
      </c>
      <c r="V1292" s="10">
        <f>ROUNDUP((T1292+U1292+2*'Read Me'!$B$13)*(1+'Read Me'!$B$12),-1)</f>
        <v/>
      </c>
      <c r="W1292" s="10">
        <f>V1292*N1292*O1292</f>
        <v/>
      </c>
      <c r="X1292" s="9">
        <f>IF(LEFT(I1292,2)="MV",2*N1292*IF(L1292="1/C",O1292,1),0)</f>
        <v/>
      </c>
      <c r="Y1292" s="9">
        <f>IF(OR(LEFT(K1292,4)="LVAX",LEFT(K1292,6)="MV15AX",LEFT(K1292,4)="CTAX",LEFT(K1292,2)="W|"),2*N1292*O1292,0)</f>
        <v/>
      </c>
      <c r="Z1292" s="9" t="inlineStr">
        <is>
          <t>plus 3 % sag</t>
        </is>
      </c>
    </row>
    <row r="1293">
      <c r="A1293" s="9" t="inlineStr">
        <is>
          <t>D-C-0001</t>
        </is>
      </c>
      <c r="B1293" s="9" t="inlineStr">
        <is>
          <t>D</t>
        </is>
      </c>
      <c r="C1293" s="9" t="inlineStr">
        <is>
          <t>Fuel gas</t>
        </is>
      </c>
      <c r="D1293" s="9" t="inlineStr">
        <is>
          <t>Control</t>
        </is>
      </c>
      <c r="E1293" s="9" t="inlineStr"/>
      <c r="F1293" s="9" t="inlineStr">
        <is>
          <t>Gas yard local control enclosure</t>
        </is>
      </c>
      <c r="G1293" s="9" t="inlineStr"/>
      <c r="H1293" s="9" t="inlineStr">
        <is>
          <t>CONDITIONAL: ULSD truck unloading station (canopy, spill containment)</t>
        </is>
      </c>
      <c r="I1293" s="9" t="inlineStr">
        <is>
          <t>Control</t>
        </is>
      </c>
      <c r="J1293" s="9" t="inlineStr">
        <is>
          <t>ARMOR-X MC-HL 600 V control, Cu #14 AWG (Class I Div 2)</t>
        </is>
      </c>
      <c r="K1293" s="9" t="inlineStr">
        <is>
          <t>CTAX|7/C|14</t>
        </is>
      </c>
      <c r="L1293" s="9" t="inlineStr">
        <is>
          <t>7/C</t>
        </is>
      </c>
      <c r="M1293" s="9" t="inlineStr">
        <is>
          <t>14</t>
        </is>
      </c>
      <c r="N1293" s="9" t="n">
        <v>1</v>
      </c>
      <c r="O1293" s="9" t="n">
        <v>1</v>
      </c>
      <c r="P1293" s="9" t="n"/>
      <c r="Q1293" s="9" t="n"/>
      <c r="R1293" s="9" t="n"/>
      <c r="S1293" s="9" t="inlineStr">
        <is>
          <t>Tray</t>
        </is>
      </c>
      <c r="T1293" s="10" t="n">
        <v>65</v>
      </c>
      <c r="U1293" s="10" t="n">
        <v>132</v>
      </c>
      <c r="V1293" s="10">
        <f>ROUNDUP((T1293+U1293+2*'Read Me'!$B$13)*(1+'Read Me'!$B$12),-1)</f>
        <v/>
      </c>
      <c r="W1293" s="10">
        <f>V1293*N1293*O1293</f>
        <v/>
      </c>
      <c r="X1293" s="9">
        <f>IF(LEFT(I1293,2)="MV",2*N1293*IF(L1293="1/C",O1293,1),0)</f>
        <v/>
      </c>
      <c r="Y1293" s="9">
        <f>IF(OR(LEFT(K1293,4)="LVAX",LEFT(K1293,6)="MV15AX",LEFT(K1293,4)="CTAX",LEFT(K1293,2)="W|"),2*N1293*O1293,0)</f>
        <v/>
      </c>
      <c r="Z1293" s="9" t="inlineStr"/>
    </row>
    <row r="1294">
      <c r="A1294" s="9" t="inlineStr">
        <is>
          <t>D-C-0002</t>
        </is>
      </c>
      <c r="B1294" s="9" t="inlineStr">
        <is>
          <t>D</t>
        </is>
      </c>
      <c r="C1294" s="9" t="inlineStr">
        <is>
          <t>Fuel gas</t>
        </is>
      </c>
      <c r="D1294" s="9" t="inlineStr">
        <is>
          <t>Control</t>
        </is>
      </c>
      <c r="E1294" s="9" t="inlineStr"/>
      <c r="F1294" s="9" t="inlineStr">
        <is>
          <t>Gas yard local control enclosure</t>
        </is>
      </c>
      <c r="G1294" s="9" t="inlineStr"/>
      <c r="H1294" s="9" t="inlineStr">
        <is>
          <t>CONDITIONAL: ULSD unloading and forwarding pumps, duplex filters</t>
        </is>
      </c>
      <c r="I1294" s="9" t="inlineStr">
        <is>
          <t>Control</t>
        </is>
      </c>
      <c r="J1294" s="9" t="inlineStr">
        <is>
          <t>ARMOR-X MC-HL 600 V control, Cu #14 AWG (Class I Div 2)</t>
        </is>
      </c>
      <c r="K1294" s="9" t="inlineStr">
        <is>
          <t>CTAX|7/C|14</t>
        </is>
      </c>
      <c r="L1294" s="9" t="inlineStr">
        <is>
          <t>7/C</t>
        </is>
      </c>
      <c r="M1294" s="9" t="inlineStr">
        <is>
          <t>14</t>
        </is>
      </c>
      <c r="N1294" s="9" t="n">
        <v>1</v>
      </c>
      <c r="O1294" s="9" t="n">
        <v>1</v>
      </c>
      <c r="P1294" s="9" t="n"/>
      <c r="Q1294" s="9" t="n"/>
      <c r="R1294" s="9" t="n"/>
      <c r="S1294" s="9" t="inlineStr">
        <is>
          <t>Tray</t>
        </is>
      </c>
      <c r="T1294" s="10" t="n">
        <v>65</v>
      </c>
      <c r="U1294" s="10" t="n">
        <v>59</v>
      </c>
      <c r="V1294" s="10">
        <f>ROUNDUP((T1294+U1294+2*'Read Me'!$B$13)*(1+'Read Me'!$B$12),-1)</f>
        <v/>
      </c>
      <c r="W1294" s="10">
        <f>V1294*N1294*O1294</f>
        <v/>
      </c>
      <c r="X1294" s="9">
        <f>IF(LEFT(I1294,2)="MV",2*N1294*IF(L1294="1/C",O1294,1),0)</f>
        <v/>
      </c>
      <c r="Y1294" s="9">
        <f>IF(OR(LEFT(K1294,4)="LVAX",LEFT(K1294,6)="MV15AX",LEFT(K1294,4)="CTAX",LEFT(K1294,2)="W|"),2*N1294*O1294,0)</f>
        <v/>
      </c>
      <c r="Z1294" s="9" t="inlineStr"/>
    </row>
    <row r="1295">
      <c r="A1295" s="9" t="inlineStr">
        <is>
          <t>D-C-0003</t>
        </is>
      </c>
      <c r="B1295" s="9" t="inlineStr">
        <is>
          <t>D</t>
        </is>
      </c>
      <c r="C1295" s="9" t="inlineStr">
        <is>
          <t>Fuel gas</t>
        </is>
      </c>
      <c r="D1295" s="9" t="inlineStr">
        <is>
          <t>Control</t>
        </is>
      </c>
      <c r="E1295" s="9" t="inlineStr"/>
      <c r="F1295" s="9" t="inlineStr">
        <is>
          <t>Gas yard local control enclosure</t>
        </is>
      </c>
      <c r="G1295" s="9" t="inlineStr"/>
      <c r="H1295" s="9" t="inlineStr">
        <is>
          <t>CONDITIONAL: backup fuel oil (ULSD) unloading and forwarding area</t>
        </is>
      </c>
      <c r="I1295" s="9" t="inlineStr">
        <is>
          <t>Control</t>
        </is>
      </c>
      <c r="J1295" s="9" t="inlineStr">
        <is>
          <t>ARMOR-X MC-HL 600 V control, Cu #14 AWG (Class I Div 2)</t>
        </is>
      </c>
      <c r="K1295" s="9" t="inlineStr">
        <is>
          <t>CTAX|7/C|14</t>
        </is>
      </c>
      <c r="L1295" s="9" t="inlineStr">
        <is>
          <t>7/C</t>
        </is>
      </c>
      <c r="M1295" s="9" t="inlineStr">
        <is>
          <t>14</t>
        </is>
      </c>
      <c r="N1295" s="9" t="n">
        <v>1</v>
      </c>
      <c r="O1295" s="9" t="n">
        <v>1</v>
      </c>
      <c r="P1295" s="9" t="n"/>
      <c r="Q1295" s="9" t="n"/>
      <c r="R1295" s="9" t="n"/>
      <c r="S1295" s="9" t="inlineStr">
        <is>
          <t>Tray</t>
        </is>
      </c>
      <c r="T1295" s="10" t="n">
        <v>65</v>
      </c>
      <c r="U1295" s="10" t="n">
        <v>42</v>
      </c>
      <c r="V1295" s="10">
        <f>ROUNDUP((T1295+U1295+2*'Read Me'!$B$13)*(1+'Read Me'!$B$12),-1)</f>
        <v/>
      </c>
      <c r="W1295" s="10">
        <f>V1295*N1295*O1295</f>
        <v/>
      </c>
      <c r="X1295" s="9">
        <f>IF(LEFT(I1295,2)="MV",2*N1295*IF(L1295="1/C",O1295,1),0)</f>
        <v/>
      </c>
      <c r="Y1295" s="9">
        <f>IF(OR(LEFT(K1295,4)="LVAX",LEFT(K1295,6)="MV15AX",LEFT(K1295,4)="CTAX",LEFT(K1295,2)="W|"),2*N1295*O1295,0)</f>
        <v/>
      </c>
      <c r="Z1295" s="9" t="inlineStr"/>
    </row>
    <row r="1296">
      <c r="A1296" s="9" t="inlineStr">
        <is>
          <t>D-C-0004</t>
        </is>
      </c>
      <c r="B1296" s="9" t="inlineStr">
        <is>
          <t>D</t>
        </is>
      </c>
      <c r="C1296" s="9" t="inlineStr">
        <is>
          <t>Fuel gas</t>
        </is>
      </c>
      <c r="D1296" s="9" t="inlineStr">
        <is>
          <t>Control</t>
        </is>
      </c>
      <c r="E1296" s="9" t="inlineStr"/>
      <c r="F1296" s="9" t="inlineStr">
        <is>
          <t>Gas yard local control enclosure</t>
        </is>
      </c>
      <c r="G1296" s="9" t="inlineStr"/>
      <c r="H1296" s="9" t="inlineStr">
        <is>
          <t>CONDITIONAL: fuel-gas compressors</t>
        </is>
      </c>
      <c r="I1296" s="9" t="inlineStr">
        <is>
          <t>Control</t>
        </is>
      </c>
      <c r="J1296" s="9" t="inlineStr">
        <is>
          <t>ARMOR-X MC-HL 600 V control, Cu #14 AWG (Class I Div 2)</t>
        </is>
      </c>
      <c r="K1296" s="9" t="inlineStr">
        <is>
          <t>CTAX|7/C|14</t>
        </is>
      </c>
      <c r="L1296" s="9" t="inlineStr">
        <is>
          <t>7/C</t>
        </is>
      </c>
      <c r="M1296" s="9" t="inlineStr">
        <is>
          <t>14</t>
        </is>
      </c>
      <c r="N1296" s="9" t="n">
        <v>1</v>
      </c>
      <c r="O1296" s="9" t="n">
        <v>1</v>
      </c>
      <c r="P1296" s="9" t="n"/>
      <c r="Q1296" s="9" t="n"/>
      <c r="R1296" s="9" t="n"/>
      <c r="S1296" s="9" t="inlineStr">
        <is>
          <t>Duct bank</t>
        </is>
      </c>
      <c r="T1296" s="10" t="n">
        <v>553</v>
      </c>
      <c r="U1296" s="10" t="n">
        <v>32</v>
      </c>
      <c r="V1296" s="10">
        <f>ROUNDUP((T1296+U1296+2*'Read Me'!$B$13)*(1+'Read Me'!$B$12),-1)</f>
        <v/>
      </c>
      <c r="W1296" s="10">
        <f>V1296*N1296*O1296</f>
        <v/>
      </c>
      <c r="X1296" s="9">
        <f>IF(LEFT(I1296,2)="MV",2*N1296*IF(L1296="1/C",O1296,1),0)</f>
        <v/>
      </c>
      <c r="Y1296" s="9">
        <f>IF(OR(LEFT(K1296,4)="LVAX",LEFT(K1296,6)="MV15AX",LEFT(K1296,4)="CTAX",LEFT(K1296,2)="W|"),2*N1296*O1296,0)</f>
        <v/>
      </c>
      <c r="Z1296" s="9" t="inlineStr"/>
    </row>
    <row r="1297">
      <c r="A1297" s="9" t="inlineStr">
        <is>
          <t>D-C-0005</t>
        </is>
      </c>
      <c r="B1297" s="9" t="inlineStr">
        <is>
          <t>D</t>
        </is>
      </c>
      <c r="C1297" s="9" t="inlineStr">
        <is>
          <t>Fuel gas</t>
        </is>
      </c>
      <c r="D1297" s="9" t="inlineStr">
        <is>
          <t>Control</t>
        </is>
      </c>
      <c r="E1297" s="9" t="inlineStr"/>
      <c r="F1297" s="9" t="inlineStr">
        <is>
          <t>Gas yard local control enclosure</t>
        </is>
      </c>
      <c r="G1297" s="9" t="inlineStr">
        <is>
          <t>CPR-1</t>
        </is>
      </c>
      <c r="H1297" s="9" t="inlineStr">
        <is>
          <t>CPR-1: cathodic-protection rectifier</t>
        </is>
      </c>
      <c r="I1297" s="9" t="inlineStr">
        <is>
          <t>Control</t>
        </is>
      </c>
      <c r="J1297" s="9" t="inlineStr">
        <is>
          <t>Control cable 600 V Type TC-ER, Cu #14 AWG, PVC jacket</t>
        </is>
      </c>
      <c r="K1297" s="9" t="inlineStr">
        <is>
          <t>CT|7/C|14</t>
        </is>
      </c>
      <c r="L1297" s="9" t="inlineStr">
        <is>
          <t>7/C</t>
        </is>
      </c>
      <c r="M1297" s="9" t="inlineStr">
        <is>
          <t>14</t>
        </is>
      </c>
      <c r="N1297" s="9" t="n">
        <v>1</v>
      </c>
      <c r="O1297" s="9" t="n">
        <v>1</v>
      </c>
      <c r="P1297" s="9" t="n"/>
      <c r="Q1297" s="9" t="n"/>
      <c r="R1297" s="9" t="n"/>
      <c r="S1297" s="9" t="inlineStr">
        <is>
          <t>Tray</t>
        </is>
      </c>
      <c r="T1297" s="10" t="n">
        <v>0</v>
      </c>
      <c r="U1297" s="10" t="n">
        <v>84</v>
      </c>
      <c r="V1297" s="10">
        <f>ROUNDUP((T1297+U1297+2*'Read Me'!$B$13)*(1+'Read Me'!$B$12),-1)</f>
        <v/>
      </c>
      <c r="W1297" s="10">
        <f>V1297*N1297*O1297</f>
        <v/>
      </c>
      <c r="X1297" s="9">
        <f>IF(LEFT(I1297,2)="MV",2*N1297*IF(L1297="1/C",O1297,1),0)</f>
        <v/>
      </c>
      <c r="Y1297" s="9">
        <f>IF(OR(LEFT(K1297,4)="LVAX",LEFT(K1297,6)="MV15AX",LEFT(K1297,4)="CTAX",LEFT(K1297,2)="W|"),2*N1297*O1297,0)</f>
        <v/>
      </c>
      <c r="Z1297" s="9" t="inlineStr"/>
    </row>
    <row r="1298">
      <c r="A1298" s="9" t="inlineStr">
        <is>
          <t>D-C-0006</t>
        </is>
      </c>
      <c r="B1298" s="9" t="inlineStr">
        <is>
          <t>D</t>
        </is>
      </c>
      <c r="C1298" s="9" t="inlineStr">
        <is>
          <t>Fuel gas</t>
        </is>
      </c>
      <c r="D1298" s="9" t="inlineStr">
        <is>
          <t>Control</t>
        </is>
      </c>
      <c r="E1298" s="9" t="inlineStr"/>
      <c r="F1298" s="9" t="inlineStr">
        <is>
          <t>Gas yard local control enclosure</t>
        </is>
      </c>
      <c r="G1298" s="9" t="inlineStr"/>
      <c r="H1298" s="9" t="inlineStr">
        <is>
          <t>Fuel-gas performance heater</t>
        </is>
      </c>
      <c r="I1298" s="9" t="inlineStr">
        <is>
          <t>Control</t>
        </is>
      </c>
      <c r="J1298" s="9" t="inlineStr">
        <is>
          <t>ARMOR-X MC-HL 600 V control, Cu #14 AWG (Class I Div 2)</t>
        </is>
      </c>
      <c r="K1298" s="9" t="inlineStr">
        <is>
          <t>CTAX|7/C|14</t>
        </is>
      </c>
      <c r="L1298" s="9" t="inlineStr">
        <is>
          <t>7/C</t>
        </is>
      </c>
      <c r="M1298" s="9" t="inlineStr">
        <is>
          <t>14</t>
        </is>
      </c>
      <c r="N1298" s="9" t="n">
        <v>1</v>
      </c>
      <c r="O1298" s="9" t="n">
        <v>1</v>
      </c>
      <c r="P1298" s="9" t="n"/>
      <c r="Q1298" s="9" t="n"/>
      <c r="R1298" s="9" t="n"/>
      <c r="S1298" s="9" t="inlineStr">
        <is>
          <t>Duct bank</t>
        </is>
      </c>
      <c r="T1298" s="10" t="n">
        <v>143</v>
      </c>
      <c r="U1298" s="10" t="n">
        <v>32</v>
      </c>
      <c r="V1298" s="10">
        <f>ROUNDUP((T1298+U1298+2*'Read Me'!$B$13)*(1+'Read Me'!$B$12),-1)</f>
        <v/>
      </c>
      <c r="W1298" s="10">
        <f>V1298*N1298*O1298</f>
        <v/>
      </c>
      <c r="X1298" s="9">
        <f>IF(LEFT(I1298,2)="MV",2*N1298*IF(L1298="1/C",O1298,1),0)</f>
        <v/>
      </c>
      <c r="Y1298" s="9">
        <f>IF(OR(LEFT(K1298,4)="LVAX",LEFT(K1298,6)="MV15AX",LEFT(K1298,4)="CTAX",LEFT(K1298,2)="W|"),2*N1298*O1298,0)</f>
        <v/>
      </c>
      <c r="Z1298" s="9" t="inlineStr"/>
    </row>
    <row r="1299">
      <c r="A1299" s="9" t="inlineStr">
        <is>
          <t>D-C-0007</t>
        </is>
      </c>
      <c r="B1299" s="9" t="inlineStr">
        <is>
          <t>D</t>
        </is>
      </c>
      <c r="C1299" s="9" t="inlineStr">
        <is>
          <t>Fuel gas</t>
        </is>
      </c>
      <c r="D1299" s="9" t="inlineStr">
        <is>
          <t>Control</t>
        </is>
      </c>
      <c r="E1299" s="9" t="inlineStr"/>
      <c r="F1299" s="9" t="inlineStr">
        <is>
          <t>Gas yard local control enclosure</t>
        </is>
      </c>
      <c r="G1299" s="9" t="inlineStr"/>
      <c r="H1299" s="9" t="inlineStr">
        <is>
          <t>Gas pressure regulation skid</t>
        </is>
      </c>
      <c r="I1299" s="9" t="inlineStr">
        <is>
          <t>Control</t>
        </is>
      </c>
      <c r="J1299" s="9" t="inlineStr">
        <is>
          <t>ARMOR-X MC-HL 600 V control, Cu #14 AWG (Class I Div 2)</t>
        </is>
      </c>
      <c r="K1299" s="9" t="inlineStr">
        <is>
          <t>CTAX|7/C|14</t>
        </is>
      </c>
      <c r="L1299" s="9" t="inlineStr">
        <is>
          <t>7/C</t>
        </is>
      </c>
      <c r="M1299" s="9" t="inlineStr">
        <is>
          <t>14</t>
        </is>
      </c>
      <c r="N1299" s="9" t="n">
        <v>1</v>
      </c>
      <c r="O1299" s="9" t="n">
        <v>1</v>
      </c>
      <c r="P1299" s="9" t="n"/>
      <c r="Q1299" s="9" t="n"/>
      <c r="R1299" s="9" t="n"/>
      <c r="S1299" s="9" t="inlineStr">
        <is>
          <t>Duct bank</t>
        </is>
      </c>
      <c r="T1299" s="10" t="n">
        <v>193</v>
      </c>
      <c r="U1299" s="10" t="n">
        <v>32</v>
      </c>
      <c r="V1299" s="10">
        <f>ROUNDUP((T1299+U1299+2*'Read Me'!$B$13)*(1+'Read Me'!$B$12),-1)</f>
        <v/>
      </c>
      <c r="W1299" s="10">
        <f>V1299*N1299*O1299</f>
        <v/>
      </c>
      <c r="X1299" s="9">
        <f>IF(LEFT(I1299,2)="MV",2*N1299*IF(L1299="1/C",O1299,1),0)</f>
        <v/>
      </c>
      <c r="Y1299" s="9">
        <f>IF(OR(LEFT(K1299,4)="LVAX",LEFT(K1299,6)="MV15AX",LEFT(K1299,4)="CTAX",LEFT(K1299,2)="W|"),2*N1299*O1299,0)</f>
        <v/>
      </c>
      <c r="Z1299" s="9" t="inlineStr"/>
    </row>
    <row r="1300">
      <c r="A1300" s="9" t="inlineStr">
        <is>
          <t>D-C-0008</t>
        </is>
      </c>
      <c r="B1300" s="9" t="inlineStr">
        <is>
          <t>D</t>
        </is>
      </c>
      <c r="C1300" s="9" t="inlineStr">
        <is>
          <t>Fuel gas</t>
        </is>
      </c>
      <c r="D1300" s="9" t="inlineStr">
        <is>
          <t>Control</t>
        </is>
      </c>
      <c r="E1300" s="9" t="inlineStr"/>
      <c r="F1300" s="9" t="inlineStr">
        <is>
          <t>Gas yard local control enclosure</t>
        </is>
      </c>
      <c r="G1300" s="9" t="inlineStr"/>
      <c r="H1300" s="9" t="inlineStr">
        <is>
          <t>Gas yard inlet: ESD valve, block valve and insulating joint</t>
        </is>
      </c>
      <c r="I1300" s="9" t="inlineStr">
        <is>
          <t>Control</t>
        </is>
      </c>
      <c r="J1300" s="9" t="inlineStr">
        <is>
          <t>ARMOR-X MC-HL 600 V control, Cu #14 AWG (Class I Div 2)</t>
        </is>
      </c>
      <c r="K1300" s="9" t="inlineStr">
        <is>
          <t>CTAX|7/C|14</t>
        </is>
      </c>
      <c r="L1300" s="9" t="inlineStr">
        <is>
          <t>7/C</t>
        </is>
      </c>
      <c r="M1300" s="9" t="inlineStr">
        <is>
          <t>14</t>
        </is>
      </c>
      <c r="N1300" s="9" t="n">
        <v>1</v>
      </c>
      <c r="O1300" s="9" t="n">
        <v>1</v>
      </c>
      <c r="P1300" s="9" t="n"/>
      <c r="Q1300" s="9" t="n"/>
      <c r="R1300" s="9" t="n"/>
      <c r="S1300" s="9" t="inlineStr">
        <is>
          <t>Duct bank</t>
        </is>
      </c>
      <c r="T1300" s="10" t="n">
        <v>193</v>
      </c>
      <c r="U1300" s="10" t="n">
        <v>129</v>
      </c>
      <c r="V1300" s="10">
        <f>ROUNDUP((T1300+U1300+2*'Read Me'!$B$13)*(1+'Read Me'!$B$12),-1)</f>
        <v/>
      </c>
      <c r="W1300" s="10">
        <f>V1300*N1300*O1300</f>
        <v/>
      </c>
      <c r="X1300" s="9">
        <f>IF(LEFT(I1300,2)="MV",2*N1300*IF(L1300="1/C",O1300,1),0)</f>
        <v/>
      </c>
      <c r="Y1300" s="9">
        <f>IF(OR(LEFT(K1300,4)="LVAX",LEFT(K1300,6)="MV15AX",LEFT(K1300,4)="CTAX",LEFT(K1300,2)="W|"),2*N1300*O1300,0)</f>
        <v/>
      </c>
      <c r="Z1300" s="9" t="inlineStr"/>
    </row>
    <row r="1301">
      <c r="A1301" s="9" t="inlineStr">
        <is>
          <t>D-C-0009</t>
        </is>
      </c>
      <c r="B1301" s="9" t="inlineStr">
        <is>
          <t>D</t>
        </is>
      </c>
      <c r="C1301" s="9" t="inlineStr">
        <is>
          <t>Fuel gas</t>
        </is>
      </c>
      <c r="D1301" s="9" t="inlineStr">
        <is>
          <t>Control</t>
        </is>
      </c>
      <c r="E1301" s="9" t="inlineStr"/>
      <c r="F1301" s="9" t="inlineStr">
        <is>
          <t>Gas yard local control enclosure</t>
        </is>
      </c>
      <c r="G1301" s="9" t="inlineStr"/>
      <c r="H1301" s="9" t="inlineStr">
        <is>
          <t>Gas yard local control enclosure</t>
        </is>
      </c>
      <c r="I1301" s="9" t="inlineStr">
        <is>
          <t>Control</t>
        </is>
      </c>
      <c r="J1301" s="9" t="inlineStr">
        <is>
          <t>ARMOR-X MC-HL 600 V control, Cu #14 AWG (Class I Div 2)</t>
        </is>
      </c>
      <c r="K1301" s="9" t="inlineStr">
        <is>
          <t>CTAX|7/C|14</t>
        </is>
      </c>
      <c r="L1301" s="9" t="inlineStr">
        <is>
          <t>7/C</t>
        </is>
      </c>
      <c r="M1301" s="9" t="inlineStr">
        <is>
          <t>14</t>
        </is>
      </c>
      <c r="N1301" s="9" t="n">
        <v>1</v>
      </c>
      <c r="O1301" s="9" t="n">
        <v>1</v>
      </c>
      <c r="P1301" s="9" t="n"/>
      <c r="Q1301" s="9" t="n"/>
      <c r="R1301" s="9" t="n"/>
      <c r="S1301" s="9" t="inlineStr">
        <is>
          <t>Tray</t>
        </is>
      </c>
      <c r="T1301" s="10" t="n">
        <v>0</v>
      </c>
      <c r="U1301" s="10" t="n">
        <v>32</v>
      </c>
      <c r="V1301" s="10">
        <f>ROUNDUP((T1301+U1301+2*'Read Me'!$B$13)*(1+'Read Me'!$B$12),-1)</f>
        <v/>
      </c>
      <c r="W1301" s="10">
        <f>V1301*N1301*O1301</f>
        <v/>
      </c>
      <c r="X1301" s="9">
        <f>IF(LEFT(I1301,2)="MV",2*N1301*IF(L1301="1/C",O1301,1),0)</f>
        <v/>
      </c>
      <c r="Y1301" s="9">
        <f>IF(OR(LEFT(K1301,4)="LVAX",LEFT(K1301,6)="MV15AX",LEFT(K1301,4)="CTAX",LEFT(K1301,2)="W|"),2*N1301*O1301,0)</f>
        <v/>
      </c>
      <c r="Z1301" s="9" t="inlineStr"/>
    </row>
    <row r="1302">
      <c r="A1302" s="9" t="inlineStr">
        <is>
          <t>D-C-0010</t>
        </is>
      </c>
      <c r="B1302" s="9" t="inlineStr">
        <is>
          <t>D</t>
        </is>
      </c>
      <c r="C1302" s="9" t="inlineStr">
        <is>
          <t>Fuel gas</t>
        </is>
      </c>
      <c r="D1302" s="9" t="inlineStr">
        <is>
          <t>Control</t>
        </is>
      </c>
      <c r="E1302" s="9" t="inlineStr"/>
      <c r="F1302" s="9" t="inlineStr">
        <is>
          <t>Gas yard local control enclosure</t>
        </is>
      </c>
      <c r="G1302" s="9" t="inlineStr">
        <is>
          <t>HTP-4</t>
        </is>
      </c>
      <c r="H1302" s="9" t="inlineStr">
        <is>
          <t>HTP-4: heat-trace panel (gas)</t>
        </is>
      </c>
      <c r="I1302" s="9" t="inlineStr">
        <is>
          <t>Control</t>
        </is>
      </c>
      <c r="J1302" s="9" t="inlineStr">
        <is>
          <t>Control cable 600 V Type TC-ER, Cu #14 AWG, PVC jacket</t>
        </is>
      </c>
      <c r="K1302" s="9" t="inlineStr">
        <is>
          <t>CT|7/C|14</t>
        </is>
      </c>
      <c r="L1302" s="9" t="inlineStr">
        <is>
          <t>7/C</t>
        </is>
      </c>
      <c r="M1302" s="9" t="inlineStr">
        <is>
          <t>14</t>
        </is>
      </c>
      <c r="N1302" s="9" t="n">
        <v>1</v>
      </c>
      <c r="O1302" s="9" t="n">
        <v>1</v>
      </c>
      <c r="P1302" s="9" t="n"/>
      <c r="Q1302" s="9" t="n"/>
      <c r="R1302" s="9" t="n"/>
      <c r="S1302" s="9" t="inlineStr">
        <is>
          <t>Conduit link</t>
        </is>
      </c>
      <c r="T1302" s="10" t="n">
        <v>15</v>
      </c>
      <c r="U1302" s="10" t="n">
        <v>32</v>
      </c>
      <c r="V1302" s="10">
        <f>ROUNDUP((T1302+U1302+2*'Read Me'!$B$13)*(1+'Read Me'!$B$12),-1)</f>
        <v/>
      </c>
      <c r="W1302" s="10">
        <f>V1302*N1302*O1302</f>
        <v/>
      </c>
      <c r="X1302" s="9">
        <f>IF(LEFT(I1302,2)="MV",2*N1302*IF(L1302="1/C",O1302,1),0)</f>
        <v/>
      </c>
      <c r="Y1302" s="9">
        <f>IF(OR(LEFT(K1302,4)="LVAX",LEFT(K1302,6)="MV15AX",LEFT(K1302,4)="CTAX",LEFT(K1302,2)="W|"),2*N1302*O1302,0)</f>
        <v/>
      </c>
      <c r="Z1302" s="9" t="inlineStr"/>
    </row>
    <row r="1303">
      <c r="A1303" s="9" t="inlineStr">
        <is>
          <t>D-I-0001</t>
        </is>
      </c>
      <c r="B1303" s="9" t="inlineStr">
        <is>
          <t>D</t>
        </is>
      </c>
      <c r="C1303" s="9" t="inlineStr">
        <is>
          <t>Fuel gas</t>
        </is>
      </c>
      <c r="D1303" s="9" t="inlineStr">
        <is>
          <t>Instrumentation</t>
        </is>
      </c>
      <c r="E1303" s="9" t="inlineStr"/>
      <c r="F1303" s="9" t="inlineStr">
        <is>
          <t>Gas yard local control enclosure</t>
        </is>
      </c>
      <c r="G1303" s="9" t="inlineStr"/>
      <c r="H1303" s="9" t="inlineStr">
        <is>
          <t>CONDITIONAL: ULSD backup fuel-oil tank</t>
        </is>
      </c>
      <c r="I1303" s="9" t="inlineStr">
        <is>
          <t>Instrumentation</t>
        </is>
      </c>
      <c r="J1303" s="9" t="inlineStr">
        <is>
          <t>Instrumentation ITC / PLTC, IS, #18 shielded pairs, blue jacket</t>
        </is>
      </c>
      <c r="K1303" s="9" t="inlineStr">
        <is>
          <t>ITC|4 pr|18</t>
        </is>
      </c>
      <c r="L1303" s="9" t="inlineStr">
        <is>
          <t>4 pr</t>
        </is>
      </c>
      <c r="M1303" s="9" t="inlineStr">
        <is>
          <t>18</t>
        </is>
      </c>
      <c r="N1303" s="9" t="n">
        <v>1</v>
      </c>
      <c r="O1303" s="9" t="n">
        <v>1</v>
      </c>
      <c r="P1303" s="9" t="n"/>
      <c r="Q1303" s="9" t="n"/>
      <c r="R1303" s="9" t="n"/>
      <c r="S1303" s="9" t="inlineStr">
        <is>
          <t>Duct bank</t>
        </is>
      </c>
      <c r="T1303" s="10" t="n">
        <v>199</v>
      </c>
      <c r="U1303" s="10" t="n">
        <v>32</v>
      </c>
      <c r="V1303" s="10">
        <f>ROUNDUP((T1303+U1303+2*'Read Me'!$B$13)*(1+'Read Me'!$B$12),-1)</f>
        <v/>
      </c>
      <c r="W1303" s="10">
        <f>V1303*N1303*O1303</f>
        <v/>
      </c>
      <c r="X1303" s="9">
        <f>IF(LEFT(I1303,2)="MV",2*N1303*IF(L1303="1/C",O1303,1),0)</f>
        <v/>
      </c>
      <c r="Y1303" s="9">
        <f>IF(OR(LEFT(K1303,4)="LVAX",LEFT(K1303,6)="MV15AX",LEFT(K1303,4)="CTAX",LEFT(K1303,2)="W|"),2*N1303*O1303,0)</f>
        <v/>
      </c>
      <c r="Z1303" s="9" t="inlineStr"/>
    </row>
    <row r="1304">
      <c r="A1304" s="9" t="inlineStr">
        <is>
          <t>D-I-0002</t>
        </is>
      </c>
      <c r="B1304" s="9" t="inlineStr">
        <is>
          <t>D</t>
        </is>
      </c>
      <c r="C1304" s="9" t="inlineStr">
        <is>
          <t>Fuel gas</t>
        </is>
      </c>
      <c r="D1304" s="9" t="inlineStr">
        <is>
          <t>Instrumentation</t>
        </is>
      </c>
      <c r="E1304" s="9" t="inlineStr"/>
      <c r="F1304" s="9" t="inlineStr">
        <is>
          <t>Gas yard local control enclosure</t>
        </is>
      </c>
      <c r="G1304" s="9" t="inlineStr"/>
      <c r="H1304" s="9" t="inlineStr">
        <is>
          <t>CONDITIONAL: ULSD backup fuel-oil tank</t>
        </is>
      </c>
      <c r="I1304" s="9" t="inlineStr">
        <is>
          <t>Instrumentation</t>
        </is>
      </c>
      <c r="J1304" s="9" t="inlineStr">
        <is>
          <t>Instrumentation ITC / PLTC, IS, #18 shielded pairs, blue jacket</t>
        </is>
      </c>
      <c r="K1304" s="9" t="inlineStr">
        <is>
          <t>ITC|12 pr|18</t>
        </is>
      </c>
      <c r="L1304" s="9" t="inlineStr">
        <is>
          <t>12 pr</t>
        </is>
      </c>
      <c r="M1304" s="9" t="inlineStr">
        <is>
          <t>18</t>
        </is>
      </c>
      <c r="N1304" s="9" t="n">
        <v>1</v>
      </c>
      <c r="O1304" s="9" t="n">
        <v>1</v>
      </c>
      <c r="P1304" s="9" t="n"/>
      <c r="Q1304" s="9" t="n"/>
      <c r="R1304" s="9" t="n"/>
      <c r="S1304" s="9" t="inlineStr">
        <is>
          <t>Duct bank</t>
        </is>
      </c>
      <c r="T1304" s="10" t="n">
        <v>199</v>
      </c>
      <c r="U1304" s="10" t="n">
        <v>32</v>
      </c>
      <c r="V1304" s="10">
        <f>ROUNDUP((T1304+U1304+2*'Read Me'!$B$13)*(1+'Read Me'!$B$12),-1)</f>
        <v/>
      </c>
      <c r="W1304" s="10">
        <f>V1304*N1304*O1304</f>
        <v/>
      </c>
      <c r="X1304" s="9">
        <f>IF(LEFT(I1304,2)="MV",2*N1304*IF(L1304="1/C",O1304,1),0)</f>
        <v/>
      </c>
      <c r="Y1304" s="9">
        <f>IF(OR(LEFT(K1304,4)="LVAX",LEFT(K1304,6)="MV15AX",LEFT(K1304,4)="CTAX",LEFT(K1304,2)="W|"),2*N1304*O1304,0)</f>
        <v/>
      </c>
      <c r="Z1304" s="9" t="inlineStr"/>
    </row>
    <row r="1305">
      <c r="A1305" s="9" t="inlineStr">
        <is>
          <t>D-I-0003</t>
        </is>
      </c>
      <c r="B1305" s="9" t="inlineStr">
        <is>
          <t>D</t>
        </is>
      </c>
      <c r="C1305" s="9" t="inlineStr">
        <is>
          <t>Fuel gas</t>
        </is>
      </c>
      <c r="D1305" s="9" t="inlineStr">
        <is>
          <t>Instrumentation</t>
        </is>
      </c>
      <c r="E1305" s="9" t="inlineStr"/>
      <c r="F1305" s="9" t="inlineStr">
        <is>
          <t>Gas yard local control enclosure</t>
        </is>
      </c>
      <c r="G1305" s="9" t="inlineStr"/>
      <c r="H1305" s="9" t="inlineStr">
        <is>
          <t>CONDITIONAL: ULSD truck unloading station (canopy, spill containment)</t>
        </is>
      </c>
      <c r="I1305" s="9" t="inlineStr">
        <is>
          <t>Instrumentation</t>
        </is>
      </c>
      <c r="J1305" s="9" t="inlineStr">
        <is>
          <t>Instrumentation ITC / PLTC, IS, #18 shielded pairs, blue jacket</t>
        </is>
      </c>
      <c r="K1305" s="9" t="inlineStr">
        <is>
          <t>ITC|4 pr|18</t>
        </is>
      </c>
      <c r="L1305" s="9" t="inlineStr">
        <is>
          <t>4 pr</t>
        </is>
      </c>
      <c r="M1305" s="9" t="inlineStr">
        <is>
          <t>18</t>
        </is>
      </c>
      <c r="N1305" s="9" t="n">
        <v>1</v>
      </c>
      <c r="O1305" s="9" t="n">
        <v>1</v>
      </c>
      <c r="P1305" s="9" t="n"/>
      <c r="Q1305" s="9" t="n"/>
      <c r="R1305" s="9" t="n"/>
      <c r="S1305" s="9" t="inlineStr">
        <is>
          <t>Tray</t>
        </is>
      </c>
      <c r="T1305" s="10" t="n">
        <v>65</v>
      </c>
      <c r="U1305" s="10" t="n">
        <v>132</v>
      </c>
      <c r="V1305" s="10">
        <f>ROUNDUP((T1305+U1305+2*'Read Me'!$B$13)*(1+'Read Me'!$B$12),-1)</f>
        <v/>
      </c>
      <c r="W1305" s="10">
        <f>V1305*N1305*O1305</f>
        <v/>
      </c>
      <c r="X1305" s="9">
        <f>IF(LEFT(I1305,2)="MV",2*N1305*IF(L1305="1/C",O1305,1),0)</f>
        <v/>
      </c>
      <c r="Y1305" s="9">
        <f>IF(OR(LEFT(K1305,4)="LVAX",LEFT(K1305,6)="MV15AX",LEFT(K1305,4)="CTAX",LEFT(K1305,2)="W|"),2*N1305*O1305,0)</f>
        <v/>
      </c>
      <c r="Z1305" s="9" t="inlineStr"/>
    </row>
    <row r="1306">
      <c r="A1306" s="9" t="inlineStr">
        <is>
          <t>D-I-0004</t>
        </is>
      </c>
      <c r="B1306" s="9" t="inlineStr">
        <is>
          <t>D</t>
        </is>
      </c>
      <c r="C1306" s="9" t="inlineStr">
        <is>
          <t>Fuel gas</t>
        </is>
      </c>
      <c r="D1306" s="9" t="inlineStr">
        <is>
          <t>Instrumentation</t>
        </is>
      </c>
      <c r="E1306" s="9" t="inlineStr"/>
      <c r="F1306" s="9" t="inlineStr">
        <is>
          <t>Gas yard local control enclosure</t>
        </is>
      </c>
      <c r="G1306" s="9" t="inlineStr"/>
      <c r="H1306" s="9" t="inlineStr">
        <is>
          <t>CONDITIONAL: ULSD unloading and forwarding pumps, duplex filters</t>
        </is>
      </c>
      <c r="I1306" s="9" t="inlineStr">
        <is>
          <t>Instrumentation</t>
        </is>
      </c>
      <c r="J1306" s="9" t="inlineStr">
        <is>
          <t>Instrumentation ITC / PLTC, IS, #18 shielded pairs, blue jacket</t>
        </is>
      </c>
      <c r="K1306" s="9" t="inlineStr">
        <is>
          <t>ITC|4 pr|18</t>
        </is>
      </c>
      <c r="L1306" s="9" t="inlineStr">
        <is>
          <t>4 pr</t>
        </is>
      </c>
      <c r="M1306" s="9" t="inlineStr">
        <is>
          <t>18</t>
        </is>
      </c>
      <c r="N1306" s="9" t="n">
        <v>1</v>
      </c>
      <c r="O1306" s="9" t="n">
        <v>1</v>
      </c>
      <c r="P1306" s="9" t="n"/>
      <c r="Q1306" s="9" t="n"/>
      <c r="R1306" s="9" t="n"/>
      <c r="S1306" s="9" t="inlineStr">
        <is>
          <t>Tray</t>
        </is>
      </c>
      <c r="T1306" s="10" t="n">
        <v>65</v>
      </c>
      <c r="U1306" s="10" t="n">
        <v>59</v>
      </c>
      <c r="V1306" s="10">
        <f>ROUNDUP((T1306+U1306+2*'Read Me'!$B$13)*(1+'Read Me'!$B$12),-1)</f>
        <v/>
      </c>
      <c r="W1306" s="10">
        <f>V1306*N1306*O1306</f>
        <v/>
      </c>
      <c r="X1306" s="9">
        <f>IF(LEFT(I1306,2)="MV",2*N1306*IF(L1306="1/C",O1306,1),0)</f>
        <v/>
      </c>
      <c r="Y1306" s="9">
        <f>IF(OR(LEFT(K1306,4)="LVAX",LEFT(K1306,6)="MV15AX",LEFT(K1306,4)="CTAX",LEFT(K1306,2)="W|"),2*N1306*O1306,0)</f>
        <v/>
      </c>
      <c r="Z1306" s="9" t="inlineStr"/>
    </row>
    <row r="1307">
      <c r="A1307" s="9" t="inlineStr">
        <is>
          <t>D-I-0005</t>
        </is>
      </c>
      <c r="B1307" s="9" t="inlineStr">
        <is>
          <t>D</t>
        </is>
      </c>
      <c r="C1307" s="9" t="inlineStr">
        <is>
          <t>Fuel gas</t>
        </is>
      </c>
      <c r="D1307" s="9" t="inlineStr">
        <is>
          <t>Instrumentation</t>
        </is>
      </c>
      <c r="E1307" s="9" t="inlineStr"/>
      <c r="F1307" s="9" t="inlineStr">
        <is>
          <t>Gas yard local control enclosure</t>
        </is>
      </c>
      <c r="G1307" s="9" t="inlineStr"/>
      <c r="H1307" s="9" t="inlineStr">
        <is>
          <t>CONDITIONAL: ULSD unloading and forwarding pumps, duplex filters</t>
        </is>
      </c>
      <c r="I1307" s="9" t="inlineStr">
        <is>
          <t>Instrumentation</t>
        </is>
      </c>
      <c r="J1307" s="9" t="inlineStr">
        <is>
          <t>Instrumentation ITC / PLTC, IS, #18 shielded pairs, blue jacket</t>
        </is>
      </c>
      <c r="K1307" s="9" t="inlineStr">
        <is>
          <t>ITC|12 pr|18</t>
        </is>
      </c>
      <c r="L1307" s="9" t="inlineStr">
        <is>
          <t>12 pr</t>
        </is>
      </c>
      <c r="M1307" s="9" t="inlineStr">
        <is>
          <t>18</t>
        </is>
      </c>
      <c r="N1307" s="9" t="n">
        <v>1</v>
      </c>
      <c r="O1307" s="9" t="n">
        <v>1</v>
      </c>
      <c r="P1307" s="9" t="n"/>
      <c r="Q1307" s="9" t="n"/>
      <c r="R1307" s="9" t="n"/>
      <c r="S1307" s="9" t="inlineStr">
        <is>
          <t>Tray</t>
        </is>
      </c>
      <c r="T1307" s="10" t="n">
        <v>65</v>
      </c>
      <c r="U1307" s="10" t="n">
        <v>59</v>
      </c>
      <c r="V1307" s="10">
        <f>ROUNDUP((T1307+U1307+2*'Read Me'!$B$13)*(1+'Read Me'!$B$12),-1)</f>
        <v/>
      </c>
      <c r="W1307" s="10">
        <f>V1307*N1307*O1307</f>
        <v/>
      </c>
      <c r="X1307" s="9">
        <f>IF(LEFT(I1307,2)="MV",2*N1307*IF(L1307="1/C",O1307,1),0)</f>
        <v/>
      </c>
      <c r="Y1307" s="9">
        <f>IF(OR(LEFT(K1307,4)="LVAX",LEFT(K1307,6)="MV15AX",LEFT(K1307,4)="CTAX",LEFT(K1307,2)="W|"),2*N1307*O1307,0)</f>
        <v/>
      </c>
      <c r="Z1307" s="9" t="inlineStr"/>
    </row>
    <row r="1308">
      <c r="A1308" s="9" t="inlineStr">
        <is>
          <t>D-I-0006</t>
        </is>
      </c>
      <c r="B1308" s="9" t="inlineStr">
        <is>
          <t>D</t>
        </is>
      </c>
      <c r="C1308" s="9" t="inlineStr">
        <is>
          <t>Fuel gas</t>
        </is>
      </c>
      <c r="D1308" s="9" t="inlineStr">
        <is>
          <t>Instrumentation</t>
        </is>
      </c>
      <c r="E1308" s="9" t="inlineStr"/>
      <c r="F1308" s="9" t="inlineStr">
        <is>
          <t>Gas yard local control enclosure</t>
        </is>
      </c>
      <c r="G1308" s="9" t="inlineStr"/>
      <c r="H1308" s="9" t="inlineStr">
        <is>
          <t>CONDITIONAL: backup fuel oil (ULSD) unloading and forwarding area</t>
        </is>
      </c>
      <c r="I1308" s="9" t="inlineStr">
        <is>
          <t>Instrumentation</t>
        </is>
      </c>
      <c r="J1308" s="9" t="inlineStr">
        <is>
          <t>Instrumentation ITC / PLTC, IS, #18 shielded pairs, blue jacket</t>
        </is>
      </c>
      <c r="K1308" s="9" t="inlineStr">
        <is>
          <t>ITC|4 pr|18</t>
        </is>
      </c>
      <c r="L1308" s="9" t="inlineStr">
        <is>
          <t>4 pr</t>
        </is>
      </c>
      <c r="M1308" s="9" t="inlineStr">
        <is>
          <t>18</t>
        </is>
      </c>
      <c r="N1308" s="9" t="n">
        <v>1</v>
      </c>
      <c r="O1308" s="9" t="n">
        <v>1</v>
      </c>
      <c r="P1308" s="9" t="n"/>
      <c r="Q1308" s="9" t="n"/>
      <c r="R1308" s="9" t="n"/>
      <c r="S1308" s="9" t="inlineStr">
        <is>
          <t>Tray</t>
        </is>
      </c>
      <c r="T1308" s="10" t="n">
        <v>65</v>
      </c>
      <c r="U1308" s="10" t="n">
        <v>42</v>
      </c>
      <c r="V1308" s="10">
        <f>ROUNDUP((T1308+U1308+2*'Read Me'!$B$13)*(1+'Read Me'!$B$12),-1)</f>
        <v/>
      </c>
      <c r="W1308" s="10">
        <f>V1308*N1308*O1308</f>
        <v/>
      </c>
      <c r="X1308" s="9">
        <f>IF(LEFT(I1308,2)="MV",2*N1308*IF(L1308="1/C",O1308,1),0)</f>
        <v/>
      </c>
      <c r="Y1308" s="9">
        <f>IF(OR(LEFT(K1308,4)="LVAX",LEFT(K1308,6)="MV15AX",LEFT(K1308,4)="CTAX",LEFT(K1308,2)="W|"),2*N1308*O1308,0)</f>
        <v/>
      </c>
      <c r="Z1308" s="9" t="inlineStr"/>
    </row>
    <row r="1309">
      <c r="A1309" s="9" t="inlineStr">
        <is>
          <t>D-I-0007</t>
        </is>
      </c>
      <c r="B1309" s="9" t="inlineStr">
        <is>
          <t>D</t>
        </is>
      </c>
      <c r="C1309" s="9" t="inlineStr">
        <is>
          <t>Fuel gas</t>
        </is>
      </c>
      <c r="D1309" s="9" t="inlineStr">
        <is>
          <t>Instrumentation</t>
        </is>
      </c>
      <c r="E1309" s="9" t="inlineStr"/>
      <c r="F1309" s="9" t="inlineStr">
        <is>
          <t>Gas yard local control enclosure</t>
        </is>
      </c>
      <c r="G1309" s="9" t="inlineStr"/>
      <c r="H1309" s="9" t="inlineStr">
        <is>
          <t>CONDITIONAL: fuel-gas compressors</t>
        </is>
      </c>
      <c r="I1309" s="9" t="inlineStr">
        <is>
          <t>Instrumentation</t>
        </is>
      </c>
      <c r="J1309" s="9" t="inlineStr">
        <is>
          <t>Instrumentation ITC / PLTC, IS, #18 shielded pairs, blue jacket</t>
        </is>
      </c>
      <c r="K1309" s="9" t="inlineStr">
        <is>
          <t>ITC|4 pr|18</t>
        </is>
      </c>
      <c r="L1309" s="9" t="inlineStr">
        <is>
          <t>4 pr</t>
        </is>
      </c>
      <c r="M1309" s="9" t="inlineStr">
        <is>
          <t>18</t>
        </is>
      </c>
      <c r="N1309" s="9" t="n">
        <v>1</v>
      </c>
      <c r="O1309" s="9" t="n">
        <v>1</v>
      </c>
      <c r="P1309" s="9" t="n"/>
      <c r="Q1309" s="9" t="n"/>
      <c r="R1309" s="9" t="n"/>
      <c r="S1309" s="9" t="inlineStr">
        <is>
          <t>Duct bank</t>
        </is>
      </c>
      <c r="T1309" s="10" t="n">
        <v>553</v>
      </c>
      <c r="U1309" s="10" t="n">
        <v>32</v>
      </c>
      <c r="V1309" s="10">
        <f>ROUNDUP((T1309+U1309+2*'Read Me'!$B$13)*(1+'Read Me'!$B$12),-1)</f>
        <v/>
      </c>
      <c r="W1309" s="10">
        <f>V1309*N1309*O1309</f>
        <v/>
      </c>
      <c r="X1309" s="9">
        <f>IF(LEFT(I1309,2)="MV",2*N1309*IF(L1309="1/C",O1309,1),0)</f>
        <v/>
      </c>
      <c r="Y1309" s="9">
        <f>IF(OR(LEFT(K1309,4)="LVAX",LEFT(K1309,6)="MV15AX",LEFT(K1309,4)="CTAX",LEFT(K1309,2)="W|"),2*N1309*O1309,0)</f>
        <v/>
      </c>
      <c r="Z1309" s="9" t="inlineStr"/>
    </row>
    <row r="1310">
      <c r="A1310" s="9" t="inlineStr">
        <is>
          <t>D-I-0008</t>
        </is>
      </c>
      <c r="B1310" s="9" t="inlineStr">
        <is>
          <t>D</t>
        </is>
      </c>
      <c r="C1310" s="9" t="inlineStr">
        <is>
          <t>Fuel gas</t>
        </is>
      </c>
      <c r="D1310" s="9" t="inlineStr">
        <is>
          <t>Instrumentation</t>
        </is>
      </c>
      <c r="E1310" s="9" t="inlineStr"/>
      <c r="F1310" s="9" t="inlineStr">
        <is>
          <t>Gas yard local control enclosure</t>
        </is>
      </c>
      <c r="G1310" s="9" t="inlineStr"/>
      <c r="H1310" s="9" t="inlineStr">
        <is>
          <t>CONDITIONAL: fuel-gas compressors</t>
        </is>
      </c>
      <c r="I1310" s="9" t="inlineStr">
        <is>
          <t>Instrumentation</t>
        </is>
      </c>
      <c r="J1310" s="9" t="inlineStr">
        <is>
          <t>Instrumentation ITC / PLTC, IS, #18 shielded pairs, blue jacket</t>
        </is>
      </c>
      <c r="K1310" s="9" t="inlineStr">
        <is>
          <t>ITC|12 pr|18</t>
        </is>
      </c>
      <c r="L1310" s="9" t="inlineStr">
        <is>
          <t>12 pr</t>
        </is>
      </c>
      <c r="M1310" s="9" t="inlineStr">
        <is>
          <t>18</t>
        </is>
      </c>
      <c r="N1310" s="9" t="n">
        <v>1</v>
      </c>
      <c r="O1310" s="9" t="n">
        <v>1</v>
      </c>
      <c r="P1310" s="9" t="n"/>
      <c r="Q1310" s="9" t="n"/>
      <c r="R1310" s="9" t="n"/>
      <c r="S1310" s="9" t="inlineStr">
        <is>
          <t>Duct bank</t>
        </is>
      </c>
      <c r="T1310" s="10" t="n">
        <v>553</v>
      </c>
      <c r="U1310" s="10" t="n">
        <v>32</v>
      </c>
      <c r="V1310" s="10">
        <f>ROUNDUP((T1310+U1310+2*'Read Me'!$B$13)*(1+'Read Me'!$B$12),-1)</f>
        <v/>
      </c>
      <c r="W1310" s="10">
        <f>V1310*N1310*O1310</f>
        <v/>
      </c>
      <c r="X1310" s="9">
        <f>IF(LEFT(I1310,2)="MV",2*N1310*IF(L1310="1/C",O1310,1),0)</f>
        <v/>
      </c>
      <c r="Y1310" s="9">
        <f>IF(OR(LEFT(K1310,4)="LVAX",LEFT(K1310,6)="MV15AX",LEFT(K1310,4)="CTAX",LEFT(K1310,2)="W|"),2*N1310*O1310,0)</f>
        <v/>
      </c>
      <c r="Z1310" s="9" t="inlineStr"/>
    </row>
    <row r="1311">
      <c r="A1311" s="9" t="inlineStr">
        <is>
          <t>D-I-0009</t>
        </is>
      </c>
      <c r="B1311" s="9" t="inlineStr">
        <is>
          <t>D</t>
        </is>
      </c>
      <c r="C1311" s="9" t="inlineStr">
        <is>
          <t>Fuel gas</t>
        </is>
      </c>
      <c r="D1311" s="9" t="inlineStr">
        <is>
          <t>Instrumentation</t>
        </is>
      </c>
      <c r="E1311" s="9" t="inlineStr"/>
      <c r="F1311" s="9" t="inlineStr">
        <is>
          <t>Gas yard local control enclosure</t>
        </is>
      </c>
      <c r="G1311" s="9" t="inlineStr">
        <is>
          <t>CPR-1</t>
        </is>
      </c>
      <c r="H1311" s="9" t="inlineStr">
        <is>
          <t>CPR-1: cathodic-protection rectifier</t>
        </is>
      </c>
      <c r="I1311" s="9" t="inlineStr">
        <is>
          <t>Instrumentation</t>
        </is>
      </c>
      <c r="J1311" s="9" t="inlineStr">
        <is>
          <t>Instrumentation PLTC / TC-ER 300 V, #18 twisted shielded pairs, overall shield</t>
        </is>
      </c>
      <c r="K1311" s="9" t="inlineStr">
        <is>
          <t>PLTC|4 pr|18</t>
        </is>
      </c>
      <c r="L1311" s="9" t="inlineStr">
        <is>
          <t>4 pr</t>
        </is>
      </c>
      <c r="M1311" s="9" t="inlineStr">
        <is>
          <t>18</t>
        </is>
      </c>
      <c r="N1311" s="9" t="n">
        <v>1</v>
      </c>
      <c r="O1311" s="9" t="n">
        <v>1</v>
      </c>
      <c r="P1311" s="9" t="n"/>
      <c r="Q1311" s="9" t="n"/>
      <c r="R1311" s="9" t="n"/>
      <c r="S1311" s="9" t="inlineStr">
        <is>
          <t>Tray</t>
        </is>
      </c>
      <c r="T1311" s="10" t="n">
        <v>0</v>
      </c>
      <c r="U1311" s="10" t="n">
        <v>84</v>
      </c>
      <c r="V1311" s="10">
        <f>ROUNDUP((T1311+U1311+2*'Read Me'!$B$13)*(1+'Read Me'!$B$12),-1)</f>
        <v/>
      </c>
      <c r="W1311" s="10">
        <f>V1311*N1311*O1311</f>
        <v/>
      </c>
      <c r="X1311" s="9">
        <f>IF(LEFT(I1311,2)="MV",2*N1311*IF(L1311="1/C",O1311,1),0)</f>
        <v/>
      </c>
      <c r="Y1311" s="9">
        <f>IF(OR(LEFT(K1311,4)="LVAX",LEFT(K1311,6)="MV15AX",LEFT(K1311,4)="CTAX",LEFT(K1311,2)="W|"),2*N1311*O1311,0)</f>
        <v/>
      </c>
      <c r="Z1311" s="9" t="inlineStr"/>
    </row>
    <row r="1312">
      <c r="A1312" s="9" t="inlineStr">
        <is>
          <t>D-I-0010</t>
        </is>
      </c>
      <c r="B1312" s="9" t="inlineStr">
        <is>
          <t>D</t>
        </is>
      </c>
      <c r="C1312" s="9" t="inlineStr">
        <is>
          <t>Fuel gas</t>
        </is>
      </c>
      <c r="D1312" s="9" t="inlineStr">
        <is>
          <t>Instrumentation</t>
        </is>
      </c>
      <c r="E1312" s="9" t="inlineStr"/>
      <c r="F1312" s="9" t="inlineStr">
        <is>
          <t>Gas yard local control enclosure</t>
        </is>
      </c>
      <c r="G1312" s="9" t="inlineStr"/>
      <c r="H1312" s="9" t="inlineStr">
        <is>
          <t>Fuel-gas performance heater</t>
        </is>
      </c>
      <c r="I1312" s="9" t="inlineStr">
        <is>
          <t>Instrumentation</t>
        </is>
      </c>
      <c r="J1312" s="9" t="inlineStr">
        <is>
          <t>Instrumentation ITC / PLTC, IS, #18 shielded pairs, blue jacket</t>
        </is>
      </c>
      <c r="K1312" s="9" t="inlineStr">
        <is>
          <t>ITC|4 pr|18</t>
        </is>
      </c>
      <c r="L1312" s="9" t="inlineStr">
        <is>
          <t>4 pr</t>
        </is>
      </c>
      <c r="M1312" s="9" t="inlineStr">
        <is>
          <t>18</t>
        </is>
      </c>
      <c r="N1312" s="9" t="n">
        <v>1</v>
      </c>
      <c r="O1312" s="9" t="n">
        <v>1</v>
      </c>
      <c r="P1312" s="9" t="n"/>
      <c r="Q1312" s="9" t="n"/>
      <c r="R1312" s="9" t="n"/>
      <c r="S1312" s="9" t="inlineStr">
        <is>
          <t>Duct bank</t>
        </is>
      </c>
      <c r="T1312" s="10" t="n">
        <v>143</v>
      </c>
      <c r="U1312" s="10" t="n">
        <v>32</v>
      </c>
      <c r="V1312" s="10">
        <f>ROUNDUP((T1312+U1312+2*'Read Me'!$B$13)*(1+'Read Me'!$B$12),-1)</f>
        <v/>
      </c>
      <c r="W1312" s="10">
        <f>V1312*N1312*O1312</f>
        <v/>
      </c>
      <c r="X1312" s="9">
        <f>IF(LEFT(I1312,2)="MV",2*N1312*IF(L1312="1/C",O1312,1),0)</f>
        <v/>
      </c>
      <c r="Y1312" s="9">
        <f>IF(OR(LEFT(K1312,4)="LVAX",LEFT(K1312,6)="MV15AX",LEFT(K1312,4)="CTAX",LEFT(K1312,2)="W|"),2*N1312*O1312,0)</f>
        <v/>
      </c>
      <c r="Z1312" s="9" t="inlineStr"/>
    </row>
    <row r="1313">
      <c r="A1313" s="9" t="inlineStr">
        <is>
          <t>D-I-0011</t>
        </is>
      </c>
      <c r="B1313" s="9" t="inlineStr">
        <is>
          <t>D</t>
        </is>
      </c>
      <c r="C1313" s="9" t="inlineStr">
        <is>
          <t>Fuel gas</t>
        </is>
      </c>
      <c r="D1313" s="9" t="inlineStr">
        <is>
          <t>Instrumentation</t>
        </is>
      </c>
      <c r="E1313" s="9" t="inlineStr"/>
      <c r="F1313" s="9" t="inlineStr">
        <is>
          <t>Gas yard local control enclosure</t>
        </is>
      </c>
      <c r="G1313" s="9" t="inlineStr"/>
      <c r="H1313" s="9" t="inlineStr">
        <is>
          <t>Fuel-gas performance heater</t>
        </is>
      </c>
      <c r="I1313" s="9" t="inlineStr">
        <is>
          <t>Instrumentation</t>
        </is>
      </c>
      <c r="J1313" s="9" t="inlineStr">
        <is>
          <t>Instrumentation ITC / PLTC, IS, #18 shielded pairs, blue jacket</t>
        </is>
      </c>
      <c r="K1313" s="9" t="inlineStr">
        <is>
          <t>ITC|12 pr|18</t>
        </is>
      </c>
      <c r="L1313" s="9" t="inlineStr">
        <is>
          <t>12 pr</t>
        </is>
      </c>
      <c r="M1313" s="9" t="inlineStr">
        <is>
          <t>18</t>
        </is>
      </c>
      <c r="N1313" s="9" t="n">
        <v>1</v>
      </c>
      <c r="O1313" s="9" t="n">
        <v>1</v>
      </c>
      <c r="P1313" s="9" t="n"/>
      <c r="Q1313" s="9" t="n"/>
      <c r="R1313" s="9" t="n"/>
      <c r="S1313" s="9" t="inlineStr">
        <is>
          <t>Duct bank</t>
        </is>
      </c>
      <c r="T1313" s="10" t="n">
        <v>143</v>
      </c>
      <c r="U1313" s="10" t="n">
        <v>32</v>
      </c>
      <c r="V1313" s="10">
        <f>ROUNDUP((T1313+U1313+2*'Read Me'!$B$13)*(1+'Read Me'!$B$12),-1)</f>
        <v/>
      </c>
      <c r="W1313" s="10">
        <f>V1313*N1313*O1313</f>
        <v/>
      </c>
      <c r="X1313" s="9">
        <f>IF(LEFT(I1313,2)="MV",2*N1313*IF(L1313="1/C",O1313,1),0)</f>
        <v/>
      </c>
      <c r="Y1313" s="9">
        <f>IF(OR(LEFT(K1313,4)="LVAX",LEFT(K1313,6)="MV15AX",LEFT(K1313,4)="CTAX",LEFT(K1313,2)="W|"),2*N1313*O1313,0)</f>
        <v/>
      </c>
      <c r="Z1313" s="9" t="inlineStr"/>
    </row>
    <row r="1314">
      <c r="A1314" s="9" t="inlineStr">
        <is>
          <t>D-I-0012</t>
        </is>
      </c>
      <c r="B1314" s="9" t="inlineStr">
        <is>
          <t>D</t>
        </is>
      </c>
      <c r="C1314" s="9" t="inlineStr">
        <is>
          <t>Fuel gas</t>
        </is>
      </c>
      <c r="D1314" s="9" t="inlineStr">
        <is>
          <t>Instrumentation</t>
        </is>
      </c>
      <c r="E1314" s="9" t="inlineStr"/>
      <c r="F1314" s="9" t="inlineStr">
        <is>
          <t>Gas yard local control enclosure</t>
        </is>
      </c>
      <c r="G1314" s="9" t="inlineStr"/>
      <c r="H1314" s="9" t="inlineStr">
        <is>
          <t>Gas metering skid</t>
        </is>
      </c>
      <c r="I1314" s="9" t="inlineStr">
        <is>
          <t>Instrumentation</t>
        </is>
      </c>
      <c r="J1314" s="9" t="inlineStr">
        <is>
          <t>Instrumentation ITC / PLTC, IS, #18 shielded pairs, blue jacket</t>
        </is>
      </c>
      <c r="K1314" s="9" t="inlineStr">
        <is>
          <t>ITC|4 pr|18</t>
        </is>
      </c>
      <c r="L1314" s="9" t="inlineStr">
        <is>
          <t>4 pr</t>
        </is>
      </c>
      <c r="M1314" s="9" t="inlineStr">
        <is>
          <t>18</t>
        </is>
      </c>
      <c r="N1314" s="9" t="n">
        <v>1</v>
      </c>
      <c r="O1314" s="9" t="n">
        <v>1</v>
      </c>
      <c r="P1314" s="9" t="n"/>
      <c r="Q1314" s="9" t="n"/>
      <c r="R1314" s="9" t="n"/>
      <c r="S1314" s="9" t="inlineStr">
        <is>
          <t>Duct bank</t>
        </is>
      </c>
      <c r="T1314" s="10" t="n">
        <v>83</v>
      </c>
      <c r="U1314" s="10" t="n">
        <v>72</v>
      </c>
      <c r="V1314" s="10">
        <f>ROUNDUP((T1314+U1314+2*'Read Me'!$B$13)*(1+'Read Me'!$B$12),-1)</f>
        <v/>
      </c>
      <c r="W1314" s="10">
        <f>V1314*N1314*O1314</f>
        <v/>
      </c>
      <c r="X1314" s="9">
        <f>IF(LEFT(I1314,2)="MV",2*N1314*IF(L1314="1/C",O1314,1),0)</f>
        <v/>
      </c>
      <c r="Y1314" s="9">
        <f>IF(OR(LEFT(K1314,4)="LVAX",LEFT(K1314,6)="MV15AX",LEFT(K1314,4)="CTAX",LEFT(K1314,2)="W|"),2*N1314*O1314,0)</f>
        <v/>
      </c>
      <c r="Z1314" s="9" t="inlineStr"/>
    </row>
    <row r="1315">
      <c r="A1315" s="9" t="inlineStr">
        <is>
          <t>D-I-0013</t>
        </is>
      </c>
      <c r="B1315" s="9" t="inlineStr">
        <is>
          <t>D</t>
        </is>
      </c>
      <c r="C1315" s="9" t="inlineStr">
        <is>
          <t>Fuel gas</t>
        </is>
      </c>
      <c r="D1315" s="9" t="inlineStr">
        <is>
          <t>Instrumentation</t>
        </is>
      </c>
      <c r="E1315" s="9" t="inlineStr"/>
      <c r="F1315" s="9" t="inlineStr">
        <is>
          <t>Gas yard local control enclosure</t>
        </is>
      </c>
      <c r="G1315" s="9" t="inlineStr"/>
      <c r="H1315" s="9" t="inlineStr">
        <is>
          <t>Gas metering skid</t>
        </is>
      </c>
      <c r="I1315" s="9" t="inlineStr">
        <is>
          <t>Instrumentation</t>
        </is>
      </c>
      <c r="J1315" s="9" t="inlineStr">
        <is>
          <t>Instrumentation ITC / PLTC, IS, #18 shielded pairs, blue jacket</t>
        </is>
      </c>
      <c r="K1315" s="9" t="inlineStr">
        <is>
          <t>ITC|12 pr|18</t>
        </is>
      </c>
      <c r="L1315" s="9" t="inlineStr">
        <is>
          <t>12 pr</t>
        </is>
      </c>
      <c r="M1315" s="9" t="inlineStr">
        <is>
          <t>18</t>
        </is>
      </c>
      <c r="N1315" s="9" t="n">
        <v>1</v>
      </c>
      <c r="O1315" s="9" t="n">
        <v>1</v>
      </c>
      <c r="P1315" s="9" t="n"/>
      <c r="Q1315" s="9" t="n"/>
      <c r="R1315" s="9" t="n"/>
      <c r="S1315" s="9" t="inlineStr">
        <is>
          <t>Duct bank</t>
        </is>
      </c>
      <c r="T1315" s="10" t="n">
        <v>83</v>
      </c>
      <c r="U1315" s="10" t="n">
        <v>72</v>
      </c>
      <c r="V1315" s="10">
        <f>ROUNDUP((T1315+U1315+2*'Read Me'!$B$13)*(1+'Read Me'!$B$12),-1)</f>
        <v/>
      </c>
      <c r="W1315" s="10">
        <f>V1315*N1315*O1315</f>
        <v/>
      </c>
      <c r="X1315" s="9">
        <f>IF(LEFT(I1315,2)="MV",2*N1315*IF(L1315="1/C",O1315,1),0)</f>
        <v/>
      </c>
      <c r="Y1315" s="9">
        <f>IF(OR(LEFT(K1315,4)="LVAX",LEFT(K1315,6)="MV15AX",LEFT(K1315,4)="CTAX",LEFT(K1315,2)="W|"),2*N1315*O1315,0)</f>
        <v/>
      </c>
      <c r="Z1315" s="9" t="inlineStr"/>
    </row>
    <row r="1316">
      <c r="A1316" s="9" t="inlineStr">
        <is>
          <t>D-I-0014</t>
        </is>
      </c>
      <c r="B1316" s="9" t="inlineStr">
        <is>
          <t>D</t>
        </is>
      </c>
      <c r="C1316" s="9" t="inlineStr">
        <is>
          <t>Fuel gas</t>
        </is>
      </c>
      <c r="D1316" s="9" t="inlineStr">
        <is>
          <t>Instrumentation</t>
        </is>
      </c>
      <c r="E1316" s="9" t="inlineStr"/>
      <c r="F1316" s="9" t="inlineStr">
        <is>
          <t>Gas yard local control enclosure</t>
        </is>
      </c>
      <c r="G1316" s="9" t="inlineStr"/>
      <c r="H1316" s="9" t="inlineStr">
        <is>
          <t>Gas pressure regulation skid</t>
        </is>
      </c>
      <c r="I1316" s="9" t="inlineStr">
        <is>
          <t>Instrumentation</t>
        </is>
      </c>
      <c r="J1316" s="9" t="inlineStr">
        <is>
          <t>Instrumentation ITC / PLTC, IS, #18 shielded pairs, blue jacket</t>
        </is>
      </c>
      <c r="K1316" s="9" t="inlineStr">
        <is>
          <t>ITC|4 pr|18</t>
        </is>
      </c>
      <c r="L1316" s="9" t="inlineStr">
        <is>
          <t>4 pr</t>
        </is>
      </c>
      <c r="M1316" s="9" t="inlineStr">
        <is>
          <t>18</t>
        </is>
      </c>
      <c r="N1316" s="9" t="n">
        <v>1</v>
      </c>
      <c r="O1316" s="9" t="n">
        <v>1</v>
      </c>
      <c r="P1316" s="9" t="n"/>
      <c r="Q1316" s="9" t="n"/>
      <c r="R1316" s="9" t="n"/>
      <c r="S1316" s="9" t="inlineStr">
        <is>
          <t>Duct bank</t>
        </is>
      </c>
      <c r="T1316" s="10" t="n">
        <v>193</v>
      </c>
      <c r="U1316" s="10" t="n">
        <v>32</v>
      </c>
      <c r="V1316" s="10">
        <f>ROUNDUP((T1316+U1316+2*'Read Me'!$B$13)*(1+'Read Me'!$B$12),-1)</f>
        <v/>
      </c>
      <c r="W1316" s="10">
        <f>V1316*N1316*O1316</f>
        <v/>
      </c>
      <c r="X1316" s="9">
        <f>IF(LEFT(I1316,2)="MV",2*N1316*IF(L1316="1/C",O1316,1),0)</f>
        <v/>
      </c>
      <c r="Y1316" s="9">
        <f>IF(OR(LEFT(K1316,4)="LVAX",LEFT(K1316,6)="MV15AX",LEFT(K1316,4)="CTAX",LEFT(K1316,2)="W|"),2*N1316*O1316,0)</f>
        <v/>
      </c>
      <c r="Z1316" s="9" t="inlineStr"/>
    </row>
    <row r="1317">
      <c r="A1317" s="9" t="inlineStr">
        <is>
          <t>D-I-0015</t>
        </is>
      </c>
      <c r="B1317" s="9" t="inlineStr">
        <is>
          <t>D</t>
        </is>
      </c>
      <c r="C1317" s="9" t="inlineStr">
        <is>
          <t>Fuel gas</t>
        </is>
      </c>
      <c r="D1317" s="9" t="inlineStr">
        <is>
          <t>Instrumentation</t>
        </is>
      </c>
      <c r="E1317" s="9" t="inlineStr"/>
      <c r="F1317" s="9" t="inlineStr">
        <is>
          <t>Gas yard local control enclosure</t>
        </is>
      </c>
      <c r="G1317" s="9" t="inlineStr"/>
      <c r="H1317" s="9" t="inlineStr">
        <is>
          <t>Gas pressure regulation skid</t>
        </is>
      </c>
      <c r="I1317" s="9" t="inlineStr">
        <is>
          <t>Instrumentation</t>
        </is>
      </c>
      <c r="J1317" s="9" t="inlineStr">
        <is>
          <t>Instrumentation ITC / PLTC, IS, #18 shielded pairs, blue jacket</t>
        </is>
      </c>
      <c r="K1317" s="9" t="inlineStr">
        <is>
          <t>ITC|12 pr|18</t>
        </is>
      </c>
      <c r="L1317" s="9" t="inlineStr">
        <is>
          <t>12 pr</t>
        </is>
      </c>
      <c r="M1317" s="9" t="inlineStr">
        <is>
          <t>18</t>
        </is>
      </c>
      <c r="N1317" s="9" t="n">
        <v>1</v>
      </c>
      <c r="O1317" s="9" t="n">
        <v>1</v>
      </c>
      <c r="P1317" s="9" t="n"/>
      <c r="Q1317" s="9" t="n"/>
      <c r="R1317" s="9" t="n"/>
      <c r="S1317" s="9" t="inlineStr">
        <is>
          <t>Duct bank</t>
        </is>
      </c>
      <c r="T1317" s="10" t="n">
        <v>193</v>
      </c>
      <c r="U1317" s="10" t="n">
        <v>32</v>
      </c>
      <c r="V1317" s="10">
        <f>ROUNDUP((T1317+U1317+2*'Read Me'!$B$13)*(1+'Read Me'!$B$12),-1)</f>
        <v/>
      </c>
      <c r="W1317" s="10">
        <f>V1317*N1317*O1317</f>
        <v/>
      </c>
      <c r="X1317" s="9">
        <f>IF(LEFT(I1317,2)="MV",2*N1317*IF(L1317="1/C",O1317,1),0)</f>
        <v/>
      </c>
      <c r="Y1317" s="9">
        <f>IF(OR(LEFT(K1317,4)="LVAX",LEFT(K1317,6)="MV15AX",LEFT(K1317,4)="CTAX",LEFT(K1317,2)="W|"),2*N1317*O1317,0)</f>
        <v/>
      </c>
      <c r="Z1317" s="9" t="inlineStr"/>
    </row>
    <row r="1318">
      <c r="A1318" s="9" t="inlineStr">
        <is>
          <t>D-I-0016</t>
        </is>
      </c>
      <c r="B1318" s="9" t="inlineStr">
        <is>
          <t>D</t>
        </is>
      </c>
      <c r="C1318" s="9" t="inlineStr">
        <is>
          <t>Fuel gas</t>
        </is>
      </c>
      <c r="D1318" s="9" t="inlineStr">
        <is>
          <t>Instrumentation</t>
        </is>
      </c>
      <c r="E1318" s="9" t="inlineStr"/>
      <c r="F1318" s="9" t="inlineStr">
        <is>
          <t>Gas yard local control enclosure</t>
        </is>
      </c>
      <c r="G1318" s="9" t="inlineStr"/>
      <c r="H1318" s="9" t="inlineStr">
        <is>
          <t>Gas yard filter-separators</t>
        </is>
      </c>
      <c r="I1318" s="9" t="inlineStr">
        <is>
          <t>Instrumentation</t>
        </is>
      </c>
      <c r="J1318" s="9" t="inlineStr">
        <is>
          <t>Instrumentation ITC / PLTC, IS, #18 shielded pairs, blue jacket</t>
        </is>
      </c>
      <c r="K1318" s="9" t="inlineStr">
        <is>
          <t>ITC|4 pr|18</t>
        </is>
      </c>
      <c r="L1318" s="9" t="inlineStr">
        <is>
          <t>4 pr</t>
        </is>
      </c>
      <c r="M1318" s="9" t="inlineStr">
        <is>
          <t>18</t>
        </is>
      </c>
      <c r="N1318" s="9" t="n">
        <v>1</v>
      </c>
      <c r="O1318" s="9" t="n">
        <v>1</v>
      </c>
      <c r="P1318" s="9" t="n"/>
      <c r="Q1318" s="9" t="n"/>
      <c r="R1318" s="9" t="n"/>
      <c r="S1318" s="9" t="inlineStr">
        <is>
          <t>Duct bank</t>
        </is>
      </c>
      <c r="T1318" s="10" t="n">
        <v>83</v>
      </c>
      <c r="U1318" s="10" t="n">
        <v>32</v>
      </c>
      <c r="V1318" s="10">
        <f>ROUNDUP((T1318+U1318+2*'Read Me'!$B$13)*(1+'Read Me'!$B$12),-1)</f>
        <v/>
      </c>
      <c r="W1318" s="10">
        <f>V1318*N1318*O1318</f>
        <v/>
      </c>
      <c r="X1318" s="9">
        <f>IF(LEFT(I1318,2)="MV",2*N1318*IF(L1318="1/C",O1318,1),0)</f>
        <v/>
      </c>
      <c r="Y1318" s="9">
        <f>IF(OR(LEFT(K1318,4)="LVAX",LEFT(K1318,6)="MV15AX",LEFT(K1318,4)="CTAX",LEFT(K1318,2)="W|"),2*N1318*O1318,0)</f>
        <v/>
      </c>
      <c r="Z1318" s="9" t="inlineStr"/>
    </row>
    <row r="1319">
      <c r="A1319" s="9" t="inlineStr">
        <is>
          <t>D-I-0017</t>
        </is>
      </c>
      <c r="B1319" s="9" t="inlineStr">
        <is>
          <t>D</t>
        </is>
      </c>
      <c r="C1319" s="9" t="inlineStr">
        <is>
          <t>Fuel gas</t>
        </is>
      </c>
      <c r="D1319" s="9" t="inlineStr">
        <is>
          <t>Instrumentation</t>
        </is>
      </c>
      <c r="E1319" s="9" t="inlineStr"/>
      <c r="F1319" s="9" t="inlineStr">
        <is>
          <t>Gas yard local control enclosure</t>
        </is>
      </c>
      <c r="G1319" s="9" t="inlineStr"/>
      <c r="H1319" s="9" t="inlineStr">
        <is>
          <t>Gas yard filter-separators</t>
        </is>
      </c>
      <c r="I1319" s="9" t="inlineStr">
        <is>
          <t>Instrumentation</t>
        </is>
      </c>
      <c r="J1319" s="9" t="inlineStr">
        <is>
          <t>Instrumentation ITC / PLTC, IS, #18 shielded pairs, blue jacket</t>
        </is>
      </c>
      <c r="K1319" s="9" t="inlineStr">
        <is>
          <t>ITC|12 pr|18</t>
        </is>
      </c>
      <c r="L1319" s="9" t="inlineStr">
        <is>
          <t>12 pr</t>
        </is>
      </c>
      <c r="M1319" s="9" t="inlineStr">
        <is>
          <t>18</t>
        </is>
      </c>
      <c r="N1319" s="9" t="n">
        <v>1</v>
      </c>
      <c r="O1319" s="9" t="n">
        <v>1</v>
      </c>
      <c r="P1319" s="9" t="n"/>
      <c r="Q1319" s="9" t="n"/>
      <c r="R1319" s="9" t="n"/>
      <c r="S1319" s="9" t="inlineStr">
        <is>
          <t>Duct bank</t>
        </is>
      </c>
      <c r="T1319" s="10" t="n">
        <v>83</v>
      </c>
      <c r="U1319" s="10" t="n">
        <v>32</v>
      </c>
      <c r="V1319" s="10">
        <f>ROUNDUP((T1319+U1319+2*'Read Me'!$B$13)*(1+'Read Me'!$B$12),-1)</f>
        <v/>
      </c>
      <c r="W1319" s="10">
        <f>V1319*N1319*O1319</f>
        <v/>
      </c>
      <c r="X1319" s="9">
        <f>IF(LEFT(I1319,2)="MV",2*N1319*IF(L1319="1/C",O1319,1),0)</f>
        <v/>
      </c>
      <c r="Y1319" s="9">
        <f>IF(OR(LEFT(K1319,4)="LVAX",LEFT(K1319,6)="MV15AX",LEFT(K1319,4)="CTAX",LEFT(K1319,2)="W|"),2*N1319*O1319,0)</f>
        <v/>
      </c>
      <c r="Z1319" s="9" t="inlineStr"/>
    </row>
    <row r="1320">
      <c r="A1320" s="9" t="inlineStr">
        <is>
          <t>D-I-0018</t>
        </is>
      </c>
      <c r="B1320" s="9" t="inlineStr">
        <is>
          <t>D</t>
        </is>
      </c>
      <c r="C1320" s="9" t="inlineStr">
        <is>
          <t>Fuel gas</t>
        </is>
      </c>
      <c r="D1320" s="9" t="inlineStr">
        <is>
          <t>Instrumentation</t>
        </is>
      </c>
      <c r="E1320" s="9" t="inlineStr"/>
      <c r="F1320" s="9" t="inlineStr">
        <is>
          <t>Gas yard local control enclosure</t>
        </is>
      </c>
      <c r="G1320" s="9" t="inlineStr"/>
      <c r="H1320" s="9" t="inlineStr">
        <is>
          <t>Gas yard inlet: ESD valve, block valve and insulating joint</t>
        </is>
      </c>
      <c r="I1320" s="9" t="inlineStr">
        <is>
          <t>Instrumentation</t>
        </is>
      </c>
      <c r="J1320" s="9" t="inlineStr">
        <is>
          <t>Instrumentation ITC / PLTC, IS, #18 shielded pairs, blue jacket</t>
        </is>
      </c>
      <c r="K1320" s="9" t="inlineStr">
        <is>
          <t>ITC|4 pr|18</t>
        </is>
      </c>
      <c r="L1320" s="9" t="inlineStr">
        <is>
          <t>4 pr</t>
        </is>
      </c>
      <c r="M1320" s="9" t="inlineStr">
        <is>
          <t>18</t>
        </is>
      </c>
      <c r="N1320" s="9" t="n">
        <v>1</v>
      </c>
      <c r="O1320" s="9" t="n">
        <v>1</v>
      </c>
      <c r="P1320" s="9" t="n"/>
      <c r="Q1320" s="9" t="n"/>
      <c r="R1320" s="9" t="n"/>
      <c r="S1320" s="9" t="inlineStr">
        <is>
          <t>Duct bank</t>
        </is>
      </c>
      <c r="T1320" s="10" t="n">
        <v>193</v>
      </c>
      <c r="U1320" s="10" t="n">
        <v>129</v>
      </c>
      <c r="V1320" s="10">
        <f>ROUNDUP((T1320+U1320+2*'Read Me'!$B$13)*(1+'Read Me'!$B$12),-1)</f>
        <v/>
      </c>
      <c r="W1320" s="10">
        <f>V1320*N1320*O1320</f>
        <v/>
      </c>
      <c r="X1320" s="9">
        <f>IF(LEFT(I1320,2)="MV",2*N1320*IF(L1320="1/C",O1320,1),0)</f>
        <v/>
      </c>
      <c r="Y1320" s="9">
        <f>IF(OR(LEFT(K1320,4)="LVAX",LEFT(K1320,6)="MV15AX",LEFT(K1320,4)="CTAX",LEFT(K1320,2)="W|"),2*N1320*O1320,0)</f>
        <v/>
      </c>
      <c r="Z1320" s="9" t="inlineStr"/>
    </row>
    <row r="1321">
      <c r="A1321" s="9" t="inlineStr">
        <is>
          <t>D-I-0019</t>
        </is>
      </c>
      <c r="B1321" s="9" t="inlineStr">
        <is>
          <t>D</t>
        </is>
      </c>
      <c r="C1321" s="9" t="inlineStr">
        <is>
          <t>Fuel gas</t>
        </is>
      </c>
      <c r="D1321" s="9" t="inlineStr">
        <is>
          <t>Instrumentation</t>
        </is>
      </c>
      <c r="E1321" s="9" t="inlineStr"/>
      <c r="F1321" s="9" t="inlineStr">
        <is>
          <t>Gas yard local control enclosure</t>
        </is>
      </c>
      <c r="G1321" s="9" t="inlineStr"/>
      <c r="H1321" s="9" t="inlineStr">
        <is>
          <t>Gas yard local control enclosure</t>
        </is>
      </c>
      <c r="I1321" s="9" t="inlineStr">
        <is>
          <t>Instrumentation</t>
        </is>
      </c>
      <c r="J1321" s="9" t="inlineStr">
        <is>
          <t>Instrumentation ITC / PLTC, IS, #18 shielded pairs, blue jacket</t>
        </is>
      </c>
      <c r="K1321" s="9" t="inlineStr">
        <is>
          <t>ITC|4 pr|18</t>
        </is>
      </c>
      <c r="L1321" s="9" t="inlineStr">
        <is>
          <t>4 pr</t>
        </is>
      </c>
      <c r="M1321" s="9" t="inlineStr">
        <is>
          <t>18</t>
        </is>
      </c>
      <c r="N1321" s="9" t="n">
        <v>1</v>
      </c>
      <c r="O1321" s="9" t="n">
        <v>1</v>
      </c>
      <c r="P1321" s="9" t="n"/>
      <c r="Q1321" s="9" t="n"/>
      <c r="R1321" s="9" t="n"/>
      <c r="S1321" s="9" t="inlineStr">
        <is>
          <t>Tray</t>
        </is>
      </c>
      <c r="T1321" s="10" t="n">
        <v>0</v>
      </c>
      <c r="U1321" s="10" t="n">
        <v>32</v>
      </c>
      <c r="V1321" s="10">
        <f>ROUNDUP((T1321+U1321+2*'Read Me'!$B$13)*(1+'Read Me'!$B$12),-1)</f>
        <v/>
      </c>
      <c r="W1321" s="10">
        <f>V1321*N1321*O1321</f>
        <v/>
      </c>
      <c r="X1321" s="9">
        <f>IF(LEFT(I1321,2)="MV",2*N1321*IF(L1321="1/C",O1321,1),0)</f>
        <v/>
      </c>
      <c r="Y1321" s="9">
        <f>IF(OR(LEFT(K1321,4)="LVAX",LEFT(K1321,6)="MV15AX",LEFT(K1321,4)="CTAX",LEFT(K1321,2)="W|"),2*N1321*O1321,0)</f>
        <v/>
      </c>
      <c r="Z1321" s="9" t="inlineStr"/>
    </row>
    <row r="1322">
      <c r="A1322" s="9" t="inlineStr">
        <is>
          <t>D-P-0001</t>
        </is>
      </c>
      <c r="B1322" s="9" t="inlineStr">
        <is>
          <t>D</t>
        </is>
      </c>
      <c r="C1322" s="9" t="inlineStr">
        <is>
          <t>Fuel gas</t>
        </is>
      </c>
      <c r="D1322" s="9" t="inlineStr">
        <is>
          <t>LV power feeder</t>
        </is>
      </c>
      <c r="E1322" s="9" t="inlineStr">
        <is>
          <t>MCC-C1</t>
        </is>
      </c>
      <c r="F1322" s="9" t="inlineStr">
        <is>
          <t>R1 MCC-C1</t>
        </is>
      </c>
      <c r="G1322" s="9" t="inlineStr"/>
      <c r="H1322" s="9" t="inlineStr">
        <is>
          <t>CONDITIONAL: ULSD backup fuel-oil tank</t>
        </is>
      </c>
      <c r="I1322" s="9" t="inlineStr">
        <is>
          <t>LV 600 V</t>
        </is>
      </c>
      <c r="J1322" s="9" t="inlineStr">
        <is>
          <t>ARMOR-X MC-HL 600 V 3/C Cu XHHW-2 + ground, CWA, black PVC (Class I Div 2)</t>
        </is>
      </c>
      <c r="K1322" s="9" t="inlineStr">
        <is>
          <t>LVAX|3/C+G|2</t>
        </is>
      </c>
      <c r="L1322" s="9" t="inlineStr">
        <is>
          <t>3/C+G</t>
        </is>
      </c>
      <c r="M1322" s="9" t="inlineStr">
        <is>
          <t>2</t>
        </is>
      </c>
      <c r="N1322" s="9" t="n">
        <v>1</v>
      </c>
      <c r="O1322" s="9" t="n">
        <v>1</v>
      </c>
      <c r="P1322" s="9" t="n">
        <v>480</v>
      </c>
      <c r="Q1322" s="9" t="n">
        <v>10</v>
      </c>
      <c r="R1322" s="9" t="n">
        <v>14</v>
      </c>
      <c r="S1322" s="9" t="inlineStr">
        <is>
          <t>Duct bank</t>
        </is>
      </c>
      <c r="T1322" s="10" t="n">
        <v>1902</v>
      </c>
      <c r="U1322" s="10" t="n">
        <v>157</v>
      </c>
      <c r="V1322" s="10">
        <f>ROUNDUP((T1322+U1322+2*'Read Me'!$B$13)*(1+'Read Me'!$B$12),-1)</f>
        <v/>
      </c>
      <c r="W1322" s="10">
        <f>V1322*N1322*O1322</f>
        <v/>
      </c>
      <c r="X1322" s="9">
        <f>IF(LEFT(I1322,2)="MV",2*N1322*IF(L1322="1/C",O1322,1),0)</f>
        <v/>
      </c>
      <c r="Y1322" s="9">
        <f>IF(OR(LEFT(K1322,4)="LVAX",LEFT(K1322,6)="MV15AX",LEFT(K1322,4)="CTAX",LEFT(K1322,2)="W|"),2*N1322*O1322,0)</f>
        <v/>
      </c>
      <c r="Z1322" s="9" t="inlineStr">
        <is>
          <t>VD 2.2 %</t>
        </is>
      </c>
    </row>
    <row r="1323">
      <c r="A1323" s="9" t="inlineStr">
        <is>
          <t>D-P-0002</t>
        </is>
      </c>
      <c r="B1323" s="9" t="inlineStr">
        <is>
          <t>D</t>
        </is>
      </c>
      <c r="C1323" s="9" t="inlineStr">
        <is>
          <t>Fuel gas</t>
        </is>
      </c>
      <c r="D1323" s="9" t="inlineStr">
        <is>
          <t>LV power feeder</t>
        </is>
      </c>
      <c r="E1323" s="9" t="inlineStr">
        <is>
          <t>MCC-C1</t>
        </is>
      </c>
      <c r="F1323" s="9" t="inlineStr">
        <is>
          <t>R1 MCC-C1</t>
        </is>
      </c>
      <c r="G1323" s="9" t="inlineStr"/>
      <c r="H1323" s="9" t="inlineStr">
        <is>
          <t>CONDITIONAL: ULSD truck unloading station (canopy, spill containment)</t>
        </is>
      </c>
      <c r="I1323" s="9" t="inlineStr">
        <is>
          <t>LV 600 V</t>
        </is>
      </c>
      <c r="J1323" s="9" t="inlineStr">
        <is>
          <t>ARMOR-X MC-HL 600 V 3/C Cu XHHW-2 + ground, CWA, black PVC (Class I Div 2)</t>
        </is>
      </c>
      <c r="K1323" s="9" t="inlineStr">
        <is>
          <t>LVAX|3/C+G|1</t>
        </is>
      </c>
      <c r="L1323" s="9" t="inlineStr">
        <is>
          <t>3/C+G</t>
        </is>
      </c>
      <c r="M1323" s="9" t="inlineStr">
        <is>
          <t>1</t>
        </is>
      </c>
      <c r="N1323" s="9" t="n">
        <v>1</v>
      </c>
      <c r="O1323" s="9" t="n">
        <v>1</v>
      </c>
      <c r="P1323" s="9" t="n">
        <v>480</v>
      </c>
      <c r="Q1323" s="9" t="n">
        <v>15</v>
      </c>
      <c r="R1323" s="9" t="n">
        <v>21</v>
      </c>
      <c r="S1323" s="9" t="inlineStr">
        <is>
          <t>Tray</t>
        </is>
      </c>
      <c r="T1323" s="10" t="n">
        <v>1768</v>
      </c>
      <c r="U1323" s="10" t="n">
        <v>257</v>
      </c>
      <c r="V1323" s="10">
        <f>ROUNDUP((T1323+U1323+2*'Read Me'!$B$13)*(1+'Read Me'!$B$12),-1)</f>
        <v/>
      </c>
      <c r="W1323" s="10">
        <f>V1323*N1323*O1323</f>
        <v/>
      </c>
      <c r="X1323" s="9">
        <f>IF(LEFT(I1323,2)="MV",2*N1323*IF(L1323="1/C",O1323,1),0)</f>
        <v/>
      </c>
      <c r="Y1323" s="9">
        <f>IF(OR(LEFT(K1323,4)="LVAX",LEFT(K1323,6)="MV15AX",LEFT(K1323,4)="CTAX",LEFT(K1323,2)="W|"),2*N1323*O1323,0)</f>
        <v/>
      </c>
      <c r="Z1323" s="9" t="inlineStr">
        <is>
          <t>VD 2.6 %</t>
        </is>
      </c>
    </row>
    <row r="1324">
      <c r="A1324" s="9" t="inlineStr">
        <is>
          <t>D-P-0003</t>
        </is>
      </c>
      <c r="B1324" s="9" t="inlineStr">
        <is>
          <t>D</t>
        </is>
      </c>
      <c r="C1324" s="9" t="inlineStr">
        <is>
          <t>Fuel gas</t>
        </is>
      </c>
      <c r="D1324" s="9" t="inlineStr">
        <is>
          <t>LV power feeder</t>
        </is>
      </c>
      <c r="E1324" s="9" t="inlineStr">
        <is>
          <t>MCC-C1</t>
        </is>
      </c>
      <c r="F1324" s="9" t="inlineStr">
        <is>
          <t>R1 MCC-C1</t>
        </is>
      </c>
      <c r="G1324" s="9" t="inlineStr"/>
      <c r="H1324" s="9" t="inlineStr">
        <is>
          <t>CONDITIONAL: ULSD unloading and forwarding pumps, duplex filters</t>
        </is>
      </c>
      <c r="I1324" s="9" t="inlineStr">
        <is>
          <t>LV 600 V</t>
        </is>
      </c>
      <c r="J1324" s="9" t="inlineStr">
        <is>
          <t>ARMOR-X MC-HL 600 V 3/C Cu XHHW-2 + ground, CWA, black PVC (Class I Div 2)</t>
        </is>
      </c>
      <c r="K1324" s="9" t="inlineStr">
        <is>
          <t>LVAX|3/C+G|350</t>
        </is>
      </c>
      <c r="L1324" s="9" t="inlineStr">
        <is>
          <t>3/C+G</t>
        </is>
      </c>
      <c r="M1324" s="9" t="inlineStr">
        <is>
          <t>350 kcmil</t>
        </is>
      </c>
      <c r="N1324" s="9" t="n">
        <v>2</v>
      </c>
      <c r="O1324" s="9" t="n">
        <v>1</v>
      </c>
      <c r="P1324" s="9" t="n">
        <v>480</v>
      </c>
      <c r="Q1324" s="9" t="n">
        <v>110</v>
      </c>
      <c r="R1324" s="9" t="n">
        <v>156</v>
      </c>
      <c r="S1324" s="9" t="inlineStr">
        <is>
          <t>Tray</t>
        </is>
      </c>
      <c r="T1324" s="10" t="n">
        <v>1768</v>
      </c>
      <c r="U1324" s="10" t="n">
        <v>184</v>
      </c>
      <c r="V1324" s="10">
        <f>ROUNDUP((T1324+U1324+2*'Read Me'!$B$13)*(1+'Read Me'!$B$12),-1)</f>
        <v/>
      </c>
      <c r="W1324" s="10">
        <f>V1324*N1324*O1324</f>
        <v/>
      </c>
      <c r="X1324" s="9">
        <f>IF(LEFT(I1324,2)="MV",2*N1324*IF(L1324="1/C",O1324,1),0)</f>
        <v/>
      </c>
      <c r="Y1324" s="9">
        <f>IF(OR(LEFT(K1324,4)="LVAX",LEFT(K1324,6)="MV15AX",LEFT(K1324,4)="CTAX",LEFT(K1324,2)="W|"),2*N1324*O1324,0)</f>
        <v/>
      </c>
      <c r="Z1324" s="9" t="inlineStr">
        <is>
          <t>VD 2.2 %</t>
        </is>
      </c>
    </row>
    <row r="1325">
      <c r="A1325" s="9" t="inlineStr">
        <is>
          <t>D-P-0004</t>
        </is>
      </c>
      <c r="B1325" s="9" t="inlineStr">
        <is>
          <t>D</t>
        </is>
      </c>
      <c r="C1325" s="9" t="inlineStr">
        <is>
          <t>Fuel gas</t>
        </is>
      </c>
      <c r="D1325" s="9" t="inlineStr">
        <is>
          <t>LV power feeder</t>
        </is>
      </c>
      <c r="E1325" s="9" t="inlineStr">
        <is>
          <t>MCC-C1</t>
        </is>
      </c>
      <c r="F1325" s="9" t="inlineStr">
        <is>
          <t>R1 MCC-C1</t>
        </is>
      </c>
      <c r="G1325" s="9" t="inlineStr"/>
      <c r="H1325" s="9" t="inlineStr">
        <is>
          <t>CONDITIONAL: backup fuel oil (ULSD) unloading and forwarding area</t>
        </is>
      </c>
      <c r="I1325" s="9" t="inlineStr">
        <is>
          <t>LV 600 V</t>
        </is>
      </c>
      <c r="J1325" s="9" t="inlineStr">
        <is>
          <t>ARMOR-X MC-HL 600 V 3/C Cu XHHW-2 + ground, CWA, black PVC (Class I Div 2)</t>
        </is>
      </c>
      <c r="K1325" s="9" t="inlineStr">
        <is>
          <t>LVAX|3/C+G|1</t>
        </is>
      </c>
      <c r="L1325" s="9" t="inlineStr">
        <is>
          <t>3/C+G</t>
        </is>
      </c>
      <c r="M1325" s="9" t="inlineStr">
        <is>
          <t>1</t>
        </is>
      </c>
      <c r="N1325" s="9" t="n">
        <v>1</v>
      </c>
      <c r="O1325" s="9" t="n">
        <v>1</v>
      </c>
      <c r="P1325" s="9" t="n">
        <v>480</v>
      </c>
      <c r="Q1325" s="9" t="n">
        <v>15</v>
      </c>
      <c r="R1325" s="9" t="n">
        <v>21</v>
      </c>
      <c r="S1325" s="9" t="inlineStr">
        <is>
          <t>Tray</t>
        </is>
      </c>
      <c r="T1325" s="10" t="n">
        <v>1768</v>
      </c>
      <c r="U1325" s="10" t="n">
        <v>167</v>
      </c>
      <c r="V1325" s="10">
        <f>ROUNDUP((T1325+U1325+2*'Read Me'!$B$13)*(1+'Read Me'!$B$12),-1)</f>
        <v/>
      </c>
      <c r="W1325" s="10">
        <f>V1325*N1325*O1325</f>
        <v/>
      </c>
      <c r="X1325" s="9">
        <f>IF(LEFT(I1325,2)="MV",2*N1325*IF(L1325="1/C",O1325,1),0)</f>
        <v/>
      </c>
      <c r="Y1325" s="9">
        <f>IF(OR(LEFT(K1325,4)="LVAX",LEFT(K1325,6)="MV15AX",LEFT(K1325,4)="CTAX",LEFT(K1325,2)="W|"),2*N1325*O1325,0)</f>
        <v/>
      </c>
      <c r="Z1325" s="9" t="inlineStr">
        <is>
          <t>VD 2.5 %</t>
        </is>
      </c>
    </row>
    <row r="1326">
      <c r="A1326" s="9" t="inlineStr">
        <is>
          <t>D-P-0005</t>
        </is>
      </c>
      <c r="B1326" s="9" t="inlineStr">
        <is>
          <t>D</t>
        </is>
      </c>
      <c r="C1326" s="9" t="inlineStr">
        <is>
          <t>Fuel gas</t>
        </is>
      </c>
      <c r="D1326" s="9" t="inlineStr">
        <is>
          <t>LV power feeder</t>
        </is>
      </c>
      <c r="E1326" s="9" t="inlineStr">
        <is>
          <t>MCC-C1</t>
        </is>
      </c>
      <c r="F1326" s="9" t="inlineStr">
        <is>
          <t>R1 MCC-C1</t>
        </is>
      </c>
      <c r="G1326" s="9" t="inlineStr"/>
      <c r="H1326" s="9" t="inlineStr">
        <is>
          <t>Fuel-gas performance heater</t>
        </is>
      </c>
      <c r="I1326" s="9" t="inlineStr">
        <is>
          <t>LV 600 V</t>
        </is>
      </c>
      <c r="J1326" s="9" t="inlineStr">
        <is>
          <t>ARMOR-X MC-HL 600 V 3/C Cu XHHW-2 + ground, CWA, black PVC (Class I Div 2)</t>
        </is>
      </c>
      <c r="K1326" s="9" t="inlineStr">
        <is>
          <t>LVAX|3/C+G|350</t>
        </is>
      </c>
      <c r="L1326" s="9" t="inlineStr">
        <is>
          <t>3/C+G</t>
        </is>
      </c>
      <c r="M1326" s="9" t="inlineStr">
        <is>
          <t>350 kcmil</t>
        </is>
      </c>
      <c r="N1326" s="9" t="n">
        <v>1</v>
      </c>
      <c r="O1326" s="9" t="n">
        <v>1</v>
      </c>
      <c r="P1326" s="9" t="n">
        <v>480</v>
      </c>
      <c r="Q1326" s="9" t="n">
        <v>60</v>
      </c>
      <c r="R1326" s="9" t="n">
        <v>85</v>
      </c>
      <c r="S1326" s="9" t="inlineStr">
        <is>
          <t>Tray</t>
        </is>
      </c>
      <c r="T1326" s="10" t="n">
        <v>2009</v>
      </c>
      <c r="U1326" s="10" t="n">
        <v>157</v>
      </c>
      <c r="V1326" s="10">
        <f>ROUNDUP((T1326+U1326+2*'Read Me'!$B$13)*(1+'Read Me'!$B$12),-1)</f>
        <v/>
      </c>
      <c r="W1326" s="10">
        <f>V1326*N1326*O1326</f>
        <v/>
      </c>
      <c r="X1326" s="9">
        <f>IF(LEFT(I1326,2)="MV",2*N1326*IF(L1326="1/C",O1326,1),0)</f>
        <v/>
      </c>
      <c r="Y1326" s="9">
        <f>IF(OR(LEFT(K1326,4)="LVAX",LEFT(K1326,6)="MV15AX",LEFT(K1326,4)="CTAX",LEFT(K1326,2)="W|"),2*N1326*O1326,0)</f>
        <v/>
      </c>
      <c r="Z1326" s="9" t="inlineStr">
        <is>
          <t>VD 2.7 %</t>
        </is>
      </c>
    </row>
    <row r="1327">
      <c r="A1327" s="9" t="inlineStr">
        <is>
          <t>D-P-0006</t>
        </is>
      </c>
      <c r="B1327" s="9" t="inlineStr">
        <is>
          <t>D</t>
        </is>
      </c>
      <c r="C1327" s="9" t="inlineStr">
        <is>
          <t>Fuel gas</t>
        </is>
      </c>
      <c r="D1327" s="9" t="inlineStr">
        <is>
          <t>LV power feeder</t>
        </is>
      </c>
      <c r="E1327" s="9" t="inlineStr">
        <is>
          <t>MCC-C1</t>
        </is>
      </c>
      <c r="F1327" s="9" t="inlineStr">
        <is>
          <t>R1 MCC-C1</t>
        </is>
      </c>
      <c r="G1327" s="9" t="inlineStr"/>
      <c r="H1327" s="9" t="inlineStr">
        <is>
          <t>Gas metering skid</t>
        </is>
      </c>
      <c r="I1327" s="9" t="inlineStr">
        <is>
          <t>LV 600 V</t>
        </is>
      </c>
      <c r="J1327" s="9" t="inlineStr">
        <is>
          <t>ARMOR-X MC-HL 600 V 3/C Cu XHHW-2 + ground, CWA, black PVC (Class I Div 2)</t>
        </is>
      </c>
      <c r="K1327" s="9" t="inlineStr">
        <is>
          <t>LVAX|3/C+G|2</t>
        </is>
      </c>
      <c r="L1327" s="9" t="inlineStr">
        <is>
          <t>3/C+G</t>
        </is>
      </c>
      <c r="M1327" s="9" t="inlineStr">
        <is>
          <t>2</t>
        </is>
      </c>
      <c r="N1327" s="9" t="n">
        <v>1</v>
      </c>
      <c r="O1327" s="9" t="n">
        <v>1</v>
      </c>
      <c r="P1327" s="9" t="n">
        <v>480</v>
      </c>
      <c r="Q1327" s="9" t="n">
        <v>10</v>
      </c>
      <c r="R1327" s="9" t="n">
        <v>14</v>
      </c>
      <c r="S1327" s="9" t="inlineStr">
        <is>
          <t>Tray</t>
        </is>
      </c>
      <c r="T1327" s="10" t="n">
        <v>1949</v>
      </c>
      <c r="U1327" s="10" t="n">
        <v>197</v>
      </c>
      <c r="V1327" s="10">
        <f>ROUNDUP((T1327+U1327+2*'Read Me'!$B$13)*(1+'Read Me'!$B$12),-1)</f>
        <v/>
      </c>
      <c r="W1327" s="10">
        <f>V1327*N1327*O1327</f>
        <v/>
      </c>
      <c r="X1327" s="9">
        <f>IF(LEFT(I1327,2)="MV",2*N1327*IF(L1327="1/C",O1327,1),0)</f>
        <v/>
      </c>
      <c r="Y1327" s="9">
        <f>IF(OR(LEFT(K1327,4)="LVAX",LEFT(K1327,6)="MV15AX",LEFT(K1327,4)="CTAX",LEFT(K1327,2)="W|"),2*N1327*O1327,0)</f>
        <v/>
      </c>
      <c r="Z1327" s="9" t="inlineStr">
        <is>
          <t>VD 2.3 %</t>
        </is>
      </c>
    </row>
    <row r="1328">
      <c r="A1328" s="9" t="inlineStr">
        <is>
          <t>D-P-0007</t>
        </is>
      </c>
      <c r="B1328" s="9" t="inlineStr">
        <is>
          <t>D</t>
        </is>
      </c>
      <c r="C1328" s="9" t="inlineStr">
        <is>
          <t>Fuel gas</t>
        </is>
      </c>
      <c r="D1328" s="9" t="inlineStr">
        <is>
          <t>LV power feeder</t>
        </is>
      </c>
      <c r="E1328" s="9" t="inlineStr">
        <is>
          <t>MCC-C1</t>
        </is>
      </c>
      <c r="F1328" s="9" t="inlineStr">
        <is>
          <t>R1 MCC-C1</t>
        </is>
      </c>
      <c r="G1328" s="9" t="inlineStr"/>
      <c r="H1328" s="9" t="inlineStr">
        <is>
          <t>Gas pressure regulation skid</t>
        </is>
      </c>
      <c r="I1328" s="9" t="inlineStr">
        <is>
          <t>LV 600 V</t>
        </is>
      </c>
      <c r="J1328" s="9" t="inlineStr">
        <is>
          <t>ARMOR-X MC-HL 600 V 3/C Cu XHHW-2 + ground, CWA, black PVC (Class I Div 2)</t>
        </is>
      </c>
      <c r="K1328" s="9" t="inlineStr">
        <is>
          <t>LVAX|3/C+G|2</t>
        </is>
      </c>
      <c r="L1328" s="9" t="inlineStr">
        <is>
          <t>3/C+G</t>
        </is>
      </c>
      <c r="M1328" s="9" t="inlineStr">
        <is>
          <t>2</t>
        </is>
      </c>
      <c r="N1328" s="9" t="n">
        <v>1</v>
      </c>
      <c r="O1328" s="9" t="n">
        <v>1</v>
      </c>
      <c r="P1328" s="9" t="n">
        <v>480</v>
      </c>
      <c r="Q1328" s="9" t="n">
        <v>10</v>
      </c>
      <c r="R1328" s="9" t="n">
        <v>14</v>
      </c>
      <c r="S1328" s="9" t="inlineStr">
        <is>
          <t>Duct bank</t>
        </is>
      </c>
      <c r="T1328" s="10" t="n">
        <v>2059</v>
      </c>
      <c r="U1328" s="10" t="n">
        <v>157</v>
      </c>
      <c r="V1328" s="10">
        <f>ROUNDUP((T1328+U1328+2*'Read Me'!$B$13)*(1+'Read Me'!$B$12),-1)</f>
        <v/>
      </c>
      <c r="W1328" s="10">
        <f>V1328*N1328*O1328</f>
        <v/>
      </c>
      <c r="X1328" s="9">
        <f>IF(LEFT(I1328,2)="MV",2*N1328*IF(L1328="1/C",O1328,1),0)</f>
        <v/>
      </c>
      <c r="Y1328" s="9">
        <f>IF(OR(LEFT(K1328,4)="LVAX",LEFT(K1328,6)="MV15AX",LEFT(K1328,4)="CTAX",LEFT(K1328,2)="W|"),2*N1328*O1328,0)</f>
        <v/>
      </c>
      <c r="Z1328" s="9" t="inlineStr">
        <is>
          <t>VD 2.4 %</t>
        </is>
      </c>
    </row>
    <row r="1329">
      <c r="A1329" s="9" t="inlineStr">
        <is>
          <t>D-P-0008</t>
        </is>
      </c>
      <c r="B1329" s="9" t="inlineStr">
        <is>
          <t>D</t>
        </is>
      </c>
      <c r="C1329" s="9" t="inlineStr">
        <is>
          <t>Fuel gas</t>
        </is>
      </c>
      <c r="D1329" s="9" t="inlineStr">
        <is>
          <t>LV power feeder</t>
        </is>
      </c>
      <c r="E1329" s="9" t="inlineStr">
        <is>
          <t>MCC-C1</t>
        </is>
      </c>
      <c r="F1329" s="9" t="inlineStr">
        <is>
          <t>R1 MCC-C1</t>
        </is>
      </c>
      <c r="G1329" s="9" t="inlineStr"/>
      <c r="H1329" s="9" t="inlineStr">
        <is>
          <t>Gas yard filter-separators</t>
        </is>
      </c>
      <c r="I1329" s="9" t="inlineStr">
        <is>
          <t>LV 600 V</t>
        </is>
      </c>
      <c r="J1329" s="9" t="inlineStr">
        <is>
          <t>ARMOR-X MC-HL 600 V 3/C Cu XHHW-2 + ground, CWA, black PVC (Class I Div 2)</t>
        </is>
      </c>
      <c r="K1329" s="9" t="inlineStr">
        <is>
          <t>LVAX|3/C+G|2</t>
        </is>
      </c>
      <c r="L1329" s="9" t="inlineStr">
        <is>
          <t>3/C+G</t>
        </is>
      </c>
      <c r="M1329" s="9" t="inlineStr">
        <is>
          <t>2</t>
        </is>
      </c>
      <c r="N1329" s="9" t="n">
        <v>1</v>
      </c>
      <c r="O1329" s="9" t="n">
        <v>1</v>
      </c>
      <c r="P1329" s="9" t="n">
        <v>480</v>
      </c>
      <c r="Q1329" s="9" t="n">
        <v>10</v>
      </c>
      <c r="R1329" s="9" t="n">
        <v>14</v>
      </c>
      <c r="S1329" s="9" t="inlineStr">
        <is>
          <t>Tray</t>
        </is>
      </c>
      <c r="T1329" s="10" t="n">
        <v>1949</v>
      </c>
      <c r="U1329" s="10" t="n">
        <v>157</v>
      </c>
      <c r="V1329" s="10">
        <f>ROUNDUP((T1329+U1329+2*'Read Me'!$B$13)*(1+'Read Me'!$B$12),-1)</f>
        <v/>
      </c>
      <c r="W1329" s="10">
        <f>V1329*N1329*O1329</f>
        <v/>
      </c>
      <c r="X1329" s="9">
        <f>IF(LEFT(I1329,2)="MV",2*N1329*IF(L1329="1/C",O1329,1),0)</f>
        <v/>
      </c>
      <c r="Y1329" s="9">
        <f>IF(OR(LEFT(K1329,4)="LVAX",LEFT(K1329,6)="MV15AX",LEFT(K1329,4)="CTAX",LEFT(K1329,2)="W|"),2*N1329*O1329,0)</f>
        <v/>
      </c>
      <c r="Z1329" s="9" t="inlineStr">
        <is>
          <t>VD 2.3 %</t>
        </is>
      </c>
    </row>
    <row r="1330">
      <c r="A1330" s="9" t="inlineStr">
        <is>
          <t>D-P-0009</t>
        </is>
      </c>
      <c r="B1330" s="9" t="inlineStr">
        <is>
          <t>D</t>
        </is>
      </c>
      <c r="C1330" s="9" t="inlineStr">
        <is>
          <t>Fuel gas</t>
        </is>
      </c>
      <c r="D1330" s="9" t="inlineStr">
        <is>
          <t>LV power feeder</t>
        </is>
      </c>
      <c r="E1330" s="9" t="inlineStr">
        <is>
          <t>MCC-C1</t>
        </is>
      </c>
      <c r="F1330" s="9" t="inlineStr">
        <is>
          <t>R1 MCC-C1</t>
        </is>
      </c>
      <c r="G1330" s="9" t="inlineStr"/>
      <c r="H1330" s="9" t="inlineStr">
        <is>
          <t>Gas yard inlet: ESD valve, block valve and insulating joint</t>
        </is>
      </c>
      <c r="I1330" s="9" t="inlineStr">
        <is>
          <t>LV 600 V</t>
        </is>
      </c>
      <c r="J1330" s="9" t="inlineStr">
        <is>
          <t>ARMOR-X MC-HL 600 V 3/C Cu XHHW-2 + ground, CWA, black PVC (Class I Div 2)</t>
        </is>
      </c>
      <c r="K1330" s="9" t="inlineStr">
        <is>
          <t>LVAX|3/C+G|2</t>
        </is>
      </c>
      <c r="L1330" s="9" t="inlineStr">
        <is>
          <t>3/C+G</t>
        </is>
      </c>
      <c r="M1330" s="9" t="inlineStr">
        <is>
          <t>2</t>
        </is>
      </c>
      <c r="N1330" s="9" t="n">
        <v>1</v>
      </c>
      <c r="O1330" s="9" t="n">
        <v>1</v>
      </c>
      <c r="P1330" s="9" t="n">
        <v>480</v>
      </c>
      <c r="Q1330" s="9" t="n">
        <v>10</v>
      </c>
      <c r="R1330" s="9" t="n">
        <v>14</v>
      </c>
      <c r="S1330" s="9" t="inlineStr">
        <is>
          <t>Duct bank</t>
        </is>
      </c>
      <c r="T1330" s="10" t="n">
        <v>2059</v>
      </c>
      <c r="U1330" s="10" t="n">
        <v>254</v>
      </c>
      <c r="V1330" s="10">
        <f>ROUNDUP((T1330+U1330+2*'Read Me'!$B$13)*(1+'Read Me'!$B$12),-1)</f>
        <v/>
      </c>
      <c r="W1330" s="10">
        <f>V1330*N1330*O1330</f>
        <v/>
      </c>
      <c r="X1330" s="9">
        <f>IF(LEFT(I1330,2)="MV",2*N1330*IF(L1330="1/C",O1330,1),0)</f>
        <v/>
      </c>
      <c r="Y1330" s="9">
        <f>IF(OR(LEFT(K1330,4)="LVAX",LEFT(K1330,6)="MV15AX",LEFT(K1330,4)="CTAX",LEFT(K1330,2)="W|"),2*N1330*O1330,0)</f>
        <v/>
      </c>
      <c r="Z1330" s="9" t="inlineStr">
        <is>
          <t>VD 2.5 %</t>
        </is>
      </c>
    </row>
    <row r="1331">
      <c r="A1331" s="9" t="inlineStr">
        <is>
          <t>D-P-0010</t>
        </is>
      </c>
      <c r="B1331" s="9" t="inlineStr">
        <is>
          <t>D</t>
        </is>
      </c>
      <c r="C1331" s="9" t="inlineStr">
        <is>
          <t>Fuel gas</t>
        </is>
      </c>
      <c r="D1331" s="9" t="inlineStr">
        <is>
          <t>LV power feeder</t>
        </is>
      </c>
      <c r="E1331" s="9" t="inlineStr">
        <is>
          <t>MCC-C1</t>
        </is>
      </c>
      <c r="F1331" s="9" t="inlineStr">
        <is>
          <t>R1 MCC-C1</t>
        </is>
      </c>
      <c r="G1331" s="9" t="inlineStr"/>
      <c r="H1331" s="9" t="inlineStr">
        <is>
          <t>Gas yard local control enclosure</t>
        </is>
      </c>
      <c r="I1331" s="9" t="inlineStr">
        <is>
          <t>LV 600 V</t>
        </is>
      </c>
      <c r="J1331" s="9" t="inlineStr">
        <is>
          <t>ARMOR-X MC-HL 600 V 3/C Cu XHHW-2 + ground, CWA, black PVC (Class I Div 2)</t>
        </is>
      </c>
      <c r="K1331" s="9" t="inlineStr">
        <is>
          <t>LVAX|3/C+G|1</t>
        </is>
      </c>
      <c r="L1331" s="9" t="inlineStr">
        <is>
          <t>3/C+G</t>
        </is>
      </c>
      <c r="M1331" s="9" t="inlineStr">
        <is>
          <t>1</t>
        </is>
      </c>
      <c r="N1331" s="9" t="n">
        <v>1</v>
      </c>
      <c r="O1331" s="9" t="n">
        <v>1</v>
      </c>
      <c r="P1331" s="9" t="n">
        <v>480</v>
      </c>
      <c r="Q1331" s="9" t="n">
        <v>15</v>
      </c>
      <c r="R1331" s="9" t="n">
        <v>21</v>
      </c>
      <c r="S1331" s="9" t="inlineStr">
        <is>
          <t>Tray</t>
        </is>
      </c>
      <c r="T1331" s="10" t="n">
        <v>1833</v>
      </c>
      <c r="U1331" s="10" t="n">
        <v>157</v>
      </c>
      <c r="V1331" s="10">
        <f>ROUNDUP((T1331+U1331+2*'Read Me'!$B$13)*(1+'Read Me'!$B$12),-1)</f>
        <v/>
      </c>
      <c r="W1331" s="10">
        <f>V1331*N1331*O1331</f>
        <v/>
      </c>
      <c r="X1331" s="9">
        <f>IF(LEFT(I1331,2)="MV",2*N1331*IF(L1331="1/C",O1331,1),0)</f>
        <v/>
      </c>
      <c r="Y1331" s="9">
        <f>IF(OR(LEFT(K1331,4)="LVAX",LEFT(K1331,6)="MV15AX",LEFT(K1331,4)="CTAX",LEFT(K1331,2)="W|"),2*N1331*O1331,0)</f>
        <v/>
      </c>
      <c r="Z1331" s="9" t="inlineStr">
        <is>
          <t>VD 2.6 %</t>
        </is>
      </c>
    </row>
    <row r="1332">
      <c r="A1332" s="9" t="inlineStr">
        <is>
          <t>D-P-0011</t>
        </is>
      </c>
      <c r="B1332" s="9" t="inlineStr">
        <is>
          <t>D</t>
        </is>
      </c>
      <c r="C1332" s="9" t="inlineStr">
        <is>
          <t>Fuel gas</t>
        </is>
      </c>
      <c r="D1332" s="9" t="inlineStr">
        <is>
          <t>LV power feeder</t>
        </is>
      </c>
      <c r="E1332" s="9" t="inlineStr">
        <is>
          <t>MCC-C1</t>
        </is>
      </c>
      <c r="F1332" s="9" t="inlineStr">
        <is>
          <t>R1 MCC-C1</t>
        </is>
      </c>
      <c r="G1332" s="9" t="inlineStr">
        <is>
          <t>HTP-4</t>
        </is>
      </c>
      <c r="H1332" s="9" t="inlineStr">
        <is>
          <t>HTP-4: heat-trace panel (gas)</t>
        </is>
      </c>
      <c r="I1332" s="9" t="inlineStr">
        <is>
          <t>LV 600 V</t>
        </is>
      </c>
      <c r="J1332" s="9" t="inlineStr">
        <is>
          <t>Type TC-ER 600 V 3/C Cu XHHW-2 + ground, PVC jacket</t>
        </is>
      </c>
      <c r="K1332" s="9" t="inlineStr">
        <is>
          <t>LV|3/C+G|350</t>
        </is>
      </c>
      <c r="L1332" s="9" t="inlineStr">
        <is>
          <t>3/C+G</t>
        </is>
      </c>
      <c r="M1332" s="9" t="inlineStr">
        <is>
          <t>350 kcmil</t>
        </is>
      </c>
      <c r="N1332" s="9" t="n">
        <v>2</v>
      </c>
      <c r="O1332" s="9" t="n">
        <v>1</v>
      </c>
      <c r="P1332" s="9" t="n">
        <v>480</v>
      </c>
      <c r="Q1332" s="9" t="n">
        <v>120</v>
      </c>
      <c r="R1332" s="9" t="n">
        <v>170</v>
      </c>
      <c r="S1332" s="9" t="inlineStr">
        <is>
          <t>Tray</t>
        </is>
      </c>
      <c r="T1332" s="10" t="n">
        <v>1833</v>
      </c>
      <c r="U1332" s="10" t="n">
        <v>192</v>
      </c>
      <c r="V1332" s="10">
        <f>ROUNDUP((T1332+U1332+2*'Read Me'!$B$13)*(1+'Read Me'!$B$12),-1)</f>
        <v/>
      </c>
      <c r="W1332" s="10">
        <f>V1332*N1332*O1332</f>
        <v/>
      </c>
      <c r="X1332" s="9">
        <f>IF(LEFT(I1332,2)="MV",2*N1332*IF(L1332="1/C",O1332,1),0)</f>
        <v/>
      </c>
      <c r="Y1332" s="9">
        <f>IF(OR(LEFT(K1332,4)="LVAX",LEFT(K1332,6)="MV15AX",LEFT(K1332,4)="CTAX",LEFT(K1332,2)="W|"),2*N1332*O1332,0)</f>
        <v/>
      </c>
      <c r="Z1332" s="9" t="inlineStr">
        <is>
          <t>VD 2.5 %</t>
        </is>
      </c>
    </row>
    <row r="1333">
      <c r="A1333" s="9" t="inlineStr">
        <is>
          <t>D-MV-0001</t>
        </is>
      </c>
      <c r="B1333" s="9" t="inlineStr">
        <is>
          <t>D</t>
        </is>
      </c>
      <c r="C1333" s="9" t="inlineStr">
        <is>
          <t>Fuel gas</t>
        </is>
      </c>
      <c r="D1333" s="9" t="inlineStr">
        <is>
          <t>Fuel-gas compressor (conditional)</t>
        </is>
      </c>
      <c r="E1333" s="9" t="inlineStr">
        <is>
          <t>SWGR-13.8-3</t>
        </is>
      </c>
      <c r="F1333" s="9" t="inlineStr">
        <is>
          <t>R1 SWGR-13.8-3 (11 x 36 in cubicles, 15 kV metal-clad)</t>
        </is>
      </c>
      <c r="G1333" s="9" t="inlineStr"/>
      <c r="H1333" s="9" t="inlineStr">
        <is>
          <t>CONDITIONAL: fuel-gas compressors</t>
        </is>
      </c>
      <c r="I1333" s="9" t="inlineStr">
        <is>
          <t>MV 15 kV</t>
        </is>
      </c>
      <c r="J1333" s="9" t="inlineStr">
        <is>
          <t>ARMOR-X MC-HL / MV-105 15 kV 3/C Cu, EPR 133%, tape shield, gnd, CWA, red PVC</t>
        </is>
      </c>
      <c r="K1333" s="9" t="inlineStr">
        <is>
          <t>MV15AX|3/C|1/0</t>
        </is>
      </c>
      <c r="L1333" s="9" t="inlineStr">
        <is>
          <t>3/C</t>
        </is>
      </c>
      <c r="M1333" s="9" t="inlineStr">
        <is>
          <t>1/0</t>
        </is>
      </c>
      <c r="N1333" s="9" t="n">
        <v>1</v>
      </c>
      <c r="O1333" s="9" t="n">
        <v>1</v>
      </c>
      <c r="P1333" s="9" t="n">
        <v>13800</v>
      </c>
      <c r="Q1333" s="9" t="n">
        <v>3000</v>
      </c>
      <c r="R1333" s="9" t="n">
        <v>139</v>
      </c>
      <c r="S1333" s="9" t="inlineStr">
        <is>
          <t>Duct bank</t>
        </is>
      </c>
      <c r="T1333" s="10" t="n">
        <v>2400</v>
      </c>
      <c r="U1333" s="10" t="n">
        <v>68</v>
      </c>
      <c r="V1333" s="10">
        <f>ROUNDUP((T1333+U1333+2*'Read Me'!$B$13)*(1+'Read Me'!$B$12),-1)</f>
        <v/>
      </c>
      <c r="W1333" s="10">
        <f>V1333*N1333*O1333</f>
        <v/>
      </c>
      <c r="X1333" s="9">
        <f>IF(LEFT(I1333,2)="MV",2*N1333*IF(L1333="1/C",O1333,1),0)</f>
        <v/>
      </c>
      <c r="Y1333" s="9">
        <f>IF(OR(LEFT(K1333,4)="LVAX",LEFT(K1333,6)="MV15AX",LEFT(K1333,4)="CTAX",LEFT(K1333,2)="W|"),2*N1333*O1333,0)</f>
        <v/>
      </c>
      <c r="Z1333" s="9" t="inlineStr"/>
    </row>
    <row r="1334">
      <c r="A1334" s="9" t="inlineStr">
        <is>
          <t>D-MV-0002</t>
        </is>
      </c>
      <c r="B1334" s="9" t="inlineStr">
        <is>
          <t>D</t>
        </is>
      </c>
      <c r="C1334" s="9" t="inlineStr">
        <is>
          <t>Fuel gas</t>
        </is>
      </c>
      <c r="D1334" s="9" t="inlineStr">
        <is>
          <t>Fuel-gas compressor (conditional)</t>
        </is>
      </c>
      <c r="E1334" s="9" t="inlineStr">
        <is>
          <t>SWGR-13.8-3</t>
        </is>
      </c>
      <c r="F1334" s="9" t="inlineStr">
        <is>
          <t>R1 SWGR-13.8-3 (11 x 36 in cubicles, 15 kV metal-clad)</t>
        </is>
      </c>
      <c r="G1334" s="9" t="inlineStr"/>
      <c r="H1334" s="9" t="inlineStr">
        <is>
          <t>CONDITIONAL: fuel-gas compressors</t>
        </is>
      </c>
      <c r="I1334" s="9" t="inlineStr">
        <is>
          <t>MV 15 kV</t>
        </is>
      </c>
      <c r="J1334" s="9" t="inlineStr">
        <is>
          <t>ARMOR-X MC-HL / MV-105 15 kV 3/C Cu, EPR 133%, tape shield, gnd, CWA, red PVC</t>
        </is>
      </c>
      <c r="K1334" s="9" t="inlineStr">
        <is>
          <t>MV15AX|3/C|1/0</t>
        </is>
      </c>
      <c r="L1334" s="9" t="inlineStr">
        <is>
          <t>3/C</t>
        </is>
      </c>
      <c r="M1334" s="9" t="inlineStr">
        <is>
          <t>1/0</t>
        </is>
      </c>
      <c r="N1334" s="9" t="n">
        <v>1</v>
      </c>
      <c r="O1334" s="9" t="n">
        <v>1</v>
      </c>
      <c r="P1334" s="9" t="n">
        <v>13800</v>
      </c>
      <c r="Q1334" s="9" t="n">
        <v>3000</v>
      </c>
      <c r="R1334" s="9" t="n">
        <v>139</v>
      </c>
      <c r="S1334" s="9" t="inlineStr">
        <is>
          <t>Duct bank</t>
        </is>
      </c>
      <c r="T1334" s="10" t="n">
        <v>2400</v>
      </c>
      <c r="U1334" s="10" t="n">
        <v>68</v>
      </c>
      <c r="V1334" s="10">
        <f>ROUNDUP((T1334+U1334+2*'Read Me'!$B$13)*(1+'Read Me'!$B$12),-1)</f>
        <v/>
      </c>
      <c r="W1334" s="10">
        <f>V1334*N1334*O1334</f>
        <v/>
      </c>
      <c r="X1334" s="9">
        <f>IF(LEFT(I1334,2)="MV",2*N1334*IF(L1334="1/C",O1334,1),0)</f>
        <v/>
      </c>
      <c r="Y1334" s="9">
        <f>IF(OR(LEFT(K1334,4)="LVAX",LEFT(K1334,6)="MV15AX",LEFT(K1334,4)="CTAX",LEFT(K1334,2)="W|"),2*N1334*O1334,0)</f>
        <v/>
      </c>
      <c r="Z1334" s="9" t="inlineStr"/>
    </row>
    <row r="1335">
      <c r="A1335" s="9" t="inlineStr">
        <is>
          <t>D-MV-0003</t>
        </is>
      </c>
      <c r="B1335" s="9" t="inlineStr">
        <is>
          <t>D</t>
        </is>
      </c>
      <c r="C1335" s="9" t="inlineStr">
        <is>
          <t>Fuel gas</t>
        </is>
      </c>
      <c r="D1335" s="9" t="inlineStr">
        <is>
          <t>Fuel-gas compressor (conditional)</t>
        </is>
      </c>
      <c r="E1335" s="9" t="inlineStr">
        <is>
          <t>SWGR-13.8-3</t>
        </is>
      </c>
      <c r="F1335" s="9" t="inlineStr">
        <is>
          <t>R1 SWGR-13.8-3 (11 x 36 in cubicles, 15 kV metal-clad)</t>
        </is>
      </c>
      <c r="G1335" s="9" t="inlineStr"/>
      <c r="H1335" s="9" t="inlineStr">
        <is>
          <t>CONDITIONAL: fuel-gas compressors</t>
        </is>
      </c>
      <c r="I1335" s="9" t="inlineStr">
        <is>
          <t>MV 15 kV</t>
        </is>
      </c>
      <c r="J1335" s="9" t="inlineStr">
        <is>
          <t>ARMOR-X MC-HL / MV-105 15 kV 3/C Cu, EPR 133%, tape shield, gnd, CWA, red PVC</t>
        </is>
      </c>
      <c r="K1335" s="9" t="inlineStr">
        <is>
          <t>MV15AX|3/C|1/0</t>
        </is>
      </c>
      <c r="L1335" s="9" t="inlineStr">
        <is>
          <t>3/C</t>
        </is>
      </c>
      <c r="M1335" s="9" t="inlineStr">
        <is>
          <t>1/0</t>
        </is>
      </c>
      <c r="N1335" s="9" t="n">
        <v>1</v>
      </c>
      <c r="O1335" s="9" t="n">
        <v>1</v>
      </c>
      <c r="P1335" s="9" t="n">
        <v>13800</v>
      </c>
      <c r="Q1335" s="9" t="n">
        <v>3000</v>
      </c>
      <c r="R1335" s="9" t="n">
        <v>139</v>
      </c>
      <c r="S1335" s="9" t="inlineStr">
        <is>
          <t>Duct bank</t>
        </is>
      </c>
      <c r="T1335" s="10" t="n">
        <v>2400</v>
      </c>
      <c r="U1335" s="10" t="n">
        <v>68</v>
      </c>
      <c r="V1335" s="10">
        <f>ROUNDUP((T1335+U1335+2*'Read Me'!$B$13)*(1+'Read Me'!$B$12),-1)</f>
        <v/>
      </c>
      <c r="W1335" s="10">
        <f>V1335*N1335*O1335</f>
        <v/>
      </c>
      <c r="X1335" s="9">
        <f>IF(LEFT(I1335,2)="MV",2*N1335*IF(L1335="1/C",O1335,1),0)</f>
        <v/>
      </c>
      <c r="Y1335" s="9">
        <f>IF(OR(LEFT(K1335,4)="LVAX",LEFT(K1335,6)="MV15AX",LEFT(K1335,4)="CTAX",LEFT(K1335,2)="W|"),2*N1335*O1335,0)</f>
        <v/>
      </c>
      <c r="Z1335" s="9" t="inlineStr"/>
    </row>
    <row r="1336">
      <c r="A1336" s="9" t="inlineStr">
        <is>
          <t>E-L-0001</t>
        </is>
      </c>
      <c r="B1336" s="9" t="inlineStr">
        <is>
          <t>E</t>
        </is>
      </c>
      <c r="C1336" s="9" t="inlineStr">
        <is>
          <t>Water / utilities</t>
        </is>
      </c>
      <c r="D1336" s="9" t="inlineStr">
        <is>
          <t>Lighting, receptacles and small power branch circuits (allowance)</t>
        </is>
      </c>
      <c r="E1336" s="9" t="inlineStr"/>
      <c r="F1336" s="9" t="inlineStr">
        <is>
          <t>Fire pump house</t>
        </is>
      </c>
      <c r="G1336" s="9" t="inlineStr"/>
      <c r="H1336" s="9" t="inlineStr">
        <is>
          <t>Fire pump house</t>
        </is>
      </c>
      <c r="I1336" s="9" t="inlineStr">
        <is>
          <t>Building wire</t>
        </is>
      </c>
      <c r="J1336" s="9" t="inlineStr">
        <is>
          <t>SIMpull THHN/THWN-2 600 V 1/C Cu (lighting, receptacles, small power)</t>
        </is>
      </c>
      <c r="K1336" s="9" t="inlineStr">
        <is>
          <t>THHN|1/C|12</t>
        </is>
      </c>
      <c r="L1336" s="9" t="inlineStr">
        <is>
          <t>1/C</t>
        </is>
      </c>
      <c r="M1336" s="9" t="inlineStr">
        <is>
          <t>12</t>
        </is>
      </c>
      <c r="N1336" s="9" t="n">
        <v>1</v>
      </c>
      <c r="O1336" s="9" t="n">
        <v>1</v>
      </c>
      <c r="P1336" s="9" t="n">
        <v>277</v>
      </c>
      <c r="Q1336" s="9" t="n"/>
      <c r="R1336" s="9" t="n"/>
      <c r="S1336" s="9" t="inlineStr">
        <is>
          <t>Conduit</t>
        </is>
      </c>
      <c r="T1336" s="10" t="n">
        <v>1920</v>
      </c>
      <c r="U1336" s="10" t="n">
        <v>0</v>
      </c>
      <c r="V1336" s="10">
        <f>ROUNDUP((T1336+U1336+2*'Read Me'!$B$13)*(1+'Read Me'!$B$12),-1)</f>
        <v/>
      </c>
      <c r="W1336" s="10">
        <f>V1336*N1336*O1336</f>
        <v/>
      </c>
      <c r="X1336" s="9">
        <f>IF(LEFT(I1336,2)="MV",2*N1336*IF(L1336="1/C",O1336,1),0)</f>
        <v/>
      </c>
      <c r="Y1336" s="9">
        <f>IF(OR(LEFT(K1336,4)="LVAX",LEFT(K1336,6)="MV15AX",LEFT(K1336,4)="CTAX",LEFT(K1336,2)="W|"),2*N1336*O1336,0)</f>
        <v/>
      </c>
      <c r="Z1336" s="9" t="inlineStr">
        <is>
          <t>allowance: 1.6 ft of conductor per ft2 of floor</t>
        </is>
      </c>
    </row>
    <row r="1337">
      <c r="A1337" s="9" t="inlineStr">
        <is>
          <t>E-L-0002</t>
        </is>
      </c>
      <c r="B1337" s="9" t="inlineStr">
        <is>
          <t>E</t>
        </is>
      </c>
      <c r="C1337" s="9" t="inlineStr">
        <is>
          <t>Water / utilities</t>
        </is>
      </c>
      <c r="D1337" s="9" t="inlineStr">
        <is>
          <t>Lighting, receptacles and small power branch circuits (allowance)</t>
        </is>
      </c>
      <c r="E1337" s="9" t="inlineStr">
        <is>
          <t>R-WT</t>
        </is>
      </c>
      <c r="F1337" s="9" t="inlineStr">
        <is>
          <t>Water treatment building (incl. R-WT electrical room)</t>
        </is>
      </c>
      <c r="G1337" s="9" t="inlineStr">
        <is>
          <t>R-WT</t>
        </is>
      </c>
      <c r="H1337" s="9" t="inlineStr">
        <is>
          <t>Water treatment building (incl. R-WT electrical room)</t>
        </is>
      </c>
      <c r="I1337" s="9" t="inlineStr">
        <is>
          <t>Building wire</t>
        </is>
      </c>
      <c r="J1337" s="9" t="inlineStr">
        <is>
          <t>SIMpull THHN/THWN-2 600 V 1/C Cu (lighting, receptacles, small power)</t>
        </is>
      </c>
      <c r="K1337" s="9" t="inlineStr">
        <is>
          <t>THHN|1/C|12</t>
        </is>
      </c>
      <c r="L1337" s="9" t="inlineStr">
        <is>
          <t>1/C</t>
        </is>
      </c>
      <c r="M1337" s="9" t="inlineStr">
        <is>
          <t>12</t>
        </is>
      </c>
      <c r="N1337" s="9" t="n">
        <v>1</v>
      </c>
      <c r="O1337" s="9" t="n">
        <v>1</v>
      </c>
      <c r="P1337" s="9" t="n">
        <v>277</v>
      </c>
      <c r="Q1337" s="9" t="n"/>
      <c r="R1337" s="9" t="n"/>
      <c r="S1337" s="9" t="inlineStr">
        <is>
          <t>Conduit</t>
        </is>
      </c>
      <c r="T1337" s="10" t="n">
        <v>21760</v>
      </c>
      <c r="U1337" s="10" t="n">
        <v>0</v>
      </c>
      <c r="V1337" s="10">
        <f>ROUNDUP((T1337+U1337+2*'Read Me'!$B$13)*(1+'Read Me'!$B$12),-1)</f>
        <v/>
      </c>
      <c r="W1337" s="10">
        <f>V1337*N1337*O1337</f>
        <v/>
      </c>
      <c r="X1337" s="9">
        <f>IF(LEFT(I1337,2)="MV",2*N1337*IF(L1337="1/C",O1337,1),0)</f>
        <v/>
      </c>
      <c r="Y1337" s="9">
        <f>IF(OR(LEFT(K1337,4)="LVAX",LEFT(K1337,6)="MV15AX",LEFT(K1337,4)="CTAX",LEFT(K1337,2)="W|"),2*N1337*O1337,0)</f>
        <v/>
      </c>
      <c r="Z1337" s="9" t="inlineStr">
        <is>
          <t>allowance: 1.6 ft of conductor per ft2 of floor</t>
        </is>
      </c>
    </row>
    <row r="1338">
      <c r="A1338" s="9" t="inlineStr">
        <is>
          <t>E-C-0001</t>
        </is>
      </c>
      <c r="B1338" s="9" t="inlineStr">
        <is>
          <t>E</t>
        </is>
      </c>
      <c r="C1338" s="9" t="inlineStr">
        <is>
          <t>Water / utilities</t>
        </is>
      </c>
      <c r="D1338" s="9" t="inlineStr">
        <is>
          <t>Control</t>
        </is>
      </c>
      <c r="E1338" s="9" t="inlineStr">
        <is>
          <t>R-WT</t>
        </is>
      </c>
      <c r="F1338" s="9" t="inlineStr">
        <is>
          <t>Water treatment building (incl. R-WT electrical room)</t>
        </is>
      </c>
      <c r="G1338" s="9" t="inlineStr"/>
      <c r="H1338" s="9" t="inlineStr">
        <is>
          <t>Ammonia storage (aqueous, SCR reagent)</t>
        </is>
      </c>
      <c r="I1338" s="9" t="inlineStr">
        <is>
          <t>Control</t>
        </is>
      </c>
      <c r="J1338" s="9" t="inlineStr">
        <is>
          <t>Control cable 600 V Type TC-ER, Cu #14 AWG, PVC jacket</t>
        </is>
      </c>
      <c r="K1338" s="9" t="inlineStr">
        <is>
          <t>CT|7/C|14</t>
        </is>
      </c>
      <c r="L1338" s="9" t="inlineStr">
        <is>
          <t>7/C</t>
        </is>
      </c>
      <c r="M1338" s="9" t="inlineStr">
        <is>
          <t>14</t>
        </is>
      </c>
      <c r="N1338" s="9" t="n">
        <v>1</v>
      </c>
      <c r="O1338" s="9" t="n">
        <v>1</v>
      </c>
      <c r="P1338" s="9" t="n"/>
      <c r="Q1338" s="9" t="n"/>
      <c r="R1338" s="9" t="n"/>
      <c r="S1338" s="9" t="inlineStr">
        <is>
          <t>Duct bank</t>
        </is>
      </c>
      <c r="T1338" s="10" t="n">
        <v>292</v>
      </c>
      <c r="U1338" s="10" t="n">
        <v>32</v>
      </c>
      <c r="V1338" s="10">
        <f>ROUNDUP((T1338+U1338+2*'Read Me'!$B$13)*(1+'Read Me'!$B$12),-1)</f>
        <v/>
      </c>
      <c r="W1338" s="10">
        <f>V1338*N1338*O1338</f>
        <v/>
      </c>
      <c r="X1338" s="9">
        <f>IF(LEFT(I1338,2)="MV",2*N1338*IF(L1338="1/C",O1338,1),0)</f>
        <v/>
      </c>
      <c r="Y1338" s="9">
        <f>IF(OR(LEFT(K1338,4)="LVAX",LEFT(K1338,6)="MV15AX",LEFT(K1338,4)="CTAX",LEFT(K1338,2)="W|"),2*N1338*O1338,0)</f>
        <v/>
      </c>
      <c r="Z1338" s="9" t="inlineStr"/>
    </row>
    <row r="1339">
      <c r="A1339" s="9" t="inlineStr">
        <is>
          <t>E-C-0002</t>
        </is>
      </c>
      <c r="B1339" s="9" t="inlineStr">
        <is>
          <t>E</t>
        </is>
      </c>
      <c r="C1339" s="9" t="inlineStr">
        <is>
          <t>Water / utilities</t>
        </is>
      </c>
      <c r="D1339" s="9" t="inlineStr">
        <is>
          <t>Control</t>
        </is>
      </c>
      <c r="E1339" s="9" t="inlineStr">
        <is>
          <t>R-WT</t>
        </is>
      </c>
      <c r="F1339" s="9" t="inlineStr">
        <is>
          <t>Water treatment building (incl. R-WT electrical room)</t>
        </is>
      </c>
      <c r="G1339" s="9" t="inlineStr"/>
      <c r="H1339" s="9" t="inlineStr">
        <is>
          <t>Auxiliary boiler</t>
        </is>
      </c>
      <c r="I1339" s="9" t="inlineStr">
        <is>
          <t>Control</t>
        </is>
      </c>
      <c r="J1339" s="9" t="inlineStr">
        <is>
          <t>Control cable 600 V Type TC-ER, Cu #14 AWG, PVC jacket</t>
        </is>
      </c>
      <c r="K1339" s="9" t="inlineStr">
        <is>
          <t>CT|7/C|14</t>
        </is>
      </c>
      <c r="L1339" s="9" t="inlineStr">
        <is>
          <t>7/C</t>
        </is>
      </c>
      <c r="M1339" s="9" t="inlineStr">
        <is>
          <t>14</t>
        </is>
      </c>
      <c r="N1339" s="9" t="n">
        <v>1</v>
      </c>
      <c r="O1339" s="9" t="n">
        <v>1</v>
      </c>
      <c r="P1339" s="9" t="n"/>
      <c r="Q1339" s="9" t="n"/>
      <c r="R1339" s="9" t="n"/>
      <c r="S1339" s="9" t="inlineStr">
        <is>
          <t>Duct bank</t>
        </is>
      </c>
      <c r="T1339" s="10" t="n">
        <v>370</v>
      </c>
      <c r="U1339" s="10" t="n">
        <v>52</v>
      </c>
      <c r="V1339" s="10">
        <f>ROUNDUP((T1339+U1339+2*'Read Me'!$B$13)*(1+'Read Me'!$B$12),-1)</f>
        <v/>
      </c>
      <c r="W1339" s="10">
        <f>V1339*N1339*O1339</f>
        <v/>
      </c>
      <c r="X1339" s="9">
        <f>IF(LEFT(I1339,2)="MV",2*N1339*IF(L1339="1/C",O1339,1),0)</f>
        <v/>
      </c>
      <c r="Y1339" s="9">
        <f>IF(OR(LEFT(K1339,4)="LVAX",LEFT(K1339,6)="MV15AX",LEFT(K1339,4)="CTAX",LEFT(K1339,2)="W|"),2*N1339*O1339,0)</f>
        <v/>
      </c>
      <c r="Z1339" s="9" t="inlineStr"/>
    </row>
    <row r="1340">
      <c r="A1340" s="9" t="inlineStr">
        <is>
          <t>E-C-0003</t>
        </is>
      </c>
      <c r="B1340" s="9" t="inlineStr">
        <is>
          <t>E</t>
        </is>
      </c>
      <c r="C1340" s="9" t="inlineStr">
        <is>
          <t>Water / utilities</t>
        </is>
      </c>
      <c r="D1340" s="9" t="inlineStr">
        <is>
          <t>Control</t>
        </is>
      </c>
      <c r="E1340" s="9" t="inlineStr">
        <is>
          <t>R-WT</t>
        </is>
      </c>
      <c r="F1340" s="9" t="inlineStr">
        <is>
          <t>Water treatment building (incl. R-WT electrical room)</t>
        </is>
      </c>
      <c r="G1340" s="9" t="inlineStr">
        <is>
          <t>CPR-2</t>
        </is>
      </c>
      <c r="H1340" s="9" t="inlineStr">
        <is>
          <t>CPR-2: cathodic-protection rectifier</t>
        </is>
      </c>
      <c r="I1340" s="9" t="inlineStr">
        <is>
          <t>Control</t>
        </is>
      </c>
      <c r="J1340" s="9" t="inlineStr">
        <is>
          <t>Control cable 600 V Type TC-ER, Cu #14 AWG, PVC jacket</t>
        </is>
      </c>
      <c r="K1340" s="9" t="inlineStr">
        <is>
          <t>CT|7/C|14</t>
        </is>
      </c>
      <c r="L1340" s="9" t="inlineStr">
        <is>
          <t>7/C</t>
        </is>
      </c>
      <c r="M1340" s="9" t="inlineStr">
        <is>
          <t>14</t>
        </is>
      </c>
      <c r="N1340" s="9" t="n">
        <v>1</v>
      </c>
      <c r="O1340" s="9" t="n">
        <v>1</v>
      </c>
      <c r="P1340" s="9" t="n"/>
      <c r="Q1340" s="9" t="n"/>
      <c r="R1340" s="9" t="n"/>
      <c r="S1340" s="9" t="inlineStr">
        <is>
          <t>Conduit link</t>
        </is>
      </c>
      <c r="T1340" s="10" t="n">
        <v>169</v>
      </c>
      <c r="U1340" s="10" t="n">
        <v>32</v>
      </c>
      <c r="V1340" s="10">
        <f>ROUNDUP((T1340+U1340+2*'Read Me'!$B$13)*(1+'Read Me'!$B$12),-1)</f>
        <v/>
      </c>
      <c r="W1340" s="10">
        <f>V1340*N1340*O1340</f>
        <v/>
      </c>
      <c r="X1340" s="9">
        <f>IF(LEFT(I1340,2)="MV",2*N1340*IF(L1340="1/C",O1340,1),0)</f>
        <v/>
      </c>
      <c r="Y1340" s="9">
        <f>IF(OR(LEFT(K1340,4)="LVAX",LEFT(K1340,6)="MV15AX",LEFT(K1340,4)="CTAX",LEFT(K1340,2)="W|"),2*N1340*O1340,0)</f>
        <v/>
      </c>
      <c r="Z1340" s="9" t="inlineStr"/>
    </row>
    <row r="1341">
      <c r="A1341" s="9" t="inlineStr">
        <is>
          <t>E-C-0004</t>
        </is>
      </c>
      <c r="B1341" s="9" t="inlineStr">
        <is>
          <t>E</t>
        </is>
      </c>
      <c r="C1341" s="9" t="inlineStr">
        <is>
          <t>Water / utilities</t>
        </is>
      </c>
      <c r="D1341" s="9" t="inlineStr">
        <is>
          <t>Control</t>
        </is>
      </c>
      <c r="E1341" s="9" t="inlineStr">
        <is>
          <t>R-WT</t>
        </is>
      </c>
      <c r="F1341" s="9" t="inlineStr">
        <is>
          <t>Water treatment building (incl. R-WT electrical room)</t>
        </is>
      </c>
      <c r="G1341" s="9" t="inlineStr"/>
      <c r="H1341" s="9" t="inlineStr">
        <is>
          <t>Fire pump house</t>
        </is>
      </c>
      <c r="I1341" s="9" t="inlineStr">
        <is>
          <t>Control</t>
        </is>
      </c>
      <c r="J1341" s="9" t="inlineStr">
        <is>
          <t>Control cable 600 V Type TC-ER, Cu #14 AWG, PVC jacket</t>
        </is>
      </c>
      <c r="K1341" s="9" t="inlineStr">
        <is>
          <t>CT|7/C|14</t>
        </is>
      </c>
      <c r="L1341" s="9" t="inlineStr">
        <is>
          <t>7/C</t>
        </is>
      </c>
      <c r="M1341" s="9" t="inlineStr">
        <is>
          <t>14</t>
        </is>
      </c>
      <c r="N1341" s="9" t="n">
        <v>1</v>
      </c>
      <c r="O1341" s="9" t="n">
        <v>1</v>
      </c>
      <c r="P1341" s="9" t="n"/>
      <c r="Q1341" s="9" t="n"/>
      <c r="R1341" s="9" t="n"/>
      <c r="S1341" s="9" t="inlineStr">
        <is>
          <t>Duct bank</t>
        </is>
      </c>
      <c r="T1341" s="10" t="n">
        <v>214</v>
      </c>
      <c r="U1341" s="10" t="n">
        <v>32</v>
      </c>
      <c r="V1341" s="10">
        <f>ROUNDUP((T1341+U1341+2*'Read Me'!$B$13)*(1+'Read Me'!$B$12),-1)</f>
        <v/>
      </c>
      <c r="W1341" s="10">
        <f>V1341*N1341*O1341</f>
        <v/>
      </c>
      <c r="X1341" s="9">
        <f>IF(LEFT(I1341,2)="MV",2*N1341*IF(L1341="1/C",O1341,1),0)</f>
        <v/>
      </c>
      <c r="Y1341" s="9">
        <f>IF(OR(LEFT(K1341,4)="LVAX",LEFT(K1341,6)="MV15AX",LEFT(K1341,4)="CTAX",LEFT(K1341,2)="W|"),2*N1341*O1341,0)</f>
        <v/>
      </c>
      <c r="Z1341" s="9" t="inlineStr"/>
    </row>
    <row r="1342">
      <c r="A1342" s="9" t="inlineStr">
        <is>
          <t>E-C-0005</t>
        </is>
      </c>
      <c r="B1342" s="9" t="inlineStr">
        <is>
          <t>E</t>
        </is>
      </c>
      <c r="C1342" s="9" t="inlineStr">
        <is>
          <t>Water / utilities</t>
        </is>
      </c>
      <c r="D1342" s="9" t="inlineStr">
        <is>
          <t>Control</t>
        </is>
      </c>
      <c r="E1342" s="9" t="inlineStr">
        <is>
          <t>R-WT</t>
        </is>
      </c>
      <c r="F1342" s="9" t="inlineStr">
        <is>
          <t>Water treatment building (incl. R-WT electrical room)</t>
        </is>
      </c>
      <c r="G1342" s="9" t="inlineStr"/>
      <c r="H1342" s="9" t="inlineStr">
        <is>
          <t>H2 / CO2 storage (generator gas)</t>
        </is>
      </c>
      <c r="I1342" s="9" t="inlineStr">
        <is>
          <t>Control</t>
        </is>
      </c>
      <c r="J1342" s="9" t="inlineStr">
        <is>
          <t>ARMOR-X MC-HL 600 V control, Cu #14 AWG (Class I Div 2)</t>
        </is>
      </c>
      <c r="K1342" s="9" t="inlineStr">
        <is>
          <t>CTAX|7/C|14</t>
        </is>
      </c>
      <c r="L1342" s="9" t="inlineStr">
        <is>
          <t>7/C</t>
        </is>
      </c>
      <c r="M1342" s="9" t="inlineStr">
        <is>
          <t>14</t>
        </is>
      </c>
      <c r="N1342" s="9" t="n">
        <v>1</v>
      </c>
      <c r="O1342" s="9" t="n">
        <v>1</v>
      </c>
      <c r="P1342" s="9" t="n"/>
      <c r="Q1342" s="9" t="n"/>
      <c r="R1342" s="9" t="n"/>
      <c r="S1342" s="9" t="inlineStr">
        <is>
          <t>Duct bank</t>
        </is>
      </c>
      <c r="T1342" s="10" t="n">
        <v>535</v>
      </c>
      <c r="U1342" s="10" t="n">
        <v>32</v>
      </c>
      <c r="V1342" s="10">
        <f>ROUNDUP((T1342+U1342+2*'Read Me'!$B$13)*(1+'Read Me'!$B$12),-1)</f>
        <v/>
      </c>
      <c r="W1342" s="10">
        <f>V1342*N1342*O1342</f>
        <v/>
      </c>
      <c r="X1342" s="9">
        <f>IF(LEFT(I1342,2)="MV",2*N1342*IF(L1342="1/C",O1342,1),0)</f>
        <v/>
      </c>
      <c r="Y1342" s="9">
        <f>IF(OR(LEFT(K1342,4)="LVAX",LEFT(K1342,6)="MV15AX",LEFT(K1342,4)="CTAX",LEFT(K1342,2)="W|"),2*N1342*O1342,0)</f>
        <v/>
      </c>
      <c r="Z1342" s="9" t="inlineStr"/>
    </row>
    <row r="1343">
      <c r="A1343" s="9" t="inlineStr">
        <is>
          <t>E-C-0006</t>
        </is>
      </c>
      <c r="B1343" s="9" t="inlineStr">
        <is>
          <t>E</t>
        </is>
      </c>
      <c r="C1343" s="9" t="inlineStr">
        <is>
          <t>Water / utilities</t>
        </is>
      </c>
      <c r="D1343" s="9" t="inlineStr">
        <is>
          <t>Control</t>
        </is>
      </c>
      <c r="E1343" s="9" t="inlineStr">
        <is>
          <t>R-WT</t>
        </is>
      </c>
      <c r="F1343" s="9" t="inlineStr">
        <is>
          <t>Water treatment building (incl. R-WT electrical room)</t>
        </is>
      </c>
      <c r="G1343" s="9" t="inlineStr">
        <is>
          <t>HTP-2</t>
        </is>
      </c>
      <c r="H1343" s="9" t="inlineStr">
        <is>
          <t>HTP-2: heat-trace panel (NH3)</t>
        </is>
      </c>
      <c r="I1343" s="9" t="inlineStr">
        <is>
          <t>Control</t>
        </is>
      </c>
      <c r="J1343" s="9" t="inlineStr">
        <is>
          <t>Control cable 600 V Type TC-ER, Cu #14 AWG, PVC jacket</t>
        </is>
      </c>
      <c r="K1343" s="9" t="inlineStr">
        <is>
          <t>CT|7/C|14</t>
        </is>
      </c>
      <c r="L1343" s="9" t="inlineStr">
        <is>
          <t>7/C</t>
        </is>
      </c>
      <c r="M1343" s="9" t="inlineStr">
        <is>
          <t>14</t>
        </is>
      </c>
      <c r="N1343" s="9" t="n">
        <v>1</v>
      </c>
      <c r="O1343" s="9" t="n">
        <v>1</v>
      </c>
      <c r="P1343" s="9" t="n"/>
      <c r="Q1343" s="9" t="n"/>
      <c r="R1343" s="9" t="n"/>
      <c r="S1343" s="9" t="inlineStr">
        <is>
          <t>Duct bank</t>
        </is>
      </c>
      <c r="T1343" s="10" t="n">
        <v>292</v>
      </c>
      <c r="U1343" s="10" t="n">
        <v>108</v>
      </c>
      <c r="V1343" s="10">
        <f>ROUNDUP((T1343+U1343+2*'Read Me'!$B$13)*(1+'Read Me'!$B$12),-1)</f>
        <v/>
      </c>
      <c r="W1343" s="10">
        <f>V1343*N1343*O1343</f>
        <v/>
      </c>
      <c r="X1343" s="9">
        <f>IF(LEFT(I1343,2)="MV",2*N1343*IF(L1343="1/C",O1343,1),0)</f>
        <v/>
      </c>
      <c r="Y1343" s="9">
        <f>IF(OR(LEFT(K1343,4)="LVAX",LEFT(K1343,6)="MV15AX",LEFT(K1343,4)="CTAX",LEFT(K1343,2)="W|"),2*N1343*O1343,0)</f>
        <v/>
      </c>
      <c r="Z1343" s="9" t="inlineStr"/>
    </row>
    <row r="1344">
      <c r="A1344" s="9" t="inlineStr">
        <is>
          <t>E-C-0007</t>
        </is>
      </c>
      <c r="B1344" s="9" t="inlineStr">
        <is>
          <t>E</t>
        </is>
      </c>
      <c r="C1344" s="9" t="inlineStr">
        <is>
          <t>Water / utilities</t>
        </is>
      </c>
      <c r="D1344" s="9" t="inlineStr">
        <is>
          <t>Control</t>
        </is>
      </c>
      <c r="E1344" s="9" t="inlineStr">
        <is>
          <t>R-WT</t>
        </is>
      </c>
      <c r="F1344" s="9" t="inlineStr">
        <is>
          <t>Water treatment building (incl. R-WT electrical room)</t>
        </is>
      </c>
      <c r="G1344" s="9" t="inlineStr">
        <is>
          <t>HTP-3</t>
        </is>
      </c>
      <c r="H1344" s="9" t="inlineStr">
        <is>
          <t>HTP-3: heat-trace panel (tanks)</t>
        </is>
      </c>
      <c r="I1344" s="9" t="inlineStr">
        <is>
          <t>Control</t>
        </is>
      </c>
      <c r="J1344" s="9" t="inlineStr">
        <is>
          <t>Control cable 600 V Type TC-ER, Cu #14 AWG, PVC jacket</t>
        </is>
      </c>
      <c r="K1344" s="9" t="inlineStr">
        <is>
          <t>CT|7/C|14</t>
        </is>
      </c>
      <c r="L1344" s="9" t="inlineStr">
        <is>
          <t>7/C</t>
        </is>
      </c>
      <c r="M1344" s="9" t="inlineStr">
        <is>
          <t>14</t>
        </is>
      </c>
      <c r="N1344" s="9" t="n">
        <v>1</v>
      </c>
      <c r="O1344" s="9" t="n">
        <v>1</v>
      </c>
      <c r="P1344" s="9" t="n"/>
      <c r="Q1344" s="9" t="n"/>
      <c r="R1344" s="9" t="n"/>
      <c r="S1344" s="9" t="inlineStr">
        <is>
          <t>Tray</t>
        </is>
      </c>
      <c r="T1344" s="10" t="n">
        <v>40</v>
      </c>
      <c r="U1344" s="10" t="n">
        <v>52</v>
      </c>
      <c r="V1344" s="10">
        <f>ROUNDUP((T1344+U1344+2*'Read Me'!$B$13)*(1+'Read Me'!$B$12),-1)</f>
        <v/>
      </c>
      <c r="W1344" s="10">
        <f>V1344*N1344*O1344</f>
        <v/>
      </c>
      <c r="X1344" s="9">
        <f>IF(LEFT(I1344,2)="MV",2*N1344*IF(L1344="1/C",O1344,1),0)</f>
        <v/>
      </c>
      <c r="Y1344" s="9">
        <f>IF(OR(LEFT(K1344,4)="LVAX",LEFT(K1344,6)="MV15AX",LEFT(K1344,4)="CTAX",LEFT(K1344,2)="W|"),2*N1344*O1344,0)</f>
        <v/>
      </c>
      <c r="Z1344" s="9" t="inlineStr"/>
    </row>
    <row r="1345">
      <c r="A1345" s="9" t="inlineStr">
        <is>
          <t>E-C-0008</t>
        </is>
      </c>
      <c r="B1345" s="9" t="inlineStr">
        <is>
          <t>E</t>
        </is>
      </c>
      <c r="C1345" s="9" t="inlineStr">
        <is>
          <t>Water / utilities</t>
        </is>
      </c>
      <c r="D1345" s="9" t="inlineStr">
        <is>
          <t>Control</t>
        </is>
      </c>
      <c r="E1345" s="9" t="inlineStr">
        <is>
          <t>R-WT</t>
        </is>
      </c>
      <c r="F1345" s="9" t="inlineStr">
        <is>
          <t>Water treatment building (incl. R-WT electrical room)</t>
        </is>
      </c>
      <c r="G1345" s="9" t="inlineStr"/>
      <c r="H1345" s="9" t="inlineStr">
        <is>
          <t>Wastewater treatment</t>
        </is>
      </c>
      <c r="I1345" s="9" t="inlineStr">
        <is>
          <t>Control</t>
        </is>
      </c>
      <c r="J1345" s="9" t="inlineStr">
        <is>
          <t>Control cable 600 V Type TC-ER, Cu #14 AWG, PVC jacket</t>
        </is>
      </c>
      <c r="K1345" s="9" t="inlineStr">
        <is>
          <t>CT|7/C|14</t>
        </is>
      </c>
      <c r="L1345" s="9" t="inlineStr">
        <is>
          <t>7/C</t>
        </is>
      </c>
      <c r="M1345" s="9" t="inlineStr">
        <is>
          <t>14</t>
        </is>
      </c>
      <c r="N1345" s="9" t="n">
        <v>1</v>
      </c>
      <c r="O1345" s="9" t="n">
        <v>1</v>
      </c>
      <c r="P1345" s="9" t="n"/>
      <c r="Q1345" s="9" t="n"/>
      <c r="R1345" s="9" t="n"/>
      <c r="S1345" s="9" t="inlineStr">
        <is>
          <t>Tray</t>
        </is>
      </c>
      <c r="T1345" s="10" t="n">
        <v>0</v>
      </c>
      <c r="U1345" s="10" t="n">
        <v>62</v>
      </c>
      <c r="V1345" s="10">
        <f>ROUNDUP((T1345+U1345+2*'Read Me'!$B$13)*(1+'Read Me'!$B$12),-1)</f>
        <v/>
      </c>
      <c r="W1345" s="10">
        <f>V1345*N1345*O1345</f>
        <v/>
      </c>
      <c r="X1345" s="9">
        <f>IF(LEFT(I1345,2)="MV",2*N1345*IF(L1345="1/C",O1345,1),0)</f>
        <v/>
      </c>
      <c r="Y1345" s="9">
        <f>IF(OR(LEFT(K1345,4)="LVAX",LEFT(K1345,6)="MV15AX",LEFT(K1345,4)="CTAX",LEFT(K1345,2)="W|"),2*N1345*O1345,0)</f>
        <v/>
      </c>
      <c r="Z1345" s="9" t="inlineStr"/>
    </row>
    <row r="1346">
      <c r="A1346" s="9" t="inlineStr">
        <is>
          <t>E-C-0009</t>
        </is>
      </c>
      <c r="B1346" s="9" t="inlineStr">
        <is>
          <t>E</t>
        </is>
      </c>
      <c r="C1346" s="9" t="inlineStr">
        <is>
          <t>Water / utilities</t>
        </is>
      </c>
      <c r="D1346" s="9" t="inlineStr">
        <is>
          <t>Control</t>
        </is>
      </c>
      <c r="E1346" s="9" t="inlineStr">
        <is>
          <t>R-WT</t>
        </is>
      </c>
      <c r="F1346" s="9" t="inlineStr">
        <is>
          <t>Water treatment building (incl. R-WT electrical room)</t>
        </is>
      </c>
      <c r="G1346" s="9" t="inlineStr">
        <is>
          <t>R-WT</t>
        </is>
      </c>
      <c r="H1346" s="9" t="inlineStr">
        <is>
          <t>Water treatment building (incl. R-WT electrical room)</t>
        </is>
      </c>
      <c r="I1346" s="9" t="inlineStr">
        <is>
          <t>Control</t>
        </is>
      </c>
      <c r="J1346" s="9" t="inlineStr">
        <is>
          <t>Control cable 600 V Type TC-ER, Cu #14 AWG, PVC jacket</t>
        </is>
      </c>
      <c r="K1346" s="9" t="inlineStr">
        <is>
          <t>CT|7/C|14</t>
        </is>
      </c>
      <c r="L1346" s="9" t="inlineStr">
        <is>
          <t>7/C</t>
        </is>
      </c>
      <c r="M1346" s="9" t="inlineStr">
        <is>
          <t>14</t>
        </is>
      </c>
      <c r="N1346" s="9" t="n">
        <v>1</v>
      </c>
      <c r="O1346" s="9" t="n">
        <v>1</v>
      </c>
      <c r="P1346" s="9" t="n"/>
      <c r="Q1346" s="9" t="n"/>
      <c r="R1346" s="9" t="n"/>
      <c r="S1346" s="9" t="inlineStr">
        <is>
          <t>Tray</t>
        </is>
      </c>
      <c r="T1346" s="10" t="n">
        <v>0</v>
      </c>
      <c r="U1346" s="10" t="n">
        <v>32</v>
      </c>
      <c r="V1346" s="10">
        <f>ROUNDUP((T1346+U1346+2*'Read Me'!$B$13)*(1+'Read Me'!$B$12),-1)</f>
        <v/>
      </c>
      <c r="W1346" s="10">
        <f>V1346*N1346*O1346</f>
        <v/>
      </c>
      <c r="X1346" s="9">
        <f>IF(LEFT(I1346,2)="MV",2*N1346*IF(L1346="1/C",O1346,1),0)</f>
        <v/>
      </c>
      <c r="Y1346" s="9">
        <f>IF(OR(LEFT(K1346,4)="LVAX",LEFT(K1346,6)="MV15AX",LEFT(K1346,4)="CTAX",LEFT(K1346,2)="W|"),2*N1346*O1346,0)</f>
        <v/>
      </c>
      <c r="Z1346" s="9" t="inlineStr"/>
    </row>
    <row r="1347">
      <c r="A1347" s="9" t="inlineStr">
        <is>
          <t>E-F-0001</t>
        </is>
      </c>
      <c r="B1347" s="9" t="inlineStr">
        <is>
          <t>E</t>
        </is>
      </c>
      <c r="C1347" s="9" t="inlineStr">
        <is>
          <t>Water / utilities</t>
        </is>
      </c>
      <c r="D1347" s="9" t="inlineStr">
        <is>
          <t>Plant network / DCS fibre</t>
        </is>
      </c>
      <c r="E1347" s="9" t="inlineStr">
        <is>
          <t>CR</t>
        </is>
      </c>
      <c r="F1347" s="9" t="inlineStr">
        <is>
          <t>Control / admin building (main control room)</t>
        </is>
      </c>
      <c r="G1347" s="9" t="inlineStr">
        <is>
          <t>R-WT</t>
        </is>
      </c>
      <c r="H1347" s="9" t="inlineStr">
        <is>
          <t>Water treatment building (incl. R-WT electrical room)</t>
        </is>
      </c>
      <c r="I1347" s="9" t="inlineStr">
        <is>
          <t>Fibre / data</t>
        </is>
      </c>
      <c r="J1347" s="9" t="inlineStr">
        <is>
          <t>Fibre optic, single-mode, 12-fibre, armored, orange jacket</t>
        </is>
      </c>
      <c r="K1347" s="9" t="inlineStr">
        <is>
          <t>FO|12 SM|-</t>
        </is>
      </c>
      <c r="L1347" s="9" t="inlineStr">
        <is>
          <t>12 SM</t>
        </is>
      </c>
      <c r="M1347" s="9" t="inlineStr">
        <is>
          <t>-</t>
        </is>
      </c>
      <c r="N1347" s="9" t="n">
        <v>1</v>
      </c>
      <c r="O1347" s="9" t="n">
        <v>1</v>
      </c>
      <c r="P1347" s="9" t="n"/>
      <c r="Q1347" s="9" t="n"/>
      <c r="R1347" s="9" t="n"/>
      <c r="S1347" s="9" t="inlineStr">
        <is>
          <t>Duct bank</t>
        </is>
      </c>
      <c r="T1347" s="10" t="n">
        <v>1194</v>
      </c>
      <c r="U1347" s="10" t="n">
        <v>32</v>
      </c>
      <c r="V1347" s="10">
        <f>ROUNDUP((T1347+U1347+2*'Read Me'!$B$13)*(1+'Read Me'!$B$12),-1)</f>
        <v/>
      </c>
      <c r="W1347" s="10">
        <f>V1347*N1347*O1347</f>
        <v/>
      </c>
      <c r="X1347" s="9">
        <f>IF(LEFT(I1347,2)="MV",2*N1347*IF(L1347="1/C",O1347,1),0)</f>
        <v/>
      </c>
      <c r="Y1347" s="9">
        <f>IF(OR(LEFT(K1347,4)="LVAX",LEFT(K1347,6)="MV15AX",LEFT(K1347,4)="CTAX",LEFT(K1347,2)="W|"),2*N1347*O1347,0)</f>
        <v/>
      </c>
      <c r="Z1347" s="9" t="inlineStr"/>
    </row>
    <row r="1348">
      <c r="A1348" s="9" t="inlineStr">
        <is>
          <t>E-FA-0001</t>
        </is>
      </c>
      <c r="B1348" s="9" t="inlineStr">
        <is>
          <t>E</t>
        </is>
      </c>
      <c r="C1348" s="9" t="inlineStr">
        <is>
          <t>Water / utilities</t>
        </is>
      </c>
      <c r="D1348" s="9" t="inlineStr">
        <is>
          <t>Fire alarm / F&amp;G loop (to the local FACP / F&amp;G node)</t>
        </is>
      </c>
      <c r="E1348" s="9" t="inlineStr">
        <is>
          <t>R-WT</t>
        </is>
      </c>
      <c r="F1348" s="9" t="inlineStr">
        <is>
          <t>Water treatment building (incl. R-WT electrical room)</t>
        </is>
      </c>
      <c r="G1348" s="9" t="inlineStr"/>
      <c r="H1348" s="9" t="inlineStr">
        <is>
          <t>Auxiliary boiler</t>
        </is>
      </c>
      <c r="I1348" s="9" t="inlineStr">
        <is>
          <t>Fire alarm</t>
        </is>
      </c>
      <c r="J1348" s="9" t="inlineStr">
        <is>
          <t>Fire alarm FPLR 2/C #14 shielded, red jacket (NEC 760)</t>
        </is>
      </c>
      <c r="K1348" s="9" t="inlineStr">
        <is>
          <t>FA|2/C|14</t>
        </is>
      </c>
      <c r="L1348" s="9" t="inlineStr">
        <is>
          <t>2/C</t>
        </is>
      </c>
      <c r="M1348" s="9" t="inlineStr">
        <is>
          <t>14</t>
        </is>
      </c>
      <c r="N1348" s="9" t="n">
        <v>1</v>
      </c>
      <c r="O1348" s="9" t="n">
        <v>1</v>
      </c>
      <c r="P1348" s="9" t="n"/>
      <c r="Q1348" s="9" t="n"/>
      <c r="R1348" s="9" t="n"/>
      <c r="S1348" s="9" t="inlineStr">
        <is>
          <t>Duct bank</t>
        </is>
      </c>
      <c r="T1348" s="10" t="n">
        <v>370</v>
      </c>
      <c r="U1348" s="10" t="n">
        <v>52</v>
      </c>
      <c r="V1348" s="10">
        <f>ROUNDUP((T1348+U1348+2*'Read Me'!$B$13)*(1+'Read Me'!$B$12),-1)</f>
        <v/>
      </c>
      <c r="W1348" s="10">
        <f>V1348*N1348*O1348</f>
        <v/>
      </c>
      <c r="X1348" s="9">
        <f>IF(LEFT(I1348,2)="MV",2*N1348*IF(L1348="1/C",O1348,1),0)</f>
        <v/>
      </c>
      <c r="Y1348" s="9">
        <f>IF(OR(LEFT(K1348,4)="LVAX",LEFT(K1348,6)="MV15AX",LEFT(K1348,4)="CTAX",LEFT(K1348,2)="W|"),2*N1348*O1348,0)</f>
        <v/>
      </c>
      <c r="Z1348" s="9" t="inlineStr"/>
    </row>
    <row r="1349">
      <c r="A1349" s="9" t="inlineStr">
        <is>
          <t>E-FA-0002</t>
        </is>
      </c>
      <c r="B1349" s="9" t="inlineStr">
        <is>
          <t>E</t>
        </is>
      </c>
      <c r="C1349" s="9" t="inlineStr">
        <is>
          <t>Water / utilities</t>
        </is>
      </c>
      <c r="D1349" s="9" t="inlineStr">
        <is>
          <t>Fire alarm / F&amp;G loop (to the local FACP / F&amp;G node)</t>
        </is>
      </c>
      <c r="E1349" s="9" t="inlineStr">
        <is>
          <t>R-WT</t>
        </is>
      </c>
      <c r="F1349" s="9" t="inlineStr">
        <is>
          <t>Water treatment building (incl. R-WT electrical room)</t>
        </is>
      </c>
      <c r="G1349" s="9" t="inlineStr"/>
      <c r="H1349" s="9" t="inlineStr">
        <is>
          <t>Fire pump house</t>
        </is>
      </c>
      <c r="I1349" s="9" t="inlineStr">
        <is>
          <t>Fire alarm</t>
        </is>
      </c>
      <c r="J1349" s="9" t="inlineStr">
        <is>
          <t>Fire alarm FPLR 2/C #14 shielded, red jacket (NEC 760)</t>
        </is>
      </c>
      <c r="K1349" s="9" t="inlineStr">
        <is>
          <t>FA|2/C|14</t>
        </is>
      </c>
      <c r="L1349" s="9" t="inlineStr">
        <is>
          <t>2/C</t>
        </is>
      </c>
      <c r="M1349" s="9" t="inlineStr">
        <is>
          <t>14</t>
        </is>
      </c>
      <c r="N1349" s="9" t="n">
        <v>1</v>
      </c>
      <c r="O1349" s="9" t="n">
        <v>1</v>
      </c>
      <c r="P1349" s="9" t="n"/>
      <c r="Q1349" s="9" t="n"/>
      <c r="R1349" s="9" t="n"/>
      <c r="S1349" s="9" t="inlineStr">
        <is>
          <t>Duct bank</t>
        </is>
      </c>
      <c r="T1349" s="10" t="n">
        <v>214</v>
      </c>
      <c r="U1349" s="10" t="n">
        <v>32</v>
      </c>
      <c r="V1349" s="10">
        <f>ROUNDUP((T1349+U1349+2*'Read Me'!$B$13)*(1+'Read Me'!$B$12),-1)</f>
        <v/>
      </c>
      <c r="W1349" s="10">
        <f>V1349*N1349*O1349</f>
        <v/>
      </c>
      <c r="X1349" s="9">
        <f>IF(LEFT(I1349,2)="MV",2*N1349*IF(L1349="1/C",O1349,1),0)</f>
        <v/>
      </c>
      <c r="Y1349" s="9">
        <f>IF(OR(LEFT(K1349,4)="LVAX",LEFT(K1349,6)="MV15AX",LEFT(K1349,4)="CTAX",LEFT(K1349,2)="W|"),2*N1349*O1349,0)</f>
        <v/>
      </c>
      <c r="Z1349" s="9" t="inlineStr"/>
    </row>
    <row r="1350">
      <c r="A1350" s="9" t="inlineStr">
        <is>
          <t>E-FA-0003</t>
        </is>
      </c>
      <c r="B1350" s="9" t="inlineStr">
        <is>
          <t>E</t>
        </is>
      </c>
      <c r="C1350" s="9" t="inlineStr">
        <is>
          <t>Water / utilities</t>
        </is>
      </c>
      <c r="D1350" s="9" t="inlineStr">
        <is>
          <t>Fire alarm / F&amp;G loop (to the local FACP / F&amp;G node)</t>
        </is>
      </c>
      <c r="E1350" s="9" t="inlineStr">
        <is>
          <t>R-WT</t>
        </is>
      </c>
      <c r="F1350" s="9" t="inlineStr">
        <is>
          <t>Water treatment building (incl. R-WT electrical room)</t>
        </is>
      </c>
      <c r="G1350" s="9" t="inlineStr">
        <is>
          <t>R-WT</t>
        </is>
      </c>
      <c r="H1350" s="9" t="inlineStr">
        <is>
          <t>Water treatment building (incl. R-WT electrical room)</t>
        </is>
      </c>
      <c r="I1350" s="9" t="inlineStr">
        <is>
          <t>Fire alarm</t>
        </is>
      </c>
      <c r="J1350" s="9" t="inlineStr">
        <is>
          <t>Fire alarm FPLR 2/C #14 shielded, red jacket (NEC 760)</t>
        </is>
      </c>
      <c r="K1350" s="9" t="inlineStr">
        <is>
          <t>FA|2/C|14</t>
        </is>
      </c>
      <c r="L1350" s="9" t="inlineStr">
        <is>
          <t>2/C</t>
        </is>
      </c>
      <c r="M1350" s="9" t="inlineStr">
        <is>
          <t>14</t>
        </is>
      </c>
      <c r="N1350" s="9" t="n">
        <v>1</v>
      </c>
      <c r="O1350" s="9" t="n">
        <v>1</v>
      </c>
      <c r="P1350" s="9" t="n"/>
      <c r="Q1350" s="9" t="n"/>
      <c r="R1350" s="9" t="n"/>
      <c r="S1350" s="9" t="inlineStr">
        <is>
          <t>Tray</t>
        </is>
      </c>
      <c r="T1350" s="10" t="n">
        <v>0</v>
      </c>
      <c r="U1350" s="10" t="n">
        <v>32</v>
      </c>
      <c r="V1350" s="10">
        <f>ROUNDUP((T1350+U1350+2*'Read Me'!$B$13)*(1+'Read Me'!$B$12),-1)</f>
        <v/>
      </c>
      <c r="W1350" s="10">
        <f>V1350*N1350*O1350</f>
        <v/>
      </c>
      <c r="X1350" s="9">
        <f>IF(LEFT(I1350,2)="MV",2*N1350*IF(L1350="1/C",O1350,1),0)</f>
        <v/>
      </c>
      <c r="Y1350" s="9">
        <f>IF(OR(LEFT(K1350,4)="LVAX",LEFT(K1350,6)="MV15AX",LEFT(K1350,4)="CTAX",LEFT(K1350,2)="W|"),2*N1350*O1350,0)</f>
        <v/>
      </c>
      <c r="Z1350" s="9" t="inlineStr"/>
    </row>
    <row r="1351">
      <c r="A1351" s="9" t="inlineStr">
        <is>
          <t>E-I-0001</t>
        </is>
      </c>
      <c r="B1351" s="9" t="inlineStr">
        <is>
          <t>E</t>
        </is>
      </c>
      <c r="C1351" s="9" t="inlineStr">
        <is>
          <t>Water / utilities</t>
        </is>
      </c>
      <c r="D1351" s="9" t="inlineStr">
        <is>
          <t>Instrumentation</t>
        </is>
      </c>
      <c r="E1351" s="9" t="inlineStr">
        <is>
          <t>R-WT</t>
        </is>
      </c>
      <c r="F1351" s="9" t="inlineStr">
        <is>
          <t>Water treatment building (incl. R-WT electrical room)</t>
        </is>
      </c>
      <c r="G1351" s="9" t="inlineStr"/>
      <c r="H1351" s="9" t="inlineStr">
        <is>
          <t>Ammonia storage (aqueous, SCR reagent)</t>
        </is>
      </c>
      <c r="I1351" s="9" t="inlineStr">
        <is>
          <t>Instrumentation</t>
        </is>
      </c>
      <c r="J1351" s="9" t="inlineStr">
        <is>
          <t>Instrumentation PLTC / TC-ER 300 V, #18 twisted shielded pairs, overall shield</t>
        </is>
      </c>
      <c r="K1351" s="9" t="inlineStr">
        <is>
          <t>PLTC|4 pr|18</t>
        </is>
      </c>
      <c r="L1351" s="9" t="inlineStr">
        <is>
          <t>4 pr</t>
        </is>
      </c>
      <c r="M1351" s="9" t="inlineStr">
        <is>
          <t>18</t>
        </is>
      </c>
      <c r="N1351" s="9" t="n">
        <v>1</v>
      </c>
      <c r="O1351" s="9" t="n">
        <v>1</v>
      </c>
      <c r="P1351" s="9" t="n"/>
      <c r="Q1351" s="9" t="n"/>
      <c r="R1351" s="9" t="n"/>
      <c r="S1351" s="9" t="inlineStr">
        <is>
          <t>Duct bank</t>
        </is>
      </c>
      <c r="T1351" s="10" t="n">
        <v>292</v>
      </c>
      <c r="U1351" s="10" t="n">
        <v>32</v>
      </c>
      <c r="V1351" s="10">
        <f>ROUNDUP((T1351+U1351+2*'Read Me'!$B$13)*(1+'Read Me'!$B$12),-1)</f>
        <v/>
      </c>
      <c r="W1351" s="10">
        <f>V1351*N1351*O1351</f>
        <v/>
      </c>
      <c r="X1351" s="9">
        <f>IF(LEFT(I1351,2)="MV",2*N1351*IF(L1351="1/C",O1351,1),0)</f>
        <v/>
      </c>
      <c r="Y1351" s="9">
        <f>IF(OR(LEFT(K1351,4)="LVAX",LEFT(K1351,6)="MV15AX",LEFT(K1351,4)="CTAX",LEFT(K1351,2)="W|"),2*N1351*O1351,0)</f>
        <v/>
      </c>
      <c r="Z1351" s="9" t="inlineStr"/>
    </row>
    <row r="1352">
      <c r="A1352" s="9" t="inlineStr">
        <is>
          <t>E-I-0002</t>
        </is>
      </c>
      <c r="B1352" s="9" t="inlineStr">
        <is>
          <t>E</t>
        </is>
      </c>
      <c r="C1352" s="9" t="inlineStr">
        <is>
          <t>Water / utilities</t>
        </is>
      </c>
      <c r="D1352" s="9" t="inlineStr">
        <is>
          <t>Instrumentation</t>
        </is>
      </c>
      <c r="E1352" s="9" t="inlineStr">
        <is>
          <t>R-WT</t>
        </is>
      </c>
      <c r="F1352" s="9" t="inlineStr">
        <is>
          <t>Water treatment building (incl. R-WT electrical room)</t>
        </is>
      </c>
      <c r="G1352" s="9" t="inlineStr"/>
      <c r="H1352" s="9" t="inlineStr">
        <is>
          <t>Auxiliary boiler</t>
        </is>
      </c>
      <c r="I1352" s="9" t="inlineStr">
        <is>
          <t>Instrumentation</t>
        </is>
      </c>
      <c r="J1352" s="9" t="inlineStr">
        <is>
          <t>Instrumentation PLTC / TC-ER 300 V, #18 twisted shielded pairs, overall shield</t>
        </is>
      </c>
      <c r="K1352" s="9" t="inlineStr">
        <is>
          <t>PLTC|4 pr|18</t>
        </is>
      </c>
      <c r="L1352" s="9" t="inlineStr">
        <is>
          <t>4 pr</t>
        </is>
      </c>
      <c r="M1352" s="9" t="inlineStr">
        <is>
          <t>18</t>
        </is>
      </c>
      <c r="N1352" s="9" t="n">
        <v>1</v>
      </c>
      <c r="O1352" s="9" t="n">
        <v>1</v>
      </c>
      <c r="P1352" s="9" t="n"/>
      <c r="Q1352" s="9" t="n"/>
      <c r="R1352" s="9" t="n"/>
      <c r="S1352" s="9" t="inlineStr">
        <is>
          <t>Duct bank</t>
        </is>
      </c>
      <c r="T1352" s="10" t="n">
        <v>370</v>
      </c>
      <c r="U1352" s="10" t="n">
        <v>52</v>
      </c>
      <c r="V1352" s="10">
        <f>ROUNDUP((T1352+U1352+2*'Read Me'!$B$13)*(1+'Read Me'!$B$12),-1)</f>
        <v/>
      </c>
      <c r="W1352" s="10">
        <f>V1352*N1352*O1352</f>
        <v/>
      </c>
      <c r="X1352" s="9">
        <f>IF(LEFT(I1352,2)="MV",2*N1352*IF(L1352="1/C",O1352,1),0)</f>
        <v/>
      </c>
      <c r="Y1352" s="9">
        <f>IF(OR(LEFT(K1352,4)="LVAX",LEFT(K1352,6)="MV15AX",LEFT(K1352,4)="CTAX",LEFT(K1352,2)="W|"),2*N1352*O1352,0)</f>
        <v/>
      </c>
      <c r="Z1352" s="9" t="inlineStr"/>
    </row>
    <row r="1353">
      <c r="A1353" s="9" t="inlineStr">
        <is>
          <t>E-I-0003</t>
        </is>
      </c>
      <c r="B1353" s="9" t="inlineStr">
        <is>
          <t>E</t>
        </is>
      </c>
      <c r="C1353" s="9" t="inlineStr">
        <is>
          <t>Water / utilities</t>
        </is>
      </c>
      <c r="D1353" s="9" t="inlineStr">
        <is>
          <t>Instrumentation</t>
        </is>
      </c>
      <c r="E1353" s="9" t="inlineStr">
        <is>
          <t>R-WT</t>
        </is>
      </c>
      <c r="F1353" s="9" t="inlineStr">
        <is>
          <t>Water treatment building (incl. R-WT electrical room)</t>
        </is>
      </c>
      <c r="G1353" s="9" t="inlineStr">
        <is>
          <t>CPR-2</t>
        </is>
      </c>
      <c r="H1353" s="9" t="inlineStr">
        <is>
          <t>CPR-2: cathodic-protection rectifier</t>
        </is>
      </c>
      <c r="I1353" s="9" t="inlineStr">
        <is>
          <t>Instrumentation</t>
        </is>
      </c>
      <c r="J1353" s="9" t="inlineStr">
        <is>
          <t>Instrumentation PLTC / TC-ER 300 V, #18 twisted shielded pairs, overall shield</t>
        </is>
      </c>
      <c r="K1353" s="9" t="inlineStr">
        <is>
          <t>PLTC|4 pr|18</t>
        </is>
      </c>
      <c r="L1353" s="9" t="inlineStr">
        <is>
          <t>4 pr</t>
        </is>
      </c>
      <c r="M1353" s="9" t="inlineStr">
        <is>
          <t>18</t>
        </is>
      </c>
      <c r="N1353" s="9" t="n">
        <v>1</v>
      </c>
      <c r="O1353" s="9" t="n">
        <v>1</v>
      </c>
      <c r="P1353" s="9" t="n"/>
      <c r="Q1353" s="9" t="n"/>
      <c r="R1353" s="9" t="n"/>
      <c r="S1353" s="9" t="inlineStr">
        <is>
          <t>Conduit link</t>
        </is>
      </c>
      <c r="T1353" s="10" t="n">
        <v>169</v>
      </c>
      <c r="U1353" s="10" t="n">
        <v>32</v>
      </c>
      <c r="V1353" s="10">
        <f>ROUNDUP((T1353+U1353+2*'Read Me'!$B$13)*(1+'Read Me'!$B$12),-1)</f>
        <v/>
      </c>
      <c r="W1353" s="10">
        <f>V1353*N1353*O1353</f>
        <v/>
      </c>
      <c r="X1353" s="9">
        <f>IF(LEFT(I1353,2)="MV",2*N1353*IF(L1353="1/C",O1353,1),0)</f>
        <v/>
      </c>
      <c r="Y1353" s="9">
        <f>IF(OR(LEFT(K1353,4)="LVAX",LEFT(K1353,6)="MV15AX",LEFT(K1353,4)="CTAX",LEFT(K1353,2)="W|"),2*N1353*O1353,0)</f>
        <v/>
      </c>
      <c r="Z1353" s="9" t="inlineStr"/>
    </row>
    <row r="1354">
      <c r="A1354" s="9" t="inlineStr">
        <is>
          <t>E-I-0004</t>
        </is>
      </c>
      <c r="B1354" s="9" t="inlineStr">
        <is>
          <t>E</t>
        </is>
      </c>
      <c r="C1354" s="9" t="inlineStr">
        <is>
          <t>Water / utilities</t>
        </is>
      </c>
      <c r="D1354" s="9" t="inlineStr">
        <is>
          <t>Instrumentation</t>
        </is>
      </c>
      <c r="E1354" s="9" t="inlineStr">
        <is>
          <t>R-WT</t>
        </is>
      </c>
      <c r="F1354" s="9" t="inlineStr">
        <is>
          <t>Water treatment building (incl. R-WT electrical room)</t>
        </is>
      </c>
      <c r="G1354" s="9" t="inlineStr"/>
      <c r="H1354" s="9" t="inlineStr">
        <is>
          <t>Demineralised water tank</t>
        </is>
      </c>
      <c r="I1354" s="9" t="inlineStr">
        <is>
          <t>Instrumentation</t>
        </is>
      </c>
      <c r="J1354" s="9" t="inlineStr">
        <is>
          <t>Instrumentation PLTC / TC-ER 300 V, #18 twisted shielded pairs, overall shield</t>
        </is>
      </c>
      <c r="K1354" s="9" t="inlineStr">
        <is>
          <t>PLTC|4 pr|18</t>
        </is>
      </c>
      <c r="L1354" s="9" t="inlineStr">
        <is>
          <t>4 pr</t>
        </is>
      </c>
      <c r="M1354" s="9" t="inlineStr">
        <is>
          <t>18</t>
        </is>
      </c>
      <c r="N1354" s="9" t="n">
        <v>1</v>
      </c>
      <c r="O1354" s="9" t="n">
        <v>1</v>
      </c>
      <c r="P1354" s="9" t="n"/>
      <c r="Q1354" s="9" t="n"/>
      <c r="R1354" s="9" t="n"/>
      <c r="S1354" s="9" t="inlineStr">
        <is>
          <t>Tray</t>
        </is>
      </c>
      <c r="T1354" s="10" t="n">
        <v>40</v>
      </c>
      <c r="U1354" s="10" t="n">
        <v>79</v>
      </c>
      <c r="V1354" s="10">
        <f>ROUNDUP((T1354+U1354+2*'Read Me'!$B$13)*(1+'Read Me'!$B$12),-1)</f>
        <v/>
      </c>
      <c r="W1354" s="10">
        <f>V1354*N1354*O1354</f>
        <v/>
      </c>
      <c r="X1354" s="9">
        <f>IF(LEFT(I1354,2)="MV",2*N1354*IF(L1354="1/C",O1354,1),0)</f>
        <v/>
      </c>
      <c r="Y1354" s="9">
        <f>IF(OR(LEFT(K1354,4)="LVAX",LEFT(K1354,6)="MV15AX",LEFT(K1354,4)="CTAX",LEFT(K1354,2)="W|"),2*N1354*O1354,0)</f>
        <v/>
      </c>
      <c r="Z1354" s="9" t="inlineStr"/>
    </row>
    <row r="1355">
      <c r="A1355" s="9" t="inlineStr">
        <is>
          <t>E-I-0005</t>
        </is>
      </c>
      <c r="B1355" s="9" t="inlineStr">
        <is>
          <t>E</t>
        </is>
      </c>
      <c r="C1355" s="9" t="inlineStr">
        <is>
          <t>Water / utilities</t>
        </is>
      </c>
      <c r="D1355" s="9" t="inlineStr">
        <is>
          <t>Instrumentation</t>
        </is>
      </c>
      <c r="E1355" s="9" t="inlineStr">
        <is>
          <t>R-WT</t>
        </is>
      </c>
      <c r="F1355" s="9" t="inlineStr">
        <is>
          <t>Water treatment building (incl. R-WT electrical room)</t>
        </is>
      </c>
      <c r="G1355" s="9" t="inlineStr"/>
      <c r="H1355" s="9" t="inlineStr">
        <is>
          <t>Demineralised water tank</t>
        </is>
      </c>
      <c r="I1355" s="9" t="inlineStr">
        <is>
          <t>Instrumentation</t>
        </is>
      </c>
      <c r="J1355" s="9" t="inlineStr">
        <is>
          <t>Instrumentation PLTC / TC-ER 300 V, #18 twisted shielded pairs, overall shield</t>
        </is>
      </c>
      <c r="K1355" s="9" t="inlineStr">
        <is>
          <t>PLTC|12 pr|18</t>
        </is>
      </c>
      <c r="L1355" s="9" t="inlineStr">
        <is>
          <t>12 pr</t>
        </is>
      </c>
      <c r="M1355" s="9" t="inlineStr">
        <is>
          <t>18</t>
        </is>
      </c>
      <c r="N1355" s="9" t="n">
        <v>1</v>
      </c>
      <c r="O1355" s="9" t="n">
        <v>1</v>
      </c>
      <c r="P1355" s="9" t="n"/>
      <c r="Q1355" s="9" t="n"/>
      <c r="R1355" s="9" t="n"/>
      <c r="S1355" s="9" t="inlineStr">
        <is>
          <t>Tray</t>
        </is>
      </c>
      <c r="T1355" s="10" t="n">
        <v>40</v>
      </c>
      <c r="U1355" s="10" t="n">
        <v>79</v>
      </c>
      <c r="V1355" s="10">
        <f>ROUNDUP((T1355+U1355+2*'Read Me'!$B$13)*(1+'Read Me'!$B$12),-1)</f>
        <v/>
      </c>
      <c r="W1355" s="10">
        <f>V1355*N1355*O1355</f>
        <v/>
      </c>
      <c r="X1355" s="9">
        <f>IF(LEFT(I1355,2)="MV",2*N1355*IF(L1355="1/C",O1355,1),0)</f>
        <v/>
      </c>
      <c r="Y1355" s="9">
        <f>IF(OR(LEFT(K1355,4)="LVAX",LEFT(K1355,6)="MV15AX",LEFT(K1355,4)="CTAX",LEFT(K1355,2)="W|"),2*N1355*O1355,0)</f>
        <v/>
      </c>
      <c r="Z1355" s="9" t="inlineStr"/>
    </row>
    <row r="1356">
      <c r="A1356" s="9" t="inlineStr">
        <is>
          <t>E-I-0006</t>
        </is>
      </c>
      <c r="B1356" s="9" t="inlineStr">
        <is>
          <t>E</t>
        </is>
      </c>
      <c r="C1356" s="9" t="inlineStr">
        <is>
          <t>Water / utilities</t>
        </is>
      </c>
      <c r="D1356" s="9" t="inlineStr">
        <is>
          <t>Instrumentation</t>
        </is>
      </c>
      <c r="E1356" s="9" t="inlineStr">
        <is>
          <t>R-WT</t>
        </is>
      </c>
      <c r="F1356" s="9" t="inlineStr">
        <is>
          <t>Water treatment building (incl. R-WT electrical room)</t>
        </is>
      </c>
      <c r="G1356" s="9" t="inlineStr"/>
      <c r="H1356" s="9" t="inlineStr">
        <is>
          <t>Fire / service water tank</t>
        </is>
      </c>
      <c r="I1356" s="9" t="inlineStr">
        <is>
          <t>Instrumentation</t>
        </is>
      </c>
      <c r="J1356" s="9" t="inlineStr">
        <is>
          <t>Instrumentation PLTC / TC-ER 300 V, #18 twisted shielded pairs, overall shield</t>
        </is>
      </c>
      <c r="K1356" s="9" t="inlineStr">
        <is>
          <t>PLTC|4 pr|18</t>
        </is>
      </c>
      <c r="L1356" s="9" t="inlineStr">
        <is>
          <t>4 pr</t>
        </is>
      </c>
      <c r="M1356" s="9" t="inlineStr">
        <is>
          <t>18</t>
        </is>
      </c>
      <c r="N1356" s="9" t="n">
        <v>1</v>
      </c>
      <c r="O1356" s="9" t="n">
        <v>1</v>
      </c>
      <c r="P1356" s="9" t="n"/>
      <c r="Q1356" s="9" t="n"/>
      <c r="R1356" s="9" t="n"/>
      <c r="S1356" s="9" t="inlineStr">
        <is>
          <t>Tray</t>
        </is>
      </c>
      <c r="T1356" s="10" t="n">
        <v>20</v>
      </c>
      <c r="U1356" s="10" t="n">
        <v>120</v>
      </c>
      <c r="V1356" s="10">
        <f>ROUNDUP((T1356+U1356+2*'Read Me'!$B$13)*(1+'Read Me'!$B$12),-1)</f>
        <v/>
      </c>
      <c r="W1356" s="10">
        <f>V1356*N1356*O1356</f>
        <v/>
      </c>
      <c r="X1356" s="9">
        <f>IF(LEFT(I1356,2)="MV",2*N1356*IF(L1356="1/C",O1356,1),0)</f>
        <v/>
      </c>
      <c r="Y1356" s="9">
        <f>IF(OR(LEFT(K1356,4)="LVAX",LEFT(K1356,6)="MV15AX",LEFT(K1356,4)="CTAX",LEFT(K1356,2)="W|"),2*N1356*O1356,0)</f>
        <v/>
      </c>
      <c r="Z1356" s="9" t="inlineStr"/>
    </row>
    <row r="1357">
      <c r="A1357" s="9" t="inlineStr">
        <is>
          <t>E-I-0007</t>
        </is>
      </c>
      <c r="B1357" s="9" t="inlineStr">
        <is>
          <t>E</t>
        </is>
      </c>
      <c r="C1357" s="9" t="inlineStr">
        <is>
          <t>Water / utilities</t>
        </is>
      </c>
      <c r="D1357" s="9" t="inlineStr">
        <is>
          <t>Instrumentation</t>
        </is>
      </c>
      <c r="E1357" s="9" t="inlineStr">
        <is>
          <t>R-WT</t>
        </is>
      </c>
      <c r="F1357" s="9" t="inlineStr">
        <is>
          <t>Water treatment building (incl. R-WT electrical room)</t>
        </is>
      </c>
      <c r="G1357" s="9" t="inlineStr"/>
      <c r="H1357" s="9" t="inlineStr">
        <is>
          <t>Fire / service water tank</t>
        </is>
      </c>
      <c r="I1357" s="9" t="inlineStr">
        <is>
          <t>Instrumentation</t>
        </is>
      </c>
      <c r="J1357" s="9" t="inlineStr">
        <is>
          <t>Instrumentation PLTC / TC-ER 300 V, #18 twisted shielded pairs, overall shield</t>
        </is>
      </c>
      <c r="K1357" s="9" t="inlineStr">
        <is>
          <t>PLTC|12 pr|18</t>
        </is>
      </c>
      <c r="L1357" s="9" t="inlineStr">
        <is>
          <t>12 pr</t>
        </is>
      </c>
      <c r="M1357" s="9" t="inlineStr">
        <is>
          <t>18</t>
        </is>
      </c>
      <c r="N1357" s="9" t="n">
        <v>1</v>
      </c>
      <c r="O1357" s="9" t="n">
        <v>1</v>
      </c>
      <c r="P1357" s="9" t="n"/>
      <c r="Q1357" s="9" t="n"/>
      <c r="R1357" s="9" t="n"/>
      <c r="S1357" s="9" t="inlineStr">
        <is>
          <t>Tray</t>
        </is>
      </c>
      <c r="T1357" s="10" t="n">
        <v>20</v>
      </c>
      <c r="U1357" s="10" t="n">
        <v>120</v>
      </c>
      <c r="V1357" s="10">
        <f>ROUNDUP((T1357+U1357+2*'Read Me'!$B$13)*(1+'Read Me'!$B$12),-1)</f>
        <v/>
      </c>
      <c r="W1357" s="10">
        <f>V1357*N1357*O1357</f>
        <v/>
      </c>
      <c r="X1357" s="9">
        <f>IF(LEFT(I1357,2)="MV",2*N1357*IF(L1357="1/C",O1357,1),0)</f>
        <v/>
      </c>
      <c r="Y1357" s="9">
        <f>IF(OR(LEFT(K1357,4)="LVAX",LEFT(K1357,6)="MV15AX",LEFT(K1357,4)="CTAX",LEFT(K1357,2)="W|"),2*N1357*O1357,0)</f>
        <v/>
      </c>
      <c r="Z1357" s="9" t="inlineStr"/>
    </row>
    <row r="1358">
      <c r="A1358" s="9" t="inlineStr">
        <is>
          <t>E-I-0008</t>
        </is>
      </c>
      <c r="B1358" s="9" t="inlineStr">
        <is>
          <t>E</t>
        </is>
      </c>
      <c r="C1358" s="9" t="inlineStr">
        <is>
          <t>Water / utilities</t>
        </is>
      </c>
      <c r="D1358" s="9" t="inlineStr">
        <is>
          <t>Instrumentation</t>
        </is>
      </c>
      <c r="E1358" s="9" t="inlineStr">
        <is>
          <t>R-WT</t>
        </is>
      </c>
      <c r="F1358" s="9" t="inlineStr">
        <is>
          <t>Water treatment building (incl. R-WT electrical room)</t>
        </is>
      </c>
      <c r="G1358" s="9" t="inlineStr"/>
      <c r="H1358" s="9" t="inlineStr">
        <is>
          <t>H2 / CO2 storage (generator gas)</t>
        </is>
      </c>
      <c r="I1358" s="9" t="inlineStr">
        <is>
          <t>Instrumentation</t>
        </is>
      </c>
      <c r="J1358" s="9" t="inlineStr">
        <is>
          <t>Instrumentation ITC / PLTC, IS, #18 shielded pairs, blue jacket</t>
        </is>
      </c>
      <c r="K1358" s="9" t="inlineStr">
        <is>
          <t>ITC|4 pr|18</t>
        </is>
      </c>
      <c r="L1358" s="9" t="inlineStr">
        <is>
          <t>4 pr</t>
        </is>
      </c>
      <c r="M1358" s="9" t="inlineStr">
        <is>
          <t>18</t>
        </is>
      </c>
      <c r="N1358" s="9" t="n">
        <v>1</v>
      </c>
      <c r="O1358" s="9" t="n">
        <v>1</v>
      </c>
      <c r="P1358" s="9" t="n"/>
      <c r="Q1358" s="9" t="n"/>
      <c r="R1358" s="9" t="n"/>
      <c r="S1358" s="9" t="inlineStr">
        <is>
          <t>Duct bank</t>
        </is>
      </c>
      <c r="T1358" s="10" t="n">
        <v>535</v>
      </c>
      <c r="U1358" s="10" t="n">
        <v>32</v>
      </c>
      <c r="V1358" s="10">
        <f>ROUNDUP((T1358+U1358+2*'Read Me'!$B$13)*(1+'Read Me'!$B$12),-1)</f>
        <v/>
      </c>
      <c r="W1358" s="10">
        <f>V1358*N1358*O1358</f>
        <v/>
      </c>
      <c r="X1358" s="9">
        <f>IF(LEFT(I1358,2)="MV",2*N1358*IF(L1358="1/C",O1358,1),0)</f>
        <v/>
      </c>
      <c r="Y1358" s="9">
        <f>IF(OR(LEFT(K1358,4)="LVAX",LEFT(K1358,6)="MV15AX",LEFT(K1358,4)="CTAX",LEFT(K1358,2)="W|"),2*N1358*O1358,0)</f>
        <v/>
      </c>
      <c r="Z1358" s="9" t="inlineStr"/>
    </row>
    <row r="1359">
      <c r="A1359" s="9" t="inlineStr">
        <is>
          <t>E-I-0009</t>
        </is>
      </c>
      <c r="B1359" s="9" t="inlineStr">
        <is>
          <t>E</t>
        </is>
      </c>
      <c r="C1359" s="9" t="inlineStr">
        <is>
          <t>Water / utilities</t>
        </is>
      </c>
      <c r="D1359" s="9" t="inlineStr">
        <is>
          <t>Instrumentation</t>
        </is>
      </c>
      <c r="E1359" s="9" t="inlineStr">
        <is>
          <t>R-WT</t>
        </is>
      </c>
      <c r="F1359" s="9" t="inlineStr">
        <is>
          <t>Water treatment building (incl. R-WT electrical room)</t>
        </is>
      </c>
      <c r="G1359" s="9" t="inlineStr"/>
      <c r="H1359" s="9" t="inlineStr">
        <is>
          <t>Oil-water separator</t>
        </is>
      </c>
      <c r="I1359" s="9" t="inlineStr">
        <is>
          <t>Instrumentation</t>
        </is>
      </c>
      <c r="J1359" s="9" t="inlineStr">
        <is>
          <t>Instrumentation PLTC / TC-ER 300 V, #18 twisted shielded pairs, overall shield</t>
        </is>
      </c>
      <c r="K1359" s="9" t="inlineStr">
        <is>
          <t>PLTC|4 pr|18</t>
        </is>
      </c>
      <c r="L1359" s="9" t="inlineStr">
        <is>
          <t>4 pr</t>
        </is>
      </c>
      <c r="M1359" s="9" t="inlineStr">
        <is>
          <t>18</t>
        </is>
      </c>
      <c r="N1359" s="9" t="n">
        <v>1</v>
      </c>
      <c r="O1359" s="9" t="n">
        <v>1</v>
      </c>
      <c r="P1359" s="9" t="n"/>
      <c r="Q1359" s="9" t="n"/>
      <c r="R1359" s="9" t="n"/>
      <c r="S1359" s="9" t="inlineStr">
        <is>
          <t>Duct bank</t>
        </is>
      </c>
      <c r="T1359" s="10" t="n">
        <v>655</v>
      </c>
      <c r="U1359" s="10" t="n">
        <v>32</v>
      </c>
      <c r="V1359" s="10">
        <f>ROUNDUP((T1359+U1359+2*'Read Me'!$B$13)*(1+'Read Me'!$B$12),-1)</f>
        <v/>
      </c>
      <c r="W1359" s="10">
        <f>V1359*N1359*O1359</f>
        <v/>
      </c>
      <c r="X1359" s="9">
        <f>IF(LEFT(I1359,2)="MV",2*N1359*IF(L1359="1/C",O1359,1),0)</f>
        <v/>
      </c>
      <c r="Y1359" s="9">
        <f>IF(OR(LEFT(K1359,4)="LVAX",LEFT(K1359,6)="MV15AX",LEFT(K1359,4)="CTAX",LEFT(K1359,2)="W|"),2*N1359*O1359,0)</f>
        <v/>
      </c>
      <c r="Z1359" s="9" t="inlineStr"/>
    </row>
    <row r="1360">
      <c r="A1360" s="9" t="inlineStr">
        <is>
          <t>E-I-0010</t>
        </is>
      </c>
      <c r="B1360" s="9" t="inlineStr">
        <is>
          <t>E</t>
        </is>
      </c>
      <c r="C1360" s="9" t="inlineStr">
        <is>
          <t>Water / utilities</t>
        </is>
      </c>
      <c r="D1360" s="9" t="inlineStr">
        <is>
          <t>Instrumentation</t>
        </is>
      </c>
      <c r="E1360" s="9" t="inlineStr">
        <is>
          <t>R-WT</t>
        </is>
      </c>
      <c r="F1360" s="9" t="inlineStr">
        <is>
          <t>Water treatment building (incl. R-WT electrical room)</t>
        </is>
      </c>
      <c r="G1360" s="9" t="inlineStr"/>
      <c r="H1360" s="9" t="inlineStr">
        <is>
          <t>Oil-water separator</t>
        </is>
      </c>
      <c r="I1360" s="9" t="inlineStr">
        <is>
          <t>Instrumentation</t>
        </is>
      </c>
      <c r="J1360" s="9" t="inlineStr">
        <is>
          <t>Instrumentation PLTC / TC-ER 300 V, #18 twisted shielded pairs, overall shield</t>
        </is>
      </c>
      <c r="K1360" s="9" t="inlineStr">
        <is>
          <t>PLTC|12 pr|18</t>
        </is>
      </c>
      <c r="L1360" s="9" t="inlineStr">
        <is>
          <t>12 pr</t>
        </is>
      </c>
      <c r="M1360" s="9" t="inlineStr">
        <is>
          <t>18</t>
        </is>
      </c>
      <c r="N1360" s="9" t="n">
        <v>1</v>
      </c>
      <c r="O1360" s="9" t="n">
        <v>1</v>
      </c>
      <c r="P1360" s="9" t="n"/>
      <c r="Q1360" s="9" t="n"/>
      <c r="R1360" s="9" t="n"/>
      <c r="S1360" s="9" t="inlineStr">
        <is>
          <t>Duct bank</t>
        </is>
      </c>
      <c r="T1360" s="10" t="n">
        <v>655</v>
      </c>
      <c r="U1360" s="10" t="n">
        <v>32</v>
      </c>
      <c r="V1360" s="10">
        <f>ROUNDUP((T1360+U1360+2*'Read Me'!$B$13)*(1+'Read Me'!$B$12),-1)</f>
        <v/>
      </c>
      <c r="W1360" s="10">
        <f>V1360*N1360*O1360</f>
        <v/>
      </c>
      <c r="X1360" s="9">
        <f>IF(LEFT(I1360,2)="MV",2*N1360*IF(L1360="1/C",O1360,1),0)</f>
        <v/>
      </c>
      <c r="Y1360" s="9">
        <f>IF(OR(LEFT(K1360,4)="LVAX",LEFT(K1360,6)="MV15AX",LEFT(K1360,4)="CTAX",LEFT(K1360,2)="W|"),2*N1360*O1360,0)</f>
        <v/>
      </c>
      <c r="Z1360" s="9" t="inlineStr"/>
    </row>
    <row r="1361">
      <c r="A1361" s="9" t="inlineStr">
        <is>
          <t>E-I-0011</t>
        </is>
      </c>
      <c r="B1361" s="9" t="inlineStr">
        <is>
          <t>E</t>
        </is>
      </c>
      <c r="C1361" s="9" t="inlineStr">
        <is>
          <t>Water / utilities</t>
        </is>
      </c>
      <c r="D1361" s="9" t="inlineStr">
        <is>
          <t>Instrumentation</t>
        </is>
      </c>
      <c r="E1361" s="9" t="inlineStr">
        <is>
          <t>R-WT</t>
        </is>
      </c>
      <c r="F1361" s="9" t="inlineStr">
        <is>
          <t>Water treatment building (incl. R-WT electrical room)</t>
        </is>
      </c>
      <c r="G1361" s="9" t="inlineStr"/>
      <c r="H1361" s="9" t="inlineStr">
        <is>
          <t>Raw water tank</t>
        </is>
      </c>
      <c r="I1361" s="9" t="inlineStr">
        <is>
          <t>Instrumentation</t>
        </is>
      </c>
      <c r="J1361" s="9" t="inlineStr">
        <is>
          <t>Instrumentation PLTC / TC-ER 300 V, #18 twisted shielded pairs, overall shield</t>
        </is>
      </c>
      <c r="K1361" s="9" t="inlineStr">
        <is>
          <t>PLTC|4 pr|18</t>
        </is>
      </c>
      <c r="L1361" s="9" t="inlineStr">
        <is>
          <t>4 pr</t>
        </is>
      </c>
      <c r="M1361" s="9" t="inlineStr">
        <is>
          <t>18</t>
        </is>
      </c>
      <c r="N1361" s="9" t="n">
        <v>1</v>
      </c>
      <c r="O1361" s="9" t="n">
        <v>1</v>
      </c>
      <c r="P1361" s="9" t="n"/>
      <c r="Q1361" s="9" t="n"/>
      <c r="R1361" s="9" t="n"/>
      <c r="S1361" s="9" t="inlineStr">
        <is>
          <t>Duct bank</t>
        </is>
      </c>
      <c r="T1361" s="10" t="n">
        <v>125</v>
      </c>
      <c r="U1361" s="10" t="n">
        <v>32</v>
      </c>
      <c r="V1361" s="10">
        <f>ROUNDUP((T1361+U1361+2*'Read Me'!$B$13)*(1+'Read Me'!$B$12),-1)</f>
        <v/>
      </c>
      <c r="W1361" s="10">
        <f>V1361*N1361*O1361</f>
        <v/>
      </c>
      <c r="X1361" s="9">
        <f>IF(LEFT(I1361,2)="MV",2*N1361*IF(L1361="1/C",O1361,1),0)</f>
        <v/>
      </c>
      <c r="Y1361" s="9">
        <f>IF(OR(LEFT(K1361,4)="LVAX",LEFT(K1361,6)="MV15AX",LEFT(K1361,4)="CTAX",LEFT(K1361,2)="W|"),2*N1361*O1361,0)</f>
        <v/>
      </c>
      <c r="Z1361" s="9" t="inlineStr"/>
    </row>
    <row r="1362">
      <c r="A1362" s="9" t="inlineStr">
        <is>
          <t>E-I-0012</t>
        </is>
      </c>
      <c r="B1362" s="9" t="inlineStr">
        <is>
          <t>E</t>
        </is>
      </c>
      <c r="C1362" s="9" t="inlineStr">
        <is>
          <t>Water / utilities</t>
        </is>
      </c>
      <c r="D1362" s="9" t="inlineStr">
        <is>
          <t>Instrumentation</t>
        </is>
      </c>
      <c r="E1362" s="9" t="inlineStr">
        <is>
          <t>R-WT</t>
        </is>
      </c>
      <c r="F1362" s="9" t="inlineStr">
        <is>
          <t>Water treatment building (incl. R-WT electrical room)</t>
        </is>
      </c>
      <c r="G1362" s="9" t="inlineStr"/>
      <c r="H1362" s="9" t="inlineStr">
        <is>
          <t>Raw water tank</t>
        </is>
      </c>
      <c r="I1362" s="9" t="inlineStr">
        <is>
          <t>Instrumentation</t>
        </is>
      </c>
      <c r="J1362" s="9" t="inlineStr">
        <is>
          <t>Instrumentation PLTC / TC-ER 300 V, #18 twisted shielded pairs, overall shield</t>
        </is>
      </c>
      <c r="K1362" s="9" t="inlineStr">
        <is>
          <t>PLTC|12 pr|18</t>
        </is>
      </c>
      <c r="L1362" s="9" t="inlineStr">
        <is>
          <t>12 pr</t>
        </is>
      </c>
      <c r="M1362" s="9" t="inlineStr">
        <is>
          <t>18</t>
        </is>
      </c>
      <c r="N1362" s="9" t="n">
        <v>1</v>
      </c>
      <c r="O1362" s="9" t="n">
        <v>1</v>
      </c>
      <c r="P1362" s="9" t="n"/>
      <c r="Q1362" s="9" t="n"/>
      <c r="R1362" s="9" t="n"/>
      <c r="S1362" s="9" t="inlineStr">
        <is>
          <t>Duct bank</t>
        </is>
      </c>
      <c r="T1362" s="10" t="n">
        <v>125</v>
      </c>
      <c r="U1362" s="10" t="n">
        <v>32</v>
      </c>
      <c r="V1362" s="10">
        <f>ROUNDUP((T1362+U1362+2*'Read Me'!$B$13)*(1+'Read Me'!$B$12),-1)</f>
        <v/>
      </c>
      <c r="W1362" s="10">
        <f>V1362*N1362*O1362</f>
        <v/>
      </c>
      <c r="X1362" s="9">
        <f>IF(LEFT(I1362,2)="MV",2*N1362*IF(L1362="1/C",O1362,1),0)</f>
        <v/>
      </c>
      <c r="Y1362" s="9">
        <f>IF(OR(LEFT(K1362,4)="LVAX",LEFT(K1362,6)="MV15AX",LEFT(K1362,4)="CTAX",LEFT(K1362,2)="W|"),2*N1362*O1362,0)</f>
        <v/>
      </c>
      <c r="Z1362" s="9" t="inlineStr"/>
    </row>
    <row r="1363">
      <c r="A1363" s="9" t="inlineStr">
        <is>
          <t>E-I-0013</t>
        </is>
      </c>
      <c r="B1363" s="9" t="inlineStr">
        <is>
          <t>E</t>
        </is>
      </c>
      <c r="C1363" s="9" t="inlineStr">
        <is>
          <t>Water / utilities</t>
        </is>
      </c>
      <c r="D1363" s="9" t="inlineStr">
        <is>
          <t>Instrumentation</t>
        </is>
      </c>
      <c r="E1363" s="9" t="inlineStr">
        <is>
          <t>R-WT</t>
        </is>
      </c>
      <c r="F1363" s="9" t="inlineStr">
        <is>
          <t>Water treatment building (incl. R-WT electrical room)</t>
        </is>
      </c>
      <c r="G1363" s="9" t="inlineStr"/>
      <c r="H1363" s="9" t="inlineStr">
        <is>
          <t>Wastewater treatment</t>
        </is>
      </c>
      <c r="I1363" s="9" t="inlineStr">
        <is>
          <t>Instrumentation</t>
        </is>
      </c>
      <c r="J1363" s="9" t="inlineStr">
        <is>
          <t>Instrumentation PLTC / TC-ER 300 V, #18 twisted shielded pairs, overall shield</t>
        </is>
      </c>
      <c r="K1363" s="9" t="inlineStr">
        <is>
          <t>PLTC|4 pr|18</t>
        </is>
      </c>
      <c r="L1363" s="9" t="inlineStr">
        <is>
          <t>4 pr</t>
        </is>
      </c>
      <c r="M1363" s="9" t="inlineStr">
        <is>
          <t>18</t>
        </is>
      </c>
      <c r="N1363" s="9" t="n">
        <v>1</v>
      </c>
      <c r="O1363" s="9" t="n">
        <v>1</v>
      </c>
      <c r="P1363" s="9" t="n"/>
      <c r="Q1363" s="9" t="n"/>
      <c r="R1363" s="9" t="n"/>
      <c r="S1363" s="9" t="inlineStr">
        <is>
          <t>Tray</t>
        </is>
      </c>
      <c r="T1363" s="10" t="n">
        <v>0</v>
      </c>
      <c r="U1363" s="10" t="n">
        <v>62</v>
      </c>
      <c r="V1363" s="10">
        <f>ROUNDUP((T1363+U1363+2*'Read Me'!$B$13)*(1+'Read Me'!$B$12),-1)</f>
        <v/>
      </c>
      <c r="W1363" s="10">
        <f>V1363*N1363*O1363</f>
        <v/>
      </c>
      <c r="X1363" s="9">
        <f>IF(LEFT(I1363,2)="MV",2*N1363*IF(L1363="1/C",O1363,1),0)</f>
        <v/>
      </c>
      <c r="Y1363" s="9">
        <f>IF(OR(LEFT(K1363,4)="LVAX",LEFT(K1363,6)="MV15AX",LEFT(K1363,4)="CTAX",LEFT(K1363,2)="W|"),2*N1363*O1363,0)</f>
        <v/>
      </c>
      <c r="Z1363" s="9" t="inlineStr"/>
    </row>
    <row r="1364">
      <c r="A1364" s="9" t="inlineStr">
        <is>
          <t>E-P-0001</t>
        </is>
      </c>
      <c r="B1364" s="9" t="inlineStr">
        <is>
          <t>E</t>
        </is>
      </c>
      <c r="C1364" s="9" t="inlineStr">
        <is>
          <t>Water / utilities</t>
        </is>
      </c>
      <c r="D1364" s="9" t="inlineStr">
        <is>
          <t>LV power feeder</t>
        </is>
      </c>
      <c r="E1364" s="9" t="inlineStr">
        <is>
          <t>MCC-C2</t>
        </is>
      </c>
      <c r="F1364" s="9" t="inlineStr">
        <is>
          <t>R1 MCC-C2</t>
        </is>
      </c>
      <c r="G1364" s="9" t="inlineStr"/>
      <c r="H1364" s="9" t="inlineStr">
        <is>
          <t>Ammonia storage (aqueous, SCR reagent)</t>
        </is>
      </c>
      <c r="I1364" s="9" t="inlineStr">
        <is>
          <t>LV 600 V</t>
        </is>
      </c>
      <c r="J1364" s="9" t="inlineStr">
        <is>
          <t>Type TC-ER 600 V 3/C Cu XHHW-2 + ground, PVC jacket</t>
        </is>
      </c>
      <c r="K1364" s="9" t="inlineStr">
        <is>
          <t>LV|3/C+G|2</t>
        </is>
      </c>
      <c r="L1364" s="9" t="inlineStr">
        <is>
          <t>3/C+G</t>
        </is>
      </c>
      <c r="M1364" s="9" t="inlineStr">
        <is>
          <t>2</t>
        </is>
      </c>
      <c r="N1364" s="9" t="n">
        <v>1</v>
      </c>
      <c r="O1364" s="9" t="n">
        <v>1</v>
      </c>
      <c r="P1364" s="9" t="n">
        <v>480</v>
      </c>
      <c r="Q1364" s="9" t="n">
        <v>15</v>
      </c>
      <c r="R1364" s="9" t="n">
        <v>21</v>
      </c>
      <c r="S1364" s="9" t="inlineStr">
        <is>
          <t>Estimated</t>
        </is>
      </c>
      <c r="T1364" s="10" t="n">
        <v>1158</v>
      </c>
      <c r="U1364" s="10" t="n">
        <v>40</v>
      </c>
      <c r="V1364" s="10">
        <f>ROUNDUP((T1364+U1364+2*'Read Me'!$B$13)*(1+'Read Me'!$B$12),-1)</f>
        <v/>
      </c>
      <c r="W1364" s="10">
        <f>V1364*N1364*O1364</f>
        <v/>
      </c>
      <c r="X1364" s="9">
        <f>IF(LEFT(I1364,2)="MV",2*N1364*IF(L1364="1/C",O1364,1),0)</f>
        <v/>
      </c>
      <c r="Y1364" s="9">
        <f>IF(OR(LEFT(K1364,4)="LVAX",LEFT(K1364,6)="MV15AX",LEFT(K1364,4)="CTAX",LEFT(K1364,2)="W|"),2*N1364*O1364,0)</f>
        <v/>
      </c>
      <c r="Z1364" s="9" t="inlineStr">
        <is>
          <t>VD 2.0 %</t>
        </is>
      </c>
    </row>
    <row r="1365">
      <c r="A1365" s="9" t="inlineStr">
        <is>
          <t>E-P-0002</t>
        </is>
      </c>
      <c r="B1365" s="9" t="inlineStr">
        <is>
          <t>E</t>
        </is>
      </c>
      <c r="C1365" s="9" t="inlineStr">
        <is>
          <t>Water / utilities</t>
        </is>
      </c>
      <c r="D1365" s="9" t="inlineStr">
        <is>
          <t>LV power feeder</t>
        </is>
      </c>
      <c r="E1365" s="9" t="inlineStr">
        <is>
          <t>MCC-C2</t>
        </is>
      </c>
      <c r="F1365" s="9" t="inlineStr">
        <is>
          <t>R1 MCC-C2</t>
        </is>
      </c>
      <c r="G1365" s="9" t="inlineStr"/>
      <c r="H1365" s="9" t="inlineStr">
        <is>
          <t>Auxiliary boiler</t>
        </is>
      </c>
      <c r="I1365" s="9" t="inlineStr">
        <is>
          <t>LV 600 V</t>
        </is>
      </c>
      <c r="J1365" s="9" t="inlineStr">
        <is>
          <t>Type TC-ER 600 V 3/C Cu XHHW-2 + ground, PVC jacket</t>
        </is>
      </c>
      <c r="K1365" s="9" t="inlineStr">
        <is>
          <t>LV|3/C+G|250</t>
        </is>
      </c>
      <c r="L1365" s="9" t="inlineStr">
        <is>
          <t>3/C+G</t>
        </is>
      </c>
      <c r="M1365" s="9" t="inlineStr">
        <is>
          <t>250 kcmil</t>
        </is>
      </c>
      <c r="N1365" s="9" t="n">
        <v>1</v>
      </c>
      <c r="O1365" s="9" t="n">
        <v>1</v>
      </c>
      <c r="P1365" s="9" t="n">
        <v>480</v>
      </c>
      <c r="Q1365" s="9" t="n">
        <v>75</v>
      </c>
      <c r="R1365" s="9" t="n">
        <v>106</v>
      </c>
      <c r="S1365" s="9" t="inlineStr">
        <is>
          <t>Estimated</t>
        </is>
      </c>
      <c r="T1365" s="10" t="n">
        <v>1311</v>
      </c>
      <c r="U1365" s="10" t="n">
        <v>40</v>
      </c>
      <c r="V1365" s="10">
        <f>ROUNDUP((T1365+U1365+2*'Read Me'!$B$13)*(1+'Read Me'!$B$12),-1)</f>
        <v/>
      </c>
      <c r="W1365" s="10">
        <f>V1365*N1365*O1365</f>
        <v/>
      </c>
      <c r="X1365" s="9">
        <f>IF(LEFT(I1365,2)="MV",2*N1365*IF(L1365="1/C",O1365,1),0)</f>
        <v/>
      </c>
      <c r="Y1365" s="9">
        <f>IF(OR(LEFT(K1365,4)="LVAX",LEFT(K1365,6)="MV15AX",LEFT(K1365,4)="CTAX",LEFT(K1365,2)="W|"),2*N1365*O1365,0)</f>
        <v/>
      </c>
      <c r="Z1365" s="9" t="inlineStr">
        <is>
          <t>VD 2.9 %</t>
        </is>
      </c>
    </row>
    <row r="1366">
      <c r="A1366" s="9" t="inlineStr">
        <is>
          <t>E-P-0003</t>
        </is>
      </c>
      <c r="B1366" s="9" t="inlineStr">
        <is>
          <t>E</t>
        </is>
      </c>
      <c r="C1366" s="9" t="inlineStr">
        <is>
          <t>Water / utilities</t>
        </is>
      </c>
      <c r="D1366" s="9" t="inlineStr">
        <is>
          <t>LV power feeder</t>
        </is>
      </c>
      <c r="E1366" s="9" t="inlineStr">
        <is>
          <t>MCC-C2</t>
        </is>
      </c>
      <c r="F1366" s="9" t="inlineStr">
        <is>
          <t>R1 MCC-C2</t>
        </is>
      </c>
      <c r="G1366" s="9" t="inlineStr"/>
      <c r="H1366" s="9" t="inlineStr">
        <is>
          <t>Demineralised water tank</t>
        </is>
      </c>
      <c r="I1366" s="9" t="inlineStr">
        <is>
          <t>LV 600 V</t>
        </is>
      </c>
      <c r="J1366" s="9" t="inlineStr">
        <is>
          <t>Type TC-ER 600 V 3/C Cu XHHW-2 + ground, PVC jacket</t>
        </is>
      </c>
      <c r="K1366" s="9" t="inlineStr">
        <is>
          <t>LV|3/C+G|6</t>
        </is>
      </c>
      <c r="L1366" s="9" t="inlineStr">
        <is>
          <t>3/C+G</t>
        </is>
      </c>
      <c r="M1366" s="9" t="inlineStr">
        <is>
          <t>6</t>
        </is>
      </c>
      <c r="N1366" s="9" t="n">
        <v>1</v>
      </c>
      <c r="O1366" s="9" t="n">
        <v>1</v>
      </c>
      <c r="P1366" s="9" t="n">
        <v>480</v>
      </c>
      <c r="Q1366" s="9" t="n">
        <v>10</v>
      </c>
      <c r="R1366" s="9" t="n">
        <v>14</v>
      </c>
      <c r="S1366" s="9" t="inlineStr">
        <is>
          <t>Estimated</t>
        </is>
      </c>
      <c r="T1366" s="10" t="n">
        <v>1041</v>
      </c>
      <c r="U1366" s="10" t="n">
        <v>40</v>
      </c>
      <c r="V1366" s="10">
        <f>ROUNDUP((T1366+U1366+2*'Read Me'!$B$13)*(1+'Read Me'!$B$12),-1)</f>
        <v/>
      </c>
      <c r="W1366" s="10">
        <f>V1366*N1366*O1366</f>
        <v/>
      </c>
      <c r="X1366" s="9">
        <f>IF(LEFT(I1366,2)="MV",2*N1366*IF(L1366="1/C",O1366,1),0)</f>
        <v/>
      </c>
      <c r="Y1366" s="9">
        <f>IF(OR(LEFT(K1366,4)="LVAX",LEFT(K1366,6)="MV15AX",LEFT(K1366,4)="CTAX",LEFT(K1366,2)="W|"),2*N1366*O1366,0)</f>
        <v/>
      </c>
      <c r="Z1366" s="9" t="inlineStr">
        <is>
          <t>VD 3.0 %</t>
        </is>
      </c>
    </row>
    <row r="1367">
      <c r="A1367" s="9" t="inlineStr">
        <is>
          <t>E-P-0004</t>
        </is>
      </c>
      <c r="B1367" s="9" t="inlineStr">
        <is>
          <t>E</t>
        </is>
      </c>
      <c r="C1367" s="9" t="inlineStr">
        <is>
          <t>Water / utilities</t>
        </is>
      </c>
      <c r="D1367" s="9" t="inlineStr">
        <is>
          <t>LV power feeder</t>
        </is>
      </c>
      <c r="E1367" s="9" t="inlineStr">
        <is>
          <t>MCC-C2</t>
        </is>
      </c>
      <c r="F1367" s="9" t="inlineStr">
        <is>
          <t>R1 MCC-C2</t>
        </is>
      </c>
      <c r="G1367" s="9" t="inlineStr"/>
      <c r="H1367" s="9" t="inlineStr">
        <is>
          <t>Fire / service water tank</t>
        </is>
      </c>
      <c r="I1367" s="9" t="inlineStr">
        <is>
          <t>LV 600 V</t>
        </is>
      </c>
      <c r="J1367" s="9" t="inlineStr">
        <is>
          <t>Type TC-ER 600 V 3/C Cu XHHW-2 + ground, PVC jacket</t>
        </is>
      </c>
      <c r="K1367" s="9" t="inlineStr">
        <is>
          <t>LV|3/C+G|2</t>
        </is>
      </c>
      <c r="L1367" s="9" t="inlineStr">
        <is>
          <t>3/C+G</t>
        </is>
      </c>
      <c r="M1367" s="9" t="inlineStr">
        <is>
          <t>2</t>
        </is>
      </c>
      <c r="N1367" s="9" t="n">
        <v>1</v>
      </c>
      <c r="O1367" s="9" t="n">
        <v>1</v>
      </c>
      <c r="P1367" s="9" t="n">
        <v>480</v>
      </c>
      <c r="Q1367" s="9" t="n">
        <v>10</v>
      </c>
      <c r="R1367" s="9" t="n">
        <v>14</v>
      </c>
      <c r="S1367" s="9" t="inlineStr">
        <is>
          <t>Duct bank</t>
        </is>
      </c>
      <c r="T1367" s="10" t="n">
        <v>2484</v>
      </c>
      <c r="U1367" s="10" t="n">
        <v>66</v>
      </c>
      <c r="V1367" s="10">
        <f>ROUNDUP((T1367+U1367+2*'Read Me'!$B$13)*(1+'Read Me'!$B$12),-1)</f>
        <v/>
      </c>
      <c r="W1367" s="10">
        <f>V1367*N1367*O1367</f>
        <v/>
      </c>
      <c r="X1367" s="9">
        <f>IF(LEFT(I1367,2)="MV",2*N1367*IF(L1367="1/C",O1367,1),0)</f>
        <v/>
      </c>
      <c r="Y1367" s="9">
        <f>IF(OR(LEFT(K1367,4)="LVAX",LEFT(K1367,6)="MV15AX",LEFT(K1367,4)="CTAX",LEFT(K1367,2)="W|"),2*N1367*O1367,0)</f>
        <v/>
      </c>
      <c r="Z1367" s="9" t="inlineStr">
        <is>
          <t>VD 2.8 %</t>
        </is>
      </c>
    </row>
    <row r="1368">
      <c r="A1368" s="9" t="inlineStr">
        <is>
          <t>E-P-0005</t>
        </is>
      </c>
      <c r="B1368" s="9" t="inlineStr">
        <is>
          <t>E</t>
        </is>
      </c>
      <c r="C1368" s="9" t="inlineStr">
        <is>
          <t>Water / utilities</t>
        </is>
      </c>
      <c r="D1368" s="9" t="inlineStr">
        <is>
          <t>LV power feeder</t>
        </is>
      </c>
      <c r="E1368" s="9" t="inlineStr">
        <is>
          <t>MCC-C2</t>
        </is>
      </c>
      <c r="F1368" s="9" t="inlineStr">
        <is>
          <t>R1 MCC-C2</t>
        </is>
      </c>
      <c r="G1368" s="9" t="inlineStr"/>
      <c r="H1368" s="9" t="inlineStr">
        <is>
          <t>Fire pump house</t>
        </is>
      </c>
      <c r="I1368" s="9" t="inlineStr">
        <is>
          <t>LV 600 V</t>
        </is>
      </c>
      <c r="J1368" s="9" t="inlineStr">
        <is>
          <t>Type TC-ER 600 V 3/C Cu XHHW-2 + ground, PVC jacket</t>
        </is>
      </c>
      <c r="K1368" s="9" t="inlineStr">
        <is>
          <t>LV|3/C+G|4/0</t>
        </is>
      </c>
      <c r="L1368" s="9" t="inlineStr">
        <is>
          <t>3/C+G</t>
        </is>
      </c>
      <c r="M1368" s="9" t="inlineStr">
        <is>
          <t>4/0</t>
        </is>
      </c>
      <c r="N1368" s="9" t="n">
        <v>1</v>
      </c>
      <c r="O1368" s="9" t="n">
        <v>1</v>
      </c>
      <c r="P1368" s="9" t="n">
        <v>480</v>
      </c>
      <c r="Q1368" s="9" t="n">
        <v>60</v>
      </c>
      <c r="R1368" s="9" t="n">
        <v>85</v>
      </c>
      <c r="S1368" s="9" t="inlineStr">
        <is>
          <t>Estimated</t>
        </is>
      </c>
      <c r="T1368" s="10" t="n">
        <v>1161</v>
      </c>
      <c r="U1368" s="10" t="n">
        <v>40</v>
      </c>
      <c r="V1368" s="10">
        <f>ROUNDUP((T1368+U1368+2*'Read Me'!$B$13)*(1+'Read Me'!$B$12),-1)</f>
        <v/>
      </c>
      <c r="W1368" s="10">
        <f>V1368*N1368*O1368</f>
        <v/>
      </c>
      <c r="X1368" s="9">
        <f>IF(LEFT(I1368,2)="MV",2*N1368*IF(L1368="1/C",O1368,1),0)</f>
        <v/>
      </c>
      <c r="Y1368" s="9">
        <f>IF(OR(LEFT(K1368,4)="LVAX",LEFT(K1368,6)="MV15AX",LEFT(K1368,4)="CTAX",LEFT(K1368,2)="W|"),2*N1368*O1368,0)</f>
        <v/>
      </c>
      <c r="Z1368" s="9" t="inlineStr">
        <is>
          <t>VD 2.5 %</t>
        </is>
      </c>
    </row>
    <row r="1369">
      <c r="A1369" s="9" t="inlineStr">
        <is>
          <t>E-P-0006</t>
        </is>
      </c>
      <c r="B1369" s="9" t="inlineStr">
        <is>
          <t>E</t>
        </is>
      </c>
      <c r="C1369" s="9" t="inlineStr">
        <is>
          <t>Water / utilities</t>
        </is>
      </c>
      <c r="D1369" s="9" t="inlineStr">
        <is>
          <t>LV power feeder</t>
        </is>
      </c>
      <c r="E1369" s="9" t="inlineStr">
        <is>
          <t>MCC-C2</t>
        </is>
      </c>
      <c r="F1369" s="9" t="inlineStr">
        <is>
          <t>R1 MCC-C2</t>
        </is>
      </c>
      <c r="G1369" s="9" t="inlineStr"/>
      <c r="H1369" s="9" t="inlineStr">
        <is>
          <t>H2 / CO2 storage (generator gas)</t>
        </is>
      </c>
      <c r="I1369" s="9" t="inlineStr">
        <is>
          <t>LV 600 V</t>
        </is>
      </c>
      <c r="J1369" s="9" t="inlineStr">
        <is>
          <t>ARMOR-X MC-HL 600 V 3/C Cu XHHW-2 + ground, CWA, black PVC (Class I Div 2)</t>
        </is>
      </c>
      <c r="K1369" s="9" t="inlineStr">
        <is>
          <t>LVAX|3/C+G|2</t>
        </is>
      </c>
      <c r="L1369" s="9" t="inlineStr">
        <is>
          <t>3/C+G</t>
        </is>
      </c>
      <c r="M1369" s="9" t="inlineStr">
        <is>
          <t>2</t>
        </is>
      </c>
      <c r="N1369" s="9" t="n">
        <v>1</v>
      </c>
      <c r="O1369" s="9" t="n">
        <v>1</v>
      </c>
      <c r="P1369" s="9" t="n">
        <v>480</v>
      </c>
      <c r="Q1369" s="9" t="n">
        <v>15</v>
      </c>
      <c r="R1369" s="9" t="n">
        <v>21</v>
      </c>
      <c r="S1369" s="9" t="inlineStr">
        <is>
          <t>Estimated</t>
        </is>
      </c>
      <c r="T1369" s="10" t="n">
        <v>1434</v>
      </c>
      <c r="U1369" s="10" t="n">
        <v>40</v>
      </c>
      <c r="V1369" s="10">
        <f>ROUNDUP((T1369+U1369+2*'Read Me'!$B$13)*(1+'Read Me'!$B$12),-1)</f>
        <v/>
      </c>
      <c r="W1369" s="10">
        <f>V1369*N1369*O1369</f>
        <v/>
      </c>
      <c r="X1369" s="9">
        <f>IF(LEFT(I1369,2)="MV",2*N1369*IF(L1369="1/C",O1369,1),0)</f>
        <v/>
      </c>
      <c r="Y1369" s="9">
        <f>IF(OR(LEFT(K1369,4)="LVAX",LEFT(K1369,6)="MV15AX",LEFT(K1369,4)="CTAX",LEFT(K1369,2)="W|"),2*N1369*O1369,0)</f>
        <v/>
      </c>
      <c r="Z1369" s="9" t="inlineStr">
        <is>
          <t>VD 2.4 %</t>
        </is>
      </c>
    </row>
    <row r="1370">
      <c r="A1370" s="9" t="inlineStr">
        <is>
          <t>E-P-0007</t>
        </is>
      </c>
      <c r="B1370" s="9" t="inlineStr">
        <is>
          <t>E</t>
        </is>
      </c>
      <c r="C1370" s="9" t="inlineStr">
        <is>
          <t>Water / utilities</t>
        </is>
      </c>
      <c r="D1370" s="9" t="inlineStr">
        <is>
          <t>LV power feeder</t>
        </is>
      </c>
      <c r="E1370" s="9" t="inlineStr">
        <is>
          <t>MCC-C2</t>
        </is>
      </c>
      <c r="F1370" s="9" t="inlineStr">
        <is>
          <t>R1 MCC-C2</t>
        </is>
      </c>
      <c r="G1370" s="9" t="inlineStr">
        <is>
          <t>HTP-2</t>
        </is>
      </c>
      <c r="H1370" s="9" t="inlineStr">
        <is>
          <t>HTP-2: heat-trace panel (NH3)</t>
        </is>
      </c>
      <c r="I1370" s="9" t="inlineStr">
        <is>
          <t>LV 600 V</t>
        </is>
      </c>
      <c r="J1370" s="9" t="inlineStr">
        <is>
          <t>Type TC-ER 600 V 3/C Cu XHHW-2 + ground, PVC jacket</t>
        </is>
      </c>
      <c r="K1370" s="9" t="inlineStr">
        <is>
          <t>LV|3/C+G|500</t>
        </is>
      </c>
      <c r="L1370" s="9" t="inlineStr">
        <is>
          <t>3/C+G</t>
        </is>
      </c>
      <c r="M1370" s="9" t="inlineStr">
        <is>
          <t>500 kcmil</t>
        </is>
      </c>
      <c r="N1370" s="9" t="n">
        <v>1</v>
      </c>
      <c r="O1370" s="9" t="n">
        <v>1</v>
      </c>
      <c r="P1370" s="9" t="n">
        <v>480</v>
      </c>
      <c r="Q1370" s="9" t="n">
        <v>120</v>
      </c>
      <c r="R1370" s="9" t="n">
        <v>170</v>
      </c>
      <c r="S1370" s="9" t="inlineStr">
        <is>
          <t>Estimated</t>
        </is>
      </c>
      <c r="T1370" s="10" t="n">
        <v>1218</v>
      </c>
      <c r="U1370" s="10" t="n">
        <v>40</v>
      </c>
      <c r="V1370" s="10">
        <f>ROUNDUP((T1370+U1370+2*'Read Me'!$B$13)*(1+'Read Me'!$B$12),-1)</f>
        <v/>
      </c>
      <c r="W1370" s="10">
        <f>V1370*N1370*O1370</f>
        <v/>
      </c>
      <c r="X1370" s="9">
        <f>IF(LEFT(I1370,2)="MV",2*N1370*IF(L1370="1/C",O1370,1),0)</f>
        <v/>
      </c>
      <c r="Y1370" s="9">
        <f>IF(OR(LEFT(K1370,4)="LVAX",LEFT(K1370,6)="MV15AX",LEFT(K1370,4)="CTAX",LEFT(K1370,2)="W|"),2*N1370*O1370,0)</f>
        <v/>
      </c>
      <c r="Z1370" s="9" t="inlineStr">
        <is>
          <t>VD 2.2 %</t>
        </is>
      </c>
    </row>
    <row r="1371">
      <c r="A1371" s="9" t="inlineStr">
        <is>
          <t>E-P-0008</t>
        </is>
      </c>
      <c r="B1371" s="9" t="inlineStr">
        <is>
          <t>E</t>
        </is>
      </c>
      <c r="C1371" s="9" t="inlineStr">
        <is>
          <t>Water / utilities</t>
        </is>
      </c>
      <c r="D1371" s="9" t="inlineStr">
        <is>
          <t>LV power feeder</t>
        </is>
      </c>
      <c r="E1371" s="9" t="inlineStr">
        <is>
          <t>MCC-C2</t>
        </is>
      </c>
      <c r="F1371" s="9" t="inlineStr">
        <is>
          <t>R1 MCC-C2</t>
        </is>
      </c>
      <c r="G1371" s="9" t="inlineStr">
        <is>
          <t>HTP-3</t>
        </is>
      </c>
      <c r="H1371" s="9" t="inlineStr">
        <is>
          <t>HTP-3: heat-trace panel (tanks)</t>
        </is>
      </c>
      <c r="I1371" s="9" t="inlineStr">
        <is>
          <t>LV 600 V</t>
        </is>
      </c>
      <c r="J1371" s="9" t="inlineStr">
        <is>
          <t>Type TC-ER 600 V 3/C Cu XHHW-2 + ground, PVC jacket</t>
        </is>
      </c>
      <c r="K1371" s="9" t="inlineStr">
        <is>
          <t>LV|3/C+G|6</t>
        </is>
      </c>
      <c r="L1371" s="9" t="inlineStr">
        <is>
          <t>3/C+G</t>
        </is>
      </c>
      <c r="M1371" s="9" t="inlineStr">
        <is>
          <t>6</t>
        </is>
      </c>
      <c r="N1371" s="9" t="n">
        <v>1</v>
      </c>
      <c r="O1371" s="9" t="n">
        <v>1</v>
      </c>
      <c r="P1371" s="9" t="n">
        <v>480</v>
      </c>
      <c r="Q1371" s="9" t="n">
        <v>10</v>
      </c>
      <c r="R1371" s="9" t="n">
        <v>14</v>
      </c>
      <c r="S1371" s="9" t="inlineStr">
        <is>
          <t>Estimated</t>
        </is>
      </c>
      <c r="T1371" s="10" t="n">
        <v>1002</v>
      </c>
      <c r="U1371" s="10" t="n">
        <v>40</v>
      </c>
      <c r="V1371" s="10">
        <f>ROUNDUP((T1371+U1371+2*'Read Me'!$B$13)*(1+'Read Me'!$B$12),-1)</f>
        <v/>
      </c>
      <c r="W1371" s="10">
        <f>V1371*N1371*O1371</f>
        <v/>
      </c>
      <c r="X1371" s="9">
        <f>IF(LEFT(I1371,2)="MV",2*N1371*IF(L1371="1/C",O1371,1),0)</f>
        <v/>
      </c>
      <c r="Y1371" s="9">
        <f>IF(OR(LEFT(K1371,4)="LVAX",LEFT(K1371,6)="MV15AX",LEFT(K1371,4)="CTAX",LEFT(K1371,2)="W|"),2*N1371*O1371,0)</f>
        <v/>
      </c>
      <c r="Z1371" s="9" t="inlineStr">
        <is>
          <t>VD 2.9 %</t>
        </is>
      </c>
    </row>
    <row r="1372">
      <c r="A1372" s="9" t="inlineStr">
        <is>
          <t>E-P-0009</t>
        </is>
      </c>
      <c r="B1372" s="9" t="inlineStr">
        <is>
          <t>E</t>
        </is>
      </c>
      <c r="C1372" s="9" t="inlineStr">
        <is>
          <t>Water / utilities</t>
        </is>
      </c>
      <c r="D1372" s="9" t="inlineStr">
        <is>
          <t>LV power feeder</t>
        </is>
      </c>
      <c r="E1372" s="9" t="inlineStr">
        <is>
          <t>MCC-C2</t>
        </is>
      </c>
      <c r="F1372" s="9" t="inlineStr">
        <is>
          <t>R1 MCC-C2</t>
        </is>
      </c>
      <c r="G1372" s="9" t="inlineStr"/>
      <c r="H1372" s="9" t="inlineStr">
        <is>
          <t>Oil-water separator</t>
        </is>
      </c>
      <c r="I1372" s="9" t="inlineStr">
        <is>
          <t>LV 600 V</t>
        </is>
      </c>
      <c r="J1372" s="9" t="inlineStr">
        <is>
          <t>Type TC-ER 600 V 3/C Cu XHHW-2 + ground, PVC jacket</t>
        </is>
      </c>
      <c r="K1372" s="9" t="inlineStr">
        <is>
          <t>LV|3/C+G|1/0</t>
        </is>
      </c>
      <c r="L1372" s="9" t="inlineStr">
        <is>
          <t>3/C+G</t>
        </is>
      </c>
      <c r="M1372" s="9" t="inlineStr">
        <is>
          <t>1/0</t>
        </is>
      </c>
      <c r="N1372" s="9" t="n">
        <v>1</v>
      </c>
      <c r="O1372" s="9" t="n">
        <v>1</v>
      </c>
      <c r="P1372" s="9" t="n">
        <v>480</v>
      </c>
      <c r="Q1372" s="9" t="n">
        <v>15</v>
      </c>
      <c r="R1372" s="9" t="n">
        <v>21</v>
      </c>
      <c r="S1372" s="9" t="inlineStr">
        <is>
          <t>Duct bank</t>
        </is>
      </c>
      <c r="T1372" s="10" t="n">
        <v>2002</v>
      </c>
      <c r="U1372" s="10" t="n">
        <v>347</v>
      </c>
      <c r="V1372" s="10">
        <f>ROUNDUP((T1372+U1372+2*'Read Me'!$B$13)*(1+'Read Me'!$B$12),-1)</f>
        <v/>
      </c>
      <c r="W1372" s="10">
        <f>V1372*N1372*O1372</f>
        <v/>
      </c>
      <c r="X1372" s="9">
        <f>IF(LEFT(I1372,2)="MV",2*N1372*IF(L1372="1/C",O1372,1),0)</f>
        <v/>
      </c>
      <c r="Y1372" s="9">
        <f>IF(OR(LEFT(K1372,4)="LVAX",LEFT(K1372,6)="MV15AX",LEFT(K1372,4)="CTAX",LEFT(K1372,2)="W|"),2*N1372*O1372,0)</f>
        <v/>
      </c>
      <c r="Z1372" s="9" t="inlineStr">
        <is>
          <t>VD 2.4 %</t>
        </is>
      </c>
    </row>
    <row r="1373">
      <c r="A1373" s="9" t="inlineStr">
        <is>
          <t>E-P-0010</t>
        </is>
      </c>
      <c r="B1373" s="9" t="inlineStr">
        <is>
          <t>E</t>
        </is>
      </c>
      <c r="C1373" s="9" t="inlineStr">
        <is>
          <t>Water / utilities</t>
        </is>
      </c>
      <c r="D1373" s="9" t="inlineStr">
        <is>
          <t>LV power feeder</t>
        </is>
      </c>
      <c r="E1373" s="9" t="inlineStr">
        <is>
          <t>MCC-C2</t>
        </is>
      </c>
      <c r="F1373" s="9" t="inlineStr">
        <is>
          <t>R1 MCC-C2</t>
        </is>
      </c>
      <c r="G1373" s="9" t="inlineStr"/>
      <c r="H1373" s="9" t="inlineStr">
        <is>
          <t>Raw water tank</t>
        </is>
      </c>
      <c r="I1373" s="9" t="inlineStr">
        <is>
          <t>LV 600 V</t>
        </is>
      </c>
      <c r="J1373" s="9" t="inlineStr">
        <is>
          <t>Type TC-ER 600 V 3/C Cu XHHW-2 + ground, PVC jacket</t>
        </is>
      </c>
      <c r="K1373" s="9" t="inlineStr">
        <is>
          <t>LV|3/C+G|2</t>
        </is>
      </c>
      <c r="L1373" s="9" t="inlineStr">
        <is>
          <t>3/C+G</t>
        </is>
      </c>
      <c r="M1373" s="9" t="inlineStr">
        <is>
          <t>2</t>
        </is>
      </c>
      <c r="N1373" s="9" t="n">
        <v>1</v>
      </c>
      <c r="O1373" s="9" t="n">
        <v>1</v>
      </c>
      <c r="P1373" s="9" t="n">
        <v>480</v>
      </c>
      <c r="Q1373" s="9" t="n">
        <v>10</v>
      </c>
      <c r="R1373" s="9" t="n">
        <v>14</v>
      </c>
      <c r="S1373" s="9" t="inlineStr">
        <is>
          <t>Duct bank</t>
        </is>
      </c>
      <c r="T1373" s="10" t="n">
        <v>2440</v>
      </c>
      <c r="U1373" s="10" t="n">
        <v>66</v>
      </c>
      <c r="V1373" s="10">
        <f>ROUNDUP((T1373+U1373+2*'Read Me'!$B$13)*(1+'Read Me'!$B$12),-1)</f>
        <v/>
      </c>
      <c r="W1373" s="10">
        <f>V1373*N1373*O1373</f>
        <v/>
      </c>
      <c r="X1373" s="9">
        <f>IF(LEFT(I1373,2)="MV",2*N1373*IF(L1373="1/C",O1373,1),0)</f>
        <v/>
      </c>
      <c r="Y1373" s="9">
        <f>IF(OR(LEFT(K1373,4)="LVAX",LEFT(K1373,6)="MV15AX",LEFT(K1373,4)="CTAX",LEFT(K1373,2)="W|"),2*N1373*O1373,0)</f>
        <v/>
      </c>
      <c r="Z1373" s="9" t="inlineStr">
        <is>
          <t>VD 2.7 %</t>
        </is>
      </c>
    </row>
    <row r="1374">
      <c r="A1374" s="9" t="inlineStr">
        <is>
          <t>E-P-0011</t>
        </is>
      </c>
      <c r="B1374" s="9" t="inlineStr">
        <is>
          <t>E</t>
        </is>
      </c>
      <c r="C1374" s="9" t="inlineStr">
        <is>
          <t>Water / utilities</t>
        </is>
      </c>
      <c r="D1374" s="9" t="inlineStr">
        <is>
          <t>LV power feeder</t>
        </is>
      </c>
      <c r="E1374" s="9" t="inlineStr">
        <is>
          <t>MCC-C2</t>
        </is>
      </c>
      <c r="F1374" s="9" t="inlineStr">
        <is>
          <t>R1 MCC-C2</t>
        </is>
      </c>
      <c r="G1374" s="9" t="inlineStr"/>
      <c r="H1374" s="9" t="inlineStr">
        <is>
          <t>Wastewater treatment</t>
        </is>
      </c>
      <c r="I1374" s="9" t="inlineStr">
        <is>
          <t>LV 600 V</t>
        </is>
      </c>
      <c r="J1374" s="9" t="inlineStr">
        <is>
          <t>Type TC-ER 600 V 3/C Cu XHHW-2 + ground, PVC jacket</t>
        </is>
      </c>
      <c r="K1374" s="9" t="inlineStr">
        <is>
          <t>LV|3/C+G|3/0</t>
        </is>
      </c>
      <c r="L1374" s="9" t="inlineStr">
        <is>
          <t>3/C+G</t>
        </is>
      </c>
      <c r="M1374" s="9" t="inlineStr">
        <is>
          <t>3/0</t>
        </is>
      </c>
      <c r="N1374" s="9" t="n">
        <v>1</v>
      </c>
      <c r="O1374" s="9" t="n">
        <v>1</v>
      </c>
      <c r="P1374" s="9" t="n">
        <v>480</v>
      </c>
      <c r="Q1374" s="9" t="n">
        <v>60</v>
      </c>
      <c r="R1374" s="9" t="n">
        <v>85</v>
      </c>
      <c r="S1374" s="9" t="inlineStr">
        <is>
          <t>Estimated</t>
        </is>
      </c>
      <c r="T1374" s="10" t="n">
        <v>1021</v>
      </c>
      <c r="U1374" s="10" t="n">
        <v>40</v>
      </c>
      <c r="V1374" s="10">
        <f>ROUNDUP((T1374+U1374+2*'Read Me'!$B$13)*(1+'Read Me'!$B$12),-1)</f>
        <v/>
      </c>
      <c r="W1374" s="10">
        <f>V1374*N1374*O1374</f>
        <v/>
      </c>
      <c r="X1374" s="9">
        <f>IF(LEFT(I1374,2)="MV",2*N1374*IF(L1374="1/C",O1374,1),0)</f>
        <v/>
      </c>
      <c r="Y1374" s="9">
        <f>IF(OR(LEFT(K1374,4)="LVAX",LEFT(K1374,6)="MV15AX",LEFT(K1374,4)="CTAX",LEFT(K1374,2)="W|"),2*N1374*O1374,0)</f>
        <v/>
      </c>
      <c r="Z1374" s="9" t="inlineStr">
        <is>
          <t>VD 2.7 %</t>
        </is>
      </c>
    </row>
    <row r="1375">
      <c r="A1375" s="9" t="inlineStr">
        <is>
          <t>E-P-0012</t>
        </is>
      </c>
      <c r="B1375" s="9" t="inlineStr">
        <is>
          <t>E</t>
        </is>
      </c>
      <c r="C1375" s="9" t="inlineStr">
        <is>
          <t>Water / utilities</t>
        </is>
      </c>
      <c r="D1375" s="9" t="inlineStr">
        <is>
          <t>LV panel / distribution feeder</t>
        </is>
      </c>
      <c r="E1375" s="9" t="inlineStr">
        <is>
          <t>MCC-C2</t>
        </is>
      </c>
      <c r="F1375" s="9" t="inlineStr">
        <is>
          <t>R1 MCC-C2</t>
        </is>
      </c>
      <c r="G1375" s="9" t="inlineStr">
        <is>
          <t>R-WT</t>
        </is>
      </c>
      <c r="H1375" s="9" t="inlineStr">
        <is>
          <t>Water treatment building (incl. R-WT electrical room)</t>
        </is>
      </c>
      <c r="I1375" s="9" t="inlineStr">
        <is>
          <t>LV 600 V</t>
        </is>
      </c>
      <c r="J1375" s="9" t="inlineStr">
        <is>
          <t>Type TC-ER 600 V 3/C Cu XHHW-2 + ground, PVC jacket</t>
        </is>
      </c>
      <c r="K1375" s="9" t="inlineStr">
        <is>
          <t>LV|3/C+G|500</t>
        </is>
      </c>
      <c r="L1375" s="9" t="inlineStr">
        <is>
          <t>3/C+G</t>
        </is>
      </c>
      <c r="M1375" s="9" t="inlineStr">
        <is>
          <t>500 kcmil</t>
        </is>
      </c>
      <c r="N1375" s="9" t="n">
        <v>2</v>
      </c>
      <c r="O1375" s="9" t="n">
        <v>1</v>
      </c>
      <c r="P1375" s="9" t="n">
        <v>480</v>
      </c>
      <c r="Q1375" s="9" t="n">
        <v>163</v>
      </c>
      <c r="R1375" s="9" t="n">
        <v>231</v>
      </c>
      <c r="S1375" s="9" t="inlineStr">
        <is>
          <t>Duct bank</t>
        </is>
      </c>
      <c r="T1375" s="10" t="n">
        <v>2315</v>
      </c>
      <c r="U1375" s="10" t="n">
        <v>66</v>
      </c>
      <c r="V1375" s="10">
        <f>ROUNDUP((T1375+U1375+2*'Read Me'!$B$13)*(1+'Read Me'!$B$12),-1)</f>
        <v/>
      </c>
      <c r="W1375" s="10">
        <f>V1375*N1375*O1375</f>
        <v/>
      </c>
      <c r="X1375" s="9">
        <f>IF(LEFT(I1375,2)="MV",2*N1375*IF(L1375="1/C",O1375,1),0)</f>
        <v/>
      </c>
      <c r="Y1375" s="9">
        <f>IF(OR(LEFT(K1375,4)="LVAX",LEFT(K1375,6)="MV15AX",LEFT(K1375,4)="CTAX",LEFT(K1375,2)="W|"),2*N1375*O1375,0)</f>
        <v/>
      </c>
      <c r="Z1375" s="9" t="inlineStr">
        <is>
          <t>VD 2.8 %</t>
        </is>
      </c>
    </row>
    <row r="1376">
      <c r="A1376" s="9" t="inlineStr">
        <is>
          <t>F-L-0001</t>
        </is>
      </c>
      <c r="B1376" s="9" t="inlineStr">
        <is>
          <t>F</t>
        </is>
      </c>
      <c r="C1376" s="9" t="inlineStr">
        <is>
          <t>Controls / service</t>
        </is>
      </c>
      <c r="D1376" s="9" t="inlineStr">
        <is>
          <t>Lighting, receptacles and small power branch circuits (allowance)</t>
        </is>
      </c>
      <c r="E1376" s="9" t="inlineStr">
        <is>
          <t>CR</t>
        </is>
      </c>
      <c r="F1376" s="9" t="inlineStr">
        <is>
          <t>Control / admin building (main control room)</t>
        </is>
      </c>
      <c r="G1376" s="9" t="inlineStr">
        <is>
          <t>CR</t>
        </is>
      </c>
      <c r="H1376" s="9" t="inlineStr">
        <is>
          <t>Control / admin building (main control room)</t>
        </is>
      </c>
      <c r="I1376" s="9" t="inlineStr">
        <is>
          <t>Building wire</t>
        </is>
      </c>
      <c r="J1376" s="9" t="inlineStr">
        <is>
          <t>SIMpull THHN/THWN-2 600 V 1/C Cu (lighting, receptacles, small power)</t>
        </is>
      </c>
      <c r="K1376" s="9" t="inlineStr">
        <is>
          <t>THHN|1/C|12</t>
        </is>
      </c>
      <c r="L1376" s="9" t="inlineStr">
        <is>
          <t>1/C</t>
        </is>
      </c>
      <c r="M1376" s="9" t="inlineStr">
        <is>
          <t>12</t>
        </is>
      </c>
      <c r="N1376" s="9" t="n">
        <v>1</v>
      </c>
      <c r="O1376" s="9" t="n">
        <v>1</v>
      </c>
      <c r="P1376" s="9" t="n">
        <v>277</v>
      </c>
      <c r="Q1376" s="9" t="n"/>
      <c r="R1376" s="9" t="n"/>
      <c r="S1376" s="9" t="inlineStr">
        <is>
          <t>Conduit</t>
        </is>
      </c>
      <c r="T1376" s="10" t="n">
        <v>19339</v>
      </c>
      <c r="U1376" s="10" t="n">
        <v>0</v>
      </c>
      <c r="V1376" s="10">
        <f>ROUNDUP((T1376+U1376+2*'Read Me'!$B$13)*(1+'Read Me'!$B$12),-1)</f>
        <v/>
      </c>
      <c r="W1376" s="10">
        <f>V1376*N1376*O1376</f>
        <v/>
      </c>
      <c r="X1376" s="9">
        <f>IF(LEFT(I1376,2)="MV",2*N1376*IF(L1376="1/C",O1376,1),0)</f>
        <v/>
      </c>
      <c r="Y1376" s="9">
        <f>IF(OR(LEFT(K1376,4)="LVAX",LEFT(K1376,6)="MV15AX",LEFT(K1376,4)="CTAX",LEFT(K1376,2)="W|"),2*N1376*O1376,0)</f>
        <v/>
      </c>
      <c r="Z1376" s="9" t="inlineStr">
        <is>
          <t>allowance: 1.6 ft of conductor per ft2 of floor</t>
        </is>
      </c>
    </row>
    <row r="1377">
      <c r="A1377" s="9" t="inlineStr">
        <is>
          <t>F-L-0002</t>
        </is>
      </c>
      <c r="B1377" s="9" t="inlineStr">
        <is>
          <t>F</t>
        </is>
      </c>
      <c r="C1377" s="9" t="inlineStr">
        <is>
          <t>Controls / service</t>
        </is>
      </c>
      <c r="D1377" s="9" t="inlineStr">
        <is>
          <t>Lighting, receptacles and small power branch circuits (allowance)</t>
        </is>
      </c>
      <c r="E1377" s="9" t="inlineStr"/>
      <c r="F1377" s="9" t="inlineStr">
        <is>
          <t>Gatehouse</t>
        </is>
      </c>
      <c r="G1377" s="9" t="inlineStr"/>
      <c r="H1377" s="9" t="inlineStr">
        <is>
          <t>Gatehouse</t>
        </is>
      </c>
      <c r="I1377" s="9" t="inlineStr">
        <is>
          <t>Building wire</t>
        </is>
      </c>
      <c r="J1377" s="9" t="inlineStr">
        <is>
          <t>SIMpull THHN/THWN-2 600 V 1/C Cu (lighting, receptacles, small power)</t>
        </is>
      </c>
      <c r="K1377" s="9" t="inlineStr">
        <is>
          <t>THHN|1/C|12</t>
        </is>
      </c>
      <c r="L1377" s="9" t="inlineStr">
        <is>
          <t>1/C</t>
        </is>
      </c>
      <c r="M1377" s="9" t="inlineStr">
        <is>
          <t>12</t>
        </is>
      </c>
      <c r="N1377" s="9" t="n">
        <v>1</v>
      </c>
      <c r="O1377" s="9" t="n">
        <v>1</v>
      </c>
      <c r="P1377" s="9" t="n">
        <v>277</v>
      </c>
      <c r="Q1377" s="9" t="n"/>
      <c r="R1377" s="9" t="n"/>
      <c r="S1377" s="9" t="inlineStr">
        <is>
          <t>Conduit</t>
        </is>
      </c>
      <c r="T1377" s="10" t="n">
        <v>736</v>
      </c>
      <c r="U1377" s="10" t="n">
        <v>0</v>
      </c>
      <c r="V1377" s="10">
        <f>ROUNDUP((T1377+U1377+2*'Read Me'!$B$13)*(1+'Read Me'!$B$12),-1)</f>
        <v/>
      </c>
      <c r="W1377" s="10">
        <f>V1377*N1377*O1377</f>
        <v/>
      </c>
      <c r="X1377" s="9">
        <f>IF(LEFT(I1377,2)="MV",2*N1377*IF(L1377="1/C",O1377,1),0)</f>
        <v/>
      </c>
      <c r="Y1377" s="9">
        <f>IF(OR(LEFT(K1377,4)="LVAX",LEFT(K1377,6)="MV15AX",LEFT(K1377,4)="CTAX",LEFT(K1377,2)="W|"),2*N1377*O1377,0)</f>
        <v/>
      </c>
      <c r="Z1377" s="9" t="inlineStr">
        <is>
          <t>allowance: 1.6 ft of conductor per ft2 of floor</t>
        </is>
      </c>
    </row>
    <row r="1378">
      <c r="A1378" s="9" t="inlineStr">
        <is>
          <t>F-L-0003</t>
        </is>
      </c>
      <c r="B1378" s="9" t="inlineStr">
        <is>
          <t>F</t>
        </is>
      </c>
      <c r="C1378" s="9" t="inlineStr">
        <is>
          <t>Controls / service</t>
        </is>
      </c>
      <c r="D1378" s="9" t="inlineStr">
        <is>
          <t>Lighting, receptacles and small power branch circuits (allowance)</t>
        </is>
      </c>
      <c r="E1378" s="9" t="inlineStr"/>
      <c r="F1378" s="9" t="inlineStr">
        <is>
          <t>Maintenance building / workshop</t>
        </is>
      </c>
      <c r="G1378" s="9" t="inlineStr"/>
      <c r="H1378" s="9" t="inlineStr">
        <is>
          <t>Maintenance building / workshop</t>
        </is>
      </c>
      <c r="I1378" s="9" t="inlineStr">
        <is>
          <t>Building wire</t>
        </is>
      </c>
      <c r="J1378" s="9" t="inlineStr">
        <is>
          <t>SIMpull THHN/THWN-2 600 V 1/C Cu (lighting, receptacles, small power)</t>
        </is>
      </c>
      <c r="K1378" s="9" t="inlineStr">
        <is>
          <t>THHN|1/C|12</t>
        </is>
      </c>
      <c r="L1378" s="9" t="inlineStr">
        <is>
          <t>1/C</t>
        </is>
      </c>
      <c r="M1378" s="9" t="inlineStr">
        <is>
          <t>12</t>
        </is>
      </c>
      <c r="N1378" s="9" t="n">
        <v>1</v>
      </c>
      <c r="O1378" s="9" t="n">
        <v>1</v>
      </c>
      <c r="P1378" s="9" t="n">
        <v>277</v>
      </c>
      <c r="Q1378" s="9" t="n"/>
      <c r="R1378" s="9" t="n"/>
      <c r="S1378" s="9" t="inlineStr">
        <is>
          <t>Conduit</t>
        </is>
      </c>
      <c r="T1378" s="10" t="n">
        <v>8003</v>
      </c>
      <c r="U1378" s="10" t="n">
        <v>0</v>
      </c>
      <c r="V1378" s="10">
        <f>ROUNDUP((T1378+U1378+2*'Read Me'!$B$13)*(1+'Read Me'!$B$12),-1)</f>
        <v/>
      </c>
      <c r="W1378" s="10">
        <f>V1378*N1378*O1378</f>
        <v/>
      </c>
      <c r="X1378" s="9">
        <f>IF(LEFT(I1378,2)="MV",2*N1378*IF(L1378="1/C",O1378,1),0)</f>
        <v/>
      </c>
      <c r="Y1378" s="9">
        <f>IF(OR(LEFT(K1378,4)="LVAX",LEFT(K1378,6)="MV15AX",LEFT(K1378,4)="CTAX",LEFT(K1378,2)="W|"),2*N1378*O1378,0)</f>
        <v/>
      </c>
      <c r="Z1378" s="9" t="inlineStr">
        <is>
          <t>allowance: 1.6 ft of conductor per ft2 of floor</t>
        </is>
      </c>
    </row>
    <row r="1379">
      <c r="A1379" s="9" t="inlineStr">
        <is>
          <t>F-L-0004</t>
        </is>
      </c>
      <c r="B1379" s="9" t="inlineStr">
        <is>
          <t>F</t>
        </is>
      </c>
      <c r="C1379" s="9" t="inlineStr">
        <is>
          <t>Controls / service</t>
        </is>
      </c>
      <c r="D1379" s="9" t="inlineStr">
        <is>
          <t>Lighting, receptacles and small power branch circuits (allowance)</t>
        </is>
      </c>
      <c r="E1379" s="9" t="inlineStr"/>
      <c r="F1379" s="9" t="inlineStr">
        <is>
          <t>Warehouse</t>
        </is>
      </c>
      <c r="G1379" s="9" t="inlineStr"/>
      <c r="H1379" s="9" t="inlineStr">
        <is>
          <t>Warehouse</t>
        </is>
      </c>
      <c r="I1379" s="9" t="inlineStr">
        <is>
          <t>Building wire</t>
        </is>
      </c>
      <c r="J1379" s="9" t="inlineStr">
        <is>
          <t>SIMpull THHN/THWN-2 600 V 1/C Cu (lighting, receptacles, small power)</t>
        </is>
      </c>
      <c r="K1379" s="9" t="inlineStr">
        <is>
          <t>THHN|1/C|12</t>
        </is>
      </c>
      <c r="L1379" s="9" t="inlineStr">
        <is>
          <t>1/C</t>
        </is>
      </c>
      <c r="M1379" s="9" t="inlineStr">
        <is>
          <t>12</t>
        </is>
      </c>
      <c r="N1379" s="9" t="n">
        <v>1</v>
      </c>
      <c r="O1379" s="9" t="n">
        <v>1</v>
      </c>
      <c r="P1379" s="9" t="n">
        <v>277</v>
      </c>
      <c r="Q1379" s="9" t="n"/>
      <c r="R1379" s="9" t="n"/>
      <c r="S1379" s="9" t="inlineStr">
        <is>
          <t>Conduit</t>
        </is>
      </c>
      <c r="T1379" s="10" t="n">
        <v>27227</v>
      </c>
      <c r="U1379" s="10" t="n">
        <v>0</v>
      </c>
      <c r="V1379" s="10">
        <f>ROUNDUP((T1379+U1379+2*'Read Me'!$B$13)*(1+'Read Me'!$B$12),-1)</f>
        <v/>
      </c>
      <c r="W1379" s="10">
        <f>V1379*N1379*O1379</f>
        <v/>
      </c>
      <c r="X1379" s="9">
        <f>IF(LEFT(I1379,2)="MV",2*N1379*IF(L1379="1/C",O1379,1),0)</f>
        <v/>
      </c>
      <c r="Y1379" s="9">
        <f>IF(OR(LEFT(K1379,4)="LVAX",LEFT(K1379,6)="MV15AX",LEFT(K1379,4)="CTAX",LEFT(K1379,2)="W|"),2*N1379*O1379,0)</f>
        <v/>
      </c>
      <c r="Z1379" s="9" t="inlineStr">
        <is>
          <t>allowance: 1.6 ft of conductor per ft2 of floor</t>
        </is>
      </c>
    </row>
    <row r="1380">
      <c r="A1380" s="9" t="inlineStr">
        <is>
          <t>F-C-0001</t>
        </is>
      </c>
      <c r="B1380" s="9" t="inlineStr">
        <is>
          <t>F</t>
        </is>
      </c>
      <c r="C1380" s="9" t="inlineStr">
        <is>
          <t>Controls / service</t>
        </is>
      </c>
      <c r="D1380" s="9" t="inlineStr">
        <is>
          <t>Control</t>
        </is>
      </c>
      <c r="E1380" s="9" t="inlineStr">
        <is>
          <t>CR</t>
        </is>
      </c>
      <c r="F1380" s="9" t="inlineStr">
        <is>
          <t>Control / admin building (main control room)</t>
        </is>
      </c>
      <c r="G1380" s="9" t="inlineStr">
        <is>
          <t>CR</t>
        </is>
      </c>
      <c r="H1380" s="9" t="inlineStr">
        <is>
          <t>Control / admin building (main control room)</t>
        </is>
      </c>
      <c r="I1380" s="9" t="inlineStr">
        <is>
          <t>Control</t>
        </is>
      </c>
      <c r="J1380" s="9" t="inlineStr">
        <is>
          <t>Control cable 600 V Type TC-ER, Cu #14 AWG, PVC jacket</t>
        </is>
      </c>
      <c r="K1380" s="9" t="inlineStr">
        <is>
          <t>CT|7/C|14</t>
        </is>
      </c>
      <c r="L1380" s="9" t="inlineStr">
        <is>
          <t>7/C</t>
        </is>
      </c>
      <c r="M1380" s="9" t="inlineStr">
        <is>
          <t>14</t>
        </is>
      </c>
      <c r="N1380" s="9" t="n">
        <v>1</v>
      </c>
      <c r="O1380" s="9" t="n">
        <v>1</v>
      </c>
      <c r="P1380" s="9" t="n"/>
      <c r="Q1380" s="9" t="n"/>
      <c r="R1380" s="9" t="n"/>
      <c r="S1380" s="9" t="inlineStr">
        <is>
          <t>Tray</t>
        </is>
      </c>
      <c r="T1380" s="10" t="n">
        <v>0</v>
      </c>
      <c r="U1380" s="10" t="n">
        <v>32</v>
      </c>
      <c r="V1380" s="10">
        <f>ROUNDUP((T1380+U1380+2*'Read Me'!$B$13)*(1+'Read Me'!$B$12),-1)</f>
        <v/>
      </c>
      <c r="W1380" s="10">
        <f>V1380*N1380*O1380</f>
        <v/>
      </c>
      <c r="X1380" s="9">
        <f>IF(LEFT(I1380,2)="MV",2*N1380*IF(L1380="1/C",O1380,1),0)</f>
        <v/>
      </c>
      <c r="Y1380" s="9">
        <f>IF(OR(LEFT(K1380,4)="LVAX",LEFT(K1380,6)="MV15AX",LEFT(K1380,4)="CTAX",LEFT(K1380,2)="W|"),2*N1380*O1380,0)</f>
        <v/>
      </c>
      <c r="Z1380" s="9" t="inlineStr"/>
    </row>
    <row r="1381">
      <c r="A1381" s="9" t="inlineStr">
        <is>
          <t>F-C-0002</t>
        </is>
      </c>
      <c r="B1381" s="9" t="inlineStr">
        <is>
          <t>F</t>
        </is>
      </c>
      <c r="C1381" s="9" t="inlineStr">
        <is>
          <t>Controls / service</t>
        </is>
      </c>
      <c r="D1381" s="9" t="inlineStr">
        <is>
          <t>Control</t>
        </is>
      </c>
      <c r="E1381" s="9" t="inlineStr">
        <is>
          <t>CR</t>
        </is>
      </c>
      <c r="F1381" s="9" t="inlineStr">
        <is>
          <t>Control / admin building (main control room)</t>
        </is>
      </c>
      <c r="G1381" s="9" t="inlineStr">
        <is>
          <t>EDG-1</t>
        </is>
      </c>
      <c r="H1381" s="9" t="inlineStr">
        <is>
          <t>EDG-1: 3 MW emergency diesel generator (480 V)</t>
        </is>
      </c>
      <c r="I1381" s="9" t="inlineStr">
        <is>
          <t>Control</t>
        </is>
      </c>
      <c r="J1381" s="9" t="inlineStr">
        <is>
          <t>Control cable 600 V Type TC-ER, Cu #14 AWG, PVC jacket</t>
        </is>
      </c>
      <c r="K1381" s="9" t="inlineStr">
        <is>
          <t>CT|7/C|14</t>
        </is>
      </c>
      <c r="L1381" s="9" t="inlineStr">
        <is>
          <t>7/C</t>
        </is>
      </c>
      <c r="M1381" s="9" t="inlineStr">
        <is>
          <t>14</t>
        </is>
      </c>
      <c r="N1381" s="9" t="n">
        <v>1</v>
      </c>
      <c r="O1381" s="9" t="n">
        <v>1</v>
      </c>
      <c r="P1381" s="9" t="n"/>
      <c r="Q1381" s="9" t="n"/>
      <c r="R1381" s="9" t="n"/>
      <c r="S1381" s="9" t="inlineStr">
        <is>
          <t>Duct bank</t>
        </is>
      </c>
      <c r="T1381" s="10" t="n">
        <v>574</v>
      </c>
      <c r="U1381" s="10" t="n">
        <v>62</v>
      </c>
      <c r="V1381" s="10">
        <f>ROUNDUP((T1381+U1381+2*'Read Me'!$B$13)*(1+'Read Me'!$B$12),-1)</f>
        <v/>
      </c>
      <c r="W1381" s="10">
        <f>V1381*N1381*O1381</f>
        <v/>
      </c>
      <c r="X1381" s="9">
        <f>IF(LEFT(I1381,2)="MV",2*N1381*IF(L1381="1/C",O1381,1),0)</f>
        <v/>
      </c>
      <c r="Y1381" s="9">
        <f>IF(OR(LEFT(K1381,4)="LVAX",LEFT(K1381,6)="MV15AX",LEFT(K1381,4)="CTAX",LEFT(K1381,2)="W|"),2*N1381*O1381,0)</f>
        <v/>
      </c>
      <c r="Z1381" s="9" t="inlineStr"/>
    </row>
    <row r="1382">
      <c r="A1382" s="9" t="inlineStr">
        <is>
          <t>F-C-0003</t>
        </is>
      </c>
      <c r="B1382" s="9" t="inlineStr">
        <is>
          <t>F</t>
        </is>
      </c>
      <c r="C1382" s="9" t="inlineStr">
        <is>
          <t>Controls / service</t>
        </is>
      </c>
      <c r="D1382" s="9" t="inlineStr">
        <is>
          <t>Control</t>
        </is>
      </c>
      <c r="E1382" s="9" t="inlineStr">
        <is>
          <t>CR</t>
        </is>
      </c>
      <c r="F1382" s="9" t="inlineStr">
        <is>
          <t>Control / admin building (main control room)</t>
        </is>
      </c>
      <c r="G1382" s="9" t="inlineStr">
        <is>
          <t>EDG-2</t>
        </is>
      </c>
      <c r="H1382" s="9" t="inlineStr">
        <is>
          <t>EDG-2: 3 MW emergency diesel generator (480 V)</t>
        </is>
      </c>
      <c r="I1382" s="9" t="inlineStr">
        <is>
          <t>Control</t>
        </is>
      </c>
      <c r="J1382" s="9" t="inlineStr">
        <is>
          <t>Control cable 600 V Type TC-ER, Cu #14 AWG, PVC jacket</t>
        </is>
      </c>
      <c r="K1382" s="9" t="inlineStr">
        <is>
          <t>CT|7/C|14</t>
        </is>
      </c>
      <c r="L1382" s="9" t="inlineStr">
        <is>
          <t>7/C</t>
        </is>
      </c>
      <c r="M1382" s="9" t="inlineStr">
        <is>
          <t>14</t>
        </is>
      </c>
      <c r="N1382" s="9" t="n">
        <v>1</v>
      </c>
      <c r="O1382" s="9" t="n">
        <v>1</v>
      </c>
      <c r="P1382" s="9" t="n"/>
      <c r="Q1382" s="9" t="n"/>
      <c r="R1382" s="9" t="n"/>
      <c r="S1382" s="9" t="inlineStr">
        <is>
          <t>Duct bank</t>
        </is>
      </c>
      <c r="T1382" s="10" t="n">
        <v>609</v>
      </c>
      <c r="U1382" s="10" t="n">
        <v>65</v>
      </c>
      <c r="V1382" s="10">
        <f>ROUNDUP((T1382+U1382+2*'Read Me'!$B$13)*(1+'Read Me'!$B$12),-1)</f>
        <v/>
      </c>
      <c r="W1382" s="10">
        <f>V1382*N1382*O1382</f>
        <v/>
      </c>
      <c r="X1382" s="9">
        <f>IF(LEFT(I1382,2)="MV",2*N1382*IF(L1382="1/C",O1382,1),0)</f>
        <v/>
      </c>
      <c r="Y1382" s="9">
        <f>IF(OR(LEFT(K1382,4)="LVAX",LEFT(K1382,6)="MV15AX",LEFT(K1382,4)="CTAX",LEFT(K1382,2)="W|"),2*N1382*O1382,0)</f>
        <v/>
      </c>
      <c r="Z1382" s="9" t="inlineStr"/>
    </row>
    <row r="1383">
      <c r="A1383" s="9" t="inlineStr">
        <is>
          <t>F-C-0004</t>
        </is>
      </c>
      <c r="B1383" s="9" t="inlineStr">
        <is>
          <t>F</t>
        </is>
      </c>
      <c r="C1383" s="9" t="inlineStr">
        <is>
          <t>Controls / service</t>
        </is>
      </c>
      <c r="D1383" s="9" t="inlineStr">
        <is>
          <t>Control</t>
        </is>
      </c>
      <c r="E1383" s="9" t="inlineStr">
        <is>
          <t>CR</t>
        </is>
      </c>
      <c r="F1383" s="9" t="inlineStr">
        <is>
          <t>Control / admin building (main control room)</t>
        </is>
      </c>
      <c r="G1383" s="9" t="inlineStr"/>
      <c r="H1383" s="9" t="inlineStr">
        <is>
          <t>Gatehouse</t>
        </is>
      </c>
      <c r="I1383" s="9" t="inlineStr">
        <is>
          <t>Control</t>
        </is>
      </c>
      <c r="J1383" s="9" t="inlineStr">
        <is>
          <t>Control cable 600 V Type TC-ER, Cu #14 AWG, PVC jacket</t>
        </is>
      </c>
      <c r="K1383" s="9" t="inlineStr">
        <is>
          <t>CT|7/C|14</t>
        </is>
      </c>
      <c r="L1383" s="9" t="inlineStr">
        <is>
          <t>7/C</t>
        </is>
      </c>
      <c r="M1383" s="9" t="inlineStr">
        <is>
          <t>14</t>
        </is>
      </c>
      <c r="N1383" s="9" t="n">
        <v>1</v>
      </c>
      <c r="O1383" s="9" t="n">
        <v>1</v>
      </c>
      <c r="P1383" s="9" t="n"/>
      <c r="Q1383" s="9" t="n"/>
      <c r="R1383" s="9" t="n"/>
      <c r="S1383" s="9" t="inlineStr">
        <is>
          <t>Tray</t>
        </is>
      </c>
      <c r="T1383" s="10" t="n">
        <v>20</v>
      </c>
      <c r="U1383" s="10" t="n">
        <v>32</v>
      </c>
      <c r="V1383" s="10">
        <f>ROUNDUP((T1383+U1383+2*'Read Me'!$B$13)*(1+'Read Me'!$B$12),-1)</f>
        <v/>
      </c>
      <c r="W1383" s="10">
        <f>V1383*N1383*O1383</f>
        <v/>
      </c>
      <c r="X1383" s="9">
        <f>IF(LEFT(I1383,2)="MV",2*N1383*IF(L1383="1/C",O1383,1),0)</f>
        <v/>
      </c>
      <c r="Y1383" s="9">
        <f>IF(OR(LEFT(K1383,4)="LVAX",LEFT(K1383,6)="MV15AX",LEFT(K1383,4)="CTAX",LEFT(K1383,2)="W|"),2*N1383*O1383,0)</f>
        <v/>
      </c>
      <c r="Z1383" s="9" t="inlineStr"/>
    </row>
    <row r="1384">
      <c r="A1384" s="9" t="inlineStr">
        <is>
          <t>F-C-0005</t>
        </is>
      </c>
      <c r="B1384" s="9" t="inlineStr">
        <is>
          <t>F</t>
        </is>
      </c>
      <c r="C1384" s="9" t="inlineStr">
        <is>
          <t>Controls / service</t>
        </is>
      </c>
      <c r="D1384" s="9" t="inlineStr">
        <is>
          <t>Control</t>
        </is>
      </c>
      <c r="E1384" s="9" t="inlineStr">
        <is>
          <t>CR</t>
        </is>
      </c>
      <c r="F1384" s="9" t="inlineStr">
        <is>
          <t>Control / admin building (main control room)</t>
        </is>
      </c>
      <c r="G1384" s="9" t="inlineStr">
        <is>
          <t>LS-1</t>
        </is>
      </c>
      <c r="H1384" s="9" t="inlineStr">
        <is>
          <t>LS-1: sanitary lift station (packaged duplex)</t>
        </is>
      </c>
      <c r="I1384" s="9" t="inlineStr">
        <is>
          <t>Control</t>
        </is>
      </c>
      <c r="J1384" s="9" t="inlineStr">
        <is>
          <t>Control cable 600 V Type TC-ER, Cu #14 AWG, PVC jacket</t>
        </is>
      </c>
      <c r="K1384" s="9" t="inlineStr">
        <is>
          <t>CT|7/C|14</t>
        </is>
      </c>
      <c r="L1384" s="9" t="inlineStr">
        <is>
          <t>7/C</t>
        </is>
      </c>
      <c r="M1384" s="9" t="inlineStr">
        <is>
          <t>14</t>
        </is>
      </c>
      <c r="N1384" s="9" t="n">
        <v>1</v>
      </c>
      <c r="O1384" s="9" t="n">
        <v>1</v>
      </c>
      <c r="P1384" s="9" t="n"/>
      <c r="Q1384" s="9" t="n"/>
      <c r="R1384" s="9" t="n"/>
      <c r="S1384" s="9" t="inlineStr">
        <is>
          <t>Duct bank</t>
        </is>
      </c>
      <c r="T1384" s="10" t="n">
        <v>326</v>
      </c>
      <c r="U1384" s="10" t="n">
        <v>32</v>
      </c>
      <c r="V1384" s="10">
        <f>ROUNDUP((T1384+U1384+2*'Read Me'!$B$13)*(1+'Read Me'!$B$12),-1)</f>
        <v/>
      </c>
      <c r="W1384" s="10">
        <f>V1384*N1384*O1384</f>
        <v/>
      </c>
      <c r="X1384" s="9">
        <f>IF(LEFT(I1384,2)="MV",2*N1384*IF(L1384="1/C",O1384,1),0)</f>
        <v/>
      </c>
      <c r="Y1384" s="9">
        <f>IF(OR(LEFT(K1384,4)="LVAX",LEFT(K1384,6)="MV15AX",LEFT(K1384,4)="CTAX",LEFT(K1384,2)="W|"),2*N1384*O1384,0)</f>
        <v/>
      </c>
      <c r="Z1384" s="9" t="inlineStr"/>
    </row>
    <row r="1385">
      <c r="A1385" s="9" t="inlineStr">
        <is>
          <t>F-C-0006</t>
        </is>
      </c>
      <c r="B1385" s="9" t="inlineStr">
        <is>
          <t>F</t>
        </is>
      </c>
      <c r="C1385" s="9" t="inlineStr">
        <is>
          <t>Controls / service</t>
        </is>
      </c>
      <c r="D1385" s="9" t="inlineStr">
        <is>
          <t>Control</t>
        </is>
      </c>
      <c r="E1385" s="9" t="inlineStr">
        <is>
          <t>RH</t>
        </is>
      </c>
      <c r="F1385" s="9" t="inlineStr">
        <is>
          <t>RH: switchyard relay / control house (52 x 70 ft)</t>
        </is>
      </c>
      <c r="G1385" s="9" t="inlineStr"/>
      <c r="H1385" s="9" t="inlineStr">
        <is>
          <t>Main gate: sliding gate, barrier arms, card readers, entrance sign</t>
        </is>
      </c>
      <c r="I1385" s="9" t="inlineStr">
        <is>
          <t>Control</t>
        </is>
      </c>
      <c r="J1385" s="9" t="inlineStr">
        <is>
          <t>Control cable 600 V Type TC-ER, Cu #14 AWG, PVC jacket</t>
        </is>
      </c>
      <c r="K1385" s="9" t="inlineStr">
        <is>
          <t>CT|7/C|14</t>
        </is>
      </c>
      <c r="L1385" s="9" t="inlineStr">
        <is>
          <t>7/C</t>
        </is>
      </c>
      <c r="M1385" s="9" t="inlineStr">
        <is>
          <t>14</t>
        </is>
      </c>
      <c r="N1385" s="9" t="n">
        <v>1</v>
      </c>
      <c r="O1385" s="9" t="n">
        <v>1</v>
      </c>
      <c r="P1385" s="9" t="n"/>
      <c r="Q1385" s="9" t="n"/>
      <c r="R1385" s="9" t="n"/>
      <c r="S1385" s="9" t="inlineStr">
        <is>
          <t>Duct bank</t>
        </is>
      </c>
      <c r="T1385" s="10" t="n">
        <v>845</v>
      </c>
      <c r="U1385" s="10" t="n">
        <v>284</v>
      </c>
      <c r="V1385" s="10">
        <f>ROUNDUP((T1385+U1385+2*'Read Me'!$B$13)*(1+'Read Me'!$B$12),-1)</f>
        <v/>
      </c>
      <c r="W1385" s="10">
        <f>V1385*N1385*O1385</f>
        <v/>
      </c>
      <c r="X1385" s="9">
        <f>IF(LEFT(I1385,2)="MV",2*N1385*IF(L1385="1/C",O1385,1),0)</f>
        <v/>
      </c>
      <c r="Y1385" s="9">
        <f>IF(OR(LEFT(K1385,4)="LVAX",LEFT(K1385,6)="MV15AX",LEFT(K1385,4)="CTAX",LEFT(K1385,2)="W|"),2*N1385*O1385,0)</f>
        <v/>
      </c>
      <c r="Z1385" s="9" t="inlineStr"/>
    </row>
    <row r="1386">
      <c r="A1386" s="9" t="inlineStr">
        <is>
          <t>F-C-0007</t>
        </is>
      </c>
      <c r="B1386" s="9" t="inlineStr">
        <is>
          <t>F</t>
        </is>
      </c>
      <c r="C1386" s="9" t="inlineStr">
        <is>
          <t>Controls / service</t>
        </is>
      </c>
      <c r="D1386" s="9" t="inlineStr">
        <is>
          <t>Control</t>
        </is>
      </c>
      <c r="E1386" s="9" t="inlineStr">
        <is>
          <t>CR</t>
        </is>
      </c>
      <c r="F1386" s="9" t="inlineStr">
        <is>
          <t>Control / admin building (main control room)</t>
        </is>
      </c>
      <c r="G1386" s="9" t="inlineStr"/>
      <c r="H1386" s="9" t="inlineStr">
        <is>
          <t>Maintenance building / workshop</t>
        </is>
      </c>
      <c r="I1386" s="9" t="inlineStr">
        <is>
          <t>Control</t>
        </is>
      </c>
      <c r="J1386" s="9" t="inlineStr">
        <is>
          <t>Control cable 600 V Type TC-ER, Cu #14 AWG, PVC jacket</t>
        </is>
      </c>
      <c r="K1386" s="9" t="inlineStr">
        <is>
          <t>CT|7/C|14</t>
        </is>
      </c>
      <c r="L1386" s="9" t="inlineStr">
        <is>
          <t>7/C</t>
        </is>
      </c>
      <c r="M1386" s="9" t="inlineStr">
        <is>
          <t>14</t>
        </is>
      </c>
      <c r="N1386" s="9" t="n">
        <v>1</v>
      </c>
      <c r="O1386" s="9" t="n">
        <v>1</v>
      </c>
      <c r="P1386" s="9" t="n"/>
      <c r="Q1386" s="9" t="n"/>
      <c r="R1386" s="9" t="n"/>
      <c r="S1386" s="9" t="inlineStr">
        <is>
          <t>Duct bank</t>
        </is>
      </c>
      <c r="T1386" s="10" t="n">
        <v>300</v>
      </c>
      <c r="U1386" s="10" t="n">
        <v>32</v>
      </c>
      <c r="V1386" s="10">
        <f>ROUNDUP((T1386+U1386+2*'Read Me'!$B$13)*(1+'Read Me'!$B$12),-1)</f>
        <v/>
      </c>
      <c r="W1386" s="10">
        <f>V1386*N1386*O1386</f>
        <v/>
      </c>
      <c r="X1386" s="9">
        <f>IF(LEFT(I1386,2)="MV",2*N1386*IF(L1386="1/C",O1386,1),0)</f>
        <v/>
      </c>
      <c r="Y1386" s="9">
        <f>IF(OR(LEFT(K1386,4)="LVAX",LEFT(K1386,6)="MV15AX",LEFT(K1386,4)="CTAX",LEFT(K1386,2)="W|"),2*N1386*O1386,0)</f>
        <v/>
      </c>
      <c r="Z1386" s="9" t="inlineStr"/>
    </row>
    <row r="1387">
      <c r="A1387" s="9" t="inlineStr">
        <is>
          <t>F-C-0008</t>
        </is>
      </c>
      <c r="B1387" s="9" t="inlineStr">
        <is>
          <t>F</t>
        </is>
      </c>
      <c r="C1387" s="9" t="inlineStr">
        <is>
          <t>Controls / service</t>
        </is>
      </c>
      <c r="D1387" s="9" t="inlineStr">
        <is>
          <t>Control</t>
        </is>
      </c>
      <c r="E1387" s="9" t="inlineStr">
        <is>
          <t>CR</t>
        </is>
      </c>
      <c r="F1387" s="9" t="inlineStr">
        <is>
          <t>Control / admin building (main control room)</t>
        </is>
      </c>
      <c r="G1387" s="9" t="inlineStr"/>
      <c r="H1387" s="9" t="inlineStr">
        <is>
          <t>Perimeter fence barbed-wire arms and CCTV cameras</t>
        </is>
      </c>
      <c r="I1387" s="9" t="inlineStr">
        <is>
          <t>Control</t>
        </is>
      </c>
      <c r="J1387" s="9" t="inlineStr">
        <is>
          <t>Control cable 600 V Type TC-ER, Cu #14 AWG, PVC jacket</t>
        </is>
      </c>
      <c r="K1387" s="9" t="inlineStr">
        <is>
          <t>CT|7/C|14</t>
        </is>
      </c>
      <c r="L1387" s="9" t="inlineStr">
        <is>
          <t>7/C</t>
        </is>
      </c>
      <c r="M1387" s="9" t="inlineStr">
        <is>
          <t>14</t>
        </is>
      </c>
      <c r="N1387" s="9" t="n">
        <v>1</v>
      </c>
      <c r="O1387" s="9" t="n">
        <v>1</v>
      </c>
      <c r="P1387" s="9" t="n"/>
      <c r="Q1387" s="9" t="n"/>
      <c r="R1387" s="9" t="n"/>
      <c r="S1387" s="9" t="inlineStr">
        <is>
          <t>Estimated</t>
        </is>
      </c>
      <c r="T1387" s="10" t="n">
        <v>1598</v>
      </c>
      <c r="U1387" s="10" t="n">
        <v>40</v>
      </c>
      <c r="V1387" s="10">
        <f>ROUNDUP((T1387+U1387+2*'Read Me'!$B$13)*(1+'Read Me'!$B$12),-1)</f>
        <v/>
      </c>
      <c r="W1387" s="10">
        <f>V1387*N1387*O1387</f>
        <v/>
      </c>
      <c r="X1387" s="9">
        <f>IF(LEFT(I1387,2)="MV",2*N1387*IF(L1387="1/C",O1387,1),0)</f>
        <v/>
      </c>
      <c r="Y1387" s="9">
        <f>IF(OR(LEFT(K1387,4)="LVAX",LEFT(K1387,6)="MV15AX",LEFT(K1387,4)="CTAX",LEFT(K1387,2)="W|"),2*N1387*O1387,0)</f>
        <v/>
      </c>
      <c r="Z1387" s="9" t="inlineStr"/>
    </row>
    <row r="1388">
      <c r="A1388" s="9" t="inlineStr">
        <is>
          <t>F-C-0009</t>
        </is>
      </c>
      <c r="B1388" s="9" t="inlineStr">
        <is>
          <t>F</t>
        </is>
      </c>
      <c r="C1388" s="9" t="inlineStr">
        <is>
          <t>Controls / service</t>
        </is>
      </c>
      <c r="D1388" s="9" t="inlineStr">
        <is>
          <t>Control</t>
        </is>
      </c>
      <c r="E1388" s="9" t="inlineStr">
        <is>
          <t>CR</t>
        </is>
      </c>
      <c r="F1388" s="9" t="inlineStr">
        <is>
          <t>Control / admin building (main control room)</t>
        </is>
      </c>
      <c r="G1388" s="9" t="inlineStr"/>
      <c r="H1388" s="9" t="inlineStr">
        <is>
          <t>Stormwater pump station (2 x 100% submersible pumps)</t>
        </is>
      </c>
      <c r="I1388" s="9" t="inlineStr">
        <is>
          <t>Control</t>
        </is>
      </c>
      <c r="J1388" s="9" t="inlineStr">
        <is>
          <t>Control cable 600 V Type TC-ER, Cu #14 AWG, PVC jacket</t>
        </is>
      </c>
      <c r="K1388" s="9" t="inlineStr">
        <is>
          <t>CT|7/C|14</t>
        </is>
      </c>
      <c r="L1388" s="9" t="inlineStr">
        <is>
          <t>7/C</t>
        </is>
      </c>
      <c r="M1388" s="9" t="inlineStr">
        <is>
          <t>14</t>
        </is>
      </c>
      <c r="N1388" s="9" t="n">
        <v>1</v>
      </c>
      <c r="O1388" s="9" t="n">
        <v>1</v>
      </c>
      <c r="P1388" s="9" t="n"/>
      <c r="Q1388" s="9" t="n"/>
      <c r="R1388" s="9" t="n"/>
      <c r="S1388" s="9" t="inlineStr">
        <is>
          <t>Duct bank</t>
        </is>
      </c>
      <c r="T1388" s="10" t="n">
        <v>1397</v>
      </c>
      <c r="U1388" s="10" t="n">
        <v>32</v>
      </c>
      <c r="V1388" s="10">
        <f>ROUNDUP((T1388+U1388+2*'Read Me'!$B$13)*(1+'Read Me'!$B$12),-1)</f>
        <v/>
      </c>
      <c r="W1388" s="10">
        <f>V1388*N1388*O1388</f>
        <v/>
      </c>
      <c r="X1388" s="9">
        <f>IF(LEFT(I1388,2)="MV",2*N1388*IF(L1388="1/C",O1388,1),0)</f>
        <v/>
      </c>
      <c r="Y1388" s="9">
        <f>IF(OR(LEFT(K1388,4)="LVAX",LEFT(K1388,6)="MV15AX",LEFT(K1388,4)="CTAX",LEFT(K1388,2)="W|"),2*N1388*O1388,0)</f>
        <v/>
      </c>
      <c r="Z1388" s="9" t="inlineStr"/>
    </row>
    <row r="1389">
      <c r="A1389" s="9" t="inlineStr">
        <is>
          <t>F-C-0010</t>
        </is>
      </c>
      <c r="B1389" s="9" t="inlineStr">
        <is>
          <t>F</t>
        </is>
      </c>
      <c r="C1389" s="9" t="inlineStr">
        <is>
          <t>Controls / service</t>
        </is>
      </c>
      <c r="D1389" s="9" t="inlineStr">
        <is>
          <t>Control</t>
        </is>
      </c>
      <c r="E1389" s="9" t="inlineStr">
        <is>
          <t>CR</t>
        </is>
      </c>
      <c r="F1389" s="9" t="inlineStr">
        <is>
          <t>Control / admin building (main control room)</t>
        </is>
      </c>
      <c r="G1389" s="9" t="inlineStr"/>
      <c r="H1389" s="9" t="inlineStr">
        <is>
          <t>Warehouse</t>
        </is>
      </c>
      <c r="I1389" s="9" t="inlineStr">
        <is>
          <t>Control</t>
        </is>
      </c>
      <c r="J1389" s="9" t="inlineStr">
        <is>
          <t>Control cable 600 V Type TC-ER, Cu #14 AWG, PVC jacket</t>
        </is>
      </c>
      <c r="K1389" s="9" t="inlineStr">
        <is>
          <t>CT|7/C|14</t>
        </is>
      </c>
      <c r="L1389" s="9" t="inlineStr">
        <is>
          <t>7/C</t>
        </is>
      </c>
      <c r="M1389" s="9" t="inlineStr">
        <is>
          <t>14</t>
        </is>
      </c>
      <c r="N1389" s="9" t="n">
        <v>1</v>
      </c>
      <c r="O1389" s="9" t="n">
        <v>1</v>
      </c>
      <c r="P1389" s="9" t="n"/>
      <c r="Q1389" s="9" t="n"/>
      <c r="R1389" s="9" t="n"/>
      <c r="S1389" s="9" t="inlineStr">
        <is>
          <t>Tray</t>
        </is>
      </c>
      <c r="T1389" s="10" t="n">
        <v>69</v>
      </c>
      <c r="U1389" s="10" t="n">
        <v>77</v>
      </c>
      <c r="V1389" s="10">
        <f>ROUNDUP((T1389+U1389+2*'Read Me'!$B$13)*(1+'Read Me'!$B$12),-1)</f>
        <v/>
      </c>
      <c r="W1389" s="10">
        <f>V1389*N1389*O1389</f>
        <v/>
      </c>
      <c r="X1389" s="9">
        <f>IF(LEFT(I1389,2)="MV",2*N1389*IF(L1389="1/C",O1389,1),0)</f>
        <v/>
      </c>
      <c r="Y1389" s="9">
        <f>IF(OR(LEFT(K1389,4)="LVAX",LEFT(K1389,6)="MV15AX",LEFT(K1389,4)="CTAX",LEFT(K1389,2)="W|"),2*N1389*O1389,0)</f>
        <v/>
      </c>
      <c r="Z1389" s="9" t="inlineStr"/>
    </row>
    <row r="1390">
      <c r="A1390" s="9" t="inlineStr">
        <is>
          <t>F-F-0001</t>
        </is>
      </c>
      <c r="B1390" s="9" t="inlineStr">
        <is>
          <t>F</t>
        </is>
      </c>
      <c r="C1390" s="9" t="inlineStr">
        <is>
          <t>Controls / service</t>
        </is>
      </c>
      <c r="D1390" s="9" t="inlineStr">
        <is>
          <t>Plant network / DCS fibre</t>
        </is>
      </c>
      <c r="E1390" s="9" t="inlineStr">
        <is>
          <t>CR</t>
        </is>
      </c>
      <c r="F1390" s="9" t="inlineStr">
        <is>
          <t>Control / admin building (main control room)</t>
        </is>
      </c>
      <c r="G1390" s="9" t="inlineStr">
        <is>
          <t>CR</t>
        </is>
      </c>
      <c r="H1390" s="9" t="inlineStr">
        <is>
          <t>Control / admin building (main control room)</t>
        </is>
      </c>
      <c r="I1390" s="9" t="inlineStr">
        <is>
          <t>Fibre / data</t>
        </is>
      </c>
      <c r="J1390" s="9" t="inlineStr">
        <is>
          <t>Fibre optic, single-mode, 12-fibre, armored, orange jacket</t>
        </is>
      </c>
      <c r="K1390" s="9" t="inlineStr">
        <is>
          <t>FO|12 SM|-</t>
        </is>
      </c>
      <c r="L1390" s="9" t="inlineStr">
        <is>
          <t>12 SM</t>
        </is>
      </c>
      <c r="M1390" s="9" t="inlineStr">
        <is>
          <t>-</t>
        </is>
      </c>
      <c r="N1390" s="9" t="n">
        <v>1</v>
      </c>
      <c r="O1390" s="9" t="n">
        <v>1</v>
      </c>
      <c r="P1390" s="9" t="n"/>
      <c r="Q1390" s="9" t="n"/>
      <c r="R1390" s="9" t="n"/>
      <c r="S1390" s="9" t="inlineStr">
        <is>
          <t>Tray</t>
        </is>
      </c>
      <c r="T1390" s="10" t="n">
        <v>0</v>
      </c>
      <c r="U1390" s="10" t="n">
        <v>32</v>
      </c>
      <c r="V1390" s="10">
        <f>ROUNDUP((T1390+U1390+2*'Read Me'!$B$13)*(1+'Read Me'!$B$12),-1)</f>
        <v/>
      </c>
      <c r="W1390" s="10">
        <f>V1390*N1390*O1390</f>
        <v/>
      </c>
      <c r="X1390" s="9">
        <f>IF(LEFT(I1390,2)="MV",2*N1390*IF(L1390="1/C",O1390,1),0)</f>
        <v/>
      </c>
      <c r="Y1390" s="9">
        <f>IF(OR(LEFT(K1390,4)="LVAX",LEFT(K1390,6)="MV15AX",LEFT(K1390,4)="CTAX",LEFT(K1390,2)="W|"),2*N1390*O1390,0)</f>
        <v/>
      </c>
      <c r="Z1390" s="9" t="inlineStr"/>
    </row>
    <row r="1391">
      <c r="A1391" s="9" t="inlineStr">
        <is>
          <t>F-F-0002</t>
        </is>
      </c>
      <c r="B1391" s="9" t="inlineStr">
        <is>
          <t>F</t>
        </is>
      </c>
      <c r="C1391" s="9" t="inlineStr">
        <is>
          <t>Controls / service</t>
        </is>
      </c>
      <c r="D1391" s="9" t="inlineStr">
        <is>
          <t>Plant network / DCS fibre</t>
        </is>
      </c>
      <c r="E1391" s="9" t="inlineStr">
        <is>
          <t>CR</t>
        </is>
      </c>
      <c r="F1391" s="9" t="inlineStr">
        <is>
          <t>Control / admin building (main control room)</t>
        </is>
      </c>
      <c r="G1391" s="9" t="inlineStr"/>
      <c r="H1391" s="9" t="inlineStr">
        <is>
          <t>Gatehouse</t>
        </is>
      </c>
      <c r="I1391" s="9" t="inlineStr">
        <is>
          <t>Fibre / data</t>
        </is>
      </c>
      <c r="J1391" s="9" t="inlineStr">
        <is>
          <t>Fibre optic, single-mode, 12-fibre, armored, orange jacket</t>
        </is>
      </c>
      <c r="K1391" s="9" t="inlineStr">
        <is>
          <t>FO|12 SM|-</t>
        </is>
      </c>
      <c r="L1391" s="9" t="inlineStr">
        <is>
          <t>12 SM</t>
        </is>
      </c>
      <c r="M1391" s="9" t="inlineStr">
        <is>
          <t>-</t>
        </is>
      </c>
      <c r="N1391" s="9" t="n">
        <v>1</v>
      </c>
      <c r="O1391" s="9" t="n">
        <v>1</v>
      </c>
      <c r="P1391" s="9" t="n"/>
      <c r="Q1391" s="9" t="n"/>
      <c r="R1391" s="9" t="n"/>
      <c r="S1391" s="9" t="inlineStr">
        <is>
          <t>Tray</t>
        </is>
      </c>
      <c r="T1391" s="10" t="n">
        <v>20</v>
      </c>
      <c r="U1391" s="10" t="n">
        <v>32</v>
      </c>
      <c r="V1391" s="10">
        <f>ROUNDUP((T1391+U1391+2*'Read Me'!$B$13)*(1+'Read Me'!$B$12),-1)</f>
        <v/>
      </c>
      <c r="W1391" s="10">
        <f>V1391*N1391*O1391</f>
        <v/>
      </c>
      <c r="X1391" s="9">
        <f>IF(LEFT(I1391,2)="MV",2*N1391*IF(L1391="1/C",O1391,1),0)</f>
        <v/>
      </c>
      <c r="Y1391" s="9">
        <f>IF(OR(LEFT(K1391,4)="LVAX",LEFT(K1391,6)="MV15AX",LEFT(K1391,4)="CTAX",LEFT(K1391,2)="W|"),2*N1391*O1391,0)</f>
        <v/>
      </c>
      <c r="Z1391" s="9" t="inlineStr"/>
    </row>
    <row r="1392">
      <c r="A1392" s="9" t="inlineStr">
        <is>
          <t>F-F-0003</t>
        </is>
      </c>
      <c r="B1392" s="9" t="inlineStr">
        <is>
          <t>F</t>
        </is>
      </c>
      <c r="C1392" s="9" t="inlineStr">
        <is>
          <t>Controls / service</t>
        </is>
      </c>
      <c r="D1392" s="9" t="inlineStr">
        <is>
          <t>Plant network / DCS fibre</t>
        </is>
      </c>
      <c r="E1392" s="9" t="inlineStr">
        <is>
          <t>CR</t>
        </is>
      </c>
      <c r="F1392" s="9" t="inlineStr">
        <is>
          <t>Control / admin building (main control room)</t>
        </is>
      </c>
      <c r="G1392" s="9" t="inlineStr"/>
      <c r="H1392" s="9" t="inlineStr">
        <is>
          <t>Maintenance building / workshop</t>
        </is>
      </c>
      <c r="I1392" s="9" t="inlineStr">
        <is>
          <t>Fibre / data</t>
        </is>
      </c>
      <c r="J1392" s="9" t="inlineStr">
        <is>
          <t>Fibre optic, single-mode, 12-fibre, armored, orange jacket</t>
        </is>
      </c>
      <c r="K1392" s="9" t="inlineStr">
        <is>
          <t>FO|12 SM|-</t>
        </is>
      </c>
      <c r="L1392" s="9" t="inlineStr">
        <is>
          <t>12 SM</t>
        </is>
      </c>
      <c r="M1392" s="9" t="inlineStr">
        <is>
          <t>-</t>
        </is>
      </c>
      <c r="N1392" s="9" t="n">
        <v>1</v>
      </c>
      <c r="O1392" s="9" t="n">
        <v>1</v>
      </c>
      <c r="P1392" s="9" t="n"/>
      <c r="Q1392" s="9" t="n"/>
      <c r="R1392" s="9" t="n"/>
      <c r="S1392" s="9" t="inlineStr">
        <is>
          <t>Duct bank</t>
        </is>
      </c>
      <c r="T1392" s="10" t="n">
        <v>300</v>
      </c>
      <c r="U1392" s="10" t="n">
        <v>32</v>
      </c>
      <c r="V1392" s="10">
        <f>ROUNDUP((T1392+U1392+2*'Read Me'!$B$13)*(1+'Read Me'!$B$12),-1)</f>
        <v/>
      </c>
      <c r="W1392" s="10">
        <f>V1392*N1392*O1392</f>
        <v/>
      </c>
      <c r="X1392" s="9">
        <f>IF(LEFT(I1392,2)="MV",2*N1392*IF(L1392="1/C",O1392,1),0)</f>
        <v/>
      </c>
      <c r="Y1392" s="9">
        <f>IF(OR(LEFT(K1392,4)="LVAX",LEFT(K1392,6)="MV15AX",LEFT(K1392,4)="CTAX",LEFT(K1392,2)="W|"),2*N1392*O1392,0)</f>
        <v/>
      </c>
      <c r="Z1392" s="9" t="inlineStr"/>
    </row>
    <row r="1393">
      <c r="A1393" s="9" t="inlineStr">
        <is>
          <t>F-F-0004</t>
        </is>
      </c>
      <c r="B1393" s="9" t="inlineStr">
        <is>
          <t>F</t>
        </is>
      </c>
      <c r="C1393" s="9" t="inlineStr">
        <is>
          <t>Controls / service</t>
        </is>
      </c>
      <c r="D1393" s="9" t="inlineStr">
        <is>
          <t>Plant network / DCS fibre</t>
        </is>
      </c>
      <c r="E1393" s="9" t="inlineStr">
        <is>
          <t>CR</t>
        </is>
      </c>
      <c r="F1393" s="9" t="inlineStr">
        <is>
          <t>Control / admin building (main control room)</t>
        </is>
      </c>
      <c r="G1393" s="9" t="inlineStr"/>
      <c r="H1393" s="9" t="inlineStr">
        <is>
          <t>Warehouse</t>
        </is>
      </c>
      <c r="I1393" s="9" t="inlineStr">
        <is>
          <t>Fibre / data</t>
        </is>
      </c>
      <c r="J1393" s="9" t="inlineStr">
        <is>
          <t>Fibre optic, single-mode, 12-fibre, armored, orange jacket</t>
        </is>
      </c>
      <c r="K1393" s="9" t="inlineStr">
        <is>
          <t>FO|12 SM|-</t>
        </is>
      </c>
      <c r="L1393" s="9" t="inlineStr">
        <is>
          <t>12 SM</t>
        </is>
      </c>
      <c r="M1393" s="9" t="inlineStr">
        <is>
          <t>-</t>
        </is>
      </c>
      <c r="N1393" s="9" t="n">
        <v>1</v>
      </c>
      <c r="O1393" s="9" t="n">
        <v>1</v>
      </c>
      <c r="P1393" s="9" t="n"/>
      <c r="Q1393" s="9" t="n"/>
      <c r="R1393" s="9" t="n"/>
      <c r="S1393" s="9" t="inlineStr">
        <is>
          <t>Tray</t>
        </is>
      </c>
      <c r="T1393" s="10" t="n">
        <v>69</v>
      </c>
      <c r="U1393" s="10" t="n">
        <v>77</v>
      </c>
      <c r="V1393" s="10">
        <f>ROUNDUP((T1393+U1393+2*'Read Me'!$B$13)*(1+'Read Me'!$B$12),-1)</f>
        <v/>
      </c>
      <c r="W1393" s="10">
        <f>V1393*N1393*O1393</f>
        <v/>
      </c>
      <c r="X1393" s="9">
        <f>IF(LEFT(I1393,2)="MV",2*N1393*IF(L1393="1/C",O1393,1),0)</f>
        <v/>
      </c>
      <c r="Y1393" s="9">
        <f>IF(OR(LEFT(K1393,4)="LVAX",LEFT(K1393,6)="MV15AX",LEFT(K1393,4)="CTAX",LEFT(K1393,2)="W|"),2*N1393*O1393,0)</f>
        <v/>
      </c>
      <c r="Z1393" s="9" t="inlineStr"/>
    </row>
    <row r="1394">
      <c r="A1394" s="9" t="inlineStr">
        <is>
          <t>F-FA-0001</t>
        </is>
      </c>
      <c r="B1394" s="9" t="inlineStr">
        <is>
          <t>F</t>
        </is>
      </c>
      <c r="C1394" s="9" t="inlineStr">
        <is>
          <t>Controls / service</t>
        </is>
      </c>
      <c r="D1394" s="9" t="inlineStr">
        <is>
          <t>Fire alarm / F&amp;G loop (to the local FACP / F&amp;G node)</t>
        </is>
      </c>
      <c r="E1394" s="9" t="inlineStr">
        <is>
          <t>CR</t>
        </is>
      </c>
      <c r="F1394" s="9" t="inlineStr">
        <is>
          <t>Control / admin building (main control room)</t>
        </is>
      </c>
      <c r="G1394" s="9" t="inlineStr">
        <is>
          <t>CR</t>
        </is>
      </c>
      <c r="H1394" s="9" t="inlineStr">
        <is>
          <t>Control / admin building (main control room)</t>
        </is>
      </c>
      <c r="I1394" s="9" t="inlineStr">
        <is>
          <t>Fire alarm</t>
        </is>
      </c>
      <c r="J1394" s="9" t="inlineStr">
        <is>
          <t>Fire alarm FPLR 2/C #14 shielded, red jacket (NEC 760)</t>
        </is>
      </c>
      <c r="K1394" s="9" t="inlineStr">
        <is>
          <t>FA|2/C|14</t>
        </is>
      </c>
      <c r="L1394" s="9" t="inlineStr">
        <is>
          <t>2/C</t>
        </is>
      </c>
      <c r="M1394" s="9" t="inlineStr">
        <is>
          <t>14</t>
        </is>
      </c>
      <c r="N1394" s="9" t="n">
        <v>1</v>
      </c>
      <c r="O1394" s="9" t="n">
        <v>1</v>
      </c>
      <c r="P1394" s="9" t="n"/>
      <c r="Q1394" s="9" t="n"/>
      <c r="R1394" s="9" t="n"/>
      <c r="S1394" s="9" t="inlineStr">
        <is>
          <t>Tray</t>
        </is>
      </c>
      <c r="T1394" s="10" t="n">
        <v>0</v>
      </c>
      <c r="U1394" s="10" t="n">
        <v>32</v>
      </c>
      <c r="V1394" s="10">
        <f>ROUNDUP((T1394+U1394+2*'Read Me'!$B$13)*(1+'Read Me'!$B$12),-1)</f>
        <v/>
      </c>
      <c r="W1394" s="10">
        <f>V1394*N1394*O1394</f>
        <v/>
      </c>
      <c r="X1394" s="9">
        <f>IF(LEFT(I1394,2)="MV",2*N1394*IF(L1394="1/C",O1394,1),0)</f>
        <v/>
      </c>
      <c r="Y1394" s="9">
        <f>IF(OR(LEFT(K1394,4)="LVAX",LEFT(K1394,6)="MV15AX",LEFT(K1394,4)="CTAX",LEFT(K1394,2)="W|"),2*N1394*O1394,0)</f>
        <v/>
      </c>
      <c r="Z1394" s="9" t="inlineStr"/>
    </row>
    <row r="1395">
      <c r="A1395" s="9" t="inlineStr">
        <is>
          <t>F-FA-0002</t>
        </is>
      </c>
      <c r="B1395" s="9" t="inlineStr">
        <is>
          <t>F</t>
        </is>
      </c>
      <c r="C1395" s="9" t="inlineStr">
        <is>
          <t>Controls / service</t>
        </is>
      </c>
      <c r="D1395" s="9" t="inlineStr">
        <is>
          <t>Fire alarm / F&amp;G loop (to the local FACP / F&amp;G node)</t>
        </is>
      </c>
      <c r="E1395" s="9" t="inlineStr">
        <is>
          <t>CR</t>
        </is>
      </c>
      <c r="F1395" s="9" t="inlineStr">
        <is>
          <t>Control / admin building (main control room)</t>
        </is>
      </c>
      <c r="G1395" s="9" t="inlineStr">
        <is>
          <t>EDG-1</t>
        </is>
      </c>
      <c r="H1395" s="9" t="inlineStr">
        <is>
          <t>EDG-1: 3 MW emergency diesel generator (480 V)</t>
        </is>
      </c>
      <c r="I1395" s="9" t="inlineStr">
        <is>
          <t>Fire alarm</t>
        </is>
      </c>
      <c r="J1395" s="9" t="inlineStr">
        <is>
          <t>Fire alarm FPLR 2/C #14 shielded, red jacket (NEC 760)</t>
        </is>
      </c>
      <c r="K1395" s="9" t="inlineStr">
        <is>
          <t>FA|2/C|14</t>
        </is>
      </c>
      <c r="L1395" s="9" t="inlineStr">
        <is>
          <t>2/C</t>
        </is>
      </c>
      <c r="M1395" s="9" t="inlineStr">
        <is>
          <t>14</t>
        </is>
      </c>
      <c r="N1395" s="9" t="n">
        <v>1</v>
      </c>
      <c r="O1395" s="9" t="n">
        <v>1</v>
      </c>
      <c r="P1395" s="9" t="n"/>
      <c r="Q1395" s="9" t="n"/>
      <c r="R1395" s="9" t="n"/>
      <c r="S1395" s="9" t="inlineStr">
        <is>
          <t>Duct bank</t>
        </is>
      </c>
      <c r="T1395" s="10" t="n">
        <v>574</v>
      </c>
      <c r="U1395" s="10" t="n">
        <v>62</v>
      </c>
      <c r="V1395" s="10">
        <f>ROUNDUP((T1395+U1395+2*'Read Me'!$B$13)*(1+'Read Me'!$B$12),-1)</f>
        <v/>
      </c>
      <c r="W1395" s="10">
        <f>V1395*N1395*O1395</f>
        <v/>
      </c>
      <c r="X1395" s="9">
        <f>IF(LEFT(I1395,2)="MV",2*N1395*IF(L1395="1/C",O1395,1),0)</f>
        <v/>
      </c>
      <c r="Y1395" s="9">
        <f>IF(OR(LEFT(K1395,4)="LVAX",LEFT(K1395,6)="MV15AX",LEFT(K1395,4)="CTAX",LEFT(K1395,2)="W|"),2*N1395*O1395,0)</f>
        <v/>
      </c>
      <c r="Z1395" s="9" t="inlineStr"/>
    </row>
    <row r="1396">
      <c r="A1396" s="9" t="inlineStr">
        <is>
          <t>F-FA-0003</t>
        </is>
      </c>
      <c r="B1396" s="9" t="inlineStr">
        <is>
          <t>F</t>
        </is>
      </c>
      <c r="C1396" s="9" t="inlineStr">
        <is>
          <t>Controls / service</t>
        </is>
      </c>
      <c r="D1396" s="9" t="inlineStr">
        <is>
          <t>Fire alarm / F&amp;G loop (to the local FACP / F&amp;G node)</t>
        </is>
      </c>
      <c r="E1396" s="9" t="inlineStr">
        <is>
          <t>CR</t>
        </is>
      </c>
      <c r="F1396" s="9" t="inlineStr">
        <is>
          <t>Control / admin building (main control room)</t>
        </is>
      </c>
      <c r="G1396" s="9" t="inlineStr">
        <is>
          <t>EDG-2</t>
        </is>
      </c>
      <c r="H1396" s="9" t="inlineStr">
        <is>
          <t>EDG-2: 3 MW emergency diesel generator (480 V)</t>
        </is>
      </c>
      <c r="I1396" s="9" t="inlineStr">
        <is>
          <t>Fire alarm</t>
        </is>
      </c>
      <c r="J1396" s="9" t="inlineStr">
        <is>
          <t>Fire alarm FPLR 2/C #14 shielded, red jacket (NEC 760)</t>
        </is>
      </c>
      <c r="K1396" s="9" t="inlineStr">
        <is>
          <t>FA|2/C|14</t>
        </is>
      </c>
      <c r="L1396" s="9" t="inlineStr">
        <is>
          <t>2/C</t>
        </is>
      </c>
      <c r="M1396" s="9" t="inlineStr">
        <is>
          <t>14</t>
        </is>
      </c>
      <c r="N1396" s="9" t="n">
        <v>1</v>
      </c>
      <c r="O1396" s="9" t="n">
        <v>1</v>
      </c>
      <c r="P1396" s="9" t="n"/>
      <c r="Q1396" s="9" t="n"/>
      <c r="R1396" s="9" t="n"/>
      <c r="S1396" s="9" t="inlineStr">
        <is>
          <t>Duct bank</t>
        </is>
      </c>
      <c r="T1396" s="10" t="n">
        <v>609</v>
      </c>
      <c r="U1396" s="10" t="n">
        <v>65</v>
      </c>
      <c r="V1396" s="10">
        <f>ROUNDUP((T1396+U1396+2*'Read Me'!$B$13)*(1+'Read Me'!$B$12),-1)</f>
        <v/>
      </c>
      <c r="W1396" s="10">
        <f>V1396*N1396*O1396</f>
        <v/>
      </c>
      <c r="X1396" s="9">
        <f>IF(LEFT(I1396,2)="MV",2*N1396*IF(L1396="1/C",O1396,1),0)</f>
        <v/>
      </c>
      <c r="Y1396" s="9">
        <f>IF(OR(LEFT(K1396,4)="LVAX",LEFT(K1396,6)="MV15AX",LEFT(K1396,4)="CTAX",LEFT(K1396,2)="W|"),2*N1396*O1396,0)</f>
        <v/>
      </c>
      <c r="Z1396" s="9" t="inlineStr"/>
    </row>
    <row r="1397">
      <c r="A1397" s="9" t="inlineStr">
        <is>
          <t>F-FA-0004</t>
        </is>
      </c>
      <c r="B1397" s="9" t="inlineStr">
        <is>
          <t>F</t>
        </is>
      </c>
      <c r="C1397" s="9" t="inlineStr">
        <is>
          <t>Controls / service</t>
        </is>
      </c>
      <c r="D1397" s="9" t="inlineStr">
        <is>
          <t>Fire alarm / F&amp;G loop (to the local FACP / F&amp;G node)</t>
        </is>
      </c>
      <c r="E1397" s="9" t="inlineStr">
        <is>
          <t>CR</t>
        </is>
      </c>
      <c r="F1397" s="9" t="inlineStr">
        <is>
          <t>Control / admin building (main control room)</t>
        </is>
      </c>
      <c r="G1397" s="9" t="inlineStr"/>
      <c r="H1397" s="9" t="inlineStr">
        <is>
          <t>Gatehouse</t>
        </is>
      </c>
      <c r="I1397" s="9" t="inlineStr">
        <is>
          <t>Fire alarm</t>
        </is>
      </c>
      <c r="J1397" s="9" t="inlineStr">
        <is>
          <t>Fire alarm FPLR 2/C #14 shielded, red jacket (NEC 760)</t>
        </is>
      </c>
      <c r="K1397" s="9" t="inlineStr">
        <is>
          <t>FA|2/C|14</t>
        </is>
      </c>
      <c r="L1397" s="9" t="inlineStr">
        <is>
          <t>2/C</t>
        </is>
      </c>
      <c r="M1397" s="9" t="inlineStr">
        <is>
          <t>14</t>
        </is>
      </c>
      <c r="N1397" s="9" t="n">
        <v>1</v>
      </c>
      <c r="O1397" s="9" t="n">
        <v>1</v>
      </c>
      <c r="P1397" s="9" t="n"/>
      <c r="Q1397" s="9" t="n"/>
      <c r="R1397" s="9" t="n"/>
      <c r="S1397" s="9" t="inlineStr">
        <is>
          <t>Tray</t>
        </is>
      </c>
      <c r="T1397" s="10" t="n">
        <v>20</v>
      </c>
      <c r="U1397" s="10" t="n">
        <v>32</v>
      </c>
      <c r="V1397" s="10">
        <f>ROUNDUP((T1397+U1397+2*'Read Me'!$B$13)*(1+'Read Me'!$B$12),-1)</f>
        <v/>
      </c>
      <c r="W1397" s="10">
        <f>V1397*N1397*O1397</f>
        <v/>
      </c>
      <c r="X1397" s="9">
        <f>IF(LEFT(I1397,2)="MV",2*N1397*IF(L1397="1/C",O1397,1),0)</f>
        <v/>
      </c>
      <c r="Y1397" s="9">
        <f>IF(OR(LEFT(K1397,4)="LVAX",LEFT(K1397,6)="MV15AX",LEFT(K1397,4)="CTAX",LEFT(K1397,2)="W|"),2*N1397*O1397,0)</f>
        <v/>
      </c>
      <c r="Z1397" s="9" t="inlineStr"/>
    </row>
    <row r="1398">
      <c r="A1398" s="9" t="inlineStr">
        <is>
          <t>F-FA-0005</t>
        </is>
      </c>
      <c r="B1398" s="9" t="inlineStr">
        <is>
          <t>F</t>
        </is>
      </c>
      <c r="C1398" s="9" t="inlineStr">
        <is>
          <t>Controls / service</t>
        </is>
      </c>
      <c r="D1398" s="9" t="inlineStr">
        <is>
          <t>Fire alarm / F&amp;G loop (to the local FACP / F&amp;G node)</t>
        </is>
      </c>
      <c r="E1398" s="9" t="inlineStr">
        <is>
          <t>CR</t>
        </is>
      </c>
      <c r="F1398" s="9" t="inlineStr">
        <is>
          <t>Control / admin building (main control room)</t>
        </is>
      </c>
      <c r="G1398" s="9" t="inlineStr"/>
      <c r="H1398" s="9" t="inlineStr">
        <is>
          <t>Maintenance building / workshop</t>
        </is>
      </c>
      <c r="I1398" s="9" t="inlineStr">
        <is>
          <t>Fire alarm</t>
        </is>
      </c>
      <c r="J1398" s="9" t="inlineStr">
        <is>
          <t>Fire alarm FPLR 2/C #14 shielded, red jacket (NEC 760)</t>
        </is>
      </c>
      <c r="K1398" s="9" t="inlineStr">
        <is>
          <t>FA|2/C|14</t>
        </is>
      </c>
      <c r="L1398" s="9" t="inlineStr">
        <is>
          <t>2/C</t>
        </is>
      </c>
      <c r="M1398" s="9" t="inlineStr">
        <is>
          <t>14</t>
        </is>
      </c>
      <c r="N1398" s="9" t="n">
        <v>1</v>
      </c>
      <c r="O1398" s="9" t="n">
        <v>1</v>
      </c>
      <c r="P1398" s="9" t="n"/>
      <c r="Q1398" s="9" t="n"/>
      <c r="R1398" s="9" t="n"/>
      <c r="S1398" s="9" t="inlineStr">
        <is>
          <t>Duct bank</t>
        </is>
      </c>
      <c r="T1398" s="10" t="n">
        <v>300</v>
      </c>
      <c r="U1398" s="10" t="n">
        <v>32</v>
      </c>
      <c r="V1398" s="10">
        <f>ROUNDUP((T1398+U1398+2*'Read Me'!$B$13)*(1+'Read Me'!$B$12),-1)</f>
        <v/>
      </c>
      <c r="W1398" s="10">
        <f>V1398*N1398*O1398</f>
        <v/>
      </c>
      <c r="X1398" s="9">
        <f>IF(LEFT(I1398,2)="MV",2*N1398*IF(L1398="1/C",O1398,1),0)</f>
        <v/>
      </c>
      <c r="Y1398" s="9">
        <f>IF(OR(LEFT(K1398,4)="LVAX",LEFT(K1398,6)="MV15AX",LEFT(K1398,4)="CTAX",LEFT(K1398,2)="W|"),2*N1398*O1398,0)</f>
        <v/>
      </c>
      <c r="Z1398" s="9" t="inlineStr"/>
    </row>
    <row r="1399">
      <c r="A1399" s="9" t="inlineStr">
        <is>
          <t>F-FA-0006</t>
        </is>
      </c>
      <c r="B1399" s="9" t="inlineStr">
        <is>
          <t>F</t>
        </is>
      </c>
      <c r="C1399" s="9" t="inlineStr">
        <is>
          <t>Controls / service</t>
        </is>
      </c>
      <c r="D1399" s="9" t="inlineStr">
        <is>
          <t>Fire alarm / F&amp;G loop (to the local FACP / F&amp;G node)</t>
        </is>
      </c>
      <c r="E1399" s="9" t="inlineStr">
        <is>
          <t>CR</t>
        </is>
      </c>
      <c r="F1399" s="9" t="inlineStr">
        <is>
          <t>Control / admin building (main control room)</t>
        </is>
      </c>
      <c r="G1399" s="9" t="inlineStr"/>
      <c r="H1399" s="9" t="inlineStr">
        <is>
          <t>Warehouse</t>
        </is>
      </c>
      <c r="I1399" s="9" t="inlineStr">
        <is>
          <t>Fire alarm</t>
        </is>
      </c>
      <c r="J1399" s="9" t="inlineStr">
        <is>
          <t>Fire alarm FPLR 2/C #14 shielded, red jacket (NEC 760)</t>
        </is>
      </c>
      <c r="K1399" s="9" t="inlineStr">
        <is>
          <t>FA|2/C|14</t>
        </is>
      </c>
      <c r="L1399" s="9" t="inlineStr">
        <is>
          <t>2/C</t>
        </is>
      </c>
      <c r="M1399" s="9" t="inlineStr">
        <is>
          <t>14</t>
        </is>
      </c>
      <c r="N1399" s="9" t="n">
        <v>1</v>
      </c>
      <c r="O1399" s="9" t="n">
        <v>1</v>
      </c>
      <c r="P1399" s="9" t="n"/>
      <c r="Q1399" s="9" t="n"/>
      <c r="R1399" s="9" t="n"/>
      <c r="S1399" s="9" t="inlineStr">
        <is>
          <t>Tray</t>
        </is>
      </c>
      <c r="T1399" s="10" t="n">
        <v>69</v>
      </c>
      <c r="U1399" s="10" t="n">
        <v>77</v>
      </c>
      <c r="V1399" s="10">
        <f>ROUNDUP((T1399+U1399+2*'Read Me'!$B$13)*(1+'Read Me'!$B$12),-1)</f>
        <v/>
      </c>
      <c r="W1399" s="10">
        <f>V1399*N1399*O1399</f>
        <v/>
      </c>
      <c r="X1399" s="9">
        <f>IF(LEFT(I1399,2)="MV",2*N1399*IF(L1399="1/C",O1399,1),0)</f>
        <v/>
      </c>
      <c r="Y1399" s="9">
        <f>IF(OR(LEFT(K1399,4)="LVAX",LEFT(K1399,6)="MV15AX",LEFT(K1399,4)="CTAX",LEFT(K1399,2)="W|"),2*N1399*O1399,0)</f>
        <v/>
      </c>
      <c r="Z1399" s="9" t="inlineStr"/>
    </row>
    <row r="1400">
      <c r="A1400" s="9" t="inlineStr">
        <is>
          <t>F-I-0001</t>
        </is>
      </c>
      <c r="B1400" s="9" t="inlineStr">
        <is>
          <t>F</t>
        </is>
      </c>
      <c r="C1400" s="9" t="inlineStr">
        <is>
          <t>Controls / service</t>
        </is>
      </c>
      <c r="D1400" s="9" t="inlineStr">
        <is>
          <t>Instrumentation</t>
        </is>
      </c>
      <c r="E1400" s="9" t="inlineStr">
        <is>
          <t>CR</t>
        </is>
      </c>
      <c r="F1400" s="9" t="inlineStr">
        <is>
          <t>Control / admin building (main control room)</t>
        </is>
      </c>
      <c r="G1400" s="9" t="inlineStr">
        <is>
          <t>EDG-1</t>
        </is>
      </c>
      <c r="H1400" s="9" t="inlineStr">
        <is>
          <t>EDG-1: 3 MW emergency diesel generator (480 V)</t>
        </is>
      </c>
      <c r="I1400" s="9" t="inlineStr">
        <is>
          <t>Instrumentation</t>
        </is>
      </c>
      <c r="J1400" s="9" t="inlineStr">
        <is>
          <t>Instrumentation PLTC / TC-ER 300 V, #18 twisted shielded pairs, overall shield</t>
        </is>
      </c>
      <c r="K1400" s="9" t="inlineStr">
        <is>
          <t>PLTC|4 pr|18</t>
        </is>
      </c>
      <c r="L1400" s="9" t="inlineStr">
        <is>
          <t>4 pr</t>
        </is>
      </c>
      <c r="M1400" s="9" t="inlineStr">
        <is>
          <t>18</t>
        </is>
      </c>
      <c r="N1400" s="9" t="n">
        <v>1</v>
      </c>
      <c r="O1400" s="9" t="n">
        <v>1</v>
      </c>
      <c r="P1400" s="9" t="n"/>
      <c r="Q1400" s="9" t="n"/>
      <c r="R1400" s="9" t="n"/>
      <c r="S1400" s="9" t="inlineStr">
        <is>
          <t>Duct bank</t>
        </is>
      </c>
      <c r="T1400" s="10" t="n">
        <v>574</v>
      </c>
      <c r="U1400" s="10" t="n">
        <v>62</v>
      </c>
      <c r="V1400" s="10">
        <f>ROUNDUP((T1400+U1400+2*'Read Me'!$B$13)*(1+'Read Me'!$B$12),-1)</f>
        <v/>
      </c>
      <c r="W1400" s="10">
        <f>V1400*N1400*O1400</f>
        <v/>
      </c>
      <c r="X1400" s="9">
        <f>IF(LEFT(I1400,2)="MV",2*N1400*IF(L1400="1/C",O1400,1),0)</f>
        <v/>
      </c>
      <c r="Y1400" s="9">
        <f>IF(OR(LEFT(K1400,4)="LVAX",LEFT(K1400,6)="MV15AX",LEFT(K1400,4)="CTAX",LEFT(K1400,2)="W|"),2*N1400*O1400,0)</f>
        <v/>
      </c>
      <c r="Z1400" s="9" t="inlineStr"/>
    </row>
    <row r="1401">
      <c r="A1401" s="9" t="inlineStr">
        <is>
          <t>F-I-0002</t>
        </is>
      </c>
      <c r="B1401" s="9" t="inlineStr">
        <is>
          <t>F</t>
        </is>
      </c>
      <c r="C1401" s="9" t="inlineStr">
        <is>
          <t>Controls / service</t>
        </is>
      </c>
      <c r="D1401" s="9" t="inlineStr">
        <is>
          <t>Thermocouples</t>
        </is>
      </c>
      <c r="E1401" s="9" t="inlineStr">
        <is>
          <t>CR</t>
        </is>
      </c>
      <c r="F1401" s="9" t="inlineStr">
        <is>
          <t>Control / admin building (main control room)</t>
        </is>
      </c>
      <c r="G1401" s="9" t="inlineStr">
        <is>
          <t>EDG-1</t>
        </is>
      </c>
      <c r="H1401" s="9" t="inlineStr">
        <is>
          <t>EDG-1: 3 MW emergency diesel generator (480 V)</t>
        </is>
      </c>
      <c r="I1401" s="9" t="inlineStr">
        <is>
          <t>Instrumentation</t>
        </is>
      </c>
      <c r="J1401" s="9" t="inlineStr">
        <is>
          <t>Thermocouple extension KX, #16 shielded pairs, PLTC</t>
        </is>
      </c>
      <c r="K1401" s="9" t="inlineStr">
        <is>
          <t>TCX|12 pr|16</t>
        </is>
      </c>
      <c r="L1401" s="9" t="inlineStr">
        <is>
          <t>12 pr</t>
        </is>
      </c>
      <c r="M1401" s="9" t="inlineStr">
        <is>
          <t>16</t>
        </is>
      </c>
      <c r="N1401" s="9" t="n">
        <v>1</v>
      </c>
      <c r="O1401" s="9" t="n">
        <v>1</v>
      </c>
      <c r="P1401" s="9" t="n"/>
      <c r="Q1401" s="9" t="n"/>
      <c r="R1401" s="9" t="n"/>
      <c r="S1401" s="9" t="inlineStr">
        <is>
          <t>Duct bank</t>
        </is>
      </c>
      <c r="T1401" s="10" t="n">
        <v>574</v>
      </c>
      <c r="U1401" s="10" t="n">
        <v>62</v>
      </c>
      <c r="V1401" s="10">
        <f>ROUNDUP((T1401+U1401+2*'Read Me'!$B$13)*(1+'Read Me'!$B$12),-1)</f>
        <v/>
      </c>
      <c r="W1401" s="10">
        <f>V1401*N1401*O1401</f>
        <v/>
      </c>
      <c r="X1401" s="9">
        <f>IF(LEFT(I1401,2)="MV",2*N1401*IF(L1401="1/C",O1401,1),0)</f>
        <v/>
      </c>
      <c r="Y1401" s="9">
        <f>IF(OR(LEFT(K1401,4)="LVAX",LEFT(K1401,6)="MV15AX",LEFT(K1401,4)="CTAX",LEFT(K1401,2)="W|"),2*N1401*O1401,0)</f>
        <v/>
      </c>
      <c r="Z1401" s="9" t="inlineStr"/>
    </row>
    <row r="1402">
      <c r="A1402" s="9" t="inlineStr">
        <is>
          <t>F-I-0003</t>
        </is>
      </c>
      <c r="B1402" s="9" t="inlineStr">
        <is>
          <t>F</t>
        </is>
      </c>
      <c r="C1402" s="9" t="inlineStr">
        <is>
          <t>Controls / service</t>
        </is>
      </c>
      <c r="D1402" s="9" t="inlineStr">
        <is>
          <t>Thermocouples</t>
        </is>
      </c>
      <c r="E1402" s="9" t="inlineStr">
        <is>
          <t>CR</t>
        </is>
      </c>
      <c r="F1402" s="9" t="inlineStr">
        <is>
          <t>Control / admin building (main control room)</t>
        </is>
      </c>
      <c r="G1402" s="9" t="inlineStr">
        <is>
          <t>EDG-1</t>
        </is>
      </c>
      <c r="H1402" s="9" t="inlineStr">
        <is>
          <t>EDG-1: 3 MW emergency diesel generator (480 V)</t>
        </is>
      </c>
      <c r="I1402" s="9" t="inlineStr">
        <is>
          <t>Instrumentation</t>
        </is>
      </c>
      <c r="J1402" s="9" t="inlineStr">
        <is>
          <t>Thermocouple extension KX, #16 shielded pairs, PLTC</t>
        </is>
      </c>
      <c r="K1402" s="9" t="inlineStr">
        <is>
          <t>TCX|12 pr|16</t>
        </is>
      </c>
      <c r="L1402" s="9" t="inlineStr">
        <is>
          <t>12 pr</t>
        </is>
      </c>
      <c r="M1402" s="9" t="inlineStr">
        <is>
          <t>16</t>
        </is>
      </c>
      <c r="N1402" s="9" t="n">
        <v>1</v>
      </c>
      <c r="O1402" s="9" t="n">
        <v>1</v>
      </c>
      <c r="P1402" s="9" t="n"/>
      <c r="Q1402" s="9" t="n"/>
      <c r="R1402" s="9" t="n"/>
      <c r="S1402" s="9" t="inlineStr">
        <is>
          <t>Duct bank</t>
        </is>
      </c>
      <c r="T1402" s="10" t="n">
        <v>574</v>
      </c>
      <c r="U1402" s="10" t="n">
        <v>62</v>
      </c>
      <c r="V1402" s="10">
        <f>ROUNDUP((T1402+U1402+2*'Read Me'!$B$13)*(1+'Read Me'!$B$12),-1)</f>
        <v/>
      </c>
      <c r="W1402" s="10">
        <f>V1402*N1402*O1402</f>
        <v/>
      </c>
      <c r="X1402" s="9">
        <f>IF(LEFT(I1402,2)="MV",2*N1402*IF(L1402="1/C",O1402,1),0)</f>
        <v/>
      </c>
      <c r="Y1402" s="9">
        <f>IF(OR(LEFT(K1402,4)="LVAX",LEFT(K1402,6)="MV15AX",LEFT(K1402,4)="CTAX",LEFT(K1402,2)="W|"),2*N1402*O1402,0)</f>
        <v/>
      </c>
      <c r="Z1402" s="9" t="inlineStr"/>
    </row>
    <row r="1403">
      <c r="A1403" s="9" t="inlineStr">
        <is>
          <t>F-I-0004</t>
        </is>
      </c>
      <c r="B1403" s="9" t="inlineStr">
        <is>
          <t>F</t>
        </is>
      </c>
      <c r="C1403" s="9" t="inlineStr">
        <is>
          <t>Controls / service</t>
        </is>
      </c>
      <c r="D1403" s="9" t="inlineStr">
        <is>
          <t>Instrumentation</t>
        </is>
      </c>
      <c r="E1403" s="9" t="inlineStr">
        <is>
          <t>CR</t>
        </is>
      </c>
      <c r="F1403" s="9" t="inlineStr">
        <is>
          <t>Control / admin building (main control room)</t>
        </is>
      </c>
      <c r="G1403" s="9" t="inlineStr">
        <is>
          <t>EDG-2</t>
        </is>
      </c>
      <c r="H1403" s="9" t="inlineStr">
        <is>
          <t>EDG-2: 3 MW emergency diesel generator (480 V)</t>
        </is>
      </c>
      <c r="I1403" s="9" t="inlineStr">
        <is>
          <t>Instrumentation</t>
        </is>
      </c>
      <c r="J1403" s="9" t="inlineStr">
        <is>
          <t>Instrumentation PLTC / TC-ER 300 V, #18 twisted shielded pairs, overall shield</t>
        </is>
      </c>
      <c r="K1403" s="9" t="inlineStr">
        <is>
          <t>PLTC|4 pr|18</t>
        </is>
      </c>
      <c r="L1403" s="9" t="inlineStr">
        <is>
          <t>4 pr</t>
        </is>
      </c>
      <c r="M1403" s="9" t="inlineStr">
        <is>
          <t>18</t>
        </is>
      </c>
      <c r="N1403" s="9" t="n">
        <v>1</v>
      </c>
      <c r="O1403" s="9" t="n">
        <v>1</v>
      </c>
      <c r="P1403" s="9" t="n"/>
      <c r="Q1403" s="9" t="n"/>
      <c r="R1403" s="9" t="n"/>
      <c r="S1403" s="9" t="inlineStr">
        <is>
          <t>Duct bank</t>
        </is>
      </c>
      <c r="T1403" s="10" t="n">
        <v>609</v>
      </c>
      <c r="U1403" s="10" t="n">
        <v>65</v>
      </c>
      <c r="V1403" s="10">
        <f>ROUNDUP((T1403+U1403+2*'Read Me'!$B$13)*(1+'Read Me'!$B$12),-1)</f>
        <v/>
      </c>
      <c r="W1403" s="10">
        <f>V1403*N1403*O1403</f>
        <v/>
      </c>
      <c r="X1403" s="9">
        <f>IF(LEFT(I1403,2)="MV",2*N1403*IF(L1403="1/C",O1403,1),0)</f>
        <v/>
      </c>
      <c r="Y1403" s="9">
        <f>IF(OR(LEFT(K1403,4)="LVAX",LEFT(K1403,6)="MV15AX",LEFT(K1403,4)="CTAX",LEFT(K1403,2)="W|"),2*N1403*O1403,0)</f>
        <v/>
      </c>
      <c r="Z1403" s="9" t="inlineStr"/>
    </row>
    <row r="1404">
      <c r="A1404" s="9" t="inlineStr">
        <is>
          <t>F-I-0005</t>
        </is>
      </c>
      <c r="B1404" s="9" t="inlineStr">
        <is>
          <t>F</t>
        </is>
      </c>
      <c r="C1404" s="9" t="inlineStr">
        <is>
          <t>Controls / service</t>
        </is>
      </c>
      <c r="D1404" s="9" t="inlineStr">
        <is>
          <t>Thermocouples</t>
        </is>
      </c>
      <c r="E1404" s="9" t="inlineStr">
        <is>
          <t>CR</t>
        </is>
      </c>
      <c r="F1404" s="9" t="inlineStr">
        <is>
          <t>Control / admin building (main control room)</t>
        </is>
      </c>
      <c r="G1404" s="9" t="inlineStr">
        <is>
          <t>EDG-2</t>
        </is>
      </c>
      <c r="H1404" s="9" t="inlineStr">
        <is>
          <t>EDG-2: 3 MW emergency diesel generator (480 V)</t>
        </is>
      </c>
      <c r="I1404" s="9" t="inlineStr">
        <is>
          <t>Instrumentation</t>
        </is>
      </c>
      <c r="J1404" s="9" t="inlineStr">
        <is>
          <t>Thermocouple extension KX, #16 shielded pairs, PLTC</t>
        </is>
      </c>
      <c r="K1404" s="9" t="inlineStr">
        <is>
          <t>TCX|12 pr|16</t>
        </is>
      </c>
      <c r="L1404" s="9" t="inlineStr">
        <is>
          <t>12 pr</t>
        </is>
      </c>
      <c r="M1404" s="9" t="inlineStr">
        <is>
          <t>16</t>
        </is>
      </c>
      <c r="N1404" s="9" t="n">
        <v>1</v>
      </c>
      <c r="O1404" s="9" t="n">
        <v>1</v>
      </c>
      <c r="P1404" s="9" t="n"/>
      <c r="Q1404" s="9" t="n"/>
      <c r="R1404" s="9" t="n"/>
      <c r="S1404" s="9" t="inlineStr">
        <is>
          <t>Duct bank</t>
        </is>
      </c>
      <c r="T1404" s="10" t="n">
        <v>609</v>
      </c>
      <c r="U1404" s="10" t="n">
        <v>65</v>
      </c>
      <c r="V1404" s="10">
        <f>ROUNDUP((T1404+U1404+2*'Read Me'!$B$13)*(1+'Read Me'!$B$12),-1)</f>
        <v/>
      </c>
      <c r="W1404" s="10">
        <f>V1404*N1404*O1404</f>
        <v/>
      </c>
      <c r="X1404" s="9">
        <f>IF(LEFT(I1404,2)="MV",2*N1404*IF(L1404="1/C",O1404,1),0)</f>
        <v/>
      </c>
      <c r="Y1404" s="9">
        <f>IF(OR(LEFT(K1404,4)="LVAX",LEFT(K1404,6)="MV15AX",LEFT(K1404,4)="CTAX",LEFT(K1404,2)="W|"),2*N1404*O1404,0)</f>
        <v/>
      </c>
      <c r="Z1404" s="9" t="inlineStr"/>
    </row>
    <row r="1405">
      <c r="A1405" s="9" t="inlineStr">
        <is>
          <t>F-I-0006</t>
        </is>
      </c>
      <c r="B1405" s="9" t="inlineStr">
        <is>
          <t>F</t>
        </is>
      </c>
      <c r="C1405" s="9" t="inlineStr">
        <is>
          <t>Controls / service</t>
        </is>
      </c>
      <c r="D1405" s="9" t="inlineStr">
        <is>
          <t>Thermocouples</t>
        </is>
      </c>
      <c r="E1405" s="9" t="inlineStr">
        <is>
          <t>CR</t>
        </is>
      </c>
      <c r="F1405" s="9" t="inlineStr">
        <is>
          <t>Control / admin building (main control room)</t>
        </is>
      </c>
      <c r="G1405" s="9" t="inlineStr">
        <is>
          <t>EDG-2</t>
        </is>
      </c>
      <c r="H1405" s="9" t="inlineStr">
        <is>
          <t>EDG-2: 3 MW emergency diesel generator (480 V)</t>
        </is>
      </c>
      <c r="I1405" s="9" t="inlineStr">
        <is>
          <t>Instrumentation</t>
        </is>
      </c>
      <c r="J1405" s="9" t="inlineStr">
        <is>
          <t>Thermocouple extension KX, #16 shielded pairs, PLTC</t>
        </is>
      </c>
      <c r="K1405" s="9" t="inlineStr">
        <is>
          <t>TCX|12 pr|16</t>
        </is>
      </c>
      <c r="L1405" s="9" t="inlineStr">
        <is>
          <t>12 pr</t>
        </is>
      </c>
      <c r="M1405" s="9" t="inlineStr">
        <is>
          <t>16</t>
        </is>
      </c>
      <c r="N1405" s="9" t="n">
        <v>1</v>
      </c>
      <c r="O1405" s="9" t="n">
        <v>1</v>
      </c>
      <c r="P1405" s="9" t="n"/>
      <c r="Q1405" s="9" t="n"/>
      <c r="R1405" s="9" t="n"/>
      <c r="S1405" s="9" t="inlineStr">
        <is>
          <t>Duct bank</t>
        </is>
      </c>
      <c r="T1405" s="10" t="n">
        <v>609</v>
      </c>
      <c r="U1405" s="10" t="n">
        <v>65</v>
      </c>
      <c r="V1405" s="10">
        <f>ROUNDUP((T1405+U1405+2*'Read Me'!$B$13)*(1+'Read Me'!$B$12),-1)</f>
        <v/>
      </c>
      <c r="W1405" s="10">
        <f>V1405*N1405*O1405</f>
        <v/>
      </c>
      <c r="X1405" s="9">
        <f>IF(LEFT(I1405,2)="MV",2*N1405*IF(L1405="1/C",O1405,1),0)</f>
        <v/>
      </c>
      <c r="Y1405" s="9">
        <f>IF(OR(LEFT(K1405,4)="LVAX",LEFT(K1405,6)="MV15AX",LEFT(K1405,4)="CTAX",LEFT(K1405,2)="W|"),2*N1405*O1405,0)</f>
        <v/>
      </c>
      <c r="Z1405" s="9" t="inlineStr"/>
    </row>
    <row r="1406">
      <c r="A1406" s="9" t="inlineStr">
        <is>
          <t>F-I-0007</t>
        </is>
      </c>
      <c r="B1406" s="9" t="inlineStr">
        <is>
          <t>F</t>
        </is>
      </c>
      <c r="C1406" s="9" t="inlineStr">
        <is>
          <t>Controls / service</t>
        </is>
      </c>
      <c r="D1406" s="9" t="inlineStr">
        <is>
          <t>Instrumentation</t>
        </is>
      </c>
      <c r="E1406" s="9" t="inlineStr">
        <is>
          <t>CR</t>
        </is>
      </c>
      <c r="F1406" s="9" t="inlineStr">
        <is>
          <t>Control / admin building (main control room)</t>
        </is>
      </c>
      <c r="G1406" s="9" t="inlineStr"/>
      <c r="H1406" s="9" t="inlineStr">
        <is>
          <t>Stormwater pump station (2 x 100% submersible pumps)</t>
        </is>
      </c>
      <c r="I1406" s="9" t="inlineStr">
        <is>
          <t>Instrumentation</t>
        </is>
      </c>
      <c r="J1406" s="9" t="inlineStr">
        <is>
          <t>Instrumentation PLTC / TC-ER 300 V, #18 twisted shielded pairs, overall shield</t>
        </is>
      </c>
      <c r="K1406" s="9" t="inlineStr">
        <is>
          <t>PLTC|4 pr|18</t>
        </is>
      </c>
      <c r="L1406" s="9" t="inlineStr">
        <is>
          <t>4 pr</t>
        </is>
      </c>
      <c r="M1406" s="9" t="inlineStr">
        <is>
          <t>18</t>
        </is>
      </c>
      <c r="N1406" s="9" t="n">
        <v>1</v>
      </c>
      <c r="O1406" s="9" t="n">
        <v>1</v>
      </c>
      <c r="P1406" s="9" t="n"/>
      <c r="Q1406" s="9" t="n"/>
      <c r="R1406" s="9" t="n"/>
      <c r="S1406" s="9" t="inlineStr">
        <is>
          <t>Duct bank</t>
        </is>
      </c>
      <c r="T1406" s="10" t="n">
        <v>1397</v>
      </c>
      <c r="U1406" s="10" t="n">
        <v>32</v>
      </c>
      <c r="V1406" s="10">
        <f>ROUNDUP((T1406+U1406+2*'Read Me'!$B$13)*(1+'Read Me'!$B$12),-1)</f>
        <v/>
      </c>
      <c r="W1406" s="10">
        <f>V1406*N1406*O1406</f>
        <v/>
      </c>
      <c r="X1406" s="9">
        <f>IF(LEFT(I1406,2)="MV",2*N1406*IF(L1406="1/C",O1406,1),0)</f>
        <v/>
      </c>
      <c r="Y1406" s="9">
        <f>IF(OR(LEFT(K1406,4)="LVAX",LEFT(K1406,6)="MV15AX",LEFT(K1406,4)="CTAX",LEFT(K1406,2)="W|"),2*N1406*O1406,0)</f>
        <v/>
      </c>
      <c r="Z1406" s="9" t="inlineStr"/>
    </row>
    <row r="1407">
      <c r="A1407" s="9" t="inlineStr">
        <is>
          <t>F-I-0008</t>
        </is>
      </c>
      <c r="B1407" s="9" t="inlineStr">
        <is>
          <t>F</t>
        </is>
      </c>
      <c r="C1407" s="9" t="inlineStr">
        <is>
          <t>Controls / service</t>
        </is>
      </c>
      <c r="D1407" s="9" t="inlineStr">
        <is>
          <t>Instrumentation</t>
        </is>
      </c>
      <c r="E1407" s="9" t="inlineStr">
        <is>
          <t>CR</t>
        </is>
      </c>
      <c r="F1407" s="9" t="inlineStr">
        <is>
          <t>Control / admin building (main control room)</t>
        </is>
      </c>
      <c r="G1407" s="9" t="inlineStr"/>
      <c r="H1407" s="9" t="inlineStr">
        <is>
          <t>Stormwater pump station (2 x 100% submersible pumps)</t>
        </is>
      </c>
      <c r="I1407" s="9" t="inlineStr">
        <is>
          <t>Instrumentation</t>
        </is>
      </c>
      <c r="J1407" s="9" t="inlineStr">
        <is>
          <t>Instrumentation PLTC / TC-ER 300 V, #18 twisted shielded pairs, overall shield</t>
        </is>
      </c>
      <c r="K1407" s="9" t="inlineStr">
        <is>
          <t>PLTC|12 pr|18</t>
        </is>
      </c>
      <c r="L1407" s="9" t="inlineStr">
        <is>
          <t>12 pr</t>
        </is>
      </c>
      <c r="M1407" s="9" t="inlineStr">
        <is>
          <t>18</t>
        </is>
      </c>
      <c r="N1407" s="9" t="n">
        <v>1</v>
      </c>
      <c r="O1407" s="9" t="n">
        <v>1</v>
      </c>
      <c r="P1407" s="9" t="n"/>
      <c r="Q1407" s="9" t="n"/>
      <c r="R1407" s="9" t="n"/>
      <c r="S1407" s="9" t="inlineStr">
        <is>
          <t>Duct bank</t>
        </is>
      </c>
      <c r="T1407" s="10" t="n">
        <v>1397</v>
      </c>
      <c r="U1407" s="10" t="n">
        <v>32</v>
      </c>
      <c r="V1407" s="10">
        <f>ROUNDUP((T1407+U1407+2*'Read Me'!$B$13)*(1+'Read Me'!$B$12),-1)</f>
        <v/>
      </c>
      <c r="W1407" s="10">
        <f>V1407*N1407*O1407</f>
        <v/>
      </c>
      <c r="X1407" s="9">
        <f>IF(LEFT(I1407,2)="MV",2*N1407*IF(L1407="1/C",O1407,1),0)</f>
        <v/>
      </c>
      <c r="Y1407" s="9">
        <f>IF(OR(LEFT(K1407,4)="LVAX",LEFT(K1407,6)="MV15AX",LEFT(K1407,4)="CTAX",LEFT(K1407,2)="W|"),2*N1407*O1407,0)</f>
        <v/>
      </c>
      <c r="Z1407" s="9" t="inlineStr"/>
    </row>
    <row r="1408">
      <c r="A1408" s="9" t="inlineStr">
        <is>
          <t>F-P-0001</t>
        </is>
      </c>
      <c r="B1408" s="9" t="inlineStr">
        <is>
          <t>F</t>
        </is>
      </c>
      <c r="C1408" s="9" t="inlineStr">
        <is>
          <t>Controls / service</t>
        </is>
      </c>
      <c r="D1408" s="9" t="inlineStr">
        <is>
          <t>LV power feeder</t>
        </is>
      </c>
      <c r="E1408" s="9" t="inlineStr">
        <is>
          <t>MCC-C2</t>
        </is>
      </c>
      <c r="F1408" s="9" t="inlineStr">
        <is>
          <t>R1 MCC-C2</t>
        </is>
      </c>
      <c r="G1408" s="9" t="inlineStr">
        <is>
          <t>COMMS</t>
        </is>
      </c>
      <c r="H1408" s="9" t="inlineStr">
        <is>
          <t>Comms tower (lattice)</t>
        </is>
      </c>
      <c r="I1408" s="9" t="inlineStr">
        <is>
          <t>LV 600 V</t>
        </is>
      </c>
      <c r="J1408" s="9" t="inlineStr">
        <is>
          <t>Type TC-ER 600 V 3/C Cu XHHW-2 + ground, PVC jacket</t>
        </is>
      </c>
      <c r="K1408" s="9" t="inlineStr">
        <is>
          <t>LV|3/C+G|4</t>
        </is>
      </c>
      <c r="L1408" s="9" t="inlineStr">
        <is>
          <t>3/C+G</t>
        </is>
      </c>
      <c r="M1408" s="9" t="inlineStr">
        <is>
          <t>4</t>
        </is>
      </c>
      <c r="N1408" s="9" t="n">
        <v>1</v>
      </c>
      <c r="O1408" s="9" t="n">
        <v>1</v>
      </c>
      <c r="P1408" s="9" t="n">
        <v>480</v>
      </c>
      <c r="Q1408" s="9" t="n">
        <v>10</v>
      </c>
      <c r="R1408" s="9" t="n">
        <v>14</v>
      </c>
      <c r="S1408" s="9" t="inlineStr">
        <is>
          <t>Duct bank</t>
        </is>
      </c>
      <c r="T1408" s="10" t="n">
        <v>1513</v>
      </c>
      <c r="U1408" s="10" t="n">
        <v>162</v>
      </c>
      <c r="V1408" s="10">
        <f>ROUNDUP((T1408+U1408+2*'Read Me'!$B$13)*(1+'Read Me'!$B$12),-1)</f>
        <v/>
      </c>
      <c r="W1408" s="10">
        <f>V1408*N1408*O1408</f>
        <v/>
      </c>
      <c r="X1408" s="9">
        <f>IF(LEFT(I1408,2)="MV",2*N1408*IF(L1408="1/C",O1408,1),0)</f>
        <v/>
      </c>
      <c r="Y1408" s="9">
        <f>IF(OR(LEFT(K1408,4)="LVAX",LEFT(K1408,6)="MV15AX",LEFT(K1408,4)="CTAX",LEFT(K1408,2)="W|"),2*N1408*O1408,0)</f>
        <v/>
      </c>
      <c r="Z1408" s="9" t="inlineStr">
        <is>
          <t>VD 2.9 %</t>
        </is>
      </c>
    </row>
    <row r="1409">
      <c r="A1409" s="9" t="inlineStr">
        <is>
          <t>F-P-0002</t>
        </is>
      </c>
      <c r="B1409" s="9" t="inlineStr">
        <is>
          <t>F</t>
        </is>
      </c>
      <c r="C1409" s="9" t="inlineStr">
        <is>
          <t>Controls / service</t>
        </is>
      </c>
      <c r="D1409" s="9" t="inlineStr">
        <is>
          <t>LV panel / distribution feeder</t>
        </is>
      </c>
      <c r="E1409" s="9" t="inlineStr">
        <is>
          <t>MCC-C2</t>
        </is>
      </c>
      <c r="F1409" s="9" t="inlineStr">
        <is>
          <t>R1 MCC-C2</t>
        </is>
      </c>
      <c r="G1409" s="9" t="inlineStr">
        <is>
          <t>CR</t>
        </is>
      </c>
      <c r="H1409" s="9" t="inlineStr">
        <is>
          <t>Control / admin building (main control room)</t>
        </is>
      </c>
      <c r="I1409" s="9" t="inlineStr">
        <is>
          <t>LV 600 V</t>
        </is>
      </c>
      <c r="J1409" s="9" t="inlineStr">
        <is>
          <t>Type TC-ER 600 V 3/C Cu XHHW-2 + ground, PVC jacket</t>
        </is>
      </c>
      <c r="K1409" s="9" t="inlineStr">
        <is>
          <t>LV|3/C+G|350</t>
        </is>
      </c>
      <c r="L1409" s="9" t="inlineStr">
        <is>
          <t>3/C+G</t>
        </is>
      </c>
      <c r="M1409" s="9" t="inlineStr">
        <is>
          <t>350 kcmil</t>
        </is>
      </c>
      <c r="N1409" s="9" t="n">
        <v>2</v>
      </c>
      <c r="O1409" s="9" t="n">
        <v>1</v>
      </c>
      <c r="P1409" s="9" t="n">
        <v>480</v>
      </c>
      <c r="Q1409" s="9" t="n">
        <v>145</v>
      </c>
      <c r="R1409" s="9" t="n">
        <v>205</v>
      </c>
      <c r="S1409" s="9" t="inlineStr">
        <is>
          <t>Duct bank</t>
        </is>
      </c>
      <c r="T1409" s="10" t="n">
        <v>1637</v>
      </c>
      <c r="U1409" s="10" t="n">
        <v>66</v>
      </c>
      <c r="V1409" s="10">
        <f>ROUNDUP((T1409+U1409+2*'Read Me'!$B$13)*(1+'Read Me'!$B$12),-1)</f>
        <v/>
      </c>
      <c r="W1409" s="10">
        <f>V1409*N1409*O1409</f>
        <v/>
      </c>
      <c r="X1409" s="9">
        <f>IF(LEFT(I1409,2)="MV",2*N1409*IF(L1409="1/C",O1409,1),0)</f>
        <v/>
      </c>
      <c r="Y1409" s="9">
        <f>IF(OR(LEFT(K1409,4)="LVAX",LEFT(K1409,6)="MV15AX",LEFT(K1409,4)="CTAX",LEFT(K1409,2)="W|"),2*N1409*O1409,0)</f>
        <v/>
      </c>
      <c r="Z1409" s="9" t="inlineStr">
        <is>
          <t>VD 2.5 %</t>
        </is>
      </c>
    </row>
    <row r="1410">
      <c r="A1410" s="9" t="inlineStr">
        <is>
          <t>F-P-0003</t>
        </is>
      </c>
      <c r="B1410" s="9" t="inlineStr">
        <is>
          <t>F</t>
        </is>
      </c>
      <c r="C1410" s="9" t="inlineStr">
        <is>
          <t>Controls / service</t>
        </is>
      </c>
      <c r="D1410" s="9" t="inlineStr">
        <is>
          <t>LV power feeder</t>
        </is>
      </c>
      <c r="E1410" s="9" t="inlineStr">
        <is>
          <t>MCC-C2</t>
        </is>
      </c>
      <c r="F1410" s="9" t="inlineStr">
        <is>
          <t>R1 MCC-C2</t>
        </is>
      </c>
      <c r="G1410" s="9" t="inlineStr">
        <is>
          <t>EDG-1</t>
        </is>
      </c>
      <c r="H1410" s="9" t="inlineStr">
        <is>
          <t>EDG-1: 3 MW emergency diesel generator (480 V)</t>
        </is>
      </c>
      <c r="I1410" s="9" t="inlineStr">
        <is>
          <t>LV 600 V</t>
        </is>
      </c>
      <c r="J1410" s="9" t="inlineStr">
        <is>
          <t>Type TC-ER 600 V 3/C Cu XHHW-2 + ground, PVC jacket</t>
        </is>
      </c>
      <c r="K1410" s="9" t="inlineStr">
        <is>
          <t>LV|3/C+G|4</t>
        </is>
      </c>
      <c r="L1410" s="9" t="inlineStr">
        <is>
          <t>3/C+G</t>
        </is>
      </c>
      <c r="M1410" s="9" t="inlineStr">
        <is>
          <t>4</t>
        </is>
      </c>
      <c r="N1410" s="9" t="n">
        <v>1</v>
      </c>
      <c r="O1410" s="9" t="n">
        <v>1</v>
      </c>
      <c r="P1410" s="9" t="n">
        <v>480</v>
      </c>
      <c r="Q1410" s="9" t="n">
        <v>15</v>
      </c>
      <c r="R1410" s="9" t="n">
        <v>21</v>
      </c>
      <c r="S1410" s="9" t="inlineStr">
        <is>
          <t>Tray</t>
        </is>
      </c>
      <c r="T1410" s="10" t="n">
        <v>1015</v>
      </c>
      <c r="U1410" s="10" t="n">
        <v>92</v>
      </c>
      <c r="V1410" s="10">
        <f>ROUNDUP((T1410+U1410+2*'Read Me'!$B$13)*(1+'Read Me'!$B$12),-1)</f>
        <v/>
      </c>
      <c r="W1410" s="10">
        <f>V1410*N1410*O1410</f>
        <v/>
      </c>
      <c r="X1410" s="9">
        <f>IF(LEFT(I1410,2)="MV",2*N1410*IF(L1410="1/C",O1410,1),0)</f>
        <v/>
      </c>
      <c r="Y1410" s="9">
        <f>IF(OR(LEFT(K1410,4)="LVAX",LEFT(K1410,6)="MV15AX",LEFT(K1410,4)="CTAX",LEFT(K1410,2)="W|"),2*N1410*O1410,0)</f>
        <v/>
      </c>
      <c r="Z1410" s="9" t="inlineStr">
        <is>
          <t>VD 2.9 %</t>
        </is>
      </c>
    </row>
    <row r="1411">
      <c r="A1411" s="9" t="inlineStr">
        <is>
          <t>F-P-0004</t>
        </is>
      </c>
      <c r="B1411" s="9" t="inlineStr">
        <is>
          <t>F</t>
        </is>
      </c>
      <c r="C1411" s="9" t="inlineStr">
        <is>
          <t>Controls / service</t>
        </is>
      </c>
      <c r="D1411" s="9" t="inlineStr">
        <is>
          <t>LV power feeder</t>
        </is>
      </c>
      <c r="E1411" s="9" t="inlineStr">
        <is>
          <t>MCC-C2</t>
        </is>
      </c>
      <c r="F1411" s="9" t="inlineStr">
        <is>
          <t>R1 MCC-C2</t>
        </is>
      </c>
      <c r="G1411" s="9" t="inlineStr">
        <is>
          <t>EDG-2</t>
        </is>
      </c>
      <c r="H1411" s="9" t="inlineStr">
        <is>
          <t>EDG-2: 3 MW emergency diesel generator (480 V)</t>
        </is>
      </c>
      <c r="I1411" s="9" t="inlineStr">
        <is>
          <t>LV 600 V</t>
        </is>
      </c>
      <c r="J1411" s="9" t="inlineStr">
        <is>
          <t>Type TC-ER 600 V 3/C Cu XHHW-2 + ground, PVC jacket</t>
        </is>
      </c>
      <c r="K1411" s="9" t="inlineStr">
        <is>
          <t>LV|3/C+G|2</t>
        </is>
      </c>
      <c r="L1411" s="9" t="inlineStr">
        <is>
          <t>3/C+G</t>
        </is>
      </c>
      <c r="M1411" s="9" t="inlineStr">
        <is>
          <t>2</t>
        </is>
      </c>
      <c r="N1411" s="9" t="n">
        <v>1</v>
      </c>
      <c r="O1411" s="9" t="n">
        <v>1</v>
      </c>
      <c r="P1411" s="9" t="n">
        <v>480</v>
      </c>
      <c r="Q1411" s="9" t="n">
        <v>15</v>
      </c>
      <c r="R1411" s="9" t="n">
        <v>21</v>
      </c>
      <c r="S1411" s="9" t="inlineStr">
        <is>
          <t>Tray</t>
        </is>
      </c>
      <c r="T1411" s="10" t="n">
        <v>1121</v>
      </c>
      <c r="U1411" s="10" t="n">
        <v>66</v>
      </c>
      <c r="V1411" s="10">
        <f>ROUNDUP((T1411+U1411+2*'Read Me'!$B$13)*(1+'Read Me'!$B$12),-1)</f>
        <v/>
      </c>
      <c r="W1411" s="10">
        <f>V1411*N1411*O1411</f>
        <v/>
      </c>
      <c r="X1411" s="9">
        <f>IF(LEFT(I1411,2)="MV",2*N1411*IF(L1411="1/C",O1411,1),0)</f>
        <v/>
      </c>
      <c r="Y1411" s="9">
        <f>IF(OR(LEFT(K1411,4)="LVAX",LEFT(K1411,6)="MV15AX",LEFT(K1411,4)="CTAX",LEFT(K1411,2)="W|"),2*N1411*O1411,0)</f>
        <v/>
      </c>
      <c r="Z1411" s="9" t="inlineStr">
        <is>
          <t>VD 1.9 %</t>
        </is>
      </c>
    </row>
    <row r="1412">
      <c r="A1412" s="9" t="inlineStr">
        <is>
          <t>F-P-0005</t>
        </is>
      </c>
      <c r="B1412" s="9" t="inlineStr">
        <is>
          <t>F</t>
        </is>
      </c>
      <c r="C1412" s="9" t="inlineStr">
        <is>
          <t>Controls / service</t>
        </is>
      </c>
      <c r="D1412" s="9" t="inlineStr">
        <is>
          <t>LV panel / distribution feeder</t>
        </is>
      </c>
      <c r="E1412" s="9" t="inlineStr">
        <is>
          <t>MCC-C2</t>
        </is>
      </c>
      <c r="F1412" s="9" t="inlineStr">
        <is>
          <t>R1 MCC-C2</t>
        </is>
      </c>
      <c r="G1412" s="9" t="inlineStr"/>
      <c r="H1412" s="9" t="inlineStr">
        <is>
          <t>Gatehouse</t>
        </is>
      </c>
      <c r="I1412" s="9" t="inlineStr">
        <is>
          <t>LV 600 V</t>
        </is>
      </c>
      <c r="J1412" s="9" t="inlineStr">
        <is>
          <t>Type TC-ER 600 V 3/C Cu XHHW-2 + ground, PVC jacket</t>
        </is>
      </c>
      <c r="K1412" s="9" t="inlineStr">
        <is>
          <t>LV|3/C+G|2/0</t>
        </is>
      </c>
      <c r="L1412" s="9" t="inlineStr">
        <is>
          <t>3/C+G</t>
        </is>
      </c>
      <c r="M1412" s="9" t="inlineStr">
        <is>
          <t>2/0</t>
        </is>
      </c>
      <c r="N1412" s="9" t="n">
        <v>1</v>
      </c>
      <c r="O1412" s="9" t="n">
        <v>1</v>
      </c>
      <c r="P1412" s="9" t="n">
        <v>480</v>
      </c>
      <c r="Q1412" s="9" t="n">
        <v>30</v>
      </c>
      <c r="R1412" s="9" t="n">
        <v>42</v>
      </c>
      <c r="S1412" s="9" t="inlineStr">
        <is>
          <t>Duct bank</t>
        </is>
      </c>
      <c r="T1412" s="10" t="n">
        <v>1724</v>
      </c>
      <c r="U1412" s="10" t="n">
        <v>66</v>
      </c>
      <c r="V1412" s="10">
        <f>ROUNDUP((T1412+U1412+2*'Read Me'!$B$13)*(1+'Read Me'!$B$12),-1)</f>
        <v/>
      </c>
      <c r="W1412" s="10">
        <f>V1412*N1412*O1412</f>
        <v/>
      </c>
      <c r="X1412" s="9">
        <f>IF(LEFT(I1412,2)="MV",2*N1412*IF(L1412="1/C",O1412,1),0)</f>
        <v/>
      </c>
      <c r="Y1412" s="9">
        <f>IF(OR(LEFT(K1412,4)="LVAX",LEFT(K1412,6)="MV15AX",LEFT(K1412,4)="CTAX",LEFT(K1412,2)="W|"),2*N1412*O1412,0)</f>
        <v/>
      </c>
      <c r="Z1412" s="9" t="inlineStr">
        <is>
          <t>VD 2.9 %</t>
        </is>
      </c>
    </row>
    <row r="1413">
      <c r="A1413" s="9" t="inlineStr">
        <is>
          <t>F-P-0006</t>
        </is>
      </c>
      <c r="B1413" s="9" t="inlineStr">
        <is>
          <t>F</t>
        </is>
      </c>
      <c r="C1413" s="9" t="inlineStr">
        <is>
          <t>Controls / service</t>
        </is>
      </c>
      <c r="D1413" s="9" t="inlineStr">
        <is>
          <t>LV power feeder</t>
        </is>
      </c>
      <c r="E1413" s="9" t="inlineStr">
        <is>
          <t>MCC-C2</t>
        </is>
      </c>
      <c r="F1413" s="9" t="inlineStr">
        <is>
          <t>R1 MCC-C2</t>
        </is>
      </c>
      <c r="G1413" s="9" t="inlineStr">
        <is>
          <t>LS-1</t>
        </is>
      </c>
      <c r="H1413" s="9" t="inlineStr">
        <is>
          <t>LS-1: sanitary lift station (packaged duplex)</t>
        </is>
      </c>
      <c r="I1413" s="9" t="inlineStr">
        <is>
          <t>LV 600 V</t>
        </is>
      </c>
      <c r="J1413" s="9" t="inlineStr">
        <is>
          <t>Type TC-ER 600 V 3/C Cu XHHW-2 + ground, PVC jacket</t>
        </is>
      </c>
      <c r="K1413" s="9" t="inlineStr">
        <is>
          <t>LV|3/C+G|2/0</t>
        </is>
      </c>
      <c r="L1413" s="9" t="inlineStr">
        <is>
          <t>3/C+G</t>
        </is>
      </c>
      <c r="M1413" s="9" t="inlineStr">
        <is>
          <t>2/0</t>
        </is>
      </c>
      <c r="N1413" s="9" t="n">
        <v>1</v>
      </c>
      <c r="O1413" s="9" t="n">
        <v>1</v>
      </c>
      <c r="P1413" s="9" t="n">
        <v>480</v>
      </c>
      <c r="Q1413" s="9" t="n">
        <v>30</v>
      </c>
      <c r="R1413" s="9" t="n">
        <v>42</v>
      </c>
      <c r="S1413" s="9" t="inlineStr">
        <is>
          <t>Duct bank</t>
        </is>
      </c>
      <c r="T1413" s="10" t="n">
        <v>1446</v>
      </c>
      <c r="U1413" s="10" t="n">
        <v>66</v>
      </c>
      <c r="V1413" s="10">
        <f>ROUNDUP((T1413+U1413+2*'Read Me'!$B$13)*(1+'Read Me'!$B$12),-1)</f>
        <v/>
      </c>
      <c r="W1413" s="10">
        <f>V1413*N1413*O1413</f>
        <v/>
      </c>
      <c r="X1413" s="9">
        <f>IF(LEFT(I1413,2)="MV",2*N1413*IF(L1413="1/C",O1413,1),0)</f>
        <v/>
      </c>
      <c r="Y1413" s="9">
        <f>IF(OR(LEFT(K1413,4)="LVAX",LEFT(K1413,6)="MV15AX",LEFT(K1413,4)="CTAX",LEFT(K1413,2)="W|"),2*N1413*O1413,0)</f>
        <v/>
      </c>
      <c r="Z1413" s="9" t="inlineStr">
        <is>
          <t>VD 2.5 %</t>
        </is>
      </c>
    </row>
    <row r="1414">
      <c r="A1414" s="9" t="inlineStr">
        <is>
          <t>F-P-0007</t>
        </is>
      </c>
      <c r="B1414" s="9" t="inlineStr">
        <is>
          <t>F</t>
        </is>
      </c>
      <c r="C1414" s="9" t="inlineStr">
        <is>
          <t>Controls / service</t>
        </is>
      </c>
      <c r="D1414" s="9" t="inlineStr">
        <is>
          <t>LV panel / distribution feeder</t>
        </is>
      </c>
      <c r="E1414" s="9" t="inlineStr">
        <is>
          <t>MCC-C2</t>
        </is>
      </c>
      <c r="F1414" s="9" t="inlineStr">
        <is>
          <t>R1 MCC-C2</t>
        </is>
      </c>
      <c r="G1414" s="9" t="inlineStr"/>
      <c r="H1414" s="9" t="inlineStr">
        <is>
          <t>Maintenance building / workshop</t>
        </is>
      </c>
      <c r="I1414" s="9" t="inlineStr">
        <is>
          <t>LV 600 V</t>
        </is>
      </c>
      <c r="J1414" s="9" t="inlineStr">
        <is>
          <t>Type TC-ER 600 V 3/C Cu XHHW-2 + ground, PVC jacket</t>
        </is>
      </c>
      <c r="K1414" s="9" t="inlineStr">
        <is>
          <t>LV|3/C+G|250</t>
        </is>
      </c>
      <c r="L1414" s="9" t="inlineStr">
        <is>
          <t>3/C+G</t>
        </is>
      </c>
      <c r="M1414" s="9" t="inlineStr">
        <is>
          <t>250 kcmil</t>
        </is>
      </c>
      <c r="N1414" s="9" t="n">
        <v>1</v>
      </c>
      <c r="O1414" s="9" t="n">
        <v>1</v>
      </c>
      <c r="P1414" s="9" t="n">
        <v>480</v>
      </c>
      <c r="Q1414" s="9" t="n">
        <v>60</v>
      </c>
      <c r="R1414" s="9" t="n">
        <v>85</v>
      </c>
      <c r="S1414" s="9" t="inlineStr">
        <is>
          <t>Duct bank</t>
        </is>
      </c>
      <c r="T1414" s="10" t="n">
        <v>1420</v>
      </c>
      <c r="U1414" s="10" t="n">
        <v>66</v>
      </c>
      <c r="V1414" s="10">
        <f>ROUNDUP((T1414+U1414+2*'Read Me'!$B$13)*(1+'Read Me'!$B$12),-1)</f>
        <v/>
      </c>
      <c r="W1414" s="10">
        <f>V1414*N1414*O1414</f>
        <v/>
      </c>
      <c r="X1414" s="9">
        <f>IF(LEFT(I1414,2)="MV",2*N1414*IF(L1414="1/C",O1414,1),0)</f>
        <v/>
      </c>
      <c r="Y1414" s="9">
        <f>IF(OR(LEFT(K1414,4)="LVAX",LEFT(K1414,6)="MV15AX",LEFT(K1414,4)="CTAX",LEFT(K1414,2)="W|"),2*N1414*O1414,0)</f>
        <v/>
      </c>
      <c r="Z1414" s="9" t="inlineStr">
        <is>
          <t>VD 2.6 %</t>
        </is>
      </c>
    </row>
    <row r="1415">
      <c r="A1415" s="9" t="inlineStr">
        <is>
          <t>F-P-0008</t>
        </is>
      </c>
      <c r="B1415" s="9" t="inlineStr">
        <is>
          <t>F</t>
        </is>
      </c>
      <c r="C1415" s="9" t="inlineStr">
        <is>
          <t>Controls / service</t>
        </is>
      </c>
      <c r="D1415" s="9" t="inlineStr">
        <is>
          <t>LV power feeder</t>
        </is>
      </c>
      <c r="E1415" s="9" t="inlineStr">
        <is>
          <t>MCC-C2</t>
        </is>
      </c>
      <c r="F1415" s="9" t="inlineStr">
        <is>
          <t>R1 MCC-C2</t>
        </is>
      </c>
      <c r="G1415" s="9" t="inlineStr"/>
      <c r="H1415" s="9" t="inlineStr">
        <is>
          <t>Stormwater pump station (2 x 100% submersible pumps)</t>
        </is>
      </c>
      <c r="I1415" s="9" t="inlineStr">
        <is>
          <t>LV 600 V</t>
        </is>
      </c>
      <c r="J1415" s="9" t="inlineStr">
        <is>
          <t>Type TC-ER 600 V 3/C Cu XHHW-2 + ground, PVC jacket</t>
        </is>
      </c>
      <c r="K1415" s="9" t="inlineStr">
        <is>
          <t>LV|3/C+G|500</t>
        </is>
      </c>
      <c r="L1415" s="9" t="inlineStr">
        <is>
          <t>3/C+G</t>
        </is>
      </c>
      <c r="M1415" s="9" t="inlineStr">
        <is>
          <t>500 kcmil</t>
        </is>
      </c>
      <c r="N1415" s="9" t="n">
        <v>2</v>
      </c>
      <c r="O1415" s="9" t="n">
        <v>1</v>
      </c>
      <c r="P1415" s="9" t="n">
        <v>480</v>
      </c>
      <c r="Q1415" s="9" t="n">
        <v>150</v>
      </c>
      <c r="R1415" s="9" t="n">
        <v>212</v>
      </c>
      <c r="S1415" s="9" t="inlineStr">
        <is>
          <t>Duct bank</t>
        </is>
      </c>
      <c r="T1415" s="10" t="n">
        <v>2518</v>
      </c>
      <c r="U1415" s="10" t="n">
        <v>66</v>
      </c>
      <c r="V1415" s="10">
        <f>ROUNDUP((T1415+U1415+2*'Read Me'!$B$13)*(1+'Read Me'!$B$12),-1)</f>
        <v/>
      </c>
      <c r="W1415" s="10">
        <f>V1415*N1415*O1415</f>
        <v/>
      </c>
      <c r="X1415" s="9">
        <f>IF(LEFT(I1415,2)="MV",2*N1415*IF(L1415="1/C",O1415,1),0)</f>
        <v/>
      </c>
      <c r="Y1415" s="9">
        <f>IF(OR(LEFT(K1415,4)="LVAX",LEFT(K1415,6)="MV15AX",LEFT(K1415,4)="CTAX",LEFT(K1415,2)="W|"),2*N1415*O1415,0)</f>
        <v/>
      </c>
      <c r="Z1415" s="9" t="inlineStr">
        <is>
          <t>VD 2.8 %</t>
        </is>
      </c>
    </row>
    <row r="1416">
      <c r="A1416" s="9" t="inlineStr">
        <is>
          <t>F-P-0009</t>
        </is>
      </c>
      <c r="B1416" s="9" t="inlineStr">
        <is>
          <t>F</t>
        </is>
      </c>
      <c r="C1416" s="9" t="inlineStr">
        <is>
          <t>Controls / service</t>
        </is>
      </c>
      <c r="D1416" s="9" t="inlineStr">
        <is>
          <t>LV panel / distribution feeder</t>
        </is>
      </c>
      <c r="E1416" s="9" t="inlineStr">
        <is>
          <t>MCC-C2</t>
        </is>
      </c>
      <c r="F1416" s="9" t="inlineStr">
        <is>
          <t>R1 MCC-C2</t>
        </is>
      </c>
      <c r="G1416" s="9" t="inlineStr"/>
      <c r="H1416" s="9" t="inlineStr">
        <is>
          <t>Warehouse</t>
        </is>
      </c>
      <c r="I1416" s="9" t="inlineStr">
        <is>
          <t>LV 600 V</t>
        </is>
      </c>
      <c r="J1416" s="9" t="inlineStr">
        <is>
          <t>Type TC-ER 600 V 3/C Cu XHHW-2 + ground, PVC jacket</t>
        </is>
      </c>
      <c r="K1416" s="9" t="inlineStr">
        <is>
          <t>LV|3/C+G|500</t>
        </is>
      </c>
      <c r="L1416" s="9" t="inlineStr">
        <is>
          <t>3/C+G</t>
        </is>
      </c>
      <c r="M1416" s="9" t="inlineStr">
        <is>
          <t>500 kcmil</t>
        </is>
      </c>
      <c r="N1416" s="9" t="n">
        <v>2</v>
      </c>
      <c r="O1416" s="9" t="n">
        <v>1</v>
      </c>
      <c r="P1416" s="9" t="n">
        <v>480</v>
      </c>
      <c r="Q1416" s="9" t="n">
        <v>204</v>
      </c>
      <c r="R1416" s="9" t="n">
        <v>289</v>
      </c>
      <c r="S1416" s="9" t="inlineStr">
        <is>
          <t>Duct bank</t>
        </is>
      </c>
      <c r="T1416" s="10" t="n">
        <v>1420</v>
      </c>
      <c r="U1416" s="10" t="n">
        <v>126</v>
      </c>
      <c r="V1416" s="10">
        <f>ROUNDUP((T1416+U1416+2*'Read Me'!$B$13)*(1+'Read Me'!$B$12),-1)</f>
        <v/>
      </c>
      <c r="W1416" s="10">
        <f>V1416*N1416*O1416</f>
        <v/>
      </c>
      <c r="X1416" s="9">
        <f>IF(LEFT(I1416,2)="MV",2*N1416*IF(L1416="1/C",O1416,1),0)</f>
        <v/>
      </c>
      <c r="Y1416" s="9">
        <f>IF(OR(LEFT(K1416,4)="LVAX",LEFT(K1416,6)="MV15AX",LEFT(K1416,4)="CTAX",LEFT(K1416,2)="W|"),2*N1416*O1416,0)</f>
        <v/>
      </c>
      <c r="Z1416" s="9" t="inlineStr">
        <is>
          <t>VD 2.3 %</t>
        </is>
      </c>
    </row>
    <row r="1417">
      <c r="A1417" s="9" t="inlineStr">
        <is>
          <t>G-L-0001</t>
        </is>
      </c>
      <c r="B1417" s="9" t="inlineStr">
        <is>
          <t>G</t>
        </is>
      </c>
      <c r="C1417" s="9" t="inlineStr">
        <is>
          <t>Carbon capture</t>
        </is>
      </c>
      <c r="D1417" s="9" t="inlineStr">
        <is>
          <t>Lighting, receptacles and small power branch circuits (allowance)</t>
        </is>
      </c>
      <c r="E1417" s="9" t="inlineStr"/>
      <c r="F1417" s="9" t="inlineStr">
        <is>
          <t>CCS F&amp;G / control</t>
        </is>
      </c>
      <c r="G1417" s="9" t="inlineStr"/>
      <c r="H1417" s="9" t="inlineStr">
        <is>
          <t>CCS F&amp;G / control</t>
        </is>
      </c>
      <c r="I1417" s="9" t="inlineStr">
        <is>
          <t>Building wire</t>
        </is>
      </c>
      <c r="J1417" s="9" t="inlineStr">
        <is>
          <t>SIMpull THHN/THWN-2 600 V 1/C Cu (lighting, receptacles, small power)</t>
        </is>
      </c>
      <c r="K1417" s="9" t="inlineStr">
        <is>
          <t>THHN|1/C|12</t>
        </is>
      </c>
      <c r="L1417" s="9" t="inlineStr">
        <is>
          <t>1/C</t>
        </is>
      </c>
      <c r="M1417" s="9" t="inlineStr">
        <is>
          <t>12</t>
        </is>
      </c>
      <c r="N1417" s="9" t="n">
        <v>1</v>
      </c>
      <c r="O1417" s="9" t="n">
        <v>1</v>
      </c>
      <c r="P1417" s="9" t="n">
        <v>277</v>
      </c>
      <c r="Q1417" s="9" t="n"/>
      <c r="R1417" s="9" t="n"/>
      <c r="S1417" s="9" t="inlineStr">
        <is>
          <t>Conduit</t>
        </is>
      </c>
      <c r="T1417" s="10" t="n">
        <v>5400</v>
      </c>
      <c r="U1417" s="10" t="n">
        <v>0</v>
      </c>
      <c r="V1417" s="10">
        <f>ROUNDUP((T1417+U1417+2*'Read Me'!$B$13)*(1+'Read Me'!$B$12),-1)</f>
        <v/>
      </c>
      <c r="W1417" s="10">
        <f>V1417*N1417*O1417</f>
        <v/>
      </c>
      <c r="X1417" s="9">
        <f>IF(LEFT(I1417,2)="MV",2*N1417*IF(L1417="1/C",O1417,1),0)</f>
        <v/>
      </c>
      <c r="Y1417" s="9">
        <f>IF(OR(LEFT(K1417,4)="LVAX",LEFT(K1417,6)="MV15AX",LEFT(K1417,4)="CTAX",LEFT(K1417,2)="W|"),2*N1417*O1417,0)</f>
        <v/>
      </c>
      <c r="Z1417" s="9" t="inlineStr">
        <is>
          <t>allowance: 1.6 ft of conductor per ft2 of floor</t>
        </is>
      </c>
    </row>
    <row r="1418">
      <c r="A1418" s="9" t="inlineStr">
        <is>
          <t>G-L-0002</t>
        </is>
      </c>
      <c r="B1418" s="9" t="inlineStr">
        <is>
          <t>G</t>
        </is>
      </c>
      <c r="C1418" s="9" t="inlineStr">
        <is>
          <t>Carbon capture</t>
        </is>
      </c>
      <c r="D1418" s="9" t="inlineStr">
        <is>
          <t>Lighting, receptacles and small power branch circuits (allowance)</t>
        </is>
      </c>
      <c r="E1418" s="9" t="inlineStr"/>
      <c r="F1418" s="9" t="inlineStr">
        <is>
          <t>CCS MV switchgear building (VFDs)</t>
        </is>
      </c>
      <c r="G1418" s="9" t="inlineStr"/>
      <c r="H1418" s="9" t="inlineStr">
        <is>
          <t>CCS MV switchgear building (VFDs)</t>
        </is>
      </c>
      <c r="I1418" s="9" t="inlineStr">
        <is>
          <t>Building wire</t>
        </is>
      </c>
      <c r="J1418" s="9" t="inlineStr">
        <is>
          <t>SIMpull THHN/THWN-2 600 V 1/C Cu (lighting, receptacles, small power)</t>
        </is>
      </c>
      <c r="K1418" s="9" t="inlineStr">
        <is>
          <t>THHN|1/C|12</t>
        </is>
      </c>
      <c r="L1418" s="9" t="inlineStr">
        <is>
          <t>1/C</t>
        </is>
      </c>
      <c r="M1418" s="9" t="inlineStr">
        <is>
          <t>12</t>
        </is>
      </c>
      <c r="N1418" s="9" t="n">
        <v>1</v>
      </c>
      <c r="O1418" s="9" t="n">
        <v>1</v>
      </c>
      <c r="P1418" s="9" t="n">
        <v>277</v>
      </c>
      <c r="Q1418" s="9" t="n"/>
      <c r="R1418" s="9" t="n"/>
      <c r="S1418" s="9" t="inlineStr">
        <is>
          <t>Conduit</t>
        </is>
      </c>
      <c r="T1418" s="10" t="n">
        <v>14560</v>
      </c>
      <c r="U1418" s="10" t="n">
        <v>0</v>
      </c>
      <c r="V1418" s="10">
        <f>ROUNDUP((T1418+U1418+2*'Read Me'!$B$13)*(1+'Read Me'!$B$12),-1)</f>
        <v/>
      </c>
      <c r="W1418" s="10">
        <f>V1418*N1418*O1418</f>
        <v/>
      </c>
      <c r="X1418" s="9">
        <f>IF(LEFT(I1418,2)="MV",2*N1418*IF(L1418="1/C",O1418,1),0)</f>
        <v/>
      </c>
      <c r="Y1418" s="9">
        <f>IF(OR(LEFT(K1418,4)="LVAX",LEFT(K1418,6)="MV15AX",LEFT(K1418,4)="CTAX",LEFT(K1418,2)="W|"),2*N1418*O1418,0)</f>
        <v/>
      </c>
      <c r="Z1418" s="9" t="inlineStr">
        <is>
          <t>allowance: 1.6 ft of conductor per ft2 of floor</t>
        </is>
      </c>
    </row>
    <row r="1419">
      <c r="A1419" s="9" t="inlineStr">
        <is>
          <t>G-L-0003</t>
        </is>
      </c>
      <c r="B1419" s="9" t="inlineStr">
        <is>
          <t>G</t>
        </is>
      </c>
      <c r="C1419" s="9" t="inlineStr">
        <is>
          <t>Carbon capture</t>
        </is>
      </c>
      <c r="D1419" s="9" t="inlineStr">
        <is>
          <t>Lighting, receptacles and small power branch circuits (allowance)</t>
        </is>
      </c>
      <c r="E1419" s="9" t="inlineStr"/>
      <c r="F1419" s="9" t="inlineStr">
        <is>
          <t>CT MCC / VFD e-house</t>
        </is>
      </c>
      <c r="G1419" s="9" t="inlineStr"/>
      <c r="H1419" s="9" t="inlineStr">
        <is>
          <t>CT MCC / VFD e-house</t>
        </is>
      </c>
      <c r="I1419" s="9" t="inlineStr">
        <is>
          <t>Building wire</t>
        </is>
      </c>
      <c r="J1419" s="9" t="inlineStr">
        <is>
          <t>SIMpull THHN/THWN-2 600 V 1/C Cu (lighting, receptacles, small power)</t>
        </is>
      </c>
      <c r="K1419" s="9" t="inlineStr">
        <is>
          <t>THHN|1/C|12</t>
        </is>
      </c>
      <c r="L1419" s="9" t="inlineStr">
        <is>
          <t>1/C</t>
        </is>
      </c>
      <c r="M1419" s="9" t="inlineStr">
        <is>
          <t>12</t>
        </is>
      </c>
      <c r="N1419" s="9" t="n">
        <v>1</v>
      </c>
      <c r="O1419" s="9" t="n">
        <v>1</v>
      </c>
      <c r="P1419" s="9" t="n">
        <v>277</v>
      </c>
      <c r="Q1419" s="9" t="n"/>
      <c r="R1419" s="9" t="n"/>
      <c r="S1419" s="9" t="inlineStr">
        <is>
          <t>Conduit</t>
        </is>
      </c>
      <c r="T1419" s="10" t="n">
        <v>7920</v>
      </c>
      <c r="U1419" s="10" t="n">
        <v>0</v>
      </c>
      <c r="V1419" s="10">
        <f>ROUNDUP((T1419+U1419+2*'Read Me'!$B$13)*(1+'Read Me'!$B$12),-1)</f>
        <v/>
      </c>
      <c r="W1419" s="10">
        <f>V1419*N1419*O1419</f>
        <v/>
      </c>
      <c r="X1419" s="9">
        <f>IF(LEFT(I1419,2)="MV",2*N1419*IF(L1419="1/C",O1419,1),0)</f>
        <v/>
      </c>
      <c r="Y1419" s="9">
        <f>IF(OR(LEFT(K1419,4)="LVAX",LEFT(K1419,6)="MV15AX",LEFT(K1419,4)="CTAX",LEFT(K1419,2)="W|"),2*N1419*O1419,0)</f>
        <v/>
      </c>
      <c r="Z1419" s="9" t="inlineStr">
        <is>
          <t>allowance: 1.6 ft of conductor per ft2 of floor</t>
        </is>
      </c>
    </row>
    <row r="1420">
      <c r="A1420" s="9" t="inlineStr">
        <is>
          <t>G-C-0001</t>
        </is>
      </c>
      <c r="B1420" s="9" t="inlineStr">
        <is>
          <t>G</t>
        </is>
      </c>
      <c r="C1420" s="9" t="inlineStr">
        <is>
          <t>Carbon capture</t>
        </is>
      </c>
      <c r="D1420" s="9" t="inlineStr">
        <is>
          <t>Control</t>
        </is>
      </c>
      <c r="E1420" s="9" t="inlineStr"/>
      <c r="F1420" s="9" t="inlineStr">
        <is>
          <t>CCS F&amp;G / control</t>
        </is>
      </c>
      <c r="G1420" s="9" t="inlineStr">
        <is>
          <t>ABS-A</t>
        </is>
      </c>
      <c r="H1420" s="9" t="inlineStr">
        <is>
          <t>Absorber A (62 ft dia x 262 ft, stack to 313 ft)</t>
        </is>
      </c>
      <c r="I1420" s="9" t="inlineStr">
        <is>
          <t>Control</t>
        </is>
      </c>
      <c r="J1420" s="9" t="inlineStr">
        <is>
          <t>Control cable 600 V Type TC-ER, Cu #14 AWG, PVC jacket</t>
        </is>
      </c>
      <c r="K1420" s="9" t="inlineStr">
        <is>
          <t>CT|7/C|14</t>
        </is>
      </c>
      <c r="L1420" s="9" t="inlineStr">
        <is>
          <t>7/C</t>
        </is>
      </c>
      <c r="M1420" s="9" t="inlineStr">
        <is>
          <t>14</t>
        </is>
      </c>
      <c r="N1420" s="9" t="n">
        <v>1</v>
      </c>
      <c r="O1420" s="9" t="n">
        <v>1</v>
      </c>
      <c r="P1420" s="9" t="n"/>
      <c r="Q1420" s="9" t="n"/>
      <c r="R1420" s="9" t="n"/>
      <c r="S1420" s="9" t="inlineStr">
        <is>
          <t>Tray</t>
        </is>
      </c>
      <c r="T1420" s="10" t="n">
        <v>973</v>
      </c>
      <c r="U1420" s="10" t="n">
        <v>119</v>
      </c>
      <c r="V1420" s="10">
        <f>ROUNDUP((T1420+U1420+2*'Read Me'!$B$13)*(1+'Read Me'!$B$12),-1)</f>
        <v/>
      </c>
      <c r="W1420" s="10">
        <f>V1420*N1420*O1420</f>
        <v/>
      </c>
      <c r="X1420" s="9">
        <f>IF(LEFT(I1420,2)="MV",2*N1420*IF(L1420="1/C",O1420,1),0)</f>
        <v/>
      </c>
      <c r="Y1420" s="9">
        <f>IF(OR(LEFT(K1420,4)="LVAX",LEFT(K1420,6)="MV15AX",LEFT(K1420,4)="CTAX",LEFT(K1420,2)="W|"),2*N1420*O1420,0)</f>
        <v/>
      </c>
      <c r="Z1420" s="9" t="inlineStr"/>
    </row>
    <row r="1421">
      <c r="A1421" s="9" t="inlineStr">
        <is>
          <t>G-C-0002</t>
        </is>
      </c>
      <c r="B1421" s="9" t="inlineStr">
        <is>
          <t>G</t>
        </is>
      </c>
      <c r="C1421" s="9" t="inlineStr">
        <is>
          <t>Carbon capture</t>
        </is>
      </c>
      <c r="D1421" s="9" t="inlineStr">
        <is>
          <t>Control</t>
        </is>
      </c>
      <c r="E1421" s="9" t="inlineStr"/>
      <c r="F1421" s="9" t="inlineStr">
        <is>
          <t>CCS F&amp;G / control</t>
        </is>
      </c>
      <c r="G1421" s="9" t="inlineStr"/>
      <c r="H1421" s="9" t="inlineStr">
        <is>
          <t>Absorber A intercooler (pumps + plate exchanger)</t>
        </is>
      </c>
      <c r="I1421" s="9" t="inlineStr">
        <is>
          <t>Control</t>
        </is>
      </c>
      <c r="J1421" s="9" t="inlineStr">
        <is>
          <t>Control cable 600 V Type TC-ER, Cu #14 AWG, PVC jacket</t>
        </is>
      </c>
      <c r="K1421" s="9" t="inlineStr">
        <is>
          <t>CT|7/C|14</t>
        </is>
      </c>
      <c r="L1421" s="9" t="inlineStr">
        <is>
          <t>7/C</t>
        </is>
      </c>
      <c r="M1421" s="9" t="inlineStr">
        <is>
          <t>14</t>
        </is>
      </c>
      <c r="N1421" s="9" t="n">
        <v>1</v>
      </c>
      <c r="O1421" s="9" t="n">
        <v>1</v>
      </c>
      <c r="P1421" s="9" t="n"/>
      <c r="Q1421" s="9" t="n"/>
      <c r="R1421" s="9" t="n"/>
      <c r="S1421" s="9" t="inlineStr">
        <is>
          <t>Tray</t>
        </is>
      </c>
      <c r="T1421" s="10" t="n">
        <v>955</v>
      </c>
      <c r="U1421" s="10" t="n">
        <v>120</v>
      </c>
      <c r="V1421" s="10">
        <f>ROUNDUP((T1421+U1421+2*'Read Me'!$B$13)*(1+'Read Me'!$B$12),-1)</f>
        <v/>
      </c>
      <c r="W1421" s="10">
        <f>V1421*N1421*O1421</f>
        <v/>
      </c>
      <c r="X1421" s="9">
        <f>IF(LEFT(I1421,2)="MV",2*N1421*IF(L1421="1/C",O1421,1),0)</f>
        <v/>
      </c>
      <c r="Y1421" s="9">
        <f>IF(OR(LEFT(K1421,4)="LVAX",LEFT(K1421,6)="MV15AX",LEFT(K1421,4)="CTAX",LEFT(K1421,2)="W|"),2*N1421*O1421,0)</f>
        <v/>
      </c>
      <c r="Z1421" s="9" t="inlineStr"/>
    </row>
    <row r="1422">
      <c r="A1422" s="9" t="inlineStr">
        <is>
          <t>G-C-0003</t>
        </is>
      </c>
      <c r="B1422" s="9" t="inlineStr">
        <is>
          <t>G</t>
        </is>
      </c>
      <c r="C1422" s="9" t="inlineStr">
        <is>
          <t>Carbon capture</t>
        </is>
      </c>
      <c r="D1422" s="9" t="inlineStr">
        <is>
          <t>Control</t>
        </is>
      </c>
      <c r="E1422" s="9" t="inlineStr"/>
      <c r="F1422" s="9" t="inlineStr">
        <is>
          <t>CCS F&amp;G / control</t>
        </is>
      </c>
      <c r="G1422" s="9" t="inlineStr">
        <is>
          <t>ABS-B</t>
        </is>
      </c>
      <c r="H1422" s="9" t="inlineStr">
        <is>
          <t>Absorber B (62 ft dia x 262 ft, stack to 313 ft)</t>
        </is>
      </c>
      <c r="I1422" s="9" t="inlineStr">
        <is>
          <t>Control</t>
        </is>
      </c>
      <c r="J1422" s="9" t="inlineStr">
        <is>
          <t>Control cable 600 V Type TC-ER, Cu #14 AWG, PVC jacket</t>
        </is>
      </c>
      <c r="K1422" s="9" t="inlineStr">
        <is>
          <t>CT|7/C|14</t>
        </is>
      </c>
      <c r="L1422" s="9" t="inlineStr">
        <is>
          <t>7/C</t>
        </is>
      </c>
      <c r="M1422" s="9" t="inlineStr">
        <is>
          <t>14</t>
        </is>
      </c>
      <c r="N1422" s="9" t="n">
        <v>1</v>
      </c>
      <c r="O1422" s="9" t="n">
        <v>1</v>
      </c>
      <c r="P1422" s="9" t="n"/>
      <c r="Q1422" s="9" t="n"/>
      <c r="R1422" s="9" t="n"/>
      <c r="S1422" s="9" t="inlineStr">
        <is>
          <t>Tray</t>
        </is>
      </c>
      <c r="T1422" s="10" t="n">
        <v>813</v>
      </c>
      <c r="U1422" s="10" t="n">
        <v>119</v>
      </c>
      <c r="V1422" s="10">
        <f>ROUNDUP((T1422+U1422+2*'Read Me'!$B$13)*(1+'Read Me'!$B$12),-1)</f>
        <v/>
      </c>
      <c r="W1422" s="10">
        <f>V1422*N1422*O1422</f>
        <v/>
      </c>
      <c r="X1422" s="9">
        <f>IF(LEFT(I1422,2)="MV",2*N1422*IF(L1422="1/C",O1422,1),0)</f>
        <v/>
      </c>
      <c r="Y1422" s="9">
        <f>IF(OR(LEFT(K1422,4)="LVAX",LEFT(K1422,6)="MV15AX",LEFT(K1422,4)="CTAX",LEFT(K1422,2)="W|"),2*N1422*O1422,0)</f>
        <v/>
      </c>
      <c r="Z1422" s="9" t="inlineStr"/>
    </row>
    <row r="1423">
      <c r="A1423" s="9" t="inlineStr">
        <is>
          <t>G-C-0004</t>
        </is>
      </c>
      <c r="B1423" s="9" t="inlineStr">
        <is>
          <t>G</t>
        </is>
      </c>
      <c r="C1423" s="9" t="inlineStr">
        <is>
          <t>Carbon capture</t>
        </is>
      </c>
      <c r="D1423" s="9" t="inlineStr">
        <is>
          <t>Control</t>
        </is>
      </c>
      <c r="E1423" s="9" t="inlineStr"/>
      <c r="F1423" s="9" t="inlineStr">
        <is>
          <t>CCS F&amp;G / control</t>
        </is>
      </c>
      <c r="G1423" s="9" t="inlineStr"/>
      <c r="H1423" s="9" t="inlineStr">
        <is>
          <t>Absorber B intercooler (pumps + plate exchanger)</t>
        </is>
      </c>
      <c r="I1423" s="9" t="inlineStr">
        <is>
          <t>Control</t>
        </is>
      </c>
      <c r="J1423" s="9" t="inlineStr">
        <is>
          <t>Control cable 600 V Type TC-ER, Cu #14 AWG, PVC jacket</t>
        </is>
      </c>
      <c r="K1423" s="9" t="inlineStr">
        <is>
          <t>CT|7/C|14</t>
        </is>
      </c>
      <c r="L1423" s="9" t="inlineStr">
        <is>
          <t>7/C</t>
        </is>
      </c>
      <c r="M1423" s="9" t="inlineStr">
        <is>
          <t>14</t>
        </is>
      </c>
      <c r="N1423" s="9" t="n">
        <v>1</v>
      </c>
      <c r="O1423" s="9" t="n">
        <v>1</v>
      </c>
      <c r="P1423" s="9" t="n"/>
      <c r="Q1423" s="9" t="n"/>
      <c r="R1423" s="9" t="n"/>
      <c r="S1423" s="9" t="inlineStr">
        <is>
          <t>Tray</t>
        </is>
      </c>
      <c r="T1423" s="10" t="n">
        <v>795</v>
      </c>
      <c r="U1423" s="10" t="n">
        <v>120</v>
      </c>
      <c r="V1423" s="10">
        <f>ROUNDUP((T1423+U1423+2*'Read Me'!$B$13)*(1+'Read Me'!$B$12),-1)</f>
        <v/>
      </c>
      <c r="W1423" s="10">
        <f>V1423*N1423*O1423</f>
        <v/>
      </c>
      <c r="X1423" s="9">
        <f>IF(LEFT(I1423,2)="MV",2*N1423*IF(L1423="1/C",O1423,1),0)</f>
        <v/>
      </c>
      <c r="Y1423" s="9">
        <f>IF(OR(LEFT(K1423,4)="LVAX",LEFT(K1423,6)="MV15AX",LEFT(K1423,4)="CTAX",LEFT(K1423,2)="W|"),2*N1423*O1423,0)</f>
        <v/>
      </c>
      <c r="Z1423" s="9" t="inlineStr"/>
    </row>
    <row r="1424">
      <c r="A1424" s="9" t="inlineStr">
        <is>
          <t>G-C-0005</t>
        </is>
      </c>
      <c r="B1424" s="9" t="inlineStr">
        <is>
          <t>G</t>
        </is>
      </c>
      <c r="C1424" s="9" t="inlineStr">
        <is>
          <t>Carbon capture</t>
        </is>
      </c>
      <c r="D1424" s="9" t="inlineStr">
        <is>
          <t>Control</t>
        </is>
      </c>
      <c r="E1424" s="9" t="inlineStr"/>
      <c r="F1424" s="9" t="inlineStr">
        <is>
          <t>CCS F&amp;G / control</t>
        </is>
      </c>
      <c r="G1424" s="9" t="inlineStr">
        <is>
          <t>ABS-C</t>
        </is>
      </c>
      <c r="H1424" s="9" t="inlineStr">
        <is>
          <t>Absorber C (62 ft dia x 262 ft, stack to 313 ft)</t>
        </is>
      </c>
      <c r="I1424" s="9" t="inlineStr">
        <is>
          <t>Control</t>
        </is>
      </c>
      <c r="J1424" s="9" t="inlineStr">
        <is>
          <t>Control cable 600 V Type TC-ER, Cu #14 AWG, PVC jacket</t>
        </is>
      </c>
      <c r="K1424" s="9" t="inlineStr">
        <is>
          <t>CT|7/C|14</t>
        </is>
      </c>
      <c r="L1424" s="9" t="inlineStr">
        <is>
          <t>7/C</t>
        </is>
      </c>
      <c r="M1424" s="9" t="inlineStr">
        <is>
          <t>14</t>
        </is>
      </c>
      <c r="N1424" s="9" t="n">
        <v>1</v>
      </c>
      <c r="O1424" s="9" t="n">
        <v>1</v>
      </c>
      <c r="P1424" s="9" t="n"/>
      <c r="Q1424" s="9" t="n"/>
      <c r="R1424" s="9" t="n"/>
      <c r="S1424" s="9" t="inlineStr">
        <is>
          <t>Duct bank</t>
        </is>
      </c>
      <c r="T1424" s="10" t="n">
        <v>653</v>
      </c>
      <c r="U1424" s="10" t="n">
        <v>119</v>
      </c>
      <c r="V1424" s="10">
        <f>ROUNDUP((T1424+U1424+2*'Read Me'!$B$13)*(1+'Read Me'!$B$12),-1)</f>
        <v/>
      </c>
      <c r="W1424" s="10">
        <f>V1424*N1424*O1424</f>
        <v/>
      </c>
      <c r="X1424" s="9">
        <f>IF(LEFT(I1424,2)="MV",2*N1424*IF(L1424="1/C",O1424,1),0)</f>
        <v/>
      </c>
      <c r="Y1424" s="9">
        <f>IF(OR(LEFT(K1424,4)="LVAX",LEFT(K1424,6)="MV15AX",LEFT(K1424,4)="CTAX",LEFT(K1424,2)="W|"),2*N1424*O1424,0)</f>
        <v/>
      </c>
      <c r="Z1424" s="9" t="inlineStr"/>
    </row>
    <row r="1425">
      <c r="A1425" s="9" t="inlineStr">
        <is>
          <t>G-C-0006</t>
        </is>
      </c>
      <c r="B1425" s="9" t="inlineStr">
        <is>
          <t>G</t>
        </is>
      </c>
      <c r="C1425" s="9" t="inlineStr">
        <is>
          <t>Carbon capture</t>
        </is>
      </c>
      <c r="D1425" s="9" t="inlineStr">
        <is>
          <t>Control</t>
        </is>
      </c>
      <c r="E1425" s="9" t="inlineStr"/>
      <c r="F1425" s="9" t="inlineStr">
        <is>
          <t>CCS F&amp;G / control</t>
        </is>
      </c>
      <c r="G1425" s="9" t="inlineStr"/>
      <c r="H1425" s="9" t="inlineStr">
        <is>
          <t>Absorber C intercooler (pumps + plate exchanger)</t>
        </is>
      </c>
      <c r="I1425" s="9" t="inlineStr">
        <is>
          <t>Control</t>
        </is>
      </c>
      <c r="J1425" s="9" t="inlineStr">
        <is>
          <t>Control cable 600 V Type TC-ER, Cu #14 AWG, PVC jacket</t>
        </is>
      </c>
      <c r="K1425" s="9" t="inlineStr">
        <is>
          <t>CT|7/C|14</t>
        </is>
      </c>
      <c r="L1425" s="9" t="inlineStr">
        <is>
          <t>7/C</t>
        </is>
      </c>
      <c r="M1425" s="9" t="inlineStr">
        <is>
          <t>14</t>
        </is>
      </c>
      <c r="N1425" s="9" t="n">
        <v>1</v>
      </c>
      <c r="O1425" s="9" t="n">
        <v>1</v>
      </c>
      <c r="P1425" s="9" t="n"/>
      <c r="Q1425" s="9" t="n"/>
      <c r="R1425" s="9" t="n"/>
      <c r="S1425" s="9" t="inlineStr">
        <is>
          <t>Duct bank</t>
        </is>
      </c>
      <c r="T1425" s="10" t="n">
        <v>635</v>
      </c>
      <c r="U1425" s="10" t="n">
        <v>120</v>
      </c>
      <c r="V1425" s="10">
        <f>ROUNDUP((T1425+U1425+2*'Read Me'!$B$13)*(1+'Read Me'!$B$12),-1)</f>
        <v/>
      </c>
      <c r="W1425" s="10">
        <f>V1425*N1425*O1425</f>
        <v/>
      </c>
      <c r="X1425" s="9">
        <f>IF(LEFT(I1425,2)="MV",2*N1425*IF(L1425="1/C",O1425,1),0)</f>
        <v/>
      </c>
      <c r="Y1425" s="9">
        <f>IF(OR(LEFT(K1425,4)="LVAX",LEFT(K1425,6)="MV15AX",LEFT(K1425,4)="CTAX",LEFT(K1425,2)="W|"),2*N1425*O1425,0)</f>
        <v/>
      </c>
      <c r="Z1425" s="9" t="inlineStr"/>
    </row>
    <row r="1426">
      <c r="A1426" s="9" t="inlineStr">
        <is>
          <t>G-C-0007</t>
        </is>
      </c>
      <c r="B1426" s="9" t="inlineStr">
        <is>
          <t>G</t>
        </is>
      </c>
      <c r="C1426" s="9" t="inlineStr">
        <is>
          <t>Carbon capture</t>
        </is>
      </c>
      <c r="D1426" s="9" t="inlineStr">
        <is>
          <t>Control</t>
        </is>
      </c>
      <c r="E1426" s="9" t="inlineStr"/>
      <c r="F1426" s="9" t="inlineStr">
        <is>
          <t>CCS F&amp;G / control</t>
        </is>
      </c>
      <c r="G1426" s="9" t="inlineStr"/>
      <c r="H1426" s="9" t="inlineStr">
        <is>
          <t>Activated-carbon filter</t>
        </is>
      </c>
      <c r="I1426" s="9" t="inlineStr">
        <is>
          <t>Control</t>
        </is>
      </c>
      <c r="J1426" s="9" t="inlineStr">
        <is>
          <t>Control cable 600 V Type TC-ER, Cu #14 AWG, PVC jacket</t>
        </is>
      </c>
      <c r="K1426" s="9" t="inlineStr">
        <is>
          <t>CT|7/C|14</t>
        </is>
      </c>
      <c r="L1426" s="9" t="inlineStr">
        <is>
          <t>7/C</t>
        </is>
      </c>
      <c r="M1426" s="9" t="inlineStr">
        <is>
          <t>14</t>
        </is>
      </c>
      <c r="N1426" s="9" t="n">
        <v>1</v>
      </c>
      <c r="O1426" s="9" t="n">
        <v>1</v>
      </c>
      <c r="P1426" s="9" t="n"/>
      <c r="Q1426" s="9" t="n"/>
      <c r="R1426" s="9" t="n"/>
      <c r="S1426" s="9" t="inlineStr">
        <is>
          <t>Duct bank</t>
        </is>
      </c>
      <c r="T1426" s="10" t="n">
        <v>185</v>
      </c>
      <c r="U1426" s="10" t="n">
        <v>112</v>
      </c>
      <c r="V1426" s="10">
        <f>ROUNDUP((T1426+U1426+2*'Read Me'!$B$13)*(1+'Read Me'!$B$12),-1)</f>
        <v/>
      </c>
      <c r="W1426" s="10">
        <f>V1426*N1426*O1426</f>
        <v/>
      </c>
      <c r="X1426" s="9">
        <f>IF(LEFT(I1426,2)="MV",2*N1426*IF(L1426="1/C",O1426,1),0)</f>
        <v/>
      </c>
      <c r="Y1426" s="9">
        <f>IF(OR(LEFT(K1426,4)="LVAX",LEFT(K1426,6)="MV15AX",LEFT(K1426,4)="CTAX",LEFT(K1426,2)="W|"),2*N1426*O1426,0)</f>
        <v/>
      </c>
      <c r="Z1426" s="9" t="inlineStr"/>
    </row>
    <row r="1427">
      <c r="A1427" s="9" t="inlineStr">
        <is>
          <t>G-C-0008</t>
        </is>
      </c>
      <c r="B1427" s="9" t="inlineStr">
        <is>
          <t>G</t>
        </is>
      </c>
      <c r="C1427" s="9" t="inlineStr">
        <is>
          <t>Carbon capture</t>
        </is>
      </c>
      <c r="D1427" s="9" t="inlineStr">
        <is>
          <t>Control</t>
        </is>
      </c>
      <c r="E1427" s="9" t="inlineStr"/>
      <c r="F1427" s="9" t="inlineStr">
        <is>
          <t>CCS F&amp;G / control</t>
        </is>
      </c>
      <c r="G1427" s="9" t="inlineStr">
        <is>
          <t>BF-A</t>
        </is>
      </c>
      <c r="H1427" s="9" t="inlineStr">
        <is>
          <t>BF-A: booster fan (~16 MW)</t>
        </is>
      </c>
      <c r="I1427" s="9" t="inlineStr">
        <is>
          <t>Control</t>
        </is>
      </c>
      <c r="J1427" s="9" t="inlineStr">
        <is>
          <t>Control cable 600 V Type TC-ER, Cu #14 AWG, PVC jacket</t>
        </is>
      </c>
      <c r="K1427" s="9" t="inlineStr">
        <is>
          <t>CT|7/C|14</t>
        </is>
      </c>
      <c r="L1427" s="9" t="inlineStr">
        <is>
          <t>7/C</t>
        </is>
      </c>
      <c r="M1427" s="9" t="inlineStr">
        <is>
          <t>14</t>
        </is>
      </c>
      <c r="N1427" s="9" t="n">
        <v>1</v>
      </c>
      <c r="O1427" s="9" t="n">
        <v>1</v>
      </c>
      <c r="P1427" s="9" t="n"/>
      <c r="Q1427" s="9" t="n"/>
      <c r="R1427" s="9" t="n"/>
      <c r="S1427" s="9" t="inlineStr">
        <is>
          <t>Duct bank</t>
        </is>
      </c>
      <c r="T1427" s="10" t="n">
        <v>871</v>
      </c>
      <c r="U1427" s="10" t="n">
        <v>101</v>
      </c>
      <c r="V1427" s="10">
        <f>ROUNDUP((T1427+U1427+2*'Read Me'!$B$13)*(1+'Read Me'!$B$12),-1)</f>
        <v/>
      </c>
      <c r="W1427" s="10">
        <f>V1427*N1427*O1427</f>
        <v/>
      </c>
      <c r="X1427" s="9">
        <f>IF(LEFT(I1427,2)="MV",2*N1427*IF(L1427="1/C",O1427,1),0)</f>
        <v/>
      </c>
      <c r="Y1427" s="9">
        <f>IF(OR(LEFT(K1427,4)="LVAX",LEFT(K1427,6)="MV15AX",LEFT(K1427,4)="CTAX",LEFT(K1427,2)="W|"),2*N1427*O1427,0)</f>
        <v/>
      </c>
      <c r="Z1427" s="9" t="inlineStr"/>
    </row>
    <row r="1428">
      <c r="A1428" s="9" t="inlineStr">
        <is>
          <t>G-C-0009</t>
        </is>
      </c>
      <c r="B1428" s="9" t="inlineStr">
        <is>
          <t>G</t>
        </is>
      </c>
      <c r="C1428" s="9" t="inlineStr">
        <is>
          <t>Carbon capture</t>
        </is>
      </c>
      <c r="D1428" s="9" t="inlineStr">
        <is>
          <t>Control</t>
        </is>
      </c>
      <c r="E1428" s="9" t="inlineStr"/>
      <c r="F1428" s="9" t="inlineStr">
        <is>
          <t>CCS F&amp;G / control</t>
        </is>
      </c>
      <c r="G1428" s="9" t="inlineStr">
        <is>
          <t>BF-A</t>
        </is>
      </c>
      <c r="H1428" s="9" t="inlineStr">
        <is>
          <t>BF-A: booster fan (~16 MW)</t>
        </is>
      </c>
      <c r="I1428" s="9" t="inlineStr">
        <is>
          <t>Control</t>
        </is>
      </c>
      <c r="J1428" s="9" t="inlineStr">
        <is>
          <t>Control cable 600 V Type TC-ER, Cu #14 AWG, PVC jacket</t>
        </is>
      </c>
      <c r="K1428" s="9" t="inlineStr">
        <is>
          <t>CT|7/C|14</t>
        </is>
      </c>
      <c r="L1428" s="9" t="inlineStr">
        <is>
          <t>7/C</t>
        </is>
      </c>
      <c r="M1428" s="9" t="inlineStr">
        <is>
          <t>14</t>
        </is>
      </c>
      <c r="N1428" s="9" t="n">
        <v>1</v>
      </c>
      <c r="O1428" s="9" t="n">
        <v>1</v>
      </c>
      <c r="P1428" s="9" t="n"/>
      <c r="Q1428" s="9" t="n"/>
      <c r="R1428" s="9" t="n"/>
      <c r="S1428" s="9" t="inlineStr">
        <is>
          <t>Duct bank</t>
        </is>
      </c>
      <c r="T1428" s="10" t="n">
        <v>871</v>
      </c>
      <c r="U1428" s="10" t="n">
        <v>101</v>
      </c>
      <c r="V1428" s="10">
        <f>ROUNDUP((T1428+U1428+2*'Read Me'!$B$13)*(1+'Read Me'!$B$12),-1)</f>
        <v/>
      </c>
      <c r="W1428" s="10">
        <f>V1428*N1428*O1428</f>
        <v/>
      </c>
      <c r="X1428" s="9">
        <f>IF(LEFT(I1428,2)="MV",2*N1428*IF(L1428="1/C",O1428,1),0)</f>
        <v/>
      </c>
      <c r="Y1428" s="9">
        <f>IF(OR(LEFT(K1428,4)="LVAX",LEFT(K1428,6)="MV15AX",LEFT(K1428,4)="CTAX",LEFT(K1428,2)="W|"),2*N1428*O1428,0)</f>
        <v/>
      </c>
      <c r="Z1428" s="9" t="inlineStr"/>
    </row>
    <row r="1429">
      <c r="A1429" s="9" t="inlineStr">
        <is>
          <t>G-C-0010</t>
        </is>
      </c>
      <c r="B1429" s="9" t="inlineStr">
        <is>
          <t>G</t>
        </is>
      </c>
      <c r="C1429" s="9" t="inlineStr">
        <is>
          <t>Carbon capture</t>
        </is>
      </c>
      <c r="D1429" s="9" t="inlineStr">
        <is>
          <t>Control</t>
        </is>
      </c>
      <c r="E1429" s="9" t="inlineStr"/>
      <c r="F1429" s="9" t="inlineStr">
        <is>
          <t>CCS F&amp;G / control</t>
        </is>
      </c>
      <c r="G1429" s="9" t="inlineStr">
        <is>
          <t>BF-A</t>
        </is>
      </c>
      <c r="H1429" s="9" t="inlineStr">
        <is>
          <t>BF-A: booster fan (~16 MW)</t>
        </is>
      </c>
      <c r="I1429" s="9" t="inlineStr">
        <is>
          <t>Control</t>
        </is>
      </c>
      <c r="J1429" s="9" t="inlineStr">
        <is>
          <t>Control cable 600 V Type TC-ER, Cu #14 AWG, PVC jacket</t>
        </is>
      </c>
      <c r="K1429" s="9" t="inlineStr">
        <is>
          <t>CT|12/C|14</t>
        </is>
      </c>
      <c r="L1429" s="9" t="inlineStr">
        <is>
          <t>12/C</t>
        </is>
      </c>
      <c r="M1429" s="9" t="inlineStr">
        <is>
          <t>14</t>
        </is>
      </c>
      <c r="N1429" s="9" t="n">
        <v>1</v>
      </c>
      <c r="O1429" s="9" t="n">
        <v>1</v>
      </c>
      <c r="P1429" s="9" t="n"/>
      <c r="Q1429" s="9" t="n"/>
      <c r="R1429" s="9" t="n"/>
      <c r="S1429" s="9" t="inlineStr">
        <is>
          <t>Duct bank</t>
        </is>
      </c>
      <c r="T1429" s="10" t="n">
        <v>871</v>
      </c>
      <c r="U1429" s="10" t="n">
        <v>101</v>
      </c>
      <c r="V1429" s="10">
        <f>ROUNDUP((T1429+U1429+2*'Read Me'!$B$13)*(1+'Read Me'!$B$12),-1)</f>
        <v/>
      </c>
      <c r="W1429" s="10">
        <f>V1429*N1429*O1429</f>
        <v/>
      </c>
      <c r="X1429" s="9">
        <f>IF(LEFT(I1429,2)="MV",2*N1429*IF(L1429="1/C",O1429,1),0)</f>
        <v/>
      </c>
      <c r="Y1429" s="9">
        <f>IF(OR(LEFT(K1429,4)="LVAX",LEFT(K1429,6)="MV15AX",LEFT(K1429,4)="CTAX",LEFT(K1429,2)="W|"),2*N1429*O1429,0)</f>
        <v/>
      </c>
      <c r="Z1429" s="9" t="inlineStr"/>
    </row>
    <row r="1430">
      <c r="A1430" s="9" t="inlineStr">
        <is>
          <t>G-C-0011</t>
        </is>
      </c>
      <c r="B1430" s="9" t="inlineStr">
        <is>
          <t>G</t>
        </is>
      </c>
      <c r="C1430" s="9" t="inlineStr">
        <is>
          <t>Carbon capture</t>
        </is>
      </c>
      <c r="D1430" s="9" t="inlineStr">
        <is>
          <t>Control</t>
        </is>
      </c>
      <c r="E1430" s="9" t="inlineStr"/>
      <c r="F1430" s="9" t="inlineStr">
        <is>
          <t>CCS F&amp;G / control</t>
        </is>
      </c>
      <c r="G1430" s="9" t="inlineStr">
        <is>
          <t>BF-A</t>
        </is>
      </c>
      <c r="H1430" s="9" t="inlineStr">
        <is>
          <t>BF-A: booster fan (~16 MW)</t>
        </is>
      </c>
      <c r="I1430" s="9" t="inlineStr">
        <is>
          <t>Control</t>
        </is>
      </c>
      <c r="J1430" s="9" t="inlineStr">
        <is>
          <t>Control cable 600 V Type TC-ER, Cu #14 AWG, PVC jacket</t>
        </is>
      </c>
      <c r="K1430" s="9" t="inlineStr">
        <is>
          <t>CT|12/C|14</t>
        </is>
      </c>
      <c r="L1430" s="9" t="inlineStr">
        <is>
          <t>12/C</t>
        </is>
      </c>
      <c r="M1430" s="9" t="inlineStr">
        <is>
          <t>14</t>
        </is>
      </c>
      <c r="N1430" s="9" t="n">
        <v>1</v>
      </c>
      <c r="O1430" s="9" t="n">
        <v>1</v>
      </c>
      <c r="P1430" s="9" t="n"/>
      <c r="Q1430" s="9" t="n"/>
      <c r="R1430" s="9" t="n"/>
      <c r="S1430" s="9" t="inlineStr">
        <is>
          <t>Duct bank</t>
        </is>
      </c>
      <c r="T1430" s="10" t="n">
        <v>871</v>
      </c>
      <c r="U1430" s="10" t="n">
        <v>101</v>
      </c>
      <c r="V1430" s="10">
        <f>ROUNDUP((T1430+U1430+2*'Read Me'!$B$13)*(1+'Read Me'!$B$12),-1)</f>
        <v/>
      </c>
      <c r="W1430" s="10">
        <f>V1430*N1430*O1430</f>
        <v/>
      </c>
      <c r="X1430" s="9">
        <f>IF(LEFT(I1430,2)="MV",2*N1430*IF(L1430="1/C",O1430,1),0)</f>
        <v/>
      </c>
      <c r="Y1430" s="9">
        <f>IF(OR(LEFT(K1430,4)="LVAX",LEFT(K1430,6)="MV15AX",LEFT(K1430,4)="CTAX",LEFT(K1430,2)="W|"),2*N1430*O1430,0)</f>
        <v/>
      </c>
      <c r="Z1430" s="9" t="inlineStr"/>
    </row>
    <row r="1431">
      <c r="A1431" s="9" t="inlineStr">
        <is>
          <t>G-C-0012</t>
        </is>
      </c>
      <c r="B1431" s="9" t="inlineStr">
        <is>
          <t>G</t>
        </is>
      </c>
      <c r="C1431" s="9" t="inlineStr">
        <is>
          <t>Carbon capture</t>
        </is>
      </c>
      <c r="D1431" s="9" t="inlineStr">
        <is>
          <t>Control</t>
        </is>
      </c>
      <c r="E1431" s="9" t="inlineStr"/>
      <c r="F1431" s="9" t="inlineStr">
        <is>
          <t>CCS F&amp;G / control</t>
        </is>
      </c>
      <c r="G1431" s="9" t="inlineStr">
        <is>
          <t>BF-A</t>
        </is>
      </c>
      <c r="H1431" s="9" t="inlineStr">
        <is>
          <t>BF-A: booster fan (~16 MW)</t>
        </is>
      </c>
      <c r="I1431" s="9" t="inlineStr">
        <is>
          <t>Control</t>
        </is>
      </c>
      <c r="J1431" s="9" t="inlineStr">
        <is>
          <t>Control cable 600 V Type TC-ER, Cu #14 AWG, PVC jacket</t>
        </is>
      </c>
      <c r="K1431" s="9" t="inlineStr">
        <is>
          <t>CT|12/C|14</t>
        </is>
      </c>
      <c r="L1431" s="9" t="inlineStr">
        <is>
          <t>12/C</t>
        </is>
      </c>
      <c r="M1431" s="9" t="inlineStr">
        <is>
          <t>14</t>
        </is>
      </c>
      <c r="N1431" s="9" t="n">
        <v>1</v>
      </c>
      <c r="O1431" s="9" t="n">
        <v>1</v>
      </c>
      <c r="P1431" s="9" t="n"/>
      <c r="Q1431" s="9" t="n"/>
      <c r="R1431" s="9" t="n"/>
      <c r="S1431" s="9" t="inlineStr">
        <is>
          <t>Duct bank</t>
        </is>
      </c>
      <c r="T1431" s="10" t="n">
        <v>871</v>
      </c>
      <c r="U1431" s="10" t="n">
        <v>101</v>
      </c>
      <c r="V1431" s="10">
        <f>ROUNDUP((T1431+U1431+2*'Read Me'!$B$13)*(1+'Read Me'!$B$12),-1)</f>
        <v/>
      </c>
      <c r="W1431" s="10">
        <f>V1431*N1431*O1431</f>
        <v/>
      </c>
      <c r="X1431" s="9">
        <f>IF(LEFT(I1431,2)="MV",2*N1431*IF(L1431="1/C",O1431,1),0)</f>
        <v/>
      </c>
      <c r="Y1431" s="9">
        <f>IF(OR(LEFT(K1431,4)="LVAX",LEFT(K1431,6)="MV15AX",LEFT(K1431,4)="CTAX",LEFT(K1431,2)="W|"),2*N1431*O1431,0)</f>
        <v/>
      </c>
      <c r="Z1431" s="9" t="inlineStr"/>
    </row>
    <row r="1432">
      <c r="A1432" s="9" t="inlineStr">
        <is>
          <t>G-C-0013</t>
        </is>
      </c>
      <c r="B1432" s="9" t="inlineStr">
        <is>
          <t>G</t>
        </is>
      </c>
      <c r="C1432" s="9" t="inlineStr">
        <is>
          <t>Carbon capture</t>
        </is>
      </c>
      <c r="D1432" s="9" t="inlineStr">
        <is>
          <t>Control</t>
        </is>
      </c>
      <c r="E1432" s="9" t="inlineStr"/>
      <c r="F1432" s="9" t="inlineStr">
        <is>
          <t>CCS F&amp;G / control</t>
        </is>
      </c>
      <c r="G1432" s="9" t="inlineStr">
        <is>
          <t>BF-A</t>
        </is>
      </c>
      <c r="H1432" s="9" t="inlineStr">
        <is>
          <t>BF-A: booster fan (~16 MW)</t>
        </is>
      </c>
      <c r="I1432" s="9" t="inlineStr">
        <is>
          <t>Control</t>
        </is>
      </c>
      <c r="J1432" s="9" t="inlineStr">
        <is>
          <t>Control cable 600 V Type TC-ER, Cu #14 AWG, PVC jacket</t>
        </is>
      </c>
      <c r="K1432" s="9" t="inlineStr">
        <is>
          <t>CT|12/C|14</t>
        </is>
      </c>
      <c r="L1432" s="9" t="inlineStr">
        <is>
          <t>12/C</t>
        </is>
      </c>
      <c r="M1432" s="9" t="inlineStr">
        <is>
          <t>14</t>
        </is>
      </c>
      <c r="N1432" s="9" t="n">
        <v>1</v>
      </c>
      <c r="O1432" s="9" t="n">
        <v>1</v>
      </c>
      <c r="P1432" s="9" t="n"/>
      <c r="Q1432" s="9" t="n"/>
      <c r="R1432" s="9" t="n"/>
      <c r="S1432" s="9" t="inlineStr">
        <is>
          <t>Duct bank</t>
        </is>
      </c>
      <c r="T1432" s="10" t="n">
        <v>871</v>
      </c>
      <c r="U1432" s="10" t="n">
        <v>101</v>
      </c>
      <c r="V1432" s="10">
        <f>ROUNDUP((T1432+U1432+2*'Read Me'!$B$13)*(1+'Read Me'!$B$12),-1)</f>
        <v/>
      </c>
      <c r="W1432" s="10">
        <f>V1432*N1432*O1432</f>
        <v/>
      </c>
      <c r="X1432" s="9">
        <f>IF(LEFT(I1432,2)="MV",2*N1432*IF(L1432="1/C",O1432,1),0)</f>
        <v/>
      </c>
      <c r="Y1432" s="9">
        <f>IF(OR(LEFT(K1432,4)="LVAX",LEFT(K1432,6)="MV15AX",LEFT(K1432,4)="CTAX",LEFT(K1432,2)="W|"),2*N1432*O1432,0)</f>
        <v/>
      </c>
      <c r="Z1432" s="9" t="inlineStr"/>
    </row>
    <row r="1433">
      <c r="A1433" s="9" t="inlineStr">
        <is>
          <t>G-C-0014</t>
        </is>
      </c>
      <c r="B1433" s="9" t="inlineStr">
        <is>
          <t>G</t>
        </is>
      </c>
      <c r="C1433" s="9" t="inlineStr">
        <is>
          <t>Carbon capture</t>
        </is>
      </c>
      <c r="D1433" s="9" t="inlineStr">
        <is>
          <t>Control</t>
        </is>
      </c>
      <c r="E1433" s="9" t="inlineStr"/>
      <c r="F1433" s="9" t="inlineStr">
        <is>
          <t>CCS F&amp;G / control</t>
        </is>
      </c>
      <c r="G1433" s="9" t="inlineStr">
        <is>
          <t>BF-A</t>
        </is>
      </c>
      <c r="H1433" s="9" t="inlineStr">
        <is>
          <t>BF-A: booster fan (~16 MW)</t>
        </is>
      </c>
      <c r="I1433" s="9" t="inlineStr">
        <is>
          <t>Control</t>
        </is>
      </c>
      <c r="J1433" s="9" t="inlineStr">
        <is>
          <t>Control cable 600 V Type TC-ER, Cu #14 AWG, PVC jacket</t>
        </is>
      </c>
      <c r="K1433" s="9" t="inlineStr">
        <is>
          <t>CT|12/C|14</t>
        </is>
      </c>
      <c r="L1433" s="9" t="inlineStr">
        <is>
          <t>12/C</t>
        </is>
      </c>
      <c r="M1433" s="9" t="inlineStr">
        <is>
          <t>14</t>
        </is>
      </c>
      <c r="N1433" s="9" t="n">
        <v>1</v>
      </c>
      <c r="O1433" s="9" t="n">
        <v>1</v>
      </c>
      <c r="P1433" s="9" t="n"/>
      <c r="Q1433" s="9" t="n"/>
      <c r="R1433" s="9" t="n"/>
      <c r="S1433" s="9" t="inlineStr">
        <is>
          <t>Duct bank</t>
        </is>
      </c>
      <c r="T1433" s="10" t="n">
        <v>871</v>
      </c>
      <c r="U1433" s="10" t="n">
        <v>101</v>
      </c>
      <c r="V1433" s="10">
        <f>ROUNDUP((T1433+U1433+2*'Read Me'!$B$13)*(1+'Read Me'!$B$12),-1)</f>
        <v/>
      </c>
      <c r="W1433" s="10">
        <f>V1433*N1433*O1433</f>
        <v/>
      </c>
      <c r="X1433" s="9">
        <f>IF(LEFT(I1433,2)="MV",2*N1433*IF(L1433="1/C",O1433,1),0)</f>
        <v/>
      </c>
      <c r="Y1433" s="9">
        <f>IF(OR(LEFT(K1433,4)="LVAX",LEFT(K1433,6)="MV15AX",LEFT(K1433,4)="CTAX",LEFT(K1433,2)="W|"),2*N1433*O1433,0)</f>
        <v/>
      </c>
      <c r="Z1433" s="9" t="inlineStr"/>
    </row>
    <row r="1434">
      <c r="A1434" s="9" t="inlineStr">
        <is>
          <t>G-C-0015</t>
        </is>
      </c>
      <c r="B1434" s="9" t="inlineStr">
        <is>
          <t>G</t>
        </is>
      </c>
      <c r="C1434" s="9" t="inlineStr">
        <is>
          <t>Carbon capture</t>
        </is>
      </c>
      <c r="D1434" s="9" t="inlineStr">
        <is>
          <t>Control</t>
        </is>
      </c>
      <c r="E1434" s="9" t="inlineStr"/>
      <c r="F1434" s="9" t="inlineStr">
        <is>
          <t>CCS F&amp;G / control</t>
        </is>
      </c>
      <c r="G1434" s="9" t="inlineStr">
        <is>
          <t>BF-A</t>
        </is>
      </c>
      <c r="H1434" s="9" t="inlineStr">
        <is>
          <t>BF-A: booster fan (~16 MW)</t>
        </is>
      </c>
      <c r="I1434" s="9" t="inlineStr">
        <is>
          <t>Control</t>
        </is>
      </c>
      <c r="J1434" s="9" t="inlineStr">
        <is>
          <t>Control cable 600 V Type TC-ER, Cu #14 AWG, PVC jacket</t>
        </is>
      </c>
      <c r="K1434" s="9" t="inlineStr">
        <is>
          <t>CT|12/C|14</t>
        </is>
      </c>
      <c r="L1434" s="9" t="inlineStr">
        <is>
          <t>12/C</t>
        </is>
      </c>
      <c r="M1434" s="9" t="inlineStr">
        <is>
          <t>14</t>
        </is>
      </c>
      <c r="N1434" s="9" t="n">
        <v>1</v>
      </c>
      <c r="O1434" s="9" t="n">
        <v>1</v>
      </c>
      <c r="P1434" s="9" t="n"/>
      <c r="Q1434" s="9" t="n"/>
      <c r="R1434" s="9" t="n"/>
      <c r="S1434" s="9" t="inlineStr">
        <is>
          <t>Duct bank</t>
        </is>
      </c>
      <c r="T1434" s="10" t="n">
        <v>871</v>
      </c>
      <c r="U1434" s="10" t="n">
        <v>101</v>
      </c>
      <c r="V1434" s="10">
        <f>ROUNDUP((T1434+U1434+2*'Read Me'!$B$13)*(1+'Read Me'!$B$12),-1)</f>
        <v/>
      </c>
      <c r="W1434" s="10">
        <f>V1434*N1434*O1434</f>
        <v/>
      </c>
      <c r="X1434" s="9">
        <f>IF(LEFT(I1434,2)="MV",2*N1434*IF(L1434="1/C",O1434,1),0)</f>
        <v/>
      </c>
      <c r="Y1434" s="9">
        <f>IF(OR(LEFT(K1434,4)="LVAX",LEFT(K1434,6)="MV15AX",LEFT(K1434,4)="CTAX",LEFT(K1434,2)="W|"),2*N1434*O1434,0)</f>
        <v/>
      </c>
      <c r="Z1434" s="9" t="inlineStr"/>
    </row>
    <row r="1435">
      <c r="A1435" s="9" t="inlineStr">
        <is>
          <t>G-C-0016</t>
        </is>
      </c>
      <c r="B1435" s="9" t="inlineStr">
        <is>
          <t>G</t>
        </is>
      </c>
      <c r="C1435" s="9" t="inlineStr">
        <is>
          <t>Carbon capture</t>
        </is>
      </c>
      <c r="D1435" s="9" t="inlineStr">
        <is>
          <t>Control</t>
        </is>
      </c>
      <c r="E1435" s="9" t="inlineStr"/>
      <c r="F1435" s="9" t="inlineStr">
        <is>
          <t>CCS F&amp;G / control</t>
        </is>
      </c>
      <c r="G1435" s="9" t="inlineStr">
        <is>
          <t>BF-B</t>
        </is>
      </c>
      <c r="H1435" s="9" t="inlineStr">
        <is>
          <t>BF-B: booster fan (~16 MW)</t>
        </is>
      </c>
      <c r="I1435" s="9" t="inlineStr">
        <is>
          <t>Control</t>
        </is>
      </c>
      <c r="J1435" s="9" t="inlineStr">
        <is>
          <t>Control cable 600 V Type TC-ER, Cu #14 AWG, PVC jacket</t>
        </is>
      </c>
      <c r="K1435" s="9" t="inlineStr">
        <is>
          <t>CT|7/C|14</t>
        </is>
      </c>
      <c r="L1435" s="9" t="inlineStr">
        <is>
          <t>7/C</t>
        </is>
      </c>
      <c r="M1435" s="9" t="inlineStr">
        <is>
          <t>14</t>
        </is>
      </c>
      <c r="N1435" s="9" t="n">
        <v>1</v>
      </c>
      <c r="O1435" s="9" t="n">
        <v>1</v>
      </c>
      <c r="P1435" s="9" t="n"/>
      <c r="Q1435" s="9" t="n"/>
      <c r="R1435" s="9" t="n"/>
      <c r="S1435" s="9" t="inlineStr">
        <is>
          <t>Duct bank</t>
        </is>
      </c>
      <c r="T1435" s="10" t="n">
        <v>711</v>
      </c>
      <c r="U1435" s="10" t="n">
        <v>101</v>
      </c>
      <c r="V1435" s="10">
        <f>ROUNDUP((T1435+U1435+2*'Read Me'!$B$13)*(1+'Read Me'!$B$12),-1)</f>
        <v/>
      </c>
      <c r="W1435" s="10">
        <f>V1435*N1435*O1435</f>
        <v/>
      </c>
      <c r="X1435" s="9">
        <f>IF(LEFT(I1435,2)="MV",2*N1435*IF(L1435="1/C",O1435,1),0)</f>
        <v/>
      </c>
      <c r="Y1435" s="9">
        <f>IF(OR(LEFT(K1435,4)="LVAX",LEFT(K1435,6)="MV15AX",LEFT(K1435,4)="CTAX",LEFT(K1435,2)="W|"),2*N1435*O1435,0)</f>
        <v/>
      </c>
      <c r="Z1435" s="9" t="inlineStr"/>
    </row>
    <row r="1436">
      <c r="A1436" s="9" t="inlineStr">
        <is>
          <t>G-C-0017</t>
        </is>
      </c>
      <c r="B1436" s="9" t="inlineStr">
        <is>
          <t>G</t>
        </is>
      </c>
      <c r="C1436" s="9" t="inlineStr">
        <is>
          <t>Carbon capture</t>
        </is>
      </c>
      <c r="D1436" s="9" t="inlineStr">
        <is>
          <t>Control</t>
        </is>
      </c>
      <c r="E1436" s="9" t="inlineStr"/>
      <c r="F1436" s="9" t="inlineStr">
        <is>
          <t>CCS F&amp;G / control</t>
        </is>
      </c>
      <c r="G1436" s="9" t="inlineStr">
        <is>
          <t>BF-B</t>
        </is>
      </c>
      <c r="H1436" s="9" t="inlineStr">
        <is>
          <t>BF-B: booster fan (~16 MW)</t>
        </is>
      </c>
      <c r="I1436" s="9" t="inlineStr">
        <is>
          <t>Control</t>
        </is>
      </c>
      <c r="J1436" s="9" t="inlineStr">
        <is>
          <t>Control cable 600 V Type TC-ER, Cu #14 AWG, PVC jacket</t>
        </is>
      </c>
      <c r="K1436" s="9" t="inlineStr">
        <is>
          <t>CT|7/C|14</t>
        </is>
      </c>
      <c r="L1436" s="9" t="inlineStr">
        <is>
          <t>7/C</t>
        </is>
      </c>
      <c r="M1436" s="9" t="inlineStr">
        <is>
          <t>14</t>
        </is>
      </c>
      <c r="N1436" s="9" t="n">
        <v>1</v>
      </c>
      <c r="O1436" s="9" t="n">
        <v>1</v>
      </c>
      <c r="P1436" s="9" t="n"/>
      <c r="Q1436" s="9" t="n"/>
      <c r="R1436" s="9" t="n"/>
      <c r="S1436" s="9" t="inlineStr">
        <is>
          <t>Duct bank</t>
        </is>
      </c>
      <c r="T1436" s="10" t="n">
        <v>711</v>
      </c>
      <c r="U1436" s="10" t="n">
        <v>101</v>
      </c>
      <c r="V1436" s="10">
        <f>ROUNDUP((T1436+U1436+2*'Read Me'!$B$13)*(1+'Read Me'!$B$12),-1)</f>
        <v/>
      </c>
      <c r="W1436" s="10">
        <f>V1436*N1436*O1436</f>
        <v/>
      </c>
      <c r="X1436" s="9">
        <f>IF(LEFT(I1436,2)="MV",2*N1436*IF(L1436="1/C",O1436,1),0)</f>
        <v/>
      </c>
      <c r="Y1436" s="9">
        <f>IF(OR(LEFT(K1436,4)="LVAX",LEFT(K1436,6)="MV15AX",LEFT(K1436,4)="CTAX",LEFT(K1436,2)="W|"),2*N1436*O1436,0)</f>
        <v/>
      </c>
      <c r="Z1436" s="9" t="inlineStr"/>
    </row>
    <row r="1437">
      <c r="A1437" s="9" t="inlineStr">
        <is>
          <t>G-C-0018</t>
        </is>
      </c>
      <c r="B1437" s="9" t="inlineStr">
        <is>
          <t>G</t>
        </is>
      </c>
      <c r="C1437" s="9" t="inlineStr">
        <is>
          <t>Carbon capture</t>
        </is>
      </c>
      <c r="D1437" s="9" t="inlineStr">
        <is>
          <t>Control</t>
        </is>
      </c>
      <c r="E1437" s="9" t="inlineStr"/>
      <c r="F1437" s="9" t="inlineStr">
        <is>
          <t>CCS F&amp;G / control</t>
        </is>
      </c>
      <c r="G1437" s="9" t="inlineStr">
        <is>
          <t>BF-B</t>
        </is>
      </c>
      <c r="H1437" s="9" t="inlineStr">
        <is>
          <t>BF-B: booster fan (~16 MW)</t>
        </is>
      </c>
      <c r="I1437" s="9" t="inlineStr">
        <is>
          <t>Control</t>
        </is>
      </c>
      <c r="J1437" s="9" t="inlineStr">
        <is>
          <t>Control cable 600 V Type TC-ER, Cu #14 AWG, PVC jacket</t>
        </is>
      </c>
      <c r="K1437" s="9" t="inlineStr">
        <is>
          <t>CT|12/C|14</t>
        </is>
      </c>
      <c r="L1437" s="9" t="inlineStr">
        <is>
          <t>12/C</t>
        </is>
      </c>
      <c r="M1437" s="9" t="inlineStr">
        <is>
          <t>14</t>
        </is>
      </c>
      <c r="N1437" s="9" t="n">
        <v>1</v>
      </c>
      <c r="O1437" s="9" t="n">
        <v>1</v>
      </c>
      <c r="P1437" s="9" t="n"/>
      <c r="Q1437" s="9" t="n"/>
      <c r="R1437" s="9" t="n"/>
      <c r="S1437" s="9" t="inlineStr">
        <is>
          <t>Duct bank</t>
        </is>
      </c>
      <c r="T1437" s="10" t="n">
        <v>711</v>
      </c>
      <c r="U1437" s="10" t="n">
        <v>101</v>
      </c>
      <c r="V1437" s="10">
        <f>ROUNDUP((T1437+U1437+2*'Read Me'!$B$13)*(1+'Read Me'!$B$12),-1)</f>
        <v/>
      </c>
      <c r="W1437" s="10">
        <f>V1437*N1437*O1437</f>
        <v/>
      </c>
      <c r="X1437" s="9">
        <f>IF(LEFT(I1437,2)="MV",2*N1437*IF(L1437="1/C",O1437,1),0)</f>
        <v/>
      </c>
      <c r="Y1437" s="9">
        <f>IF(OR(LEFT(K1437,4)="LVAX",LEFT(K1437,6)="MV15AX",LEFT(K1437,4)="CTAX",LEFT(K1437,2)="W|"),2*N1437*O1437,0)</f>
        <v/>
      </c>
      <c r="Z1437" s="9" t="inlineStr"/>
    </row>
    <row r="1438">
      <c r="A1438" s="9" t="inlineStr">
        <is>
          <t>G-C-0019</t>
        </is>
      </c>
      <c r="B1438" s="9" t="inlineStr">
        <is>
          <t>G</t>
        </is>
      </c>
      <c r="C1438" s="9" t="inlineStr">
        <is>
          <t>Carbon capture</t>
        </is>
      </c>
      <c r="D1438" s="9" t="inlineStr">
        <is>
          <t>Control</t>
        </is>
      </c>
      <c r="E1438" s="9" t="inlineStr"/>
      <c r="F1438" s="9" t="inlineStr">
        <is>
          <t>CCS F&amp;G / control</t>
        </is>
      </c>
      <c r="G1438" s="9" t="inlineStr">
        <is>
          <t>BF-B</t>
        </is>
      </c>
      <c r="H1438" s="9" t="inlineStr">
        <is>
          <t>BF-B: booster fan (~16 MW)</t>
        </is>
      </c>
      <c r="I1438" s="9" t="inlineStr">
        <is>
          <t>Control</t>
        </is>
      </c>
      <c r="J1438" s="9" t="inlineStr">
        <is>
          <t>Control cable 600 V Type TC-ER, Cu #14 AWG, PVC jacket</t>
        </is>
      </c>
      <c r="K1438" s="9" t="inlineStr">
        <is>
          <t>CT|12/C|14</t>
        </is>
      </c>
      <c r="L1438" s="9" t="inlineStr">
        <is>
          <t>12/C</t>
        </is>
      </c>
      <c r="M1438" s="9" t="inlineStr">
        <is>
          <t>14</t>
        </is>
      </c>
      <c r="N1438" s="9" t="n">
        <v>1</v>
      </c>
      <c r="O1438" s="9" t="n">
        <v>1</v>
      </c>
      <c r="P1438" s="9" t="n"/>
      <c r="Q1438" s="9" t="n"/>
      <c r="R1438" s="9" t="n"/>
      <c r="S1438" s="9" t="inlineStr">
        <is>
          <t>Duct bank</t>
        </is>
      </c>
      <c r="T1438" s="10" t="n">
        <v>711</v>
      </c>
      <c r="U1438" s="10" t="n">
        <v>101</v>
      </c>
      <c r="V1438" s="10">
        <f>ROUNDUP((T1438+U1438+2*'Read Me'!$B$13)*(1+'Read Me'!$B$12),-1)</f>
        <v/>
      </c>
      <c r="W1438" s="10">
        <f>V1438*N1438*O1438</f>
        <v/>
      </c>
      <c r="X1438" s="9">
        <f>IF(LEFT(I1438,2)="MV",2*N1438*IF(L1438="1/C",O1438,1),0)</f>
        <v/>
      </c>
      <c r="Y1438" s="9">
        <f>IF(OR(LEFT(K1438,4)="LVAX",LEFT(K1438,6)="MV15AX",LEFT(K1438,4)="CTAX",LEFT(K1438,2)="W|"),2*N1438*O1438,0)</f>
        <v/>
      </c>
      <c r="Z1438" s="9" t="inlineStr"/>
    </row>
    <row r="1439">
      <c r="A1439" s="9" t="inlineStr">
        <is>
          <t>G-C-0020</t>
        </is>
      </c>
      <c r="B1439" s="9" t="inlineStr">
        <is>
          <t>G</t>
        </is>
      </c>
      <c r="C1439" s="9" t="inlineStr">
        <is>
          <t>Carbon capture</t>
        </is>
      </c>
      <c r="D1439" s="9" t="inlineStr">
        <is>
          <t>Control</t>
        </is>
      </c>
      <c r="E1439" s="9" t="inlineStr"/>
      <c r="F1439" s="9" t="inlineStr">
        <is>
          <t>CCS F&amp;G / control</t>
        </is>
      </c>
      <c r="G1439" s="9" t="inlineStr">
        <is>
          <t>BF-B</t>
        </is>
      </c>
      <c r="H1439" s="9" t="inlineStr">
        <is>
          <t>BF-B: booster fan (~16 MW)</t>
        </is>
      </c>
      <c r="I1439" s="9" t="inlineStr">
        <is>
          <t>Control</t>
        </is>
      </c>
      <c r="J1439" s="9" t="inlineStr">
        <is>
          <t>Control cable 600 V Type TC-ER, Cu #14 AWG, PVC jacket</t>
        </is>
      </c>
      <c r="K1439" s="9" t="inlineStr">
        <is>
          <t>CT|12/C|14</t>
        </is>
      </c>
      <c r="L1439" s="9" t="inlineStr">
        <is>
          <t>12/C</t>
        </is>
      </c>
      <c r="M1439" s="9" t="inlineStr">
        <is>
          <t>14</t>
        </is>
      </c>
      <c r="N1439" s="9" t="n">
        <v>1</v>
      </c>
      <c r="O1439" s="9" t="n">
        <v>1</v>
      </c>
      <c r="P1439" s="9" t="n"/>
      <c r="Q1439" s="9" t="n"/>
      <c r="R1439" s="9" t="n"/>
      <c r="S1439" s="9" t="inlineStr">
        <is>
          <t>Duct bank</t>
        </is>
      </c>
      <c r="T1439" s="10" t="n">
        <v>711</v>
      </c>
      <c r="U1439" s="10" t="n">
        <v>101</v>
      </c>
      <c r="V1439" s="10">
        <f>ROUNDUP((T1439+U1439+2*'Read Me'!$B$13)*(1+'Read Me'!$B$12),-1)</f>
        <v/>
      </c>
      <c r="W1439" s="10">
        <f>V1439*N1439*O1439</f>
        <v/>
      </c>
      <c r="X1439" s="9">
        <f>IF(LEFT(I1439,2)="MV",2*N1439*IF(L1439="1/C",O1439,1),0)</f>
        <v/>
      </c>
      <c r="Y1439" s="9">
        <f>IF(OR(LEFT(K1439,4)="LVAX",LEFT(K1439,6)="MV15AX",LEFT(K1439,4)="CTAX",LEFT(K1439,2)="W|"),2*N1439*O1439,0)</f>
        <v/>
      </c>
      <c r="Z1439" s="9" t="inlineStr"/>
    </row>
    <row r="1440">
      <c r="A1440" s="9" t="inlineStr">
        <is>
          <t>G-C-0021</t>
        </is>
      </c>
      <c r="B1440" s="9" t="inlineStr">
        <is>
          <t>G</t>
        </is>
      </c>
      <c r="C1440" s="9" t="inlineStr">
        <is>
          <t>Carbon capture</t>
        </is>
      </c>
      <c r="D1440" s="9" t="inlineStr">
        <is>
          <t>Control</t>
        </is>
      </c>
      <c r="E1440" s="9" t="inlineStr"/>
      <c r="F1440" s="9" t="inlineStr">
        <is>
          <t>CCS F&amp;G / control</t>
        </is>
      </c>
      <c r="G1440" s="9" t="inlineStr">
        <is>
          <t>BF-B</t>
        </is>
      </c>
      <c r="H1440" s="9" t="inlineStr">
        <is>
          <t>BF-B: booster fan (~16 MW)</t>
        </is>
      </c>
      <c r="I1440" s="9" t="inlineStr">
        <is>
          <t>Control</t>
        </is>
      </c>
      <c r="J1440" s="9" t="inlineStr">
        <is>
          <t>Control cable 600 V Type TC-ER, Cu #14 AWG, PVC jacket</t>
        </is>
      </c>
      <c r="K1440" s="9" t="inlineStr">
        <is>
          <t>CT|12/C|14</t>
        </is>
      </c>
      <c r="L1440" s="9" t="inlineStr">
        <is>
          <t>12/C</t>
        </is>
      </c>
      <c r="M1440" s="9" t="inlineStr">
        <is>
          <t>14</t>
        </is>
      </c>
      <c r="N1440" s="9" t="n">
        <v>1</v>
      </c>
      <c r="O1440" s="9" t="n">
        <v>1</v>
      </c>
      <c r="P1440" s="9" t="n"/>
      <c r="Q1440" s="9" t="n"/>
      <c r="R1440" s="9" t="n"/>
      <c r="S1440" s="9" t="inlineStr">
        <is>
          <t>Duct bank</t>
        </is>
      </c>
      <c r="T1440" s="10" t="n">
        <v>711</v>
      </c>
      <c r="U1440" s="10" t="n">
        <v>101</v>
      </c>
      <c r="V1440" s="10">
        <f>ROUNDUP((T1440+U1440+2*'Read Me'!$B$13)*(1+'Read Me'!$B$12),-1)</f>
        <v/>
      </c>
      <c r="W1440" s="10">
        <f>V1440*N1440*O1440</f>
        <v/>
      </c>
      <c r="X1440" s="9">
        <f>IF(LEFT(I1440,2)="MV",2*N1440*IF(L1440="1/C",O1440,1),0)</f>
        <v/>
      </c>
      <c r="Y1440" s="9">
        <f>IF(OR(LEFT(K1440,4)="LVAX",LEFT(K1440,6)="MV15AX",LEFT(K1440,4)="CTAX",LEFT(K1440,2)="W|"),2*N1440*O1440,0)</f>
        <v/>
      </c>
      <c r="Z1440" s="9" t="inlineStr"/>
    </row>
    <row r="1441">
      <c r="A1441" s="9" t="inlineStr">
        <is>
          <t>G-C-0022</t>
        </is>
      </c>
      <c r="B1441" s="9" t="inlineStr">
        <is>
          <t>G</t>
        </is>
      </c>
      <c r="C1441" s="9" t="inlineStr">
        <is>
          <t>Carbon capture</t>
        </is>
      </c>
      <c r="D1441" s="9" t="inlineStr">
        <is>
          <t>Control</t>
        </is>
      </c>
      <c r="E1441" s="9" t="inlineStr"/>
      <c r="F1441" s="9" t="inlineStr">
        <is>
          <t>CCS F&amp;G / control</t>
        </is>
      </c>
      <c r="G1441" s="9" t="inlineStr">
        <is>
          <t>BF-B</t>
        </is>
      </c>
      <c r="H1441" s="9" t="inlineStr">
        <is>
          <t>BF-B: booster fan (~16 MW)</t>
        </is>
      </c>
      <c r="I1441" s="9" t="inlineStr">
        <is>
          <t>Control</t>
        </is>
      </c>
      <c r="J1441" s="9" t="inlineStr">
        <is>
          <t>Control cable 600 V Type TC-ER, Cu #14 AWG, PVC jacket</t>
        </is>
      </c>
      <c r="K1441" s="9" t="inlineStr">
        <is>
          <t>CT|12/C|14</t>
        </is>
      </c>
      <c r="L1441" s="9" t="inlineStr">
        <is>
          <t>12/C</t>
        </is>
      </c>
      <c r="M1441" s="9" t="inlineStr">
        <is>
          <t>14</t>
        </is>
      </c>
      <c r="N1441" s="9" t="n">
        <v>1</v>
      </c>
      <c r="O1441" s="9" t="n">
        <v>1</v>
      </c>
      <c r="P1441" s="9" t="n"/>
      <c r="Q1441" s="9" t="n"/>
      <c r="R1441" s="9" t="n"/>
      <c r="S1441" s="9" t="inlineStr">
        <is>
          <t>Duct bank</t>
        </is>
      </c>
      <c r="T1441" s="10" t="n">
        <v>711</v>
      </c>
      <c r="U1441" s="10" t="n">
        <v>101</v>
      </c>
      <c r="V1441" s="10">
        <f>ROUNDUP((T1441+U1441+2*'Read Me'!$B$13)*(1+'Read Me'!$B$12),-1)</f>
        <v/>
      </c>
      <c r="W1441" s="10">
        <f>V1441*N1441*O1441</f>
        <v/>
      </c>
      <c r="X1441" s="9">
        <f>IF(LEFT(I1441,2)="MV",2*N1441*IF(L1441="1/C",O1441,1),0)</f>
        <v/>
      </c>
      <c r="Y1441" s="9">
        <f>IF(OR(LEFT(K1441,4)="LVAX",LEFT(K1441,6)="MV15AX",LEFT(K1441,4)="CTAX",LEFT(K1441,2)="W|"),2*N1441*O1441,0)</f>
        <v/>
      </c>
      <c r="Z1441" s="9" t="inlineStr"/>
    </row>
    <row r="1442">
      <c r="A1442" s="9" t="inlineStr">
        <is>
          <t>G-C-0023</t>
        </is>
      </c>
      <c r="B1442" s="9" t="inlineStr">
        <is>
          <t>G</t>
        </is>
      </c>
      <c r="C1442" s="9" t="inlineStr">
        <is>
          <t>Carbon capture</t>
        </is>
      </c>
      <c r="D1442" s="9" t="inlineStr">
        <is>
          <t>Control</t>
        </is>
      </c>
      <c r="E1442" s="9" t="inlineStr"/>
      <c r="F1442" s="9" t="inlineStr">
        <is>
          <t>CCS F&amp;G / control</t>
        </is>
      </c>
      <c r="G1442" s="9" t="inlineStr">
        <is>
          <t>BF-B</t>
        </is>
      </c>
      <c r="H1442" s="9" t="inlineStr">
        <is>
          <t>BF-B: booster fan (~16 MW)</t>
        </is>
      </c>
      <c r="I1442" s="9" t="inlineStr">
        <is>
          <t>Control</t>
        </is>
      </c>
      <c r="J1442" s="9" t="inlineStr">
        <is>
          <t>Control cable 600 V Type TC-ER, Cu #14 AWG, PVC jacket</t>
        </is>
      </c>
      <c r="K1442" s="9" t="inlineStr">
        <is>
          <t>CT|12/C|14</t>
        </is>
      </c>
      <c r="L1442" s="9" t="inlineStr">
        <is>
          <t>12/C</t>
        </is>
      </c>
      <c r="M1442" s="9" t="inlineStr">
        <is>
          <t>14</t>
        </is>
      </c>
      <c r="N1442" s="9" t="n">
        <v>1</v>
      </c>
      <c r="O1442" s="9" t="n">
        <v>1</v>
      </c>
      <c r="P1442" s="9" t="n"/>
      <c r="Q1442" s="9" t="n"/>
      <c r="R1442" s="9" t="n"/>
      <c r="S1442" s="9" t="inlineStr">
        <is>
          <t>Duct bank</t>
        </is>
      </c>
      <c r="T1442" s="10" t="n">
        <v>711</v>
      </c>
      <c r="U1442" s="10" t="n">
        <v>101</v>
      </c>
      <c r="V1442" s="10">
        <f>ROUNDUP((T1442+U1442+2*'Read Me'!$B$13)*(1+'Read Me'!$B$12),-1)</f>
        <v/>
      </c>
      <c r="W1442" s="10">
        <f>V1442*N1442*O1442</f>
        <v/>
      </c>
      <c r="X1442" s="9">
        <f>IF(LEFT(I1442,2)="MV",2*N1442*IF(L1442="1/C",O1442,1),0)</f>
        <v/>
      </c>
      <c r="Y1442" s="9">
        <f>IF(OR(LEFT(K1442,4)="LVAX",LEFT(K1442,6)="MV15AX",LEFT(K1442,4)="CTAX",LEFT(K1442,2)="W|"),2*N1442*O1442,0)</f>
        <v/>
      </c>
      <c r="Z1442" s="9" t="inlineStr"/>
    </row>
    <row r="1443">
      <c r="A1443" s="9" t="inlineStr">
        <is>
          <t>G-C-0024</t>
        </is>
      </c>
      <c r="B1443" s="9" t="inlineStr">
        <is>
          <t>G</t>
        </is>
      </c>
      <c r="C1443" s="9" t="inlineStr">
        <is>
          <t>Carbon capture</t>
        </is>
      </c>
      <c r="D1443" s="9" t="inlineStr">
        <is>
          <t>Control</t>
        </is>
      </c>
      <c r="E1443" s="9" t="inlineStr"/>
      <c r="F1443" s="9" t="inlineStr">
        <is>
          <t>CCS F&amp;G / control</t>
        </is>
      </c>
      <c r="G1443" s="9" t="inlineStr">
        <is>
          <t>BF-C</t>
        </is>
      </c>
      <c r="H1443" s="9" t="inlineStr">
        <is>
          <t>BF-C: booster fan (~16 MW)</t>
        </is>
      </c>
      <c r="I1443" s="9" t="inlineStr">
        <is>
          <t>Control</t>
        </is>
      </c>
      <c r="J1443" s="9" t="inlineStr">
        <is>
          <t>Control cable 600 V Type TC-ER, Cu #14 AWG, PVC jacket</t>
        </is>
      </c>
      <c r="K1443" s="9" t="inlineStr">
        <is>
          <t>CT|7/C|14</t>
        </is>
      </c>
      <c r="L1443" s="9" t="inlineStr">
        <is>
          <t>7/C</t>
        </is>
      </c>
      <c r="M1443" s="9" t="inlineStr">
        <is>
          <t>14</t>
        </is>
      </c>
      <c r="N1443" s="9" t="n">
        <v>1</v>
      </c>
      <c r="O1443" s="9" t="n">
        <v>1</v>
      </c>
      <c r="P1443" s="9" t="n"/>
      <c r="Q1443" s="9" t="n"/>
      <c r="R1443" s="9" t="n"/>
      <c r="S1443" s="9" t="inlineStr">
        <is>
          <t>Duct bank</t>
        </is>
      </c>
      <c r="T1443" s="10" t="n">
        <v>419</v>
      </c>
      <c r="U1443" s="10" t="n">
        <v>189</v>
      </c>
      <c r="V1443" s="10">
        <f>ROUNDUP((T1443+U1443+2*'Read Me'!$B$13)*(1+'Read Me'!$B$12),-1)</f>
        <v/>
      </c>
      <c r="W1443" s="10">
        <f>V1443*N1443*O1443</f>
        <v/>
      </c>
      <c r="X1443" s="9">
        <f>IF(LEFT(I1443,2)="MV",2*N1443*IF(L1443="1/C",O1443,1),0)</f>
        <v/>
      </c>
      <c r="Y1443" s="9">
        <f>IF(OR(LEFT(K1443,4)="LVAX",LEFT(K1443,6)="MV15AX",LEFT(K1443,4)="CTAX",LEFT(K1443,2)="W|"),2*N1443*O1443,0)</f>
        <v/>
      </c>
      <c r="Z1443" s="9" t="inlineStr"/>
    </row>
    <row r="1444">
      <c r="A1444" s="9" t="inlineStr">
        <is>
          <t>G-C-0025</t>
        </is>
      </c>
      <c r="B1444" s="9" t="inlineStr">
        <is>
          <t>G</t>
        </is>
      </c>
      <c r="C1444" s="9" t="inlineStr">
        <is>
          <t>Carbon capture</t>
        </is>
      </c>
      <c r="D1444" s="9" t="inlineStr">
        <is>
          <t>Control</t>
        </is>
      </c>
      <c r="E1444" s="9" t="inlineStr"/>
      <c r="F1444" s="9" t="inlineStr">
        <is>
          <t>CCS F&amp;G / control</t>
        </is>
      </c>
      <c r="G1444" s="9" t="inlineStr">
        <is>
          <t>BF-C</t>
        </is>
      </c>
      <c r="H1444" s="9" t="inlineStr">
        <is>
          <t>BF-C: booster fan (~16 MW)</t>
        </is>
      </c>
      <c r="I1444" s="9" t="inlineStr">
        <is>
          <t>Control</t>
        </is>
      </c>
      <c r="J1444" s="9" t="inlineStr">
        <is>
          <t>Control cable 600 V Type TC-ER, Cu #14 AWG, PVC jacket</t>
        </is>
      </c>
      <c r="K1444" s="9" t="inlineStr">
        <is>
          <t>CT|7/C|14</t>
        </is>
      </c>
      <c r="L1444" s="9" t="inlineStr">
        <is>
          <t>7/C</t>
        </is>
      </c>
      <c r="M1444" s="9" t="inlineStr">
        <is>
          <t>14</t>
        </is>
      </c>
      <c r="N1444" s="9" t="n">
        <v>1</v>
      </c>
      <c r="O1444" s="9" t="n">
        <v>1</v>
      </c>
      <c r="P1444" s="9" t="n"/>
      <c r="Q1444" s="9" t="n"/>
      <c r="R1444" s="9" t="n"/>
      <c r="S1444" s="9" t="inlineStr">
        <is>
          <t>Duct bank</t>
        </is>
      </c>
      <c r="T1444" s="10" t="n">
        <v>419</v>
      </c>
      <c r="U1444" s="10" t="n">
        <v>189</v>
      </c>
      <c r="V1444" s="10">
        <f>ROUNDUP((T1444+U1444+2*'Read Me'!$B$13)*(1+'Read Me'!$B$12),-1)</f>
        <v/>
      </c>
      <c r="W1444" s="10">
        <f>V1444*N1444*O1444</f>
        <v/>
      </c>
      <c r="X1444" s="9">
        <f>IF(LEFT(I1444,2)="MV",2*N1444*IF(L1444="1/C",O1444,1),0)</f>
        <v/>
      </c>
      <c r="Y1444" s="9">
        <f>IF(OR(LEFT(K1444,4)="LVAX",LEFT(K1444,6)="MV15AX",LEFT(K1444,4)="CTAX",LEFT(K1444,2)="W|"),2*N1444*O1444,0)</f>
        <v/>
      </c>
      <c r="Z1444" s="9" t="inlineStr"/>
    </row>
    <row r="1445">
      <c r="A1445" s="9" t="inlineStr">
        <is>
          <t>G-C-0026</t>
        </is>
      </c>
      <c r="B1445" s="9" t="inlineStr">
        <is>
          <t>G</t>
        </is>
      </c>
      <c r="C1445" s="9" t="inlineStr">
        <is>
          <t>Carbon capture</t>
        </is>
      </c>
      <c r="D1445" s="9" t="inlineStr">
        <is>
          <t>Control</t>
        </is>
      </c>
      <c r="E1445" s="9" t="inlineStr"/>
      <c r="F1445" s="9" t="inlineStr">
        <is>
          <t>CCS F&amp;G / control</t>
        </is>
      </c>
      <c r="G1445" s="9" t="inlineStr">
        <is>
          <t>BF-C</t>
        </is>
      </c>
      <c r="H1445" s="9" t="inlineStr">
        <is>
          <t>BF-C: booster fan (~16 MW)</t>
        </is>
      </c>
      <c r="I1445" s="9" t="inlineStr">
        <is>
          <t>Control</t>
        </is>
      </c>
      <c r="J1445" s="9" t="inlineStr">
        <is>
          <t>Control cable 600 V Type TC-ER, Cu #14 AWG, PVC jacket</t>
        </is>
      </c>
      <c r="K1445" s="9" t="inlineStr">
        <is>
          <t>CT|12/C|14</t>
        </is>
      </c>
      <c r="L1445" s="9" t="inlineStr">
        <is>
          <t>12/C</t>
        </is>
      </c>
      <c r="M1445" s="9" t="inlineStr">
        <is>
          <t>14</t>
        </is>
      </c>
      <c r="N1445" s="9" t="n">
        <v>1</v>
      </c>
      <c r="O1445" s="9" t="n">
        <v>1</v>
      </c>
      <c r="P1445" s="9" t="n"/>
      <c r="Q1445" s="9" t="n"/>
      <c r="R1445" s="9" t="n"/>
      <c r="S1445" s="9" t="inlineStr">
        <is>
          <t>Duct bank</t>
        </is>
      </c>
      <c r="T1445" s="10" t="n">
        <v>419</v>
      </c>
      <c r="U1445" s="10" t="n">
        <v>189</v>
      </c>
      <c r="V1445" s="10">
        <f>ROUNDUP((T1445+U1445+2*'Read Me'!$B$13)*(1+'Read Me'!$B$12),-1)</f>
        <v/>
      </c>
      <c r="W1445" s="10">
        <f>V1445*N1445*O1445</f>
        <v/>
      </c>
      <c r="X1445" s="9">
        <f>IF(LEFT(I1445,2)="MV",2*N1445*IF(L1445="1/C",O1445,1),0)</f>
        <v/>
      </c>
      <c r="Y1445" s="9">
        <f>IF(OR(LEFT(K1445,4)="LVAX",LEFT(K1445,6)="MV15AX",LEFT(K1445,4)="CTAX",LEFT(K1445,2)="W|"),2*N1445*O1445,0)</f>
        <v/>
      </c>
      <c r="Z1445" s="9" t="inlineStr"/>
    </row>
    <row r="1446">
      <c r="A1446" s="9" t="inlineStr">
        <is>
          <t>G-C-0027</t>
        </is>
      </c>
      <c r="B1446" s="9" t="inlineStr">
        <is>
          <t>G</t>
        </is>
      </c>
      <c r="C1446" s="9" t="inlineStr">
        <is>
          <t>Carbon capture</t>
        </is>
      </c>
      <c r="D1446" s="9" t="inlineStr">
        <is>
          <t>Control</t>
        </is>
      </c>
      <c r="E1446" s="9" t="inlineStr"/>
      <c r="F1446" s="9" t="inlineStr">
        <is>
          <t>CCS F&amp;G / control</t>
        </is>
      </c>
      <c r="G1446" s="9" t="inlineStr">
        <is>
          <t>BF-C</t>
        </is>
      </c>
      <c r="H1446" s="9" t="inlineStr">
        <is>
          <t>BF-C: booster fan (~16 MW)</t>
        </is>
      </c>
      <c r="I1446" s="9" t="inlineStr">
        <is>
          <t>Control</t>
        </is>
      </c>
      <c r="J1446" s="9" t="inlineStr">
        <is>
          <t>Control cable 600 V Type TC-ER, Cu #14 AWG, PVC jacket</t>
        </is>
      </c>
      <c r="K1446" s="9" t="inlineStr">
        <is>
          <t>CT|12/C|14</t>
        </is>
      </c>
      <c r="L1446" s="9" t="inlineStr">
        <is>
          <t>12/C</t>
        </is>
      </c>
      <c r="M1446" s="9" t="inlineStr">
        <is>
          <t>14</t>
        </is>
      </c>
      <c r="N1446" s="9" t="n">
        <v>1</v>
      </c>
      <c r="O1446" s="9" t="n">
        <v>1</v>
      </c>
      <c r="P1446" s="9" t="n"/>
      <c r="Q1446" s="9" t="n"/>
      <c r="R1446" s="9" t="n"/>
      <c r="S1446" s="9" t="inlineStr">
        <is>
          <t>Duct bank</t>
        </is>
      </c>
      <c r="T1446" s="10" t="n">
        <v>419</v>
      </c>
      <c r="U1446" s="10" t="n">
        <v>189</v>
      </c>
      <c r="V1446" s="10">
        <f>ROUNDUP((T1446+U1446+2*'Read Me'!$B$13)*(1+'Read Me'!$B$12),-1)</f>
        <v/>
      </c>
      <c r="W1446" s="10">
        <f>V1446*N1446*O1446</f>
        <v/>
      </c>
      <c r="X1446" s="9">
        <f>IF(LEFT(I1446,2)="MV",2*N1446*IF(L1446="1/C",O1446,1),0)</f>
        <v/>
      </c>
      <c r="Y1446" s="9">
        <f>IF(OR(LEFT(K1446,4)="LVAX",LEFT(K1446,6)="MV15AX",LEFT(K1446,4)="CTAX",LEFT(K1446,2)="W|"),2*N1446*O1446,0)</f>
        <v/>
      </c>
      <c r="Z1446" s="9" t="inlineStr"/>
    </row>
    <row r="1447">
      <c r="A1447" s="9" t="inlineStr">
        <is>
          <t>G-C-0028</t>
        </is>
      </c>
      <c r="B1447" s="9" t="inlineStr">
        <is>
          <t>G</t>
        </is>
      </c>
      <c r="C1447" s="9" t="inlineStr">
        <is>
          <t>Carbon capture</t>
        </is>
      </c>
      <c r="D1447" s="9" t="inlineStr">
        <is>
          <t>Control</t>
        </is>
      </c>
      <c r="E1447" s="9" t="inlineStr"/>
      <c r="F1447" s="9" t="inlineStr">
        <is>
          <t>CCS F&amp;G / control</t>
        </is>
      </c>
      <c r="G1447" s="9" t="inlineStr">
        <is>
          <t>BF-C</t>
        </is>
      </c>
      <c r="H1447" s="9" t="inlineStr">
        <is>
          <t>BF-C: booster fan (~16 MW)</t>
        </is>
      </c>
      <c r="I1447" s="9" t="inlineStr">
        <is>
          <t>Control</t>
        </is>
      </c>
      <c r="J1447" s="9" t="inlineStr">
        <is>
          <t>Control cable 600 V Type TC-ER, Cu #14 AWG, PVC jacket</t>
        </is>
      </c>
      <c r="K1447" s="9" t="inlineStr">
        <is>
          <t>CT|12/C|14</t>
        </is>
      </c>
      <c r="L1447" s="9" t="inlineStr">
        <is>
          <t>12/C</t>
        </is>
      </c>
      <c r="M1447" s="9" t="inlineStr">
        <is>
          <t>14</t>
        </is>
      </c>
      <c r="N1447" s="9" t="n">
        <v>1</v>
      </c>
      <c r="O1447" s="9" t="n">
        <v>1</v>
      </c>
      <c r="P1447" s="9" t="n"/>
      <c r="Q1447" s="9" t="n"/>
      <c r="R1447" s="9" t="n"/>
      <c r="S1447" s="9" t="inlineStr">
        <is>
          <t>Duct bank</t>
        </is>
      </c>
      <c r="T1447" s="10" t="n">
        <v>419</v>
      </c>
      <c r="U1447" s="10" t="n">
        <v>189</v>
      </c>
      <c r="V1447" s="10">
        <f>ROUNDUP((T1447+U1447+2*'Read Me'!$B$13)*(1+'Read Me'!$B$12),-1)</f>
        <v/>
      </c>
      <c r="W1447" s="10">
        <f>V1447*N1447*O1447</f>
        <v/>
      </c>
      <c r="X1447" s="9">
        <f>IF(LEFT(I1447,2)="MV",2*N1447*IF(L1447="1/C",O1447,1),0)</f>
        <v/>
      </c>
      <c r="Y1447" s="9">
        <f>IF(OR(LEFT(K1447,4)="LVAX",LEFT(K1447,6)="MV15AX",LEFT(K1447,4)="CTAX",LEFT(K1447,2)="W|"),2*N1447*O1447,0)</f>
        <v/>
      </c>
      <c r="Z1447" s="9" t="inlineStr"/>
    </row>
    <row r="1448">
      <c r="A1448" s="9" t="inlineStr">
        <is>
          <t>G-C-0029</t>
        </is>
      </c>
      <c r="B1448" s="9" t="inlineStr">
        <is>
          <t>G</t>
        </is>
      </c>
      <c r="C1448" s="9" t="inlineStr">
        <is>
          <t>Carbon capture</t>
        </is>
      </c>
      <c r="D1448" s="9" t="inlineStr">
        <is>
          <t>Control</t>
        </is>
      </c>
      <c r="E1448" s="9" t="inlineStr"/>
      <c r="F1448" s="9" t="inlineStr">
        <is>
          <t>CCS F&amp;G / control</t>
        </is>
      </c>
      <c r="G1448" s="9" t="inlineStr">
        <is>
          <t>BF-C</t>
        </is>
      </c>
      <c r="H1448" s="9" t="inlineStr">
        <is>
          <t>BF-C: booster fan (~16 MW)</t>
        </is>
      </c>
      <c r="I1448" s="9" t="inlineStr">
        <is>
          <t>Control</t>
        </is>
      </c>
      <c r="J1448" s="9" t="inlineStr">
        <is>
          <t>Control cable 600 V Type TC-ER, Cu #14 AWG, PVC jacket</t>
        </is>
      </c>
      <c r="K1448" s="9" t="inlineStr">
        <is>
          <t>CT|12/C|14</t>
        </is>
      </c>
      <c r="L1448" s="9" t="inlineStr">
        <is>
          <t>12/C</t>
        </is>
      </c>
      <c r="M1448" s="9" t="inlineStr">
        <is>
          <t>14</t>
        </is>
      </c>
      <c r="N1448" s="9" t="n">
        <v>1</v>
      </c>
      <c r="O1448" s="9" t="n">
        <v>1</v>
      </c>
      <c r="P1448" s="9" t="n"/>
      <c r="Q1448" s="9" t="n"/>
      <c r="R1448" s="9" t="n"/>
      <c r="S1448" s="9" t="inlineStr">
        <is>
          <t>Duct bank</t>
        </is>
      </c>
      <c r="T1448" s="10" t="n">
        <v>419</v>
      </c>
      <c r="U1448" s="10" t="n">
        <v>189</v>
      </c>
      <c r="V1448" s="10">
        <f>ROUNDUP((T1448+U1448+2*'Read Me'!$B$13)*(1+'Read Me'!$B$12),-1)</f>
        <v/>
      </c>
      <c r="W1448" s="10">
        <f>V1448*N1448*O1448</f>
        <v/>
      </c>
      <c r="X1448" s="9">
        <f>IF(LEFT(I1448,2)="MV",2*N1448*IF(L1448="1/C",O1448,1),0)</f>
        <v/>
      </c>
      <c r="Y1448" s="9">
        <f>IF(OR(LEFT(K1448,4)="LVAX",LEFT(K1448,6)="MV15AX",LEFT(K1448,4)="CTAX",LEFT(K1448,2)="W|"),2*N1448*O1448,0)</f>
        <v/>
      </c>
      <c r="Z1448" s="9" t="inlineStr"/>
    </row>
    <row r="1449">
      <c r="A1449" s="9" t="inlineStr">
        <is>
          <t>G-C-0030</t>
        </is>
      </c>
      <c r="B1449" s="9" t="inlineStr">
        <is>
          <t>G</t>
        </is>
      </c>
      <c r="C1449" s="9" t="inlineStr">
        <is>
          <t>Carbon capture</t>
        </is>
      </c>
      <c r="D1449" s="9" t="inlineStr">
        <is>
          <t>Control</t>
        </is>
      </c>
      <c r="E1449" s="9" t="inlineStr"/>
      <c r="F1449" s="9" t="inlineStr">
        <is>
          <t>CCS F&amp;G / control</t>
        </is>
      </c>
      <c r="G1449" s="9" t="inlineStr">
        <is>
          <t>BF-C</t>
        </is>
      </c>
      <c r="H1449" s="9" t="inlineStr">
        <is>
          <t>BF-C: booster fan (~16 MW)</t>
        </is>
      </c>
      <c r="I1449" s="9" t="inlineStr">
        <is>
          <t>Control</t>
        </is>
      </c>
      <c r="J1449" s="9" t="inlineStr">
        <is>
          <t>Control cable 600 V Type TC-ER, Cu #14 AWG, PVC jacket</t>
        </is>
      </c>
      <c r="K1449" s="9" t="inlineStr">
        <is>
          <t>CT|12/C|14</t>
        </is>
      </c>
      <c r="L1449" s="9" t="inlineStr">
        <is>
          <t>12/C</t>
        </is>
      </c>
      <c r="M1449" s="9" t="inlineStr">
        <is>
          <t>14</t>
        </is>
      </c>
      <c r="N1449" s="9" t="n">
        <v>1</v>
      </c>
      <c r="O1449" s="9" t="n">
        <v>1</v>
      </c>
      <c r="P1449" s="9" t="n"/>
      <c r="Q1449" s="9" t="n"/>
      <c r="R1449" s="9" t="n"/>
      <c r="S1449" s="9" t="inlineStr">
        <is>
          <t>Duct bank</t>
        </is>
      </c>
      <c r="T1449" s="10" t="n">
        <v>419</v>
      </c>
      <c r="U1449" s="10" t="n">
        <v>189</v>
      </c>
      <c r="V1449" s="10">
        <f>ROUNDUP((T1449+U1449+2*'Read Me'!$B$13)*(1+'Read Me'!$B$12),-1)</f>
        <v/>
      </c>
      <c r="W1449" s="10">
        <f>V1449*N1449*O1449</f>
        <v/>
      </c>
      <c r="X1449" s="9">
        <f>IF(LEFT(I1449,2)="MV",2*N1449*IF(L1449="1/C",O1449,1),0)</f>
        <v/>
      </c>
      <c r="Y1449" s="9">
        <f>IF(OR(LEFT(K1449,4)="LVAX",LEFT(K1449,6)="MV15AX",LEFT(K1449,4)="CTAX",LEFT(K1449,2)="W|"),2*N1449*O1449,0)</f>
        <v/>
      </c>
      <c r="Z1449" s="9" t="inlineStr"/>
    </row>
    <row r="1450">
      <c r="A1450" s="9" t="inlineStr">
        <is>
          <t>G-C-0031</t>
        </is>
      </c>
      <c r="B1450" s="9" t="inlineStr">
        <is>
          <t>G</t>
        </is>
      </c>
      <c r="C1450" s="9" t="inlineStr">
        <is>
          <t>Carbon capture</t>
        </is>
      </c>
      <c r="D1450" s="9" t="inlineStr">
        <is>
          <t>Control</t>
        </is>
      </c>
      <c r="E1450" s="9" t="inlineStr"/>
      <c r="F1450" s="9" t="inlineStr">
        <is>
          <t>CCS F&amp;G / control</t>
        </is>
      </c>
      <c r="G1450" s="9" t="inlineStr">
        <is>
          <t>BF-C</t>
        </is>
      </c>
      <c r="H1450" s="9" t="inlineStr">
        <is>
          <t>BF-C: booster fan (~16 MW)</t>
        </is>
      </c>
      <c r="I1450" s="9" t="inlineStr">
        <is>
          <t>Control</t>
        </is>
      </c>
      <c r="J1450" s="9" t="inlineStr">
        <is>
          <t>Control cable 600 V Type TC-ER, Cu #14 AWG, PVC jacket</t>
        </is>
      </c>
      <c r="K1450" s="9" t="inlineStr">
        <is>
          <t>CT|12/C|14</t>
        </is>
      </c>
      <c r="L1450" s="9" t="inlineStr">
        <is>
          <t>12/C</t>
        </is>
      </c>
      <c r="M1450" s="9" t="inlineStr">
        <is>
          <t>14</t>
        </is>
      </c>
      <c r="N1450" s="9" t="n">
        <v>1</v>
      </c>
      <c r="O1450" s="9" t="n">
        <v>1</v>
      </c>
      <c r="P1450" s="9" t="n"/>
      <c r="Q1450" s="9" t="n"/>
      <c r="R1450" s="9" t="n"/>
      <c r="S1450" s="9" t="inlineStr">
        <is>
          <t>Duct bank</t>
        </is>
      </c>
      <c r="T1450" s="10" t="n">
        <v>419</v>
      </c>
      <c r="U1450" s="10" t="n">
        <v>189</v>
      </c>
      <c r="V1450" s="10">
        <f>ROUNDUP((T1450+U1450+2*'Read Me'!$B$13)*(1+'Read Me'!$B$12),-1)</f>
        <v/>
      </c>
      <c r="W1450" s="10">
        <f>V1450*N1450*O1450</f>
        <v/>
      </c>
      <c r="X1450" s="9">
        <f>IF(LEFT(I1450,2)="MV",2*N1450*IF(L1450="1/C",O1450,1),0)</f>
        <v/>
      </c>
      <c r="Y1450" s="9">
        <f>IF(OR(LEFT(K1450,4)="LVAX",LEFT(K1450,6)="MV15AX",LEFT(K1450,4)="CTAX",LEFT(K1450,2)="W|"),2*N1450*O1450,0)</f>
        <v/>
      </c>
      <c r="Z1450" s="9" t="inlineStr"/>
    </row>
    <row r="1451">
      <c r="A1451" s="9" t="inlineStr">
        <is>
          <t>G-C-0032</t>
        </is>
      </c>
      <c r="B1451" s="9" t="inlineStr">
        <is>
          <t>G</t>
        </is>
      </c>
      <c r="C1451" s="9" t="inlineStr">
        <is>
          <t>Carbon capture</t>
        </is>
      </c>
      <c r="D1451" s="9" t="inlineStr">
        <is>
          <t>Control</t>
        </is>
      </c>
      <c r="E1451" s="9" t="inlineStr"/>
      <c r="F1451" s="9" t="inlineStr">
        <is>
          <t>CCS F&amp;G / control</t>
        </is>
      </c>
      <c r="G1451" s="9" t="inlineStr"/>
      <c r="H1451" s="9" t="inlineStr">
        <is>
          <t>CCS F&amp;G / control</t>
        </is>
      </c>
      <c r="I1451" s="9" t="inlineStr">
        <is>
          <t>Control</t>
        </is>
      </c>
      <c r="J1451" s="9" t="inlineStr">
        <is>
          <t>Control cable 600 V Type TC-ER, Cu #14 AWG, PVC jacket</t>
        </is>
      </c>
      <c r="K1451" s="9" t="inlineStr">
        <is>
          <t>CT|7/C|14</t>
        </is>
      </c>
      <c r="L1451" s="9" t="inlineStr">
        <is>
          <t>7/C</t>
        </is>
      </c>
      <c r="M1451" s="9" t="inlineStr">
        <is>
          <t>14</t>
        </is>
      </c>
      <c r="N1451" s="9" t="n">
        <v>1</v>
      </c>
      <c r="O1451" s="9" t="n">
        <v>1</v>
      </c>
      <c r="P1451" s="9" t="n"/>
      <c r="Q1451" s="9" t="n"/>
      <c r="R1451" s="9" t="n"/>
      <c r="S1451" s="9" t="inlineStr">
        <is>
          <t>Tray</t>
        </is>
      </c>
      <c r="T1451" s="10" t="n">
        <v>0</v>
      </c>
      <c r="U1451" s="10" t="n">
        <v>170</v>
      </c>
      <c r="V1451" s="10">
        <f>ROUNDUP((T1451+U1451+2*'Read Me'!$B$13)*(1+'Read Me'!$B$12),-1)</f>
        <v/>
      </c>
      <c r="W1451" s="10">
        <f>V1451*N1451*O1451</f>
        <v/>
      </c>
      <c r="X1451" s="9">
        <f>IF(LEFT(I1451,2)="MV",2*N1451*IF(L1451="1/C",O1451,1),0)</f>
        <v/>
      </c>
      <c r="Y1451" s="9">
        <f>IF(OR(LEFT(K1451,4)="LVAX",LEFT(K1451,6)="MV15AX",LEFT(K1451,4)="CTAX",LEFT(K1451,2)="W|"),2*N1451*O1451,0)</f>
        <v/>
      </c>
      <c r="Z1451" s="9" t="inlineStr"/>
    </row>
    <row r="1452">
      <c r="A1452" s="9" t="inlineStr">
        <is>
          <t>G-C-0033</t>
        </is>
      </c>
      <c r="B1452" s="9" t="inlineStr">
        <is>
          <t>G</t>
        </is>
      </c>
      <c r="C1452" s="9" t="inlineStr">
        <is>
          <t>Carbon capture</t>
        </is>
      </c>
      <c r="D1452" s="9" t="inlineStr">
        <is>
          <t>Control</t>
        </is>
      </c>
      <c r="E1452" s="9" t="inlineStr"/>
      <c r="F1452" s="9" t="inlineStr">
        <is>
          <t>CCS F&amp;G / control</t>
        </is>
      </c>
      <c r="G1452" s="9" t="inlineStr"/>
      <c r="H1452" s="9" t="inlineStr">
        <is>
          <t>CCS MV switchgear building (VFDs)</t>
        </is>
      </c>
      <c r="I1452" s="9" t="inlineStr">
        <is>
          <t>Control</t>
        </is>
      </c>
      <c r="J1452" s="9" t="inlineStr">
        <is>
          <t>Control cable 600 V Type TC-ER, Cu #14 AWG, PVC jacket</t>
        </is>
      </c>
      <c r="K1452" s="9" t="inlineStr">
        <is>
          <t>CT|7/C|14</t>
        </is>
      </c>
      <c r="L1452" s="9" t="inlineStr">
        <is>
          <t>7/C</t>
        </is>
      </c>
      <c r="M1452" s="9" t="inlineStr">
        <is>
          <t>14</t>
        </is>
      </c>
      <c r="N1452" s="9" t="n">
        <v>1</v>
      </c>
      <c r="O1452" s="9" t="n">
        <v>1</v>
      </c>
      <c r="P1452" s="9" t="n"/>
      <c r="Q1452" s="9" t="n"/>
      <c r="R1452" s="9" t="n"/>
      <c r="S1452" s="9" t="inlineStr">
        <is>
          <t>Duct bank</t>
        </is>
      </c>
      <c r="T1452" s="10" t="n">
        <v>206</v>
      </c>
      <c r="U1452" s="10" t="n">
        <v>101</v>
      </c>
      <c r="V1452" s="10">
        <f>ROUNDUP((T1452+U1452+2*'Read Me'!$B$13)*(1+'Read Me'!$B$12),-1)</f>
        <v/>
      </c>
      <c r="W1452" s="10">
        <f>V1452*N1452*O1452</f>
        <v/>
      </c>
      <c r="X1452" s="9">
        <f>IF(LEFT(I1452,2)="MV",2*N1452*IF(L1452="1/C",O1452,1),0)</f>
        <v/>
      </c>
      <c r="Y1452" s="9">
        <f>IF(OR(LEFT(K1452,4)="LVAX",LEFT(K1452,6)="MV15AX",LEFT(K1452,4)="CTAX",LEFT(K1452,2)="W|"),2*N1452*O1452,0)</f>
        <v/>
      </c>
      <c r="Z1452" s="9" t="inlineStr"/>
    </row>
    <row r="1453">
      <c r="A1453" s="9" t="inlineStr">
        <is>
          <t>G-C-0034</t>
        </is>
      </c>
      <c r="B1453" s="9" t="inlineStr">
        <is>
          <t>G</t>
        </is>
      </c>
      <c r="C1453" s="9" t="inlineStr">
        <is>
          <t>Carbon capture</t>
        </is>
      </c>
      <c r="D1453" s="9" t="inlineStr">
        <is>
          <t>Control</t>
        </is>
      </c>
      <c r="E1453" s="9" t="inlineStr"/>
      <c r="F1453" s="9" t="inlineStr">
        <is>
          <t>CCS F&amp;G / control</t>
        </is>
      </c>
      <c r="G1453" s="9" t="inlineStr">
        <is>
          <t>CCS T-1</t>
        </is>
      </c>
      <c r="H1453" s="9" t="inlineStr">
        <is>
          <t>CCS T-1: 230/13.8 kV</t>
        </is>
      </c>
      <c r="I1453" s="9" t="inlineStr">
        <is>
          <t>Control</t>
        </is>
      </c>
      <c r="J1453" s="9" t="inlineStr">
        <is>
          <t>Control cable 600 V Type TC-ER, Cu #14 AWG, PVC jacket</t>
        </is>
      </c>
      <c r="K1453" s="9" t="inlineStr">
        <is>
          <t>CT|7/C|14</t>
        </is>
      </c>
      <c r="L1453" s="9" t="inlineStr">
        <is>
          <t>7/C</t>
        </is>
      </c>
      <c r="M1453" s="9" t="inlineStr">
        <is>
          <t>14</t>
        </is>
      </c>
      <c r="N1453" s="9" t="n">
        <v>1</v>
      </c>
      <c r="O1453" s="9" t="n">
        <v>1</v>
      </c>
      <c r="P1453" s="9" t="n"/>
      <c r="Q1453" s="9" t="n"/>
      <c r="R1453" s="9" t="n"/>
      <c r="S1453" s="9" t="inlineStr">
        <is>
          <t>HV duct bank</t>
        </is>
      </c>
      <c r="T1453" s="10" t="n">
        <v>77</v>
      </c>
      <c r="U1453" s="10" t="n">
        <v>103</v>
      </c>
      <c r="V1453" s="10">
        <f>ROUNDUP((T1453+U1453+2*'Read Me'!$B$13)*(1+'Read Me'!$B$12),-1)</f>
        <v/>
      </c>
      <c r="W1453" s="10">
        <f>V1453*N1453*O1453</f>
        <v/>
      </c>
      <c r="X1453" s="9">
        <f>IF(LEFT(I1453,2)="MV",2*N1453*IF(L1453="1/C",O1453,1),0)</f>
        <v/>
      </c>
      <c r="Y1453" s="9">
        <f>IF(OR(LEFT(K1453,4)="LVAX",LEFT(K1453,6)="MV15AX",LEFT(K1453,4)="CTAX",LEFT(K1453,2)="W|"),2*N1453*O1453,0)</f>
        <v/>
      </c>
      <c r="Z1453" s="9" t="inlineStr"/>
    </row>
    <row r="1454">
      <c r="A1454" s="9" t="inlineStr">
        <is>
          <t>G-C-0035</t>
        </is>
      </c>
      <c r="B1454" s="9" t="inlineStr">
        <is>
          <t>G</t>
        </is>
      </c>
      <c r="C1454" s="9" t="inlineStr">
        <is>
          <t>Carbon capture</t>
        </is>
      </c>
      <c r="D1454" s="9" t="inlineStr">
        <is>
          <t>Control</t>
        </is>
      </c>
      <c r="E1454" s="9" t="inlineStr"/>
      <c r="F1454" s="9" t="inlineStr">
        <is>
          <t>CCS F&amp;G / control</t>
        </is>
      </c>
      <c r="G1454" s="9" t="inlineStr">
        <is>
          <t>CCS T-1</t>
        </is>
      </c>
      <c r="H1454" s="9" t="inlineStr">
        <is>
          <t>CCS T-1: 230/13.8 kV</t>
        </is>
      </c>
      <c r="I1454" s="9" t="inlineStr">
        <is>
          <t>Control</t>
        </is>
      </c>
      <c r="J1454" s="9" t="inlineStr">
        <is>
          <t>Control cable 600 V Type TC-ER, Cu #14 AWG, PVC jacket</t>
        </is>
      </c>
      <c r="K1454" s="9" t="inlineStr">
        <is>
          <t>CT|12/C|14</t>
        </is>
      </c>
      <c r="L1454" s="9" t="inlineStr">
        <is>
          <t>12/C</t>
        </is>
      </c>
      <c r="M1454" s="9" t="inlineStr">
        <is>
          <t>14</t>
        </is>
      </c>
      <c r="N1454" s="9" t="n">
        <v>1</v>
      </c>
      <c r="O1454" s="9" t="n">
        <v>1</v>
      </c>
      <c r="P1454" s="9" t="n"/>
      <c r="Q1454" s="9" t="n"/>
      <c r="R1454" s="9" t="n"/>
      <c r="S1454" s="9" t="inlineStr">
        <is>
          <t>HV duct bank</t>
        </is>
      </c>
      <c r="T1454" s="10" t="n">
        <v>77</v>
      </c>
      <c r="U1454" s="10" t="n">
        <v>103</v>
      </c>
      <c r="V1454" s="10">
        <f>ROUNDUP((T1454+U1454+2*'Read Me'!$B$13)*(1+'Read Me'!$B$12),-1)</f>
        <v/>
      </c>
      <c r="W1454" s="10">
        <f>V1454*N1454*O1454</f>
        <v/>
      </c>
      <c r="X1454" s="9">
        <f>IF(LEFT(I1454,2)="MV",2*N1454*IF(L1454="1/C",O1454,1),0)</f>
        <v/>
      </c>
      <c r="Y1454" s="9">
        <f>IF(OR(LEFT(K1454,4)="LVAX",LEFT(K1454,6)="MV15AX",LEFT(K1454,4)="CTAX",LEFT(K1454,2)="W|"),2*N1454*O1454,0)</f>
        <v/>
      </c>
      <c r="Z1454" s="9" t="inlineStr"/>
    </row>
    <row r="1455">
      <c r="A1455" s="9" t="inlineStr">
        <is>
          <t>G-C-0036</t>
        </is>
      </c>
      <c r="B1455" s="9" t="inlineStr">
        <is>
          <t>G</t>
        </is>
      </c>
      <c r="C1455" s="9" t="inlineStr">
        <is>
          <t>Carbon capture</t>
        </is>
      </c>
      <c r="D1455" s="9" t="inlineStr">
        <is>
          <t>CT / VT</t>
        </is>
      </c>
      <c r="E1455" s="9" t="inlineStr"/>
      <c r="F1455" s="9" t="inlineStr">
        <is>
          <t>CCS F&amp;G / control</t>
        </is>
      </c>
      <c r="G1455" s="9" t="inlineStr">
        <is>
          <t>CCS T-1</t>
        </is>
      </c>
      <c r="H1455" s="9" t="inlineStr">
        <is>
          <t>CCS T-1: 230/13.8 kV</t>
        </is>
      </c>
      <c r="I1455" s="9" t="inlineStr">
        <is>
          <t>Control</t>
        </is>
      </c>
      <c r="J1455" s="9" t="inlineStr">
        <is>
          <t>Control cable 600 V Type TC-ER, Cu #10 AWG (CT / VT circuits)</t>
        </is>
      </c>
      <c r="K1455" s="9" t="inlineStr">
        <is>
          <t>CTCT|4/C|10</t>
        </is>
      </c>
      <c r="L1455" s="9" t="inlineStr">
        <is>
          <t>4/C</t>
        </is>
      </c>
      <c r="M1455" s="9" t="inlineStr">
        <is>
          <t>10</t>
        </is>
      </c>
      <c r="N1455" s="9" t="n">
        <v>1</v>
      </c>
      <c r="O1455" s="9" t="n">
        <v>1</v>
      </c>
      <c r="P1455" s="9" t="n"/>
      <c r="Q1455" s="9" t="n"/>
      <c r="R1455" s="9" t="n"/>
      <c r="S1455" s="9" t="inlineStr">
        <is>
          <t>HV duct bank</t>
        </is>
      </c>
      <c r="T1455" s="10" t="n">
        <v>77</v>
      </c>
      <c r="U1455" s="10" t="n">
        <v>103</v>
      </c>
      <c r="V1455" s="10">
        <f>ROUNDUP((T1455+U1455+2*'Read Me'!$B$13)*(1+'Read Me'!$B$12),-1)</f>
        <v/>
      </c>
      <c r="W1455" s="10">
        <f>V1455*N1455*O1455</f>
        <v/>
      </c>
      <c r="X1455" s="9">
        <f>IF(LEFT(I1455,2)="MV",2*N1455*IF(L1455="1/C",O1455,1),0)</f>
        <v/>
      </c>
      <c r="Y1455" s="9">
        <f>IF(OR(LEFT(K1455,4)="LVAX",LEFT(K1455,6)="MV15AX",LEFT(K1455,4)="CTAX",LEFT(K1455,2)="W|"),2*N1455*O1455,0)</f>
        <v/>
      </c>
      <c r="Z1455" s="9" t="inlineStr"/>
    </row>
    <row r="1456">
      <c r="A1456" s="9" t="inlineStr">
        <is>
          <t>G-C-0037</t>
        </is>
      </c>
      <c r="B1456" s="9" t="inlineStr">
        <is>
          <t>G</t>
        </is>
      </c>
      <c r="C1456" s="9" t="inlineStr">
        <is>
          <t>Carbon capture</t>
        </is>
      </c>
      <c r="D1456" s="9" t="inlineStr">
        <is>
          <t>CT / VT</t>
        </is>
      </c>
      <c r="E1456" s="9" t="inlineStr"/>
      <c r="F1456" s="9" t="inlineStr">
        <is>
          <t>CCS F&amp;G / control</t>
        </is>
      </c>
      <c r="G1456" s="9" t="inlineStr">
        <is>
          <t>CCS T-1</t>
        </is>
      </c>
      <c r="H1456" s="9" t="inlineStr">
        <is>
          <t>CCS T-1: 230/13.8 kV</t>
        </is>
      </c>
      <c r="I1456" s="9" t="inlineStr">
        <is>
          <t>Control</t>
        </is>
      </c>
      <c r="J1456" s="9" t="inlineStr">
        <is>
          <t>Control cable 600 V Type TC-ER, Cu #10 AWG (CT / VT circuits)</t>
        </is>
      </c>
      <c r="K1456" s="9" t="inlineStr">
        <is>
          <t>CTCT|4/C|10</t>
        </is>
      </c>
      <c r="L1456" s="9" t="inlineStr">
        <is>
          <t>4/C</t>
        </is>
      </c>
      <c r="M1456" s="9" t="inlineStr">
        <is>
          <t>10</t>
        </is>
      </c>
      <c r="N1456" s="9" t="n">
        <v>1</v>
      </c>
      <c r="O1456" s="9" t="n">
        <v>1</v>
      </c>
      <c r="P1456" s="9" t="n"/>
      <c r="Q1456" s="9" t="n"/>
      <c r="R1456" s="9" t="n"/>
      <c r="S1456" s="9" t="inlineStr">
        <is>
          <t>HV duct bank</t>
        </is>
      </c>
      <c r="T1456" s="10" t="n">
        <v>77</v>
      </c>
      <c r="U1456" s="10" t="n">
        <v>103</v>
      </c>
      <c r="V1456" s="10">
        <f>ROUNDUP((T1456+U1456+2*'Read Me'!$B$13)*(1+'Read Me'!$B$12),-1)</f>
        <v/>
      </c>
      <c r="W1456" s="10">
        <f>V1456*N1456*O1456</f>
        <v/>
      </c>
      <c r="X1456" s="9">
        <f>IF(LEFT(I1456,2)="MV",2*N1456*IF(L1456="1/C",O1456,1),0)</f>
        <v/>
      </c>
      <c r="Y1456" s="9">
        <f>IF(OR(LEFT(K1456,4)="LVAX",LEFT(K1456,6)="MV15AX",LEFT(K1456,4)="CTAX",LEFT(K1456,2)="W|"),2*N1456*O1456,0)</f>
        <v/>
      </c>
      <c r="Z1456" s="9" t="inlineStr"/>
    </row>
    <row r="1457">
      <c r="A1457" s="9" t="inlineStr">
        <is>
          <t>G-C-0038</t>
        </is>
      </c>
      <c r="B1457" s="9" t="inlineStr">
        <is>
          <t>G</t>
        </is>
      </c>
      <c r="C1457" s="9" t="inlineStr">
        <is>
          <t>Carbon capture</t>
        </is>
      </c>
      <c r="D1457" s="9" t="inlineStr">
        <is>
          <t>Control</t>
        </is>
      </c>
      <c r="E1457" s="9" t="inlineStr"/>
      <c r="F1457" s="9" t="inlineStr">
        <is>
          <t>CCS F&amp;G / control</t>
        </is>
      </c>
      <c r="G1457" s="9" t="inlineStr">
        <is>
          <t>CCS T-2</t>
        </is>
      </c>
      <c r="H1457" s="9" t="inlineStr">
        <is>
          <t>CCS T-2: 230/13.8 kV</t>
        </is>
      </c>
      <c r="I1457" s="9" t="inlineStr">
        <is>
          <t>Control</t>
        </is>
      </c>
      <c r="J1457" s="9" t="inlineStr">
        <is>
          <t>Control cable 600 V Type TC-ER, Cu #14 AWG, PVC jacket</t>
        </is>
      </c>
      <c r="K1457" s="9" t="inlineStr">
        <is>
          <t>CT|7/C|14</t>
        </is>
      </c>
      <c r="L1457" s="9" t="inlineStr">
        <is>
          <t>7/C</t>
        </is>
      </c>
      <c r="M1457" s="9" t="inlineStr">
        <is>
          <t>14</t>
        </is>
      </c>
      <c r="N1457" s="9" t="n">
        <v>1</v>
      </c>
      <c r="O1457" s="9" t="n">
        <v>1</v>
      </c>
      <c r="P1457" s="9" t="n"/>
      <c r="Q1457" s="9" t="n"/>
      <c r="R1457" s="9" t="n"/>
      <c r="S1457" s="9" t="inlineStr">
        <is>
          <t>Tray</t>
        </is>
      </c>
      <c r="T1457" s="10" t="n">
        <v>11</v>
      </c>
      <c r="U1457" s="10" t="n">
        <v>101</v>
      </c>
      <c r="V1457" s="10">
        <f>ROUNDUP((T1457+U1457+2*'Read Me'!$B$13)*(1+'Read Me'!$B$12),-1)</f>
        <v/>
      </c>
      <c r="W1457" s="10">
        <f>V1457*N1457*O1457</f>
        <v/>
      </c>
      <c r="X1457" s="9">
        <f>IF(LEFT(I1457,2)="MV",2*N1457*IF(L1457="1/C",O1457,1),0)</f>
        <v/>
      </c>
      <c r="Y1457" s="9">
        <f>IF(OR(LEFT(K1457,4)="LVAX",LEFT(K1457,6)="MV15AX",LEFT(K1457,4)="CTAX",LEFT(K1457,2)="W|"),2*N1457*O1457,0)</f>
        <v/>
      </c>
      <c r="Z1457" s="9" t="inlineStr"/>
    </row>
    <row r="1458">
      <c r="A1458" s="9" t="inlineStr">
        <is>
          <t>G-C-0039</t>
        </is>
      </c>
      <c r="B1458" s="9" t="inlineStr">
        <is>
          <t>G</t>
        </is>
      </c>
      <c r="C1458" s="9" t="inlineStr">
        <is>
          <t>Carbon capture</t>
        </is>
      </c>
      <c r="D1458" s="9" t="inlineStr">
        <is>
          <t>Control</t>
        </is>
      </c>
      <c r="E1458" s="9" t="inlineStr"/>
      <c r="F1458" s="9" t="inlineStr">
        <is>
          <t>CCS F&amp;G / control</t>
        </is>
      </c>
      <c r="G1458" s="9" t="inlineStr">
        <is>
          <t>CCS T-2</t>
        </is>
      </c>
      <c r="H1458" s="9" t="inlineStr">
        <is>
          <t>CCS T-2: 230/13.8 kV</t>
        </is>
      </c>
      <c r="I1458" s="9" t="inlineStr">
        <is>
          <t>Control</t>
        </is>
      </c>
      <c r="J1458" s="9" t="inlineStr">
        <is>
          <t>Control cable 600 V Type TC-ER, Cu #14 AWG, PVC jacket</t>
        </is>
      </c>
      <c r="K1458" s="9" t="inlineStr">
        <is>
          <t>CT|12/C|14</t>
        </is>
      </c>
      <c r="L1458" s="9" t="inlineStr">
        <is>
          <t>12/C</t>
        </is>
      </c>
      <c r="M1458" s="9" t="inlineStr">
        <is>
          <t>14</t>
        </is>
      </c>
      <c r="N1458" s="9" t="n">
        <v>1</v>
      </c>
      <c r="O1458" s="9" t="n">
        <v>1</v>
      </c>
      <c r="P1458" s="9" t="n"/>
      <c r="Q1458" s="9" t="n"/>
      <c r="R1458" s="9" t="n"/>
      <c r="S1458" s="9" t="inlineStr">
        <is>
          <t>Tray</t>
        </is>
      </c>
      <c r="T1458" s="10" t="n">
        <v>11</v>
      </c>
      <c r="U1458" s="10" t="n">
        <v>101</v>
      </c>
      <c r="V1458" s="10">
        <f>ROUNDUP((T1458+U1458+2*'Read Me'!$B$13)*(1+'Read Me'!$B$12),-1)</f>
        <v/>
      </c>
      <c r="W1458" s="10">
        <f>V1458*N1458*O1458</f>
        <v/>
      </c>
      <c r="X1458" s="9">
        <f>IF(LEFT(I1458,2)="MV",2*N1458*IF(L1458="1/C",O1458,1),0)</f>
        <v/>
      </c>
      <c r="Y1458" s="9">
        <f>IF(OR(LEFT(K1458,4)="LVAX",LEFT(K1458,6)="MV15AX",LEFT(K1458,4)="CTAX",LEFT(K1458,2)="W|"),2*N1458*O1458,0)</f>
        <v/>
      </c>
      <c r="Z1458" s="9" t="inlineStr"/>
    </row>
    <row r="1459">
      <c r="A1459" s="9" t="inlineStr">
        <is>
          <t>G-C-0040</t>
        </is>
      </c>
      <c r="B1459" s="9" t="inlineStr">
        <is>
          <t>G</t>
        </is>
      </c>
      <c r="C1459" s="9" t="inlineStr">
        <is>
          <t>Carbon capture</t>
        </is>
      </c>
      <c r="D1459" s="9" t="inlineStr">
        <is>
          <t>CT / VT</t>
        </is>
      </c>
      <c r="E1459" s="9" t="inlineStr"/>
      <c r="F1459" s="9" t="inlineStr">
        <is>
          <t>CCS F&amp;G / control</t>
        </is>
      </c>
      <c r="G1459" s="9" t="inlineStr">
        <is>
          <t>CCS T-2</t>
        </is>
      </c>
      <c r="H1459" s="9" t="inlineStr">
        <is>
          <t>CCS T-2: 230/13.8 kV</t>
        </is>
      </c>
      <c r="I1459" s="9" t="inlineStr">
        <is>
          <t>Control</t>
        </is>
      </c>
      <c r="J1459" s="9" t="inlineStr">
        <is>
          <t>Control cable 600 V Type TC-ER, Cu #10 AWG (CT / VT circuits)</t>
        </is>
      </c>
      <c r="K1459" s="9" t="inlineStr">
        <is>
          <t>CTCT|4/C|10</t>
        </is>
      </c>
      <c r="L1459" s="9" t="inlineStr">
        <is>
          <t>4/C</t>
        </is>
      </c>
      <c r="M1459" s="9" t="inlineStr">
        <is>
          <t>10</t>
        </is>
      </c>
      <c r="N1459" s="9" t="n">
        <v>1</v>
      </c>
      <c r="O1459" s="9" t="n">
        <v>1</v>
      </c>
      <c r="P1459" s="9" t="n"/>
      <c r="Q1459" s="9" t="n"/>
      <c r="R1459" s="9" t="n"/>
      <c r="S1459" s="9" t="inlineStr">
        <is>
          <t>Tray</t>
        </is>
      </c>
      <c r="T1459" s="10" t="n">
        <v>11</v>
      </c>
      <c r="U1459" s="10" t="n">
        <v>101</v>
      </c>
      <c r="V1459" s="10">
        <f>ROUNDUP((T1459+U1459+2*'Read Me'!$B$13)*(1+'Read Me'!$B$12),-1)</f>
        <v/>
      </c>
      <c r="W1459" s="10">
        <f>V1459*N1459*O1459</f>
        <v/>
      </c>
      <c r="X1459" s="9">
        <f>IF(LEFT(I1459,2)="MV",2*N1459*IF(L1459="1/C",O1459,1),0)</f>
        <v/>
      </c>
      <c r="Y1459" s="9">
        <f>IF(OR(LEFT(K1459,4)="LVAX",LEFT(K1459,6)="MV15AX",LEFT(K1459,4)="CTAX",LEFT(K1459,2)="W|"),2*N1459*O1459,0)</f>
        <v/>
      </c>
      <c r="Z1459" s="9" t="inlineStr"/>
    </row>
    <row r="1460">
      <c r="A1460" s="9" t="inlineStr">
        <is>
          <t>G-C-0041</t>
        </is>
      </c>
      <c r="B1460" s="9" t="inlineStr">
        <is>
          <t>G</t>
        </is>
      </c>
      <c r="C1460" s="9" t="inlineStr">
        <is>
          <t>Carbon capture</t>
        </is>
      </c>
      <c r="D1460" s="9" t="inlineStr">
        <is>
          <t>CT / VT</t>
        </is>
      </c>
      <c r="E1460" s="9" t="inlineStr"/>
      <c r="F1460" s="9" t="inlineStr">
        <is>
          <t>CCS F&amp;G / control</t>
        </is>
      </c>
      <c r="G1460" s="9" t="inlineStr">
        <is>
          <t>CCS T-2</t>
        </is>
      </c>
      <c r="H1460" s="9" t="inlineStr">
        <is>
          <t>CCS T-2: 230/13.8 kV</t>
        </is>
      </c>
      <c r="I1460" s="9" t="inlineStr">
        <is>
          <t>Control</t>
        </is>
      </c>
      <c r="J1460" s="9" t="inlineStr">
        <is>
          <t>Control cable 600 V Type TC-ER, Cu #10 AWG (CT / VT circuits)</t>
        </is>
      </c>
      <c r="K1460" s="9" t="inlineStr">
        <is>
          <t>CTCT|4/C|10</t>
        </is>
      </c>
      <c r="L1460" s="9" t="inlineStr">
        <is>
          <t>4/C</t>
        </is>
      </c>
      <c r="M1460" s="9" t="inlineStr">
        <is>
          <t>10</t>
        </is>
      </c>
      <c r="N1460" s="9" t="n">
        <v>1</v>
      </c>
      <c r="O1460" s="9" t="n">
        <v>1</v>
      </c>
      <c r="P1460" s="9" t="n"/>
      <c r="Q1460" s="9" t="n"/>
      <c r="R1460" s="9" t="n"/>
      <c r="S1460" s="9" t="inlineStr">
        <is>
          <t>Tray</t>
        </is>
      </c>
      <c r="T1460" s="10" t="n">
        <v>11</v>
      </c>
      <c r="U1460" s="10" t="n">
        <v>101</v>
      </c>
      <c r="V1460" s="10">
        <f>ROUNDUP((T1460+U1460+2*'Read Me'!$B$13)*(1+'Read Me'!$B$12),-1)</f>
        <v/>
      </c>
      <c r="W1460" s="10">
        <f>V1460*N1460*O1460</f>
        <v/>
      </c>
      <c r="X1460" s="9">
        <f>IF(LEFT(I1460,2)="MV",2*N1460*IF(L1460="1/C",O1460,1),0)</f>
        <v/>
      </c>
      <c r="Y1460" s="9">
        <f>IF(OR(LEFT(K1460,4)="LVAX",LEFT(K1460,6)="MV15AX",LEFT(K1460,4)="CTAX",LEFT(K1460,2)="W|"),2*N1460*O1460,0)</f>
        <v/>
      </c>
      <c r="Z1460" s="9" t="inlineStr"/>
    </row>
    <row r="1461">
      <c r="A1461" s="9" t="inlineStr">
        <is>
          <t>G-C-0042</t>
        </is>
      </c>
      <c r="B1461" s="9" t="inlineStr">
        <is>
          <t>G</t>
        </is>
      </c>
      <c r="C1461" s="9" t="inlineStr">
        <is>
          <t>Carbon capture</t>
        </is>
      </c>
      <c r="D1461" s="9" t="inlineStr">
        <is>
          <t>Control</t>
        </is>
      </c>
      <c r="E1461" s="9" t="inlineStr"/>
      <c r="F1461" s="9" t="inlineStr">
        <is>
          <t>CCS F&amp;G / control</t>
        </is>
      </c>
      <c r="G1461" s="9" t="inlineStr"/>
      <c r="H1461" s="9" t="inlineStr">
        <is>
          <t>CCS circulating-water pumps</t>
        </is>
      </c>
      <c r="I1461" s="9" t="inlineStr">
        <is>
          <t>Control</t>
        </is>
      </c>
      <c r="J1461" s="9" t="inlineStr">
        <is>
          <t>Control cable 600 V Type TC-ER, Cu #14 AWG, PVC jacket</t>
        </is>
      </c>
      <c r="K1461" s="9" t="inlineStr">
        <is>
          <t>CT|7/C|14</t>
        </is>
      </c>
      <c r="L1461" s="9" t="inlineStr">
        <is>
          <t>7/C</t>
        </is>
      </c>
      <c r="M1461" s="9" t="inlineStr">
        <is>
          <t>14</t>
        </is>
      </c>
      <c r="N1461" s="9" t="n">
        <v>1</v>
      </c>
      <c r="O1461" s="9" t="n">
        <v>1</v>
      </c>
      <c r="P1461" s="9" t="n"/>
      <c r="Q1461" s="9" t="n"/>
      <c r="R1461" s="9" t="n"/>
      <c r="S1461" s="9" t="inlineStr">
        <is>
          <t>Duct bank</t>
        </is>
      </c>
      <c r="T1461" s="10" t="n">
        <v>666</v>
      </c>
      <c r="U1461" s="10" t="n">
        <v>176</v>
      </c>
      <c r="V1461" s="10">
        <f>ROUNDUP((T1461+U1461+2*'Read Me'!$B$13)*(1+'Read Me'!$B$12),-1)</f>
        <v/>
      </c>
      <c r="W1461" s="10">
        <f>V1461*N1461*O1461</f>
        <v/>
      </c>
      <c r="X1461" s="9">
        <f>IF(LEFT(I1461,2)="MV",2*N1461*IF(L1461="1/C",O1461,1),0)</f>
        <v/>
      </c>
      <c r="Y1461" s="9">
        <f>IF(OR(LEFT(K1461,4)="LVAX",LEFT(K1461,6)="MV15AX",LEFT(K1461,4)="CTAX",LEFT(K1461,2)="W|"),2*N1461*O1461,0)</f>
        <v/>
      </c>
      <c r="Z1461" s="9" t="inlineStr"/>
    </row>
    <row r="1462">
      <c r="A1462" s="9" t="inlineStr">
        <is>
          <t>G-C-0043</t>
        </is>
      </c>
      <c r="B1462" s="9" t="inlineStr">
        <is>
          <t>G</t>
        </is>
      </c>
      <c r="C1462" s="9" t="inlineStr">
        <is>
          <t>Carbon capture</t>
        </is>
      </c>
      <c r="D1462" s="9" t="inlineStr">
        <is>
          <t>Control</t>
        </is>
      </c>
      <c r="E1462" s="9" t="inlineStr"/>
      <c r="F1462" s="9" t="inlineStr">
        <is>
          <t>CCS F&amp;G / control</t>
        </is>
      </c>
      <c r="G1462" s="9" t="inlineStr">
        <is>
          <t>CCS-CT</t>
        </is>
      </c>
      <c r="H1462" s="9" t="inlineStr">
        <is>
          <t>CCS cooling tower (~30 cells): CCS process cooling only</t>
        </is>
      </c>
      <c r="I1462" s="9" t="inlineStr">
        <is>
          <t>Control</t>
        </is>
      </c>
      <c r="J1462" s="9" t="inlineStr">
        <is>
          <t>Control cable 600 V Type TC-ER, Cu #14 AWG, PVC jacket</t>
        </is>
      </c>
      <c r="K1462" s="9" t="inlineStr">
        <is>
          <t>CT|7/C|14</t>
        </is>
      </c>
      <c r="L1462" s="9" t="inlineStr">
        <is>
          <t>7/C</t>
        </is>
      </c>
      <c r="M1462" s="9" t="inlineStr">
        <is>
          <t>14</t>
        </is>
      </c>
      <c r="N1462" s="9" t="n">
        <v>1</v>
      </c>
      <c r="O1462" s="9" t="n">
        <v>1</v>
      </c>
      <c r="P1462" s="9" t="n"/>
      <c r="Q1462" s="9" t="n"/>
      <c r="R1462" s="9" t="n"/>
      <c r="S1462" s="9" t="inlineStr">
        <is>
          <t>Estimated</t>
        </is>
      </c>
      <c r="T1462" s="10" t="n">
        <v>1375</v>
      </c>
      <c r="U1462" s="10" t="n">
        <v>40</v>
      </c>
      <c r="V1462" s="10">
        <f>ROUNDUP((T1462+U1462+2*'Read Me'!$B$13)*(1+'Read Me'!$B$12),-1)</f>
        <v/>
      </c>
      <c r="W1462" s="10">
        <f>V1462*N1462*O1462</f>
        <v/>
      </c>
      <c r="X1462" s="9">
        <f>IF(LEFT(I1462,2)="MV",2*N1462*IF(L1462="1/C",O1462,1),0)</f>
        <v/>
      </c>
      <c r="Y1462" s="9">
        <f>IF(OR(LEFT(K1462,4)="LVAX",LEFT(K1462,6)="MV15AX",LEFT(K1462,4)="CTAX",LEFT(K1462,2)="W|"),2*N1462*O1462,0)</f>
        <v/>
      </c>
      <c r="Z1462" s="9" t="inlineStr"/>
    </row>
    <row r="1463">
      <c r="A1463" s="9" t="inlineStr">
        <is>
          <t>G-C-0044</t>
        </is>
      </c>
      <c r="B1463" s="9" t="inlineStr">
        <is>
          <t>G</t>
        </is>
      </c>
      <c r="C1463" s="9" t="inlineStr">
        <is>
          <t>Carbon capture</t>
        </is>
      </c>
      <c r="D1463" s="9" t="inlineStr">
        <is>
          <t>Control</t>
        </is>
      </c>
      <c r="E1463" s="9" t="inlineStr"/>
      <c r="F1463" s="9" t="inlineStr">
        <is>
          <t>CCS F&amp;G / control</t>
        </is>
      </c>
      <c r="G1463" s="9" t="inlineStr"/>
      <c r="H1463" s="9" t="inlineStr">
        <is>
          <t>CCS instrument air</t>
        </is>
      </c>
      <c r="I1463" s="9" t="inlineStr">
        <is>
          <t>Control</t>
        </is>
      </c>
      <c r="J1463" s="9" t="inlineStr">
        <is>
          <t>Control cable 600 V Type TC-ER, Cu #14 AWG, PVC jacket</t>
        </is>
      </c>
      <c r="K1463" s="9" t="inlineStr">
        <is>
          <t>CT|7/C|14</t>
        </is>
      </c>
      <c r="L1463" s="9" t="inlineStr">
        <is>
          <t>7/C</t>
        </is>
      </c>
      <c r="M1463" s="9" t="inlineStr">
        <is>
          <t>14</t>
        </is>
      </c>
      <c r="N1463" s="9" t="n">
        <v>1</v>
      </c>
      <c r="O1463" s="9" t="n">
        <v>1</v>
      </c>
      <c r="P1463" s="9" t="n"/>
      <c r="Q1463" s="9" t="n"/>
      <c r="R1463" s="9" t="n"/>
      <c r="S1463" s="9" t="inlineStr">
        <is>
          <t>Tray</t>
        </is>
      </c>
      <c r="T1463" s="10" t="n">
        <v>0</v>
      </c>
      <c r="U1463" s="10" t="n">
        <v>120</v>
      </c>
      <c r="V1463" s="10">
        <f>ROUNDUP((T1463+U1463+2*'Read Me'!$B$13)*(1+'Read Me'!$B$12),-1)</f>
        <v/>
      </c>
      <c r="W1463" s="10">
        <f>V1463*N1463*O1463</f>
        <v/>
      </c>
      <c r="X1463" s="9">
        <f>IF(LEFT(I1463,2)="MV",2*N1463*IF(L1463="1/C",O1463,1),0)</f>
        <v/>
      </c>
      <c r="Y1463" s="9">
        <f>IF(OR(LEFT(K1463,4)="LVAX",LEFT(K1463,6)="MV15AX",LEFT(K1463,4)="CTAX",LEFT(K1463,2)="W|"),2*N1463*O1463,0)</f>
        <v/>
      </c>
      <c r="Z1463" s="9" t="inlineStr"/>
    </row>
    <row r="1464">
      <c r="A1464" s="9" t="inlineStr">
        <is>
          <t>G-C-0045</t>
        </is>
      </c>
      <c r="B1464" s="9" t="inlineStr">
        <is>
          <t>G</t>
        </is>
      </c>
      <c r="C1464" s="9" t="inlineStr">
        <is>
          <t>Carbon capture</t>
        </is>
      </c>
      <c r="D1464" s="9" t="inlineStr">
        <is>
          <t>Control</t>
        </is>
      </c>
      <c r="E1464" s="9" t="inlineStr"/>
      <c r="F1464" s="9" t="inlineStr">
        <is>
          <t>CCS F&amp;G / control</t>
        </is>
      </c>
      <c r="G1464" s="9" t="inlineStr"/>
      <c r="H1464" s="9" t="inlineStr">
        <is>
          <t>CCS wastewater (DCC + tower blowdown)</t>
        </is>
      </c>
      <c r="I1464" s="9" t="inlineStr">
        <is>
          <t>Control</t>
        </is>
      </c>
      <c r="J1464" s="9" t="inlineStr">
        <is>
          <t>Control cable 600 V Type TC-ER, Cu #14 AWG, PVC jacket</t>
        </is>
      </c>
      <c r="K1464" s="9" t="inlineStr">
        <is>
          <t>CT|7/C|14</t>
        </is>
      </c>
      <c r="L1464" s="9" t="inlineStr">
        <is>
          <t>7/C</t>
        </is>
      </c>
      <c r="M1464" s="9" t="inlineStr">
        <is>
          <t>14</t>
        </is>
      </c>
      <c r="N1464" s="9" t="n">
        <v>1</v>
      </c>
      <c r="O1464" s="9" t="n">
        <v>1</v>
      </c>
      <c r="P1464" s="9" t="n"/>
      <c r="Q1464" s="9" t="n"/>
      <c r="R1464" s="9" t="n"/>
      <c r="S1464" s="9" t="inlineStr">
        <is>
          <t>Duct bank</t>
        </is>
      </c>
      <c r="T1464" s="10" t="n">
        <v>656</v>
      </c>
      <c r="U1464" s="10" t="n">
        <v>121</v>
      </c>
      <c r="V1464" s="10">
        <f>ROUNDUP((T1464+U1464+2*'Read Me'!$B$13)*(1+'Read Me'!$B$12),-1)</f>
        <v/>
      </c>
      <c r="W1464" s="10">
        <f>V1464*N1464*O1464</f>
        <v/>
      </c>
      <c r="X1464" s="9">
        <f>IF(LEFT(I1464,2)="MV",2*N1464*IF(L1464="1/C",O1464,1),0)</f>
        <v/>
      </c>
      <c r="Y1464" s="9">
        <f>IF(OR(LEFT(K1464,4)="LVAX",LEFT(K1464,6)="MV15AX",LEFT(K1464,4)="CTAX",LEFT(K1464,2)="W|"),2*N1464*O1464,0)</f>
        <v/>
      </c>
      <c r="Z1464" s="9" t="inlineStr"/>
    </row>
    <row r="1465">
      <c r="A1465" s="9" t="inlineStr">
        <is>
          <t>G-C-0046</t>
        </is>
      </c>
      <c r="B1465" s="9" t="inlineStr">
        <is>
          <t>G</t>
        </is>
      </c>
      <c r="C1465" s="9" t="inlineStr">
        <is>
          <t>Carbon capture</t>
        </is>
      </c>
      <c r="D1465" s="9" t="inlineStr">
        <is>
          <t>Control</t>
        </is>
      </c>
      <c r="E1465" s="9" t="inlineStr"/>
      <c r="F1465" s="9" t="inlineStr">
        <is>
          <t>CCS F&amp;G / control</t>
        </is>
      </c>
      <c r="G1465" s="9" t="inlineStr"/>
      <c r="H1465" s="9" t="inlineStr">
        <is>
          <t>CO2 compression 3 x ~19 MW + dehydration</t>
        </is>
      </c>
      <c r="I1465" s="9" t="inlineStr">
        <is>
          <t>Control</t>
        </is>
      </c>
      <c r="J1465" s="9" t="inlineStr">
        <is>
          <t>Control cable 600 V Type TC-ER, Cu #14 AWG, PVC jacket</t>
        </is>
      </c>
      <c r="K1465" s="9" t="inlineStr">
        <is>
          <t>CT|7/C|14</t>
        </is>
      </c>
      <c r="L1465" s="9" t="inlineStr">
        <is>
          <t>7/C</t>
        </is>
      </c>
      <c r="M1465" s="9" t="inlineStr">
        <is>
          <t>14</t>
        </is>
      </c>
      <c r="N1465" s="9" t="n">
        <v>1</v>
      </c>
      <c r="O1465" s="9" t="n">
        <v>1</v>
      </c>
      <c r="P1465" s="9" t="n"/>
      <c r="Q1465" s="9" t="n"/>
      <c r="R1465" s="9" t="n"/>
      <c r="S1465" s="9" t="inlineStr">
        <is>
          <t>Duct bank</t>
        </is>
      </c>
      <c r="T1465" s="10" t="n">
        <v>183</v>
      </c>
      <c r="U1465" s="10" t="n">
        <v>105</v>
      </c>
      <c r="V1465" s="10">
        <f>ROUNDUP((T1465+U1465+2*'Read Me'!$B$13)*(1+'Read Me'!$B$12),-1)</f>
        <v/>
      </c>
      <c r="W1465" s="10">
        <f>V1465*N1465*O1465</f>
        <v/>
      </c>
      <c r="X1465" s="9">
        <f>IF(LEFT(I1465,2)="MV",2*N1465*IF(L1465="1/C",O1465,1),0)</f>
        <v/>
      </c>
      <c r="Y1465" s="9">
        <f>IF(OR(LEFT(K1465,4)="LVAX",LEFT(K1465,6)="MV15AX",LEFT(K1465,4)="CTAX",LEFT(K1465,2)="W|"),2*N1465*O1465,0)</f>
        <v/>
      </c>
      <c r="Z1465" s="9" t="inlineStr"/>
    </row>
    <row r="1466">
      <c r="A1466" s="9" t="inlineStr">
        <is>
          <t>G-C-0047</t>
        </is>
      </c>
      <c r="B1466" s="9" t="inlineStr">
        <is>
          <t>G</t>
        </is>
      </c>
      <c r="C1466" s="9" t="inlineStr">
        <is>
          <t>Carbon capture</t>
        </is>
      </c>
      <c r="D1466" s="9" t="inlineStr">
        <is>
          <t>Control</t>
        </is>
      </c>
      <c r="E1466" s="9" t="inlineStr"/>
      <c r="F1466" s="9" t="inlineStr">
        <is>
          <t>CCS F&amp;G / control</t>
        </is>
      </c>
      <c r="G1466" s="9" t="inlineStr"/>
      <c r="H1466" s="9" t="inlineStr">
        <is>
          <t>CO2 compression 3 x ~19 MW + dehydration</t>
        </is>
      </c>
      <c r="I1466" s="9" t="inlineStr">
        <is>
          <t>Control</t>
        </is>
      </c>
      <c r="J1466" s="9" t="inlineStr">
        <is>
          <t>Control cable 600 V Type TC-ER, Cu #14 AWG, PVC jacket</t>
        </is>
      </c>
      <c r="K1466" s="9" t="inlineStr">
        <is>
          <t>CT|7/C|14</t>
        </is>
      </c>
      <c r="L1466" s="9" t="inlineStr">
        <is>
          <t>7/C</t>
        </is>
      </c>
      <c r="M1466" s="9" t="inlineStr">
        <is>
          <t>14</t>
        </is>
      </c>
      <c r="N1466" s="9" t="n">
        <v>1</v>
      </c>
      <c r="O1466" s="9" t="n">
        <v>1</v>
      </c>
      <c r="P1466" s="9" t="n"/>
      <c r="Q1466" s="9" t="n"/>
      <c r="R1466" s="9" t="n"/>
      <c r="S1466" s="9" t="inlineStr">
        <is>
          <t>Duct bank</t>
        </is>
      </c>
      <c r="T1466" s="10" t="n">
        <v>183</v>
      </c>
      <c r="U1466" s="10" t="n">
        <v>105</v>
      </c>
      <c r="V1466" s="10">
        <f>ROUNDUP((T1466+U1466+2*'Read Me'!$B$13)*(1+'Read Me'!$B$12),-1)</f>
        <v/>
      </c>
      <c r="W1466" s="10">
        <f>V1466*N1466*O1466</f>
        <v/>
      </c>
      <c r="X1466" s="9">
        <f>IF(LEFT(I1466,2)="MV",2*N1466*IF(L1466="1/C",O1466,1),0)</f>
        <v/>
      </c>
      <c r="Y1466" s="9">
        <f>IF(OR(LEFT(K1466,4)="LVAX",LEFT(K1466,6)="MV15AX",LEFT(K1466,4)="CTAX",LEFT(K1466,2)="W|"),2*N1466*O1466,0)</f>
        <v/>
      </c>
      <c r="Z1466" s="9" t="inlineStr"/>
    </row>
    <row r="1467">
      <c r="A1467" s="9" t="inlineStr">
        <is>
          <t>G-C-0048</t>
        </is>
      </c>
      <c r="B1467" s="9" t="inlineStr">
        <is>
          <t>G</t>
        </is>
      </c>
      <c r="C1467" s="9" t="inlineStr">
        <is>
          <t>Carbon capture</t>
        </is>
      </c>
      <c r="D1467" s="9" t="inlineStr">
        <is>
          <t>Control</t>
        </is>
      </c>
      <c r="E1467" s="9" t="inlineStr"/>
      <c r="F1467" s="9" t="inlineStr">
        <is>
          <t>CCS F&amp;G / control</t>
        </is>
      </c>
      <c r="G1467" s="9" t="inlineStr"/>
      <c r="H1467" s="9" t="inlineStr">
        <is>
          <t>CO2 compression 3 x ~19 MW + dehydration</t>
        </is>
      </c>
      <c r="I1467" s="9" t="inlineStr">
        <is>
          <t>Control</t>
        </is>
      </c>
      <c r="J1467" s="9" t="inlineStr">
        <is>
          <t>Control cable 600 V Type TC-ER, Cu #14 AWG, PVC jacket</t>
        </is>
      </c>
      <c r="K1467" s="9" t="inlineStr">
        <is>
          <t>CT|12/C|14</t>
        </is>
      </c>
      <c r="L1467" s="9" t="inlineStr">
        <is>
          <t>12/C</t>
        </is>
      </c>
      <c r="M1467" s="9" t="inlineStr">
        <is>
          <t>14</t>
        </is>
      </c>
      <c r="N1467" s="9" t="n">
        <v>1</v>
      </c>
      <c r="O1467" s="9" t="n">
        <v>1</v>
      </c>
      <c r="P1467" s="9" t="n"/>
      <c r="Q1467" s="9" t="n"/>
      <c r="R1467" s="9" t="n"/>
      <c r="S1467" s="9" t="inlineStr">
        <is>
          <t>Duct bank</t>
        </is>
      </c>
      <c r="T1467" s="10" t="n">
        <v>183</v>
      </c>
      <c r="U1467" s="10" t="n">
        <v>105</v>
      </c>
      <c r="V1467" s="10">
        <f>ROUNDUP((T1467+U1467+2*'Read Me'!$B$13)*(1+'Read Me'!$B$12),-1)</f>
        <v/>
      </c>
      <c r="W1467" s="10">
        <f>V1467*N1467*O1467</f>
        <v/>
      </c>
      <c r="X1467" s="9">
        <f>IF(LEFT(I1467,2)="MV",2*N1467*IF(L1467="1/C",O1467,1),0)</f>
        <v/>
      </c>
      <c r="Y1467" s="9">
        <f>IF(OR(LEFT(K1467,4)="LVAX",LEFT(K1467,6)="MV15AX",LEFT(K1467,4)="CTAX",LEFT(K1467,2)="W|"),2*N1467*O1467,0)</f>
        <v/>
      </c>
      <c r="Z1467" s="9" t="inlineStr"/>
    </row>
    <row r="1468">
      <c r="A1468" s="9" t="inlineStr">
        <is>
          <t>G-C-0049</t>
        </is>
      </c>
      <c r="B1468" s="9" t="inlineStr">
        <is>
          <t>G</t>
        </is>
      </c>
      <c r="C1468" s="9" t="inlineStr">
        <is>
          <t>Carbon capture</t>
        </is>
      </c>
      <c r="D1468" s="9" t="inlineStr">
        <is>
          <t>Control</t>
        </is>
      </c>
      <c r="E1468" s="9" t="inlineStr"/>
      <c r="F1468" s="9" t="inlineStr">
        <is>
          <t>CCS F&amp;G / control</t>
        </is>
      </c>
      <c r="G1468" s="9" t="inlineStr"/>
      <c r="H1468" s="9" t="inlineStr">
        <is>
          <t>CO2 compression 3 x ~19 MW + dehydration</t>
        </is>
      </c>
      <c r="I1468" s="9" t="inlineStr">
        <is>
          <t>Control</t>
        </is>
      </c>
      <c r="J1468" s="9" t="inlineStr">
        <is>
          <t>Control cable 600 V Type TC-ER, Cu #14 AWG, PVC jacket</t>
        </is>
      </c>
      <c r="K1468" s="9" t="inlineStr">
        <is>
          <t>CT|12/C|14</t>
        </is>
      </c>
      <c r="L1468" s="9" t="inlineStr">
        <is>
          <t>12/C</t>
        </is>
      </c>
      <c r="M1468" s="9" t="inlineStr">
        <is>
          <t>14</t>
        </is>
      </c>
      <c r="N1468" s="9" t="n">
        <v>1</v>
      </c>
      <c r="O1468" s="9" t="n">
        <v>1</v>
      </c>
      <c r="P1468" s="9" t="n"/>
      <c r="Q1468" s="9" t="n"/>
      <c r="R1468" s="9" t="n"/>
      <c r="S1468" s="9" t="inlineStr">
        <is>
          <t>Duct bank</t>
        </is>
      </c>
      <c r="T1468" s="10" t="n">
        <v>183</v>
      </c>
      <c r="U1468" s="10" t="n">
        <v>105</v>
      </c>
      <c r="V1468" s="10">
        <f>ROUNDUP((T1468+U1468+2*'Read Me'!$B$13)*(1+'Read Me'!$B$12),-1)</f>
        <v/>
      </c>
      <c r="W1468" s="10">
        <f>V1468*N1468*O1468</f>
        <v/>
      </c>
      <c r="X1468" s="9">
        <f>IF(LEFT(I1468,2)="MV",2*N1468*IF(L1468="1/C",O1468,1),0)</f>
        <v/>
      </c>
      <c r="Y1468" s="9">
        <f>IF(OR(LEFT(K1468,4)="LVAX",LEFT(K1468,6)="MV15AX",LEFT(K1468,4)="CTAX",LEFT(K1468,2)="W|"),2*N1468*O1468,0)</f>
        <v/>
      </c>
      <c r="Z1468" s="9" t="inlineStr"/>
    </row>
    <row r="1469">
      <c r="A1469" s="9" t="inlineStr">
        <is>
          <t>G-C-0050</t>
        </is>
      </c>
      <c r="B1469" s="9" t="inlineStr">
        <is>
          <t>G</t>
        </is>
      </c>
      <c r="C1469" s="9" t="inlineStr">
        <is>
          <t>Carbon capture</t>
        </is>
      </c>
      <c r="D1469" s="9" t="inlineStr">
        <is>
          <t>Control</t>
        </is>
      </c>
      <c r="E1469" s="9" t="inlineStr"/>
      <c r="F1469" s="9" t="inlineStr">
        <is>
          <t>CCS F&amp;G / control</t>
        </is>
      </c>
      <c r="G1469" s="9" t="inlineStr"/>
      <c r="H1469" s="9" t="inlineStr">
        <is>
          <t>CO2 compression 3 x ~19 MW + dehydration</t>
        </is>
      </c>
      <c r="I1469" s="9" t="inlineStr">
        <is>
          <t>Control</t>
        </is>
      </c>
      <c r="J1469" s="9" t="inlineStr">
        <is>
          <t>Control cable 600 V Type TC-ER, Cu #14 AWG, PVC jacket</t>
        </is>
      </c>
      <c r="K1469" s="9" t="inlineStr">
        <is>
          <t>CT|12/C|14</t>
        </is>
      </c>
      <c r="L1469" s="9" t="inlineStr">
        <is>
          <t>12/C</t>
        </is>
      </c>
      <c r="M1469" s="9" t="inlineStr">
        <is>
          <t>14</t>
        </is>
      </c>
      <c r="N1469" s="9" t="n">
        <v>1</v>
      </c>
      <c r="O1469" s="9" t="n">
        <v>1</v>
      </c>
      <c r="P1469" s="9" t="n"/>
      <c r="Q1469" s="9" t="n"/>
      <c r="R1469" s="9" t="n"/>
      <c r="S1469" s="9" t="inlineStr">
        <is>
          <t>Duct bank</t>
        </is>
      </c>
      <c r="T1469" s="10" t="n">
        <v>183</v>
      </c>
      <c r="U1469" s="10" t="n">
        <v>105</v>
      </c>
      <c r="V1469" s="10">
        <f>ROUNDUP((T1469+U1469+2*'Read Me'!$B$13)*(1+'Read Me'!$B$12),-1)</f>
        <v/>
      </c>
      <c r="W1469" s="10">
        <f>V1469*N1469*O1469</f>
        <v/>
      </c>
      <c r="X1469" s="9">
        <f>IF(LEFT(I1469,2)="MV",2*N1469*IF(L1469="1/C",O1469,1),0)</f>
        <v/>
      </c>
      <c r="Y1469" s="9">
        <f>IF(OR(LEFT(K1469,4)="LVAX",LEFT(K1469,6)="MV15AX",LEFT(K1469,4)="CTAX",LEFT(K1469,2)="W|"),2*N1469*O1469,0)</f>
        <v/>
      </c>
      <c r="Z1469" s="9" t="inlineStr"/>
    </row>
    <row r="1470">
      <c r="A1470" s="9" t="inlineStr">
        <is>
          <t>G-C-0051</t>
        </is>
      </c>
      <c r="B1470" s="9" t="inlineStr">
        <is>
          <t>G</t>
        </is>
      </c>
      <c r="C1470" s="9" t="inlineStr">
        <is>
          <t>Carbon capture</t>
        </is>
      </c>
      <c r="D1470" s="9" t="inlineStr">
        <is>
          <t>Control</t>
        </is>
      </c>
      <c r="E1470" s="9" t="inlineStr"/>
      <c r="F1470" s="9" t="inlineStr">
        <is>
          <t>CCS F&amp;G / control</t>
        </is>
      </c>
      <c r="G1470" s="9" t="inlineStr"/>
      <c r="H1470" s="9" t="inlineStr">
        <is>
          <t>CO2 compression 3 x ~19 MW + dehydration</t>
        </is>
      </c>
      <c r="I1470" s="9" t="inlineStr">
        <is>
          <t>Control</t>
        </is>
      </c>
      <c r="J1470" s="9" t="inlineStr">
        <is>
          <t>Control cable 600 V Type TC-ER, Cu #14 AWG, PVC jacket</t>
        </is>
      </c>
      <c r="K1470" s="9" t="inlineStr">
        <is>
          <t>CT|12/C|14</t>
        </is>
      </c>
      <c r="L1470" s="9" t="inlineStr">
        <is>
          <t>12/C</t>
        </is>
      </c>
      <c r="M1470" s="9" t="inlineStr">
        <is>
          <t>14</t>
        </is>
      </c>
      <c r="N1470" s="9" t="n">
        <v>1</v>
      </c>
      <c r="O1470" s="9" t="n">
        <v>1</v>
      </c>
      <c r="P1470" s="9" t="n"/>
      <c r="Q1470" s="9" t="n"/>
      <c r="R1470" s="9" t="n"/>
      <c r="S1470" s="9" t="inlineStr">
        <is>
          <t>Duct bank</t>
        </is>
      </c>
      <c r="T1470" s="10" t="n">
        <v>183</v>
      </c>
      <c r="U1470" s="10" t="n">
        <v>105</v>
      </c>
      <c r="V1470" s="10">
        <f>ROUNDUP((T1470+U1470+2*'Read Me'!$B$13)*(1+'Read Me'!$B$12),-1)</f>
        <v/>
      </c>
      <c r="W1470" s="10">
        <f>V1470*N1470*O1470</f>
        <v/>
      </c>
      <c r="X1470" s="9">
        <f>IF(LEFT(I1470,2)="MV",2*N1470*IF(L1470="1/C",O1470,1),0)</f>
        <v/>
      </c>
      <c r="Y1470" s="9">
        <f>IF(OR(LEFT(K1470,4)="LVAX",LEFT(K1470,6)="MV15AX",LEFT(K1470,4)="CTAX",LEFT(K1470,2)="W|"),2*N1470*O1470,0)</f>
        <v/>
      </c>
      <c r="Z1470" s="9" t="inlineStr"/>
    </row>
    <row r="1471">
      <c r="A1471" s="9" t="inlineStr">
        <is>
          <t>G-C-0052</t>
        </is>
      </c>
      <c r="B1471" s="9" t="inlineStr">
        <is>
          <t>G</t>
        </is>
      </c>
      <c r="C1471" s="9" t="inlineStr">
        <is>
          <t>Carbon capture</t>
        </is>
      </c>
      <c r="D1471" s="9" t="inlineStr">
        <is>
          <t>Control</t>
        </is>
      </c>
      <c r="E1471" s="9" t="inlineStr"/>
      <c r="F1471" s="9" t="inlineStr">
        <is>
          <t>CCS F&amp;G / control</t>
        </is>
      </c>
      <c r="G1471" s="9" t="inlineStr"/>
      <c r="H1471" s="9" t="inlineStr">
        <is>
          <t>CO2 compression 3 x ~19 MW + dehydration</t>
        </is>
      </c>
      <c r="I1471" s="9" t="inlineStr">
        <is>
          <t>Control</t>
        </is>
      </c>
      <c r="J1471" s="9" t="inlineStr">
        <is>
          <t>Control cable 600 V Type TC-ER, Cu #14 AWG, PVC jacket</t>
        </is>
      </c>
      <c r="K1471" s="9" t="inlineStr">
        <is>
          <t>CT|12/C|14</t>
        </is>
      </c>
      <c r="L1471" s="9" t="inlineStr">
        <is>
          <t>12/C</t>
        </is>
      </c>
      <c r="M1471" s="9" t="inlineStr">
        <is>
          <t>14</t>
        </is>
      </c>
      <c r="N1471" s="9" t="n">
        <v>1</v>
      </c>
      <c r="O1471" s="9" t="n">
        <v>1</v>
      </c>
      <c r="P1471" s="9" t="n"/>
      <c r="Q1471" s="9" t="n"/>
      <c r="R1471" s="9" t="n"/>
      <c r="S1471" s="9" t="inlineStr">
        <is>
          <t>Duct bank</t>
        </is>
      </c>
      <c r="T1471" s="10" t="n">
        <v>183</v>
      </c>
      <c r="U1471" s="10" t="n">
        <v>105</v>
      </c>
      <c r="V1471" s="10">
        <f>ROUNDUP((T1471+U1471+2*'Read Me'!$B$13)*(1+'Read Me'!$B$12),-1)</f>
        <v/>
      </c>
      <c r="W1471" s="10">
        <f>V1471*N1471*O1471</f>
        <v/>
      </c>
      <c r="X1471" s="9">
        <f>IF(LEFT(I1471,2)="MV",2*N1471*IF(L1471="1/C",O1471,1),0)</f>
        <v/>
      </c>
      <c r="Y1471" s="9">
        <f>IF(OR(LEFT(K1471,4)="LVAX",LEFT(K1471,6)="MV15AX",LEFT(K1471,4)="CTAX",LEFT(K1471,2)="W|"),2*N1471*O1471,0)</f>
        <v/>
      </c>
      <c r="Z1471" s="9" t="inlineStr"/>
    </row>
    <row r="1472">
      <c r="A1472" s="9" t="inlineStr">
        <is>
          <t>G-C-0053</t>
        </is>
      </c>
      <c r="B1472" s="9" t="inlineStr">
        <is>
          <t>G</t>
        </is>
      </c>
      <c r="C1472" s="9" t="inlineStr">
        <is>
          <t>Carbon capture</t>
        </is>
      </c>
      <c r="D1472" s="9" t="inlineStr">
        <is>
          <t>Control</t>
        </is>
      </c>
      <c r="E1472" s="9" t="inlineStr"/>
      <c r="F1472" s="9" t="inlineStr">
        <is>
          <t>CCS F&amp;G / control</t>
        </is>
      </c>
      <c r="G1472" s="9" t="inlineStr"/>
      <c r="H1472" s="9" t="inlineStr">
        <is>
          <t>CO2 compression 3 x ~19 MW + dehydration</t>
        </is>
      </c>
      <c r="I1472" s="9" t="inlineStr">
        <is>
          <t>Control</t>
        </is>
      </c>
      <c r="J1472" s="9" t="inlineStr">
        <is>
          <t>Control cable 600 V Type TC-ER, Cu #14 AWG, PVC jacket</t>
        </is>
      </c>
      <c r="K1472" s="9" t="inlineStr">
        <is>
          <t>CT|12/C|14</t>
        </is>
      </c>
      <c r="L1472" s="9" t="inlineStr">
        <is>
          <t>12/C</t>
        </is>
      </c>
      <c r="M1472" s="9" t="inlineStr">
        <is>
          <t>14</t>
        </is>
      </c>
      <c r="N1472" s="9" t="n">
        <v>1</v>
      </c>
      <c r="O1472" s="9" t="n">
        <v>1</v>
      </c>
      <c r="P1472" s="9" t="n"/>
      <c r="Q1472" s="9" t="n"/>
      <c r="R1472" s="9" t="n"/>
      <c r="S1472" s="9" t="inlineStr">
        <is>
          <t>Duct bank</t>
        </is>
      </c>
      <c r="T1472" s="10" t="n">
        <v>183</v>
      </c>
      <c r="U1472" s="10" t="n">
        <v>105</v>
      </c>
      <c r="V1472" s="10">
        <f>ROUNDUP((T1472+U1472+2*'Read Me'!$B$13)*(1+'Read Me'!$B$12),-1)</f>
        <v/>
      </c>
      <c r="W1472" s="10">
        <f>V1472*N1472*O1472</f>
        <v/>
      </c>
      <c r="X1472" s="9">
        <f>IF(LEFT(I1472,2)="MV",2*N1472*IF(L1472="1/C",O1472,1),0)</f>
        <v/>
      </c>
      <c r="Y1472" s="9">
        <f>IF(OR(LEFT(K1472,4)="LVAX",LEFT(K1472,6)="MV15AX",LEFT(K1472,4)="CTAX",LEFT(K1472,2)="W|"),2*N1472*O1472,0)</f>
        <v/>
      </c>
      <c r="Z1472" s="9" t="inlineStr"/>
    </row>
    <row r="1473">
      <c r="A1473" s="9" t="inlineStr">
        <is>
          <t>G-C-0054</t>
        </is>
      </c>
      <c r="B1473" s="9" t="inlineStr">
        <is>
          <t>G</t>
        </is>
      </c>
      <c r="C1473" s="9" t="inlineStr">
        <is>
          <t>Carbon capture</t>
        </is>
      </c>
      <c r="D1473" s="9" t="inlineStr">
        <is>
          <t>Control</t>
        </is>
      </c>
      <c r="E1473" s="9" t="inlineStr"/>
      <c r="F1473" s="9" t="inlineStr">
        <is>
          <t>CCS F&amp;G / control</t>
        </is>
      </c>
      <c r="G1473" s="9" t="inlineStr"/>
      <c r="H1473" s="9" t="inlineStr">
        <is>
          <t>CO2 dehydration: molecular-sieve towers and regeneration heater</t>
        </is>
      </c>
      <c r="I1473" s="9" t="inlineStr">
        <is>
          <t>Control</t>
        </is>
      </c>
      <c r="J1473" s="9" t="inlineStr">
        <is>
          <t>Control cable 600 V Type TC-ER, Cu #14 AWG, PVC jacket</t>
        </is>
      </c>
      <c r="K1473" s="9" t="inlineStr">
        <is>
          <t>CT|7/C|14</t>
        </is>
      </c>
      <c r="L1473" s="9" t="inlineStr">
        <is>
          <t>7/C</t>
        </is>
      </c>
      <c r="M1473" s="9" t="inlineStr">
        <is>
          <t>14</t>
        </is>
      </c>
      <c r="N1473" s="9" t="n">
        <v>1</v>
      </c>
      <c r="O1473" s="9" t="n">
        <v>1</v>
      </c>
      <c r="P1473" s="9" t="n"/>
      <c r="Q1473" s="9" t="n"/>
      <c r="R1473" s="9" t="n"/>
      <c r="S1473" s="9" t="inlineStr">
        <is>
          <t>Duct bank</t>
        </is>
      </c>
      <c r="T1473" s="10" t="n">
        <v>197</v>
      </c>
      <c r="U1473" s="10" t="n">
        <v>229</v>
      </c>
      <c r="V1473" s="10">
        <f>ROUNDUP((T1473+U1473+2*'Read Me'!$B$13)*(1+'Read Me'!$B$12),-1)</f>
        <v/>
      </c>
      <c r="W1473" s="10">
        <f>V1473*N1473*O1473</f>
        <v/>
      </c>
      <c r="X1473" s="9">
        <f>IF(LEFT(I1473,2)="MV",2*N1473*IF(L1473="1/C",O1473,1),0)</f>
        <v/>
      </c>
      <c r="Y1473" s="9">
        <f>IF(OR(LEFT(K1473,4)="LVAX",LEFT(K1473,6)="MV15AX",LEFT(K1473,4)="CTAX",LEFT(K1473,2)="W|"),2*N1473*O1473,0)</f>
        <v/>
      </c>
      <c r="Z1473" s="9" t="inlineStr"/>
    </row>
    <row r="1474">
      <c r="A1474" s="9" t="inlineStr">
        <is>
          <t>G-C-0055</t>
        </is>
      </c>
      <c r="B1474" s="9" t="inlineStr">
        <is>
          <t>G</t>
        </is>
      </c>
      <c r="C1474" s="9" t="inlineStr">
        <is>
          <t>Carbon capture</t>
        </is>
      </c>
      <c r="D1474" s="9" t="inlineStr">
        <is>
          <t>Control</t>
        </is>
      </c>
      <c r="E1474" s="9" t="inlineStr"/>
      <c r="F1474" s="9" t="inlineStr">
        <is>
          <t>CCS F&amp;G / control</t>
        </is>
      </c>
      <c r="G1474" s="9" t="inlineStr"/>
      <c r="H1474" s="9" t="inlineStr">
        <is>
          <t>CONDITIONAL: HP export compressor + metering</t>
        </is>
      </c>
      <c r="I1474" s="9" t="inlineStr">
        <is>
          <t>Control</t>
        </is>
      </c>
      <c r="J1474" s="9" t="inlineStr">
        <is>
          <t>ARMOR-X MC-HL 600 V control, Cu #14 AWG (Class I Div 2)</t>
        </is>
      </c>
      <c r="K1474" s="9" t="inlineStr">
        <is>
          <t>CTAX|7/C|14</t>
        </is>
      </c>
      <c r="L1474" s="9" t="inlineStr">
        <is>
          <t>7/C</t>
        </is>
      </c>
      <c r="M1474" s="9" t="inlineStr">
        <is>
          <t>14</t>
        </is>
      </c>
      <c r="N1474" s="9" t="n">
        <v>1</v>
      </c>
      <c r="O1474" s="9" t="n">
        <v>1</v>
      </c>
      <c r="P1474" s="9" t="n"/>
      <c r="Q1474" s="9" t="n"/>
      <c r="R1474" s="9" t="n"/>
      <c r="S1474" s="9" t="inlineStr">
        <is>
          <t>Duct bank</t>
        </is>
      </c>
      <c r="T1474" s="10" t="n">
        <v>144</v>
      </c>
      <c r="U1474" s="10" t="n">
        <v>154</v>
      </c>
      <c r="V1474" s="10">
        <f>ROUNDUP((T1474+U1474+2*'Read Me'!$B$13)*(1+'Read Me'!$B$12),-1)</f>
        <v/>
      </c>
      <c r="W1474" s="10">
        <f>V1474*N1474*O1474</f>
        <v/>
      </c>
      <c r="X1474" s="9">
        <f>IF(LEFT(I1474,2)="MV",2*N1474*IF(L1474="1/C",O1474,1),0)</f>
        <v/>
      </c>
      <c r="Y1474" s="9">
        <f>IF(OR(LEFT(K1474,4)="LVAX",LEFT(K1474,6)="MV15AX",LEFT(K1474,4)="CTAX",LEFT(K1474,2)="W|"),2*N1474*O1474,0)</f>
        <v/>
      </c>
      <c r="Z1474" s="9" t="inlineStr"/>
    </row>
    <row r="1475">
      <c r="A1475" s="9" t="inlineStr">
        <is>
          <t>G-C-0056</t>
        </is>
      </c>
      <c r="B1475" s="9" t="inlineStr">
        <is>
          <t>G</t>
        </is>
      </c>
      <c r="C1475" s="9" t="inlineStr">
        <is>
          <t>Carbon capture</t>
        </is>
      </c>
      <c r="D1475" s="9" t="inlineStr">
        <is>
          <t>Control</t>
        </is>
      </c>
      <c r="E1475" s="9" t="inlineStr"/>
      <c r="F1475" s="9" t="inlineStr">
        <is>
          <t>CCS F&amp;G / control</t>
        </is>
      </c>
      <c r="G1475" s="9" t="inlineStr"/>
      <c r="H1475" s="9" t="inlineStr">
        <is>
          <t>DCC-A pumps + water filter</t>
        </is>
      </c>
      <c r="I1475" s="9" t="inlineStr">
        <is>
          <t>Control</t>
        </is>
      </c>
      <c r="J1475" s="9" t="inlineStr">
        <is>
          <t>Control cable 600 V Type TC-ER, Cu #14 AWG, PVC jacket</t>
        </is>
      </c>
      <c r="K1475" s="9" t="inlineStr">
        <is>
          <t>CT|7/C|14</t>
        </is>
      </c>
      <c r="L1475" s="9" t="inlineStr">
        <is>
          <t>7/C</t>
        </is>
      </c>
      <c r="M1475" s="9" t="inlineStr">
        <is>
          <t>14</t>
        </is>
      </c>
      <c r="N1475" s="9" t="n">
        <v>1</v>
      </c>
      <c r="O1475" s="9" t="n">
        <v>1</v>
      </c>
      <c r="P1475" s="9" t="n"/>
      <c r="Q1475" s="9" t="n"/>
      <c r="R1475" s="9" t="n"/>
      <c r="S1475" s="9" t="inlineStr">
        <is>
          <t>Tray</t>
        </is>
      </c>
      <c r="T1475" s="10" t="n">
        <v>918</v>
      </c>
      <c r="U1475" s="10" t="n">
        <v>203</v>
      </c>
      <c r="V1475" s="10">
        <f>ROUNDUP((T1475+U1475+2*'Read Me'!$B$13)*(1+'Read Me'!$B$12),-1)</f>
        <v/>
      </c>
      <c r="W1475" s="10">
        <f>V1475*N1475*O1475</f>
        <v/>
      </c>
      <c r="X1475" s="9">
        <f>IF(LEFT(I1475,2)="MV",2*N1475*IF(L1475="1/C",O1475,1),0)</f>
        <v/>
      </c>
      <c r="Y1475" s="9">
        <f>IF(OR(LEFT(K1475,4)="LVAX",LEFT(K1475,6)="MV15AX",LEFT(K1475,4)="CTAX",LEFT(K1475,2)="W|"),2*N1475*O1475,0)</f>
        <v/>
      </c>
      <c r="Z1475" s="9" t="inlineStr"/>
    </row>
    <row r="1476">
      <c r="A1476" s="9" t="inlineStr">
        <is>
          <t>G-C-0057</t>
        </is>
      </c>
      <c r="B1476" s="9" t="inlineStr">
        <is>
          <t>G</t>
        </is>
      </c>
      <c r="C1476" s="9" t="inlineStr">
        <is>
          <t>Carbon capture</t>
        </is>
      </c>
      <c r="D1476" s="9" t="inlineStr">
        <is>
          <t>Control</t>
        </is>
      </c>
      <c r="E1476" s="9" t="inlineStr"/>
      <c r="F1476" s="9" t="inlineStr">
        <is>
          <t>CCS F&amp;G / control</t>
        </is>
      </c>
      <c r="G1476" s="9" t="inlineStr">
        <is>
          <t>DCC-A</t>
        </is>
      </c>
      <c r="H1476" s="9" t="inlineStr">
        <is>
          <t>DCC-A: direct-contact cooler (quench)</t>
        </is>
      </c>
      <c r="I1476" s="9" t="inlineStr">
        <is>
          <t>Control</t>
        </is>
      </c>
      <c r="J1476" s="9" t="inlineStr">
        <is>
          <t>Control cable 600 V Type TC-ER, Cu #14 AWG, PVC jacket</t>
        </is>
      </c>
      <c r="K1476" s="9" t="inlineStr">
        <is>
          <t>CT|7/C|14</t>
        </is>
      </c>
      <c r="L1476" s="9" t="inlineStr">
        <is>
          <t>7/C</t>
        </is>
      </c>
      <c r="M1476" s="9" t="inlineStr">
        <is>
          <t>14</t>
        </is>
      </c>
      <c r="N1476" s="9" t="n">
        <v>1</v>
      </c>
      <c r="O1476" s="9" t="n">
        <v>1</v>
      </c>
      <c r="P1476" s="9" t="n"/>
      <c r="Q1476" s="9" t="n"/>
      <c r="R1476" s="9" t="n"/>
      <c r="S1476" s="9" t="inlineStr">
        <is>
          <t>Duct bank</t>
        </is>
      </c>
      <c r="T1476" s="10" t="n">
        <v>871</v>
      </c>
      <c r="U1476" s="10" t="n">
        <v>128</v>
      </c>
      <c r="V1476" s="10">
        <f>ROUNDUP((T1476+U1476+2*'Read Me'!$B$13)*(1+'Read Me'!$B$12),-1)</f>
        <v/>
      </c>
      <c r="W1476" s="10">
        <f>V1476*N1476*O1476</f>
        <v/>
      </c>
      <c r="X1476" s="9">
        <f>IF(LEFT(I1476,2)="MV",2*N1476*IF(L1476="1/C",O1476,1),0)</f>
        <v/>
      </c>
      <c r="Y1476" s="9">
        <f>IF(OR(LEFT(K1476,4)="LVAX",LEFT(K1476,6)="MV15AX",LEFT(K1476,4)="CTAX",LEFT(K1476,2)="W|"),2*N1476*O1476,0)</f>
        <v/>
      </c>
      <c r="Z1476" s="9" t="inlineStr"/>
    </row>
    <row r="1477">
      <c r="A1477" s="9" t="inlineStr">
        <is>
          <t>G-C-0058</t>
        </is>
      </c>
      <c r="B1477" s="9" t="inlineStr">
        <is>
          <t>G</t>
        </is>
      </c>
      <c r="C1477" s="9" t="inlineStr">
        <is>
          <t>Carbon capture</t>
        </is>
      </c>
      <c r="D1477" s="9" t="inlineStr">
        <is>
          <t>Control</t>
        </is>
      </c>
      <c r="E1477" s="9" t="inlineStr"/>
      <c r="F1477" s="9" t="inlineStr">
        <is>
          <t>CCS F&amp;G / control</t>
        </is>
      </c>
      <c r="G1477" s="9" t="inlineStr"/>
      <c r="H1477" s="9" t="inlineStr">
        <is>
          <t>DCC-B pumps + water filter</t>
        </is>
      </c>
      <c r="I1477" s="9" t="inlineStr">
        <is>
          <t>Control</t>
        </is>
      </c>
      <c r="J1477" s="9" t="inlineStr">
        <is>
          <t>Control cable 600 V Type TC-ER, Cu #14 AWG, PVC jacket</t>
        </is>
      </c>
      <c r="K1477" s="9" t="inlineStr">
        <is>
          <t>CT|7/C|14</t>
        </is>
      </c>
      <c r="L1477" s="9" t="inlineStr">
        <is>
          <t>7/C</t>
        </is>
      </c>
      <c r="M1477" s="9" t="inlineStr">
        <is>
          <t>14</t>
        </is>
      </c>
      <c r="N1477" s="9" t="n">
        <v>1</v>
      </c>
      <c r="O1477" s="9" t="n">
        <v>1</v>
      </c>
      <c r="P1477" s="9" t="n"/>
      <c r="Q1477" s="9" t="n"/>
      <c r="R1477" s="9" t="n"/>
      <c r="S1477" s="9" t="inlineStr">
        <is>
          <t>Tray</t>
        </is>
      </c>
      <c r="T1477" s="10" t="n">
        <v>818</v>
      </c>
      <c r="U1477" s="10" t="n">
        <v>161</v>
      </c>
      <c r="V1477" s="10">
        <f>ROUNDUP((T1477+U1477+2*'Read Me'!$B$13)*(1+'Read Me'!$B$12),-1)</f>
        <v/>
      </c>
      <c r="W1477" s="10">
        <f>V1477*N1477*O1477</f>
        <v/>
      </c>
      <c r="X1477" s="9">
        <f>IF(LEFT(I1477,2)="MV",2*N1477*IF(L1477="1/C",O1477,1),0)</f>
        <v/>
      </c>
      <c r="Y1477" s="9">
        <f>IF(OR(LEFT(K1477,4)="LVAX",LEFT(K1477,6)="MV15AX",LEFT(K1477,4)="CTAX",LEFT(K1477,2)="W|"),2*N1477*O1477,0)</f>
        <v/>
      </c>
      <c r="Z1477" s="9" t="inlineStr"/>
    </row>
    <row r="1478">
      <c r="A1478" s="9" t="inlineStr">
        <is>
          <t>G-C-0059</t>
        </is>
      </c>
      <c r="B1478" s="9" t="inlineStr">
        <is>
          <t>G</t>
        </is>
      </c>
      <c r="C1478" s="9" t="inlineStr">
        <is>
          <t>Carbon capture</t>
        </is>
      </c>
      <c r="D1478" s="9" t="inlineStr">
        <is>
          <t>Control</t>
        </is>
      </c>
      <c r="E1478" s="9" t="inlineStr"/>
      <c r="F1478" s="9" t="inlineStr">
        <is>
          <t>CCS F&amp;G / control</t>
        </is>
      </c>
      <c r="G1478" s="9" t="inlineStr">
        <is>
          <t>DCC-B</t>
        </is>
      </c>
      <c r="H1478" s="9" t="inlineStr">
        <is>
          <t>DCC-B: direct-contact cooler (quench)</t>
        </is>
      </c>
      <c r="I1478" s="9" t="inlineStr">
        <is>
          <t>Control</t>
        </is>
      </c>
      <c r="J1478" s="9" t="inlineStr">
        <is>
          <t>Control cable 600 V Type TC-ER, Cu #14 AWG, PVC jacket</t>
        </is>
      </c>
      <c r="K1478" s="9" t="inlineStr">
        <is>
          <t>CT|7/C|14</t>
        </is>
      </c>
      <c r="L1478" s="9" t="inlineStr">
        <is>
          <t>7/C</t>
        </is>
      </c>
      <c r="M1478" s="9" t="inlineStr">
        <is>
          <t>14</t>
        </is>
      </c>
      <c r="N1478" s="9" t="n">
        <v>1</v>
      </c>
      <c r="O1478" s="9" t="n">
        <v>1</v>
      </c>
      <c r="P1478" s="9" t="n"/>
      <c r="Q1478" s="9" t="n"/>
      <c r="R1478" s="9" t="n"/>
      <c r="S1478" s="9" t="inlineStr">
        <is>
          <t>Duct bank</t>
        </is>
      </c>
      <c r="T1478" s="10" t="n">
        <v>711</v>
      </c>
      <c r="U1478" s="10" t="n">
        <v>128</v>
      </c>
      <c r="V1478" s="10">
        <f>ROUNDUP((T1478+U1478+2*'Read Me'!$B$13)*(1+'Read Me'!$B$12),-1)</f>
        <v/>
      </c>
      <c r="W1478" s="10">
        <f>V1478*N1478*O1478</f>
        <v/>
      </c>
      <c r="X1478" s="9">
        <f>IF(LEFT(I1478,2)="MV",2*N1478*IF(L1478="1/C",O1478,1),0)</f>
        <v/>
      </c>
      <c r="Y1478" s="9">
        <f>IF(OR(LEFT(K1478,4)="LVAX",LEFT(K1478,6)="MV15AX",LEFT(K1478,4)="CTAX",LEFT(K1478,2)="W|"),2*N1478*O1478,0)</f>
        <v/>
      </c>
      <c r="Z1478" s="9" t="inlineStr"/>
    </row>
    <row r="1479">
      <c r="A1479" s="9" t="inlineStr">
        <is>
          <t>G-C-0060</t>
        </is>
      </c>
      <c r="B1479" s="9" t="inlineStr">
        <is>
          <t>G</t>
        </is>
      </c>
      <c r="C1479" s="9" t="inlineStr">
        <is>
          <t>Carbon capture</t>
        </is>
      </c>
      <c r="D1479" s="9" t="inlineStr">
        <is>
          <t>Control</t>
        </is>
      </c>
      <c r="E1479" s="9" t="inlineStr"/>
      <c r="F1479" s="9" t="inlineStr">
        <is>
          <t>CCS F&amp;G / control</t>
        </is>
      </c>
      <c r="G1479" s="9" t="inlineStr"/>
      <c r="H1479" s="9" t="inlineStr">
        <is>
          <t>DCC-C pumps + water filter</t>
        </is>
      </c>
      <c r="I1479" s="9" t="inlineStr">
        <is>
          <t>Control</t>
        </is>
      </c>
      <c r="J1479" s="9" t="inlineStr">
        <is>
          <t>Control cable 600 V Type TC-ER, Cu #14 AWG, PVC jacket</t>
        </is>
      </c>
      <c r="K1479" s="9" t="inlineStr">
        <is>
          <t>CT|7/C|14</t>
        </is>
      </c>
      <c r="L1479" s="9" t="inlineStr">
        <is>
          <t>7/C</t>
        </is>
      </c>
      <c r="M1479" s="9" t="inlineStr">
        <is>
          <t>14</t>
        </is>
      </c>
      <c r="N1479" s="9" t="n">
        <v>1</v>
      </c>
      <c r="O1479" s="9" t="n">
        <v>1</v>
      </c>
      <c r="P1479" s="9" t="n"/>
      <c r="Q1479" s="9" t="n"/>
      <c r="R1479" s="9" t="n"/>
      <c r="S1479" s="9" t="inlineStr">
        <is>
          <t>Duct bank</t>
        </is>
      </c>
      <c r="T1479" s="10" t="n">
        <v>598</v>
      </c>
      <c r="U1479" s="10" t="n">
        <v>203</v>
      </c>
      <c r="V1479" s="10">
        <f>ROUNDUP((T1479+U1479+2*'Read Me'!$B$13)*(1+'Read Me'!$B$12),-1)</f>
        <v/>
      </c>
      <c r="W1479" s="10">
        <f>V1479*N1479*O1479</f>
        <v/>
      </c>
      <c r="X1479" s="9">
        <f>IF(LEFT(I1479,2)="MV",2*N1479*IF(L1479="1/C",O1479,1),0)</f>
        <v/>
      </c>
      <c r="Y1479" s="9">
        <f>IF(OR(LEFT(K1479,4)="LVAX",LEFT(K1479,6)="MV15AX",LEFT(K1479,4)="CTAX",LEFT(K1479,2)="W|"),2*N1479*O1479,0)</f>
        <v/>
      </c>
      <c r="Z1479" s="9" t="inlineStr"/>
    </row>
    <row r="1480">
      <c r="A1480" s="9" t="inlineStr">
        <is>
          <t>G-C-0061</t>
        </is>
      </c>
      <c r="B1480" s="9" t="inlineStr">
        <is>
          <t>G</t>
        </is>
      </c>
      <c r="C1480" s="9" t="inlineStr">
        <is>
          <t>Carbon capture</t>
        </is>
      </c>
      <c r="D1480" s="9" t="inlineStr">
        <is>
          <t>Control</t>
        </is>
      </c>
      <c r="E1480" s="9" t="inlineStr"/>
      <c r="F1480" s="9" t="inlineStr">
        <is>
          <t>CCS F&amp;G / control</t>
        </is>
      </c>
      <c r="G1480" s="9" t="inlineStr">
        <is>
          <t>DCC-C</t>
        </is>
      </c>
      <c r="H1480" s="9" t="inlineStr">
        <is>
          <t>DCC-C: direct-contact cooler (quench)</t>
        </is>
      </c>
      <c r="I1480" s="9" t="inlineStr">
        <is>
          <t>Control</t>
        </is>
      </c>
      <c r="J1480" s="9" t="inlineStr">
        <is>
          <t>Control cable 600 V Type TC-ER, Cu #14 AWG, PVC jacket</t>
        </is>
      </c>
      <c r="K1480" s="9" t="inlineStr">
        <is>
          <t>CT|7/C|14</t>
        </is>
      </c>
      <c r="L1480" s="9" t="inlineStr">
        <is>
          <t>7/C</t>
        </is>
      </c>
      <c r="M1480" s="9" t="inlineStr">
        <is>
          <t>14</t>
        </is>
      </c>
      <c r="N1480" s="9" t="n">
        <v>1</v>
      </c>
      <c r="O1480" s="9" t="n">
        <v>1</v>
      </c>
      <c r="P1480" s="9" t="n"/>
      <c r="Q1480" s="9" t="n"/>
      <c r="R1480" s="9" t="n"/>
      <c r="S1480" s="9" t="inlineStr">
        <is>
          <t>Duct bank</t>
        </is>
      </c>
      <c r="T1480" s="10" t="n">
        <v>551</v>
      </c>
      <c r="U1480" s="10" t="n">
        <v>128</v>
      </c>
      <c r="V1480" s="10">
        <f>ROUNDUP((T1480+U1480+2*'Read Me'!$B$13)*(1+'Read Me'!$B$12),-1)</f>
        <v/>
      </c>
      <c r="W1480" s="10">
        <f>V1480*N1480*O1480</f>
        <v/>
      </c>
      <c r="X1480" s="9">
        <f>IF(LEFT(I1480,2)="MV",2*N1480*IF(L1480="1/C",O1480,1),0)</f>
        <v/>
      </c>
      <c r="Y1480" s="9">
        <f>IF(OR(LEFT(K1480,4)="LVAX",LEFT(K1480,6)="MV15AX",LEFT(K1480,4)="CTAX",LEFT(K1480,2)="W|"),2*N1480*O1480,0)</f>
        <v/>
      </c>
      <c r="Z1480" s="9" t="inlineStr"/>
    </row>
    <row r="1481">
      <c r="A1481" s="9" t="inlineStr">
        <is>
          <t>G-C-0062</t>
        </is>
      </c>
      <c r="B1481" s="9" t="inlineStr">
        <is>
          <t>G</t>
        </is>
      </c>
      <c r="C1481" s="9" t="inlineStr">
        <is>
          <t>Carbon capture</t>
        </is>
      </c>
      <c r="D1481" s="9" t="inlineStr">
        <is>
          <t>Control</t>
        </is>
      </c>
      <c r="E1481" s="9" t="inlineStr"/>
      <c r="F1481" s="9" t="inlineStr">
        <is>
          <t>CCS F&amp;G / control</t>
        </is>
      </c>
      <c r="G1481" s="9" t="inlineStr">
        <is>
          <t>DMP-A</t>
        </is>
      </c>
      <c r="H1481" s="9" t="inlineStr">
        <is>
          <t>DMP-A: diverter / bypass damper</t>
        </is>
      </c>
      <c r="I1481" s="9" t="inlineStr">
        <is>
          <t>Control</t>
        </is>
      </c>
      <c r="J1481" s="9" t="inlineStr">
        <is>
          <t>Control cable 600 V Type TC-ER, Cu #14 AWG, PVC jacket</t>
        </is>
      </c>
      <c r="K1481" s="9" t="inlineStr">
        <is>
          <t>CT|7/C|14</t>
        </is>
      </c>
      <c r="L1481" s="9" t="inlineStr">
        <is>
          <t>7/C</t>
        </is>
      </c>
      <c r="M1481" s="9" t="inlineStr">
        <is>
          <t>14</t>
        </is>
      </c>
      <c r="N1481" s="9" t="n">
        <v>1</v>
      </c>
      <c r="O1481" s="9" t="n">
        <v>1</v>
      </c>
      <c r="P1481" s="9" t="n"/>
      <c r="Q1481" s="9" t="n"/>
      <c r="R1481" s="9" t="n"/>
      <c r="S1481" s="9" t="inlineStr">
        <is>
          <t>Estimated</t>
        </is>
      </c>
      <c r="T1481" s="10" t="n">
        <v>960</v>
      </c>
      <c r="U1481" s="10" t="n">
        <v>40</v>
      </c>
      <c r="V1481" s="10">
        <f>ROUNDUP((T1481+U1481+2*'Read Me'!$B$13)*(1+'Read Me'!$B$12),-1)</f>
        <v/>
      </c>
      <c r="W1481" s="10">
        <f>V1481*N1481*O1481</f>
        <v/>
      </c>
      <c r="X1481" s="9">
        <f>IF(LEFT(I1481,2)="MV",2*N1481*IF(L1481="1/C",O1481,1),0)</f>
        <v/>
      </c>
      <c r="Y1481" s="9">
        <f>IF(OR(LEFT(K1481,4)="LVAX",LEFT(K1481,6)="MV15AX",LEFT(K1481,4)="CTAX",LEFT(K1481,2)="W|"),2*N1481*O1481,0)</f>
        <v/>
      </c>
      <c r="Z1481" s="9" t="inlineStr"/>
    </row>
    <row r="1482">
      <c r="A1482" s="9" t="inlineStr">
        <is>
          <t>G-C-0063</t>
        </is>
      </c>
      <c r="B1482" s="9" t="inlineStr">
        <is>
          <t>G</t>
        </is>
      </c>
      <c r="C1482" s="9" t="inlineStr">
        <is>
          <t>Carbon capture</t>
        </is>
      </c>
      <c r="D1482" s="9" t="inlineStr">
        <is>
          <t>Control</t>
        </is>
      </c>
      <c r="E1482" s="9" t="inlineStr"/>
      <c r="F1482" s="9" t="inlineStr">
        <is>
          <t>CCS F&amp;G / control</t>
        </is>
      </c>
      <c r="G1482" s="9" t="inlineStr">
        <is>
          <t>DMP-B</t>
        </is>
      </c>
      <c r="H1482" s="9" t="inlineStr">
        <is>
          <t>DMP-B: diverter / bypass damper</t>
        </is>
      </c>
      <c r="I1482" s="9" t="inlineStr">
        <is>
          <t>Control</t>
        </is>
      </c>
      <c r="J1482" s="9" t="inlineStr">
        <is>
          <t>Control cable 600 V Type TC-ER, Cu #14 AWG, PVC jacket</t>
        </is>
      </c>
      <c r="K1482" s="9" t="inlineStr">
        <is>
          <t>CT|7/C|14</t>
        </is>
      </c>
      <c r="L1482" s="9" t="inlineStr">
        <is>
          <t>7/C</t>
        </is>
      </c>
      <c r="M1482" s="9" t="inlineStr">
        <is>
          <t>14</t>
        </is>
      </c>
      <c r="N1482" s="9" t="n">
        <v>1</v>
      </c>
      <c r="O1482" s="9" t="n">
        <v>1</v>
      </c>
      <c r="P1482" s="9" t="n"/>
      <c r="Q1482" s="9" t="n"/>
      <c r="R1482" s="9" t="n"/>
      <c r="S1482" s="9" t="inlineStr">
        <is>
          <t>Estimated</t>
        </is>
      </c>
      <c r="T1482" s="10" t="n">
        <v>800</v>
      </c>
      <c r="U1482" s="10" t="n">
        <v>40</v>
      </c>
      <c r="V1482" s="10">
        <f>ROUNDUP((T1482+U1482+2*'Read Me'!$B$13)*(1+'Read Me'!$B$12),-1)</f>
        <v/>
      </c>
      <c r="W1482" s="10">
        <f>V1482*N1482*O1482</f>
        <v/>
      </c>
      <c r="X1482" s="9">
        <f>IF(LEFT(I1482,2)="MV",2*N1482*IF(L1482="1/C",O1482,1),0)</f>
        <v/>
      </c>
      <c r="Y1482" s="9">
        <f>IF(OR(LEFT(K1482,4)="LVAX",LEFT(K1482,6)="MV15AX",LEFT(K1482,4)="CTAX",LEFT(K1482,2)="W|"),2*N1482*O1482,0)</f>
        <v/>
      </c>
      <c r="Z1482" s="9" t="inlineStr"/>
    </row>
    <row r="1483">
      <c r="A1483" s="9" t="inlineStr">
        <is>
          <t>G-C-0064</t>
        </is>
      </c>
      <c r="B1483" s="9" t="inlineStr">
        <is>
          <t>G</t>
        </is>
      </c>
      <c r="C1483" s="9" t="inlineStr">
        <is>
          <t>Carbon capture</t>
        </is>
      </c>
      <c r="D1483" s="9" t="inlineStr">
        <is>
          <t>Control</t>
        </is>
      </c>
      <c r="E1483" s="9" t="inlineStr"/>
      <c r="F1483" s="9" t="inlineStr">
        <is>
          <t>CCS F&amp;G / control</t>
        </is>
      </c>
      <c r="G1483" s="9" t="inlineStr">
        <is>
          <t>DMP-C</t>
        </is>
      </c>
      <c r="H1483" s="9" t="inlineStr">
        <is>
          <t>DMP-C: diverter / bypass damper</t>
        </is>
      </c>
      <c r="I1483" s="9" t="inlineStr">
        <is>
          <t>Control</t>
        </is>
      </c>
      <c r="J1483" s="9" t="inlineStr">
        <is>
          <t>Control cable 600 V Type TC-ER, Cu #14 AWG, PVC jacket</t>
        </is>
      </c>
      <c r="K1483" s="9" t="inlineStr">
        <is>
          <t>CT|7/C|14</t>
        </is>
      </c>
      <c r="L1483" s="9" t="inlineStr">
        <is>
          <t>7/C</t>
        </is>
      </c>
      <c r="M1483" s="9" t="inlineStr">
        <is>
          <t>14</t>
        </is>
      </c>
      <c r="N1483" s="9" t="n">
        <v>1</v>
      </c>
      <c r="O1483" s="9" t="n">
        <v>1</v>
      </c>
      <c r="P1483" s="9" t="n"/>
      <c r="Q1483" s="9" t="n"/>
      <c r="R1483" s="9" t="n"/>
      <c r="S1483" s="9" t="inlineStr">
        <is>
          <t>Estimated</t>
        </is>
      </c>
      <c r="T1483" s="10" t="n">
        <v>640</v>
      </c>
      <c r="U1483" s="10" t="n">
        <v>40</v>
      </c>
      <c r="V1483" s="10">
        <f>ROUNDUP((T1483+U1483+2*'Read Me'!$B$13)*(1+'Read Me'!$B$12),-1)</f>
        <v/>
      </c>
      <c r="W1483" s="10">
        <f>V1483*N1483*O1483</f>
        <v/>
      </c>
      <c r="X1483" s="9">
        <f>IF(LEFT(I1483,2)="MV",2*N1483*IF(L1483="1/C",O1483,1),0)</f>
        <v/>
      </c>
      <c r="Y1483" s="9">
        <f>IF(OR(LEFT(K1483,4)="LVAX",LEFT(K1483,6)="MV15AX",LEFT(K1483,4)="CTAX",LEFT(K1483,2)="W|"),2*N1483*O1483,0)</f>
        <v/>
      </c>
      <c r="Z1483" s="9" t="inlineStr"/>
    </row>
    <row r="1484">
      <c r="A1484" s="9" t="inlineStr">
        <is>
          <t>G-C-0065</t>
        </is>
      </c>
      <c r="B1484" s="9" t="inlineStr">
        <is>
          <t>G</t>
        </is>
      </c>
      <c r="C1484" s="9" t="inlineStr">
        <is>
          <t>Carbon capture</t>
        </is>
      </c>
      <c r="D1484" s="9" t="inlineStr">
        <is>
          <t>Control</t>
        </is>
      </c>
      <c r="E1484" s="9" t="inlineStr"/>
      <c r="F1484" s="9" t="inlineStr">
        <is>
          <t>CCS F&amp;G / control</t>
        </is>
      </c>
      <c r="G1484" s="9" t="inlineStr"/>
      <c r="H1484" s="9" t="inlineStr">
        <is>
          <t>RB-A: reboiler (LP steam from ST extraction)</t>
        </is>
      </c>
      <c r="I1484" s="9" t="inlineStr">
        <is>
          <t>Control</t>
        </is>
      </c>
      <c r="J1484" s="9" t="inlineStr">
        <is>
          <t>Control cable 600 V Type TC-ER, Cu #14 AWG, PVC jacket</t>
        </is>
      </c>
      <c r="K1484" s="9" t="inlineStr">
        <is>
          <t>CT|7/C|14</t>
        </is>
      </c>
      <c r="L1484" s="9" t="inlineStr">
        <is>
          <t>7/C</t>
        </is>
      </c>
      <c r="M1484" s="9" t="inlineStr">
        <is>
          <t>14</t>
        </is>
      </c>
      <c r="N1484" s="9" t="n">
        <v>1</v>
      </c>
      <c r="O1484" s="9" t="n">
        <v>1</v>
      </c>
      <c r="P1484" s="9" t="n"/>
      <c r="Q1484" s="9" t="n"/>
      <c r="R1484" s="9" t="n"/>
      <c r="S1484" s="9" t="inlineStr">
        <is>
          <t>Duct bank</t>
        </is>
      </c>
      <c r="T1484" s="10" t="n">
        <v>266</v>
      </c>
      <c r="U1484" s="10" t="n">
        <v>111</v>
      </c>
      <c r="V1484" s="10">
        <f>ROUNDUP((T1484+U1484+2*'Read Me'!$B$13)*(1+'Read Me'!$B$12),-1)</f>
        <v/>
      </c>
      <c r="W1484" s="10">
        <f>V1484*N1484*O1484</f>
        <v/>
      </c>
      <c r="X1484" s="9">
        <f>IF(LEFT(I1484,2)="MV",2*N1484*IF(L1484="1/C",O1484,1),0)</f>
        <v/>
      </c>
      <c r="Y1484" s="9">
        <f>IF(OR(LEFT(K1484,4)="LVAX",LEFT(K1484,6)="MV15AX",LEFT(K1484,4)="CTAX",LEFT(K1484,2)="W|"),2*N1484*O1484,0)</f>
        <v/>
      </c>
      <c r="Z1484" s="9" t="inlineStr"/>
    </row>
    <row r="1485">
      <c r="A1485" s="9" t="inlineStr">
        <is>
          <t>G-C-0066</t>
        </is>
      </c>
      <c r="B1485" s="9" t="inlineStr">
        <is>
          <t>G</t>
        </is>
      </c>
      <c r="C1485" s="9" t="inlineStr">
        <is>
          <t>Carbon capture</t>
        </is>
      </c>
      <c r="D1485" s="9" t="inlineStr">
        <is>
          <t>Control</t>
        </is>
      </c>
      <c r="E1485" s="9" t="inlineStr"/>
      <c r="F1485" s="9" t="inlineStr">
        <is>
          <t>CCS F&amp;G / control</t>
        </is>
      </c>
      <c r="G1485" s="9" t="inlineStr"/>
      <c r="H1485" s="9" t="inlineStr">
        <is>
          <t>RB-B: reboiler (LP steam from ST extraction)</t>
        </is>
      </c>
      <c r="I1485" s="9" t="inlineStr">
        <is>
          <t>Control</t>
        </is>
      </c>
      <c r="J1485" s="9" t="inlineStr">
        <is>
          <t>Control cable 600 V Type TC-ER, Cu #14 AWG, PVC jacket</t>
        </is>
      </c>
      <c r="K1485" s="9" t="inlineStr">
        <is>
          <t>CT|7/C|14</t>
        </is>
      </c>
      <c r="L1485" s="9" t="inlineStr">
        <is>
          <t>7/C</t>
        </is>
      </c>
      <c r="M1485" s="9" t="inlineStr">
        <is>
          <t>14</t>
        </is>
      </c>
      <c r="N1485" s="9" t="n">
        <v>1</v>
      </c>
      <c r="O1485" s="9" t="n">
        <v>1</v>
      </c>
      <c r="P1485" s="9" t="n"/>
      <c r="Q1485" s="9" t="n"/>
      <c r="R1485" s="9" t="n"/>
      <c r="S1485" s="9" t="inlineStr">
        <is>
          <t>Duct bank</t>
        </is>
      </c>
      <c r="T1485" s="10" t="n">
        <v>216</v>
      </c>
      <c r="U1485" s="10" t="n">
        <v>111</v>
      </c>
      <c r="V1485" s="10">
        <f>ROUNDUP((T1485+U1485+2*'Read Me'!$B$13)*(1+'Read Me'!$B$12),-1)</f>
        <v/>
      </c>
      <c r="W1485" s="10">
        <f>V1485*N1485*O1485</f>
        <v/>
      </c>
      <c r="X1485" s="9">
        <f>IF(LEFT(I1485,2)="MV",2*N1485*IF(L1485="1/C",O1485,1),0)</f>
        <v/>
      </c>
      <c r="Y1485" s="9">
        <f>IF(OR(LEFT(K1485,4)="LVAX",LEFT(K1485,6)="MV15AX",LEFT(K1485,4)="CTAX",LEFT(K1485,2)="W|"),2*N1485*O1485,0)</f>
        <v/>
      </c>
      <c r="Z1485" s="9" t="inlineStr"/>
    </row>
    <row r="1486">
      <c r="A1486" s="9" t="inlineStr">
        <is>
          <t>G-C-0067</t>
        </is>
      </c>
      <c r="B1486" s="9" t="inlineStr">
        <is>
          <t>G</t>
        </is>
      </c>
      <c r="C1486" s="9" t="inlineStr">
        <is>
          <t>Carbon capture</t>
        </is>
      </c>
      <c r="D1486" s="9" t="inlineStr">
        <is>
          <t>Control</t>
        </is>
      </c>
      <c r="E1486" s="9" t="inlineStr"/>
      <c r="F1486" s="9" t="inlineStr">
        <is>
          <t>CCS F&amp;G / control</t>
        </is>
      </c>
      <c r="G1486" s="9" t="inlineStr"/>
      <c r="H1486" s="9" t="inlineStr">
        <is>
          <t>RB-C: reboiler (LP steam from ST extraction)</t>
        </is>
      </c>
      <c r="I1486" s="9" t="inlineStr">
        <is>
          <t>Control</t>
        </is>
      </c>
      <c r="J1486" s="9" t="inlineStr">
        <is>
          <t>Control cable 600 V Type TC-ER, Cu #14 AWG, PVC jacket</t>
        </is>
      </c>
      <c r="K1486" s="9" t="inlineStr">
        <is>
          <t>CT|7/C|14</t>
        </is>
      </c>
      <c r="L1486" s="9" t="inlineStr">
        <is>
          <t>7/C</t>
        </is>
      </c>
      <c r="M1486" s="9" t="inlineStr">
        <is>
          <t>14</t>
        </is>
      </c>
      <c r="N1486" s="9" t="n">
        <v>1</v>
      </c>
      <c r="O1486" s="9" t="n">
        <v>1</v>
      </c>
      <c r="P1486" s="9" t="n"/>
      <c r="Q1486" s="9" t="n"/>
      <c r="R1486" s="9" t="n"/>
      <c r="S1486" s="9" t="inlineStr">
        <is>
          <t>Duct bank</t>
        </is>
      </c>
      <c r="T1486" s="10" t="n">
        <v>161</v>
      </c>
      <c r="U1486" s="10" t="n">
        <v>116</v>
      </c>
      <c r="V1486" s="10">
        <f>ROUNDUP((T1486+U1486+2*'Read Me'!$B$13)*(1+'Read Me'!$B$12),-1)</f>
        <v/>
      </c>
      <c r="W1486" s="10">
        <f>V1486*N1486*O1486</f>
        <v/>
      </c>
      <c r="X1486" s="9">
        <f>IF(LEFT(I1486,2)="MV",2*N1486*IF(L1486="1/C",O1486,1),0)</f>
        <v/>
      </c>
      <c r="Y1486" s="9">
        <f>IF(OR(LEFT(K1486,4)="LVAX",LEFT(K1486,6)="MV15AX",LEFT(K1486,4)="CTAX",LEFT(K1486,2)="W|"),2*N1486*O1486,0)</f>
        <v/>
      </c>
      <c r="Z1486" s="9" t="inlineStr"/>
    </row>
    <row r="1487">
      <c r="A1487" s="9" t="inlineStr">
        <is>
          <t>G-C-0068</t>
        </is>
      </c>
      <c r="B1487" s="9" t="inlineStr">
        <is>
          <t>G</t>
        </is>
      </c>
      <c r="C1487" s="9" t="inlineStr">
        <is>
          <t>Carbon capture</t>
        </is>
      </c>
      <c r="D1487" s="9" t="inlineStr">
        <is>
          <t>Control</t>
        </is>
      </c>
      <c r="E1487" s="9" t="inlineStr"/>
      <c r="F1487" s="9" t="inlineStr">
        <is>
          <t>CCS F&amp;G / control</t>
        </is>
      </c>
      <c r="G1487" s="9" t="inlineStr"/>
      <c r="H1487" s="9" t="inlineStr">
        <is>
          <t>Reclaimer (thermal, intermittent)</t>
        </is>
      </c>
      <c r="I1487" s="9" t="inlineStr">
        <is>
          <t>Control</t>
        </is>
      </c>
      <c r="J1487" s="9" t="inlineStr">
        <is>
          <t>Control cable 600 V Type TC-ER, Cu #14 AWG, PVC jacket</t>
        </is>
      </c>
      <c r="K1487" s="9" t="inlineStr">
        <is>
          <t>CT|7/C|14</t>
        </is>
      </c>
      <c r="L1487" s="9" t="inlineStr">
        <is>
          <t>7/C</t>
        </is>
      </c>
      <c r="M1487" s="9" t="inlineStr">
        <is>
          <t>14</t>
        </is>
      </c>
      <c r="N1487" s="9" t="n">
        <v>1</v>
      </c>
      <c r="O1487" s="9" t="n">
        <v>1</v>
      </c>
      <c r="P1487" s="9" t="n"/>
      <c r="Q1487" s="9" t="n"/>
      <c r="R1487" s="9" t="n"/>
      <c r="S1487" s="9" t="inlineStr">
        <is>
          <t>Duct bank</t>
        </is>
      </c>
      <c r="T1487" s="10" t="n">
        <v>130</v>
      </c>
      <c r="U1487" s="10" t="n">
        <v>102</v>
      </c>
      <c r="V1487" s="10">
        <f>ROUNDUP((T1487+U1487+2*'Read Me'!$B$13)*(1+'Read Me'!$B$12),-1)</f>
        <v/>
      </c>
      <c r="W1487" s="10">
        <f>V1487*N1487*O1487</f>
        <v/>
      </c>
      <c r="X1487" s="9">
        <f>IF(LEFT(I1487,2)="MV",2*N1487*IF(L1487="1/C",O1487,1),0)</f>
        <v/>
      </c>
      <c r="Y1487" s="9">
        <f>IF(OR(LEFT(K1487,4)="LVAX",LEFT(K1487,6)="MV15AX",LEFT(K1487,4)="CTAX",LEFT(K1487,2)="W|"),2*N1487*O1487,0)</f>
        <v/>
      </c>
      <c r="Z1487" s="9" t="inlineStr"/>
    </row>
    <row r="1488">
      <c r="A1488" s="9" t="inlineStr">
        <is>
          <t>G-C-0069</t>
        </is>
      </c>
      <c r="B1488" s="9" t="inlineStr">
        <is>
          <t>G</t>
        </is>
      </c>
      <c r="C1488" s="9" t="inlineStr">
        <is>
          <t>Carbon capture</t>
        </is>
      </c>
      <c r="D1488" s="9" t="inlineStr">
        <is>
          <t>Control</t>
        </is>
      </c>
      <c r="E1488" s="9" t="inlineStr"/>
      <c r="F1488" s="9" t="inlineStr">
        <is>
          <t>CCS F&amp;G / control</t>
        </is>
      </c>
      <c r="G1488" s="9" t="inlineStr"/>
      <c r="H1488" s="9" t="inlineStr">
        <is>
          <t>Rich/lean pumps, cross exchanger, lean cooler A</t>
        </is>
      </c>
      <c r="I1488" s="9" t="inlineStr">
        <is>
          <t>Control</t>
        </is>
      </c>
      <c r="J1488" s="9" t="inlineStr">
        <is>
          <t>Control cable 600 V Type TC-ER, Cu #14 AWG, PVC jacket</t>
        </is>
      </c>
      <c r="K1488" s="9" t="inlineStr">
        <is>
          <t>CT|7/C|14</t>
        </is>
      </c>
      <c r="L1488" s="9" t="inlineStr">
        <is>
          <t>7/C</t>
        </is>
      </c>
      <c r="M1488" s="9" t="inlineStr">
        <is>
          <t>14</t>
        </is>
      </c>
      <c r="N1488" s="9" t="n">
        <v>1</v>
      </c>
      <c r="O1488" s="9" t="n">
        <v>1</v>
      </c>
      <c r="P1488" s="9" t="n"/>
      <c r="Q1488" s="9" t="n"/>
      <c r="R1488" s="9" t="n"/>
      <c r="S1488" s="9" t="inlineStr">
        <is>
          <t>Tray</t>
        </is>
      </c>
      <c r="T1488" s="10" t="n">
        <v>868</v>
      </c>
      <c r="U1488" s="10" t="n">
        <v>151</v>
      </c>
      <c r="V1488" s="10">
        <f>ROUNDUP((T1488+U1488+2*'Read Me'!$B$13)*(1+'Read Me'!$B$12),-1)</f>
        <v/>
      </c>
      <c r="W1488" s="10">
        <f>V1488*N1488*O1488</f>
        <v/>
      </c>
      <c r="X1488" s="9">
        <f>IF(LEFT(I1488,2)="MV",2*N1488*IF(L1488="1/C",O1488,1),0)</f>
        <v/>
      </c>
      <c r="Y1488" s="9">
        <f>IF(OR(LEFT(K1488,4)="LVAX",LEFT(K1488,6)="MV15AX",LEFT(K1488,4)="CTAX",LEFT(K1488,2)="W|"),2*N1488*O1488,0)</f>
        <v/>
      </c>
      <c r="Z1488" s="9" t="inlineStr"/>
    </row>
    <row r="1489">
      <c r="A1489" s="9" t="inlineStr">
        <is>
          <t>G-C-0070</t>
        </is>
      </c>
      <c r="B1489" s="9" t="inlineStr">
        <is>
          <t>G</t>
        </is>
      </c>
      <c r="C1489" s="9" t="inlineStr">
        <is>
          <t>Carbon capture</t>
        </is>
      </c>
      <c r="D1489" s="9" t="inlineStr">
        <is>
          <t>Control</t>
        </is>
      </c>
      <c r="E1489" s="9" t="inlineStr"/>
      <c r="F1489" s="9" t="inlineStr">
        <is>
          <t>CCS F&amp;G / control</t>
        </is>
      </c>
      <c r="G1489" s="9" t="inlineStr"/>
      <c r="H1489" s="9" t="inlineStr">
        <is>
          <t>Rich/lean pumps, cross exchanger, lean cooler B</t>
        </is>
      </c>
      <c r="I1489" s="9" t="inlineStr">
        <is>
          <t>Control</t>
        </is>
      </c>
      <c r="J1489" s="9" t="inlineStr">
        <is>
          <t>Control cable 600 V Type TC-ER, Cu #14 AWG, PVC jacket</t>
        </is>
      </c>
      <c r="K1489" s="9" t="inlineStr">
        <is>
          <t>CT|7/C|14</t>
        </is>
      </c>
      <c r="L1489" s="9" t="inlineStr">
        <is>
          <t>7/C</t>
        </is>
      </c>
      <c r="M1489" s="9" t="inlineStr">
        <is>
          <t>14</t>
        </is>
      </c>
      <c r="N1489" s="9" t="n">
        <v>1</v>
      </c>
      <c r="O1489" s="9" t="n">
        <v>1</v>
      </c>
      <c r="P1489" s="9" t="n"/>
      <c r="Q1489" s="9" t="n"/>
      <c r="R1489" s="9" t="n"/>
      <c r="S1489" s="9" t="inlineStr">
        <is>
          <t>Duct bank</t>
        </is>
      </c>
      <c r="T1489" s="10" t="n">
        <v>708</v>
      </c>
      <c r="U1489" s="10" t="n">
        <v>151</v>
      </c>
      <c r="V1489" s="10">
        <f>ROUNDUP((T1489+U1489+2*'Read Me'!$B$13)*(1+'Read Me'!$B$12),-1)</f>
        <v/>
      </c>
      <c r="W1489" s="10">
        <f>V1489*N1489*O1489</f>
        <v/>
      </c>
      <c r="X1489" s="9">
        <f>IF(LEFT(I1489,2)="MV",2*N1489*IF(L1489="1/C",O1489,1),0)</f>
        <v/>
      </c>
      <c r="Y1489" s="9">
        <f>IF(OR(LEFT(K1489,4)="LVAX",LEFT(K1489,6)="MV15AX",LEFT(K1489,4)="CTAX",LEFT(K1489,2)="W|"),2*N1489*O1489,0)</f>
        <v/>
      </c>
      <c r="Z1489" s="9" t="inlineStr"/>
    </row>
    <row r="1490">
      <c r="A1490" s="9" t="inlineStr">
        <is>
          <t>G-C-0071</t>
        </is>
      </c>
      <c r="B1490" s="9" t="inlineStr">
        <is>
          <t>G</t>
        </is>
      </c>
      <c r="C1490" s="9" t="inlineStr">
        <is>
          <t>Carbon capture</t>
        </is>
      </c>
      <c r="D1490" s="9" t="inlineStr">
        <is>
          <t>Control</t>
        </is>
      </c>
      <c r="E1490" s="9" t="inlineStr"/>
      <c r="F1490" s="9" t="inlineStr">
        <is>
          <t>CCS F&amp;G / control</t>
        </is>
      </c>
      <c r="G1490" s="9" t="inlineStr"/>
      <c r="H1490" s="9" t="inlineStr">
        <is>
          <t>Rich/lean pumps, cross exchanger, lean cooler C</t>
        </is>
      </c>
      <c r="I1490" s="9" t="inlineStr">
        <is>
          <t>Control</t>
        </is>
      </c>
      <c r="J1490" s="9" t="inlineStr">
        <is>
          <t>Control cable 600 V Type TC-ER, Cu #14 AWG, PVC jacket</t>
        </is>
      </c>
      <c r="K1490" s="9" t="inlineStr">
        <is>
          <t>CT|7/C|14</t>
        </is>
      </c>
      <c r="L1490" s="9" t="inlineStr">
        <is>
          <t>7/C</t>
        </is>
      </c>
      <c r="M1490" s="9" t="inlineStr">
        <is>
          <t>14</t>
        </is>
      </c>
      <c r="N1490" s="9" t="n">
        <v>1</v>
      </c>
      <c r="O1490" s="9" t="n">
        <v>1</v>
      </c>
      <c r="P1490" s="9" t="n"/>
      <c r="Q1490" s="9" t="n"/>
      <c r="R1490" s="9" t="n"/>
      <c r="S1490" s="9" t="inlineStr">
        <is>
          <t>Duct bank</t>
        </is>
      </c>
      <c r="T1490" s="10" t="n">
        <v>299</v>
      </c>
      <c r="U1490" s="10" t="n">
        <v>138</v>
      </c>
      <c r="V1490" s="10">
        <f>ROUNDUP((T1490+U1490+2*'Read Me'!$B$13)*(1+'Read Me'!$B$12),-1)</f>
        <v/>
      </c>
      <c r="W1490" s="10">
        <f>V1490*N1490*O1490</f>
        <v/>
      </c>
      <c r="X1490" s="9">
        <f>IF(LEFT(I1490,2)="MV",2*N1490*IF(L1490="1/C",O1490,1),0)</f>
        <v/>
      </c>
      <c r="Y1490" s="9">
        <f>IF(OR(LEFT(K1490,4)="LVAX",LEFT(K1490,6)="MV15AX",LEFT(K1490,4)="CTAX",LEFT(K1490,2)="W|"),2*N1490*O1490,0)</f>
        <v/>
      </c>
      <c r="Z1490" s="9" t="inlineStr"/>
    </row>
    <row r="1491">
      <c r="A1491" s="9" t="inlineStr">
        <is>
          <t>G-C-0072</t>
        </is>
      </c>
      <c r="B1491" s="9" t="inlineStr">
        <is>
          <t>G</t>
        </is>
      </c>
      <c r="C1491" s="9" t="inlineStr">
        <is>
          <t>Carbon capture</t>
        </is>
      </c>
      <c r="D1491" s="9" t="inlineStr">
        <is>
          <t>Control</t>
        </is>
      </c>
      <c r="E1491" s="9" t="inlineStr"/>
      <c r="F1491" s="9" t="inlineStr">
        <is>
          <t>CCS F&amp;G / control</t>
        </is>
      </c>
      <c r="G1491" s="9" t="inlineStr">
        <is>
          <t>STR-A</t>
        </is>
      </c>
      <c r="H1491" s="9" t="inlineStr">
        <is>
          <t>STR-A: stripper / regenerator (45 ft dia x 207 ft)</t>
        </is>
      </c>
      <c r="I1491" s="9" t="inlineStr">
        <is>
          <t>Control</t>
        </is>
      </c>
      <c r="J1491" s="9" t="inlineStr">
        <is>
          <t>Control cable 600 V Type TC-ER, Cu #14 AWG, PVC jacket</t>
        </is>
      </c>
      <c r="K1491" s="9" t="inlineStr">
        <is>
          <t>CT|7/C|14</t>
        </is>
      </c>
      <c r="L1491" s="9" t="inlineStr">
        <is>
          <t>7/C</t>
        </is>
      </c>
      <c r="M1491" s="9" t="inlineStr">
        <is>
          <t>14</t>
        </is>
      </c>
      <c r="N1491" s="9" t="n">
        <v>1</v>
      </c>
      <c r="O1491" s="9" t="n">
        <v>1</v>
      </c>
      <c r="P1491" s="9" t="n"/>
      <c r="Q1491" s="9" t="n"/>
      <c r="R1491" s="9" t="n"/>
      <c r="S1491" s="9" t="inlineStr">
        <is>
          <t>Duct bank</t>
        </is>
      </c>
      <c r="T1491" s="10" t="n">
        <v>329</v>
      </c>
      <c r="U1491" s="10" t="n">
        <v>106</v>
      </c>
      <c r="V1491" s="10">
        <f>ROUNDUP((T1491+U1491+2*'Read Me'!$B$13)*(1+'Read Me'!$B$12),-1)</f>
        <v/>
      </c>
      <c r="W1491" s="10">
        <f>V1491*N1491*O1491</f>
        <v/>
      </c>
      <c r="X1491" s="9">
        <f>IF(LEFT(I1491,2)="MV",2*N1491*IF(L1491="1/C",O1491,1),0)</f>
        <v/>
      </c>
      <c r="Y1491" s="9">
        <f>IF(OR(LEFT(K1491,4)="LVAX",LEFT(K1491,6)="MV15AX",LEFT(K1491,4)="CTAX",LEFT(K1491,2)="W|"),2*N1491*O1491,0)</f>
        <v/>
      </c>
      <c r="Z1491" s="9" t="inlineStr"/>
    </row>
    <row r="1492">
      <c r="A1492" s="9" t="inlineStr">
        <is>
          <t>G-C-0073</t>
        </is>
      </c>
      <c r="B1492" s="9" t="inlineStr">
        <is>
          <t>G</t>
        </is>
      </c>
      <c r="C1492" s="9" t="inlineStr">
        <is>
          <t>Carbon capture</t>
        </is>
      </c>
      <c r="D1492" s="9" t="inlineStr">
        <is>
          <t>Control</t>
        </is>
      </c>
      <c r="E1492" s="9" t="inlineStr"/>
      <c r="F1492" s="9" t="inlineStr">
        <is>
          <t>CCS F&amp;G / control</t>
        </is>
      </c>
      <c r="G1492" s="9" t="inlineStr">
        <is>
          <t>STR-B</t>
        </is>
      </c>
      <c r="H1492" s="9" t="inlineStr">
        <is>
          <t>STR-B: stripper / regenerator (45 ft dia x 207 ft)</t>
        </is>
      </c>
      <c r="I1492" s="9" t="inlineStr">
        <is>
          <t>Control</t>
        </is>
      </c>
      <c r="J1492" s="9" t="inlineStr">
        <is>
          <t>Control cable 600 V Type TC-ER, Cu #14 AWG, PVC jacket</t>
        </is>
      </c>
      <c r="K1492" s="9" t="inlineStr">
        <is>
          <t>CT|7/C|14</t>
        </is>
      </c>
      <c r="L1492" s="9" t="inlineStr">
        <is>
          <t>7/C</t>
        </is>
      </c>
      <c r="M1492" s="9" t="inlineStr">
        <is>
          <t>14</t>
        </is>
      </c>
      <c r="N1492" s="9" t="n">
        <v>1</v>
      </c>
      <c r="O1492" s="9" t="n">
        <v>1</v>
      </c>
      <c r="P1492" s="9" t="n"/>
      <c r="Q1492" s="9" t="n"/>
      <c r="R1492" s="9" t="n"/>
      <c r="S1492" s="9" t="inlineStr">
        <is>
          <t>Duct bank</t>
        </is>
      </c>
      <c r="T1492" s="10" t="n">
        <v>279</v>
      </c>
      <c r="U1492" s="10" t="n">
        <v>106</v>
      </c>
      <c r="V1492" s="10">
        <f>ROUNDUP((T1492+U1492+2*'Read Me'!$B$13)*(1+'Read Me'!$B$12),-1)</f>
        <v/>
      </c>
      <c r="W1492" s="10">
        <f>V1492*N1492*O1492</f>
        <v/>
      </c>
      <c r="X1492" s="9">
        <f>IF(LEFT(I1492,2)="MV",2*N1492*IF(L1492="1/C",O1492,1),0)</f>
        <v/>
      </c>
      <c r="Y1492" s="9">
        <f>IF(OR(LEFT(K1492,4)="LVAX",LEFT(K1492,6)="MV15AX",LEFT(K1492,4)="CTAX",LEFT(K1492,2)="W|"),2*N1492*O1492,0)</f>
        <v/>
      </c>
      <c r="Z1492" s="9" t="inlineStr"/>
    </row>
    <row r="1493">
      <c r="A1493" s="9" t="inlineStr">
        <is>
          <t>G-C-0074</t>
        </is>
      </c>
      <c r="B1493" s="9" t="inlineStr">
        <is>
          <t>G</t>
        </is>
      </c>
      <c r="C1493" s="9" t="inlineStr">
        <is>
          <t>Carbon capture</t>
        </is>
      </c>
      <c r="D1493" s="9" t="inlineStr">
        <is>
          <t>Control</t>
        </is>
      </c>
      <c r="E1493" s="9" t="inlineStr"/>
      <c r="F1493" s="9" t="inlineStr">
        <is>
          <t>CCS F&amp;G / control</t>
        </is>
      </c>
      <c r="G1493" s="9" t="inlineStr">
        <is>
          <t>STR-C</t>
        </is>
      </c>
      <c r="H1493" s="9" t="inlineStr">
        <is>
          <t>STR-C: stripper / regenerator (45 ft dia x 207 ft)</t>
        </is>
      </c>
      <c r="I1493" s="9" t="inlineStr">
        <is>
          <t>Control</t>
        </is>
      </c>
      <c r="J1493" s="9" t="inlineStr">
        <is>
          <t>Control cable 600 V Type TC-ER, Cu #14 AWG, PVC jacket</t>
        </is>
      </c>
      <c r="K1493" s="9" t="inlineStr">
        <is>
          <t>CT|7/C|14</t>
        </is>
      </c>
      <c r="L1493" s="9" t="inlineStr">
        <is>
          <t>7/C</t>
        </is>
      </c>
      <c r="M1493" s="9" t="inlineStr">
        <is>
          <t>14</t>
        </is>
      </c>
      <c r="N1493" s="9" t="n">
        <v>1</v>
      </c>
      <c r="O1493" s="9" t="n">
        <v>1</v>
      </c>
      <c r="P1493" s="9" t="n"/>
      <c r="Q1493" s="9" t="n"/>
      <c r="R1493" s="9" t="n"/>
      <c r="S1493" s="9" t="inlineStr">
        <is>
          <t>Duct bank</t>
        </is>
      </c>
      <c r="T1493" s="10" t="n">
        <v>195</v>
      </c>
      <c r="U1493" s="10" t="n">
        <v>162</v>
      </c>
      <c r="V1493" s="10">
        <f>ROUNDUP((T1493+U1493+2*'Read Me'!$B$13)*(1+'Read Me'!$B$12),-1)</f>
        <v/>
      </c>
      <c r="W1493" s="10">
        <f>V1493*N1493*O1493</f>
        <v/>
      </c>
      <c r="X1493" s="9">
        <f>IF(LEFT(I1493,2)="MV",2*N1493*IF(L1493="1/C",O1493,1),0)</f>
        <v/>
      </c>
      <c r="Y1493" s="9">
        <f>IF(OR(LEFT(K1493,4)="LVAX",LEFT(K1493,6)="MV15AX",LEFT(K1493,4)="CTAX",LEFT(K1493,2)="W|"),2*N1493*O1493,0)</f>
        <v/>
      </c>
      <c r="Z1493" s="9" t="inlineStr"/>
    </row>
    <row r="1494">
      <c r="A1494" s="9" t="inlineStr">
        <is>
          <t>G-C-0075</t>
        </is>
      </c>
      <c r="B1494" s="9" t="inlineStr">
        <is>
          <t>G</t>
        </is>
      </c>
      <c r="C1494" s="9" t="inlineStr">
        <is>
          <t>Carbon capture</t>
        </is>
      </c>
      <c r="D1494" s="9" t="inlineStr">
        <is>
          <t>Control</t>
        </is>
      </c>
      <c r="E1494" s="9" t="inlineStr"/>
      <c r="F1494" s="9" t="inlineStr">
        <is>
          <t>CCS F&amp;G / control</t>
        </is>
      </c>
      <c r="G1494" s="9" t="inlineStr"/>
      <c r="H1494" s="9" t="inlineStr">
        <is>
          <t>Solvent + NaOH storage</t>
        </is>
      </c>
      <c r="I1494" s="9" t="inlineStr">
        <is>
          <t>Control</t>
        </is>
      </c>
      <c r="J1494" s="9" t="inlineStr">
        <is>
          <t>Control cable 600 V Type TC-ER, Cu #14 AWG, PVC jacket</t>
        </is>
      </c>
      <c r="K1494" s="9" t="inlineStr">
        <is>
          <t>CT|7/C|14</t>
        </is>
      </c>
      <c r="L1494" s="9" t="inlineStr">
        <is>
          <t>7/C</t>
        </is>
      </c>
      <c r="M1494" s="9" t="inlineStr">
        <is>
          <t>14</t>
        </is>
      </c>
      <c r="N1494" s="9" t="n">
        <v>1</v>
      </c>
      <c r="O1494" s="9" t="n">
        <v>1</v>
      </c>
      <c r="P1494" s="9" t="n"/>
      <c r="Q1494" s="9" t="n"/>
      <c r="R1494" s="9" t="n"/>
      <c r="S1494" s="9" t="inlineStr">
        <is>
          <t>Duct bank</t>
        </is>
      </c>
      <c r="T1494" s="10" t="n">
        <v>146</v>
      </c>
      <c r="U1494" s="10" t="n">
        <v>106</v>
      </c>
      <c r="V1494" s="10">
        <f>ROUNDUP((T1494+U1494+2*'Read Me'!$B$13)*(1+'Read Me'!$B$12),-1)</f>
        <v/>
      </c>
      <c r="W1494" s="10">
        <f>V1494*N1494*O1494</f>
        <v/>
      </c>
      <c r="X1494" s="9">
        <f>IF(LEFT(I1494,2)="MV",2*N1494*IF(L1494="1/C",O1494,1),0)</f>
        <v/>
      </c>
      <c r="Y1494" s="9">
        <f>IF(OR(LEFT(K1494,4)="LVAX",LEFT(K1494,6)="MV15AX",LEFT(K1494,4)="CTAX",LEFT(K1494,2)="W|"),2*N1494*O1494,0)</f>
        <v/>
      </c>
      <c r="Z1494" s="9" t="inlineStr"/>
    </row>
    <row r="1495">
      <c r="A1495" s="9" t="inlineStr">
        <is>
          <t>G-C-0076</t>
        </is>
      </c>
      <c r="B1495" s="9" t="inlineStr">
        <is>
          <t>G</t>
        </is>
      </c>
      <c r="C1495" s="9" t="inlineStr">
        <is>
          <t>Carbon capture</t>
        </is>
      </c>
      <c r="D1495" s="9" t="inlineStr">
        <is>
          <t>Control</t>
        </is>
      </c>
      <c r="E1495" s="9" t="inlineStr"/>
      <c r="F1495" s="9" t="inlineStr">
        <is>
          <t>CCS F&amp;G / control</t>
        </is>
      </c>
      <c r="G1495" s="9" t="inlineStr"/>
      <c r="H1495" s="9" t="inlineStr">
        <is>
          <t>Water-wash pumps A</t>
        </is>
      </c>
      <c r="I1495" s="9" t="inlineStr">
        <is>
          <t>Control</t>
        </is>
      </c>
      <c r="J1495" s="9" t="inlineStr">
        <is>
          <t>Control cable 600 V Type TC-ER, Cu #14 AWG, PVC jacket</t>
        </is>
      </c>
      <c r="K1495" s="9" t="inlineStr">
        <is>
          <t>CT|7/C|14</t>
        </is>
      </c>
      <c r="L1495" s="9" t="inlineStr">
        <is>
          <t>7/C</t>
        </is>
      </c>
      <c r="M1495" s="9" t="inlineStr">
        <is>
          <t>14</t>
        </is>
      </c>
      <c r="N1495" s="9" t="n">
        <v>1</v>
      </c>
      <c r="O1495" s="9" t="n">
        <v>1</v>
      </c>
      <c r="P1495" s="9" t="n"/>
      <c r="Q1495" s="9" t="n"/>
      <c r="R1495" s="9" t="n"/>
      <c r="S1495" s="9" t="inlineStr">
        <is>
          <t>Tray</t>
        </is>
      </c>
      <c r="T1495" s="10" t="n">
        <v>868</v>
      </c>
      <c r="U1495" s="10" t="n">
        <v>135</v>
      </c>
      <c r="V1495" s="10">
        <f>ROUNDUP((T1495+U1495+2*'Read Me'!$B$13)*(1+'Read Me'!$B$12),-1)</f>
        <v/>
      </c>
      <c r="W1495" s="10">
        <f>V1495*N1495*O1495</f>
        <v/>
      </c>
      <c r="X1495" s="9">
        <f>IF(LEFT(I1495,2)="MV",2*N1495*IF(L1495="1/C",O1495,1),0)</f>
        <v/>
      </c>
      <c r="Y1495" s="9">
        <f>IF(OR(LEFT(K1495,4)="LVAX",LEFT(K1495,6)="MV15AX",LEFT(K1495,4)="CTAX",LEFT(K1495,2)="W|"),2*N1495*O1495,0)</f>
        <v/>
      </c>
      <c r="Z1495" s="9" t="inlineStr"/>
    </row>
    <row r="1496">
      <c r="A1496" s="9" t="inlineStr">
        <is>
          <t>G-C-0077</t>
        </is>
      </c>
      <c r="B1496" s="9" t="inlineStr">
        <is>
          <t>G</t>
        </is>
      </c>
      <c r="C1496" s="9" t="inlineStr">
        <is>
          <t>Carbon capture</t>
        </is>
      </c>
      <c r="D1496" s="9" t="inlineStr">
        <is>
          <t>Control</t>
        </is>
      </c>
      <c r="E1496" s="9" t="inlineStr"/>
      <c r="F1496" s="9" t="inlineStr">
        <is>
          <t>CCS F&amp;G / control</t>
        </is>
      </c>
      <c r="G1496" s="9" t="inlineStr"/>
      <c r="H1496" s="9" t="inlineStr">
        <is>
          <t>Water-wash pumps B</t>
        </is>
      </c>
      <c r="I1496" s="9" t="inlineStr">
        <is>
          <t>Control</t>
        </is>
      </c>
      <c r="J1496" s="9" t="inlineStr">
        <is>
          <t>Control cable 600 V Type TC-ER, Cu #14 AWG, PVC jacket</t>
        </is>
      </c>
      <c r="K1496" s="9" t="inlineStr">
        <is>
          <t>CT|7/C|14</t>
        </is>
      </c>
      <c r="L1496" s="9" t="inlineStr">
        <is>
          <t>7/C</t>
        </is>
      </c>
      <c r="M1496" s="9" t="inlineStr">
        <is>
          <t>14</t>
        </is>
      </c>
      <c r="N1496" s="9" t="n">
        <v>1</v>
      </c>
      <c r="O1496" s="9" t="n">
        <v>1</v>
      </c>
      <c r="P1496" s="9" t="n"/>
      <c r="Q1496" s="9" t="n"/>
      <c r="R1496" s="9" t="n"/>
      <c r="S1496" s="9" t="inlineStr">
        <is>
          <t>Duct bank</t>
        </is>
      </c>
      <c r="T1496" s="10" t="n">
        <v>708</v>
      </c>
      <c r="U1496" s="10" t="n">
        <v>135</v>
      </c>
      <c r="V1496" s="10">
        <f>ROUNDUP((T1496+U1496+2*'Read Me'!$B$13)*(1+'Read Me'!$B$12),-1)</f>
        <v/>
      </c>
      <c r="W1496" s="10">
        <f>V1496*N1496*O1496</f>
        <v/>
      </c>
      <c r="X1496" s="9">
        <f>IF(LEFT(I1496,2)="MV",2*N1496*IF(L1496="1/C",O1496,1),0)</f>
        <v/>
      </c>
      <c r="Y1496" s="9">
        <f>IF(OR(LEFT(K1496,4)="LVAX",LEFT(K1496,6)="MV15AX",LEFT(K1496,4)="CTAX",LEFT(K1496,2)="W|"),2*N1496*O1496,0)</f>
        <v/>
      </c>
      <c r="Z1496" s="9" t="inlineStr"/>
    </row>
    <row r="1497">
      <c r="A1497" s="9" t="inlineStr">
        <is>
          <t>G-C-0078</t>
        </is>
      </c>
      <c r="B1497" s="9" t="inlineStr">
        <is>
          <t>G</t>
        </is>
      </c>
      <c r="C1497" s="9" t="inlineStr">
        <is>
          <t>Carbon capture</t>
        </is>
      </c>
      <c r="D1497" s="9" t="inlineStr">
        <is>
          <t>Control</t>
        </is>
      </c>
      <c r="E1497" s="9" t="inlineStr"/>
      <c r="F1497" s="9" t="inlineStr">
        <is>
          <t>CCS F&amp;G / control</t>
        </is>
      </c>
      <c r="G1497" s="9" t="inlineStr"/>
      <c r="H1497" s="9" t="inlineStr">
        <is>
          <t>Water-wash pumps C</t>
        </is>
      </c>
      <c r="I1497" s="9" t="inlineStr">
        <is>
          <t>Control</t>
        </is>
      </c>
      <c r="J1497" s="9" t="inlineStr">
        <is>
          <t>Control cable 600 V Type TC-ER, Cu #14 AWG, PVC jacket</t>
        </is>
      </c>
      <c r="K1497" s="9" t="inlineStr">
        <is>
          <t>CT|7/C|14</t>
        </is>
      </c>
      <c r="L1497" s="9" t="inlineStr">
        <is>
          <t>7/C</t>
        </is>
      </c>
      <c r="M1497" s="9" t="inlineStr">
        <is>
          <t>14</t>
        </is>
      </c>
      <c r="N1497" s="9" t="n">
        <v>1</v>
      </c>
      <c r="O1497" s="9" t="n">
        <v>1</v>
      </c>
      <c r="P1497" s="9" t="n"/>
      <c r="Q1497" s="9" t="n"/>
      <c r="R1497" s="9" t="n"/>
      <c r="S1497" s="9" t="inlineStr">
        <is>
          <t>Duct bank</t>
        </is>
      </c>
      <c r="T1497" s="10" t="n">
        <v>548</v>
      </c>
      <c r="U1497" s="10" t="n">
        <v>135</v>
      </c>
      <c r="V1497" s="10">
        <f>ROUNDUP((T1497+U1497+2*'Read Me'!$B$13)*(1+'Read Me'!$B$12),-1)</f>
        <v/>
      </c>
      <c r="W1497" s="10">
        <f>V1497*N1497*O1497</f>
        <v/>
      </c>
      <c r="X1497" s="9">
        <f>IF(LEFT(I1497,2)="MV",2*N1497*IF(L1497="1/C",O1497,1),0)</f>
        <v/>
      </c>
      <c r="Y1497" s="9">
        <f>IF(OR(LEFT(K1497,4)="LVAX",LEFT(K1497,6)="MV15AX",LEFT(K1497,4)="CTAX",LEFT(K1497,2)="W|"),2*N1497*O1497,0)</f>
        <v/>
      </c>
      <c r="Z1497" s="9" t="inlineStr"/>
    </row>
    <row r="1498">
      <c r="A1498" s="9" t="inlineStr">
        <is>
          <t>G-F-0001</t>
        </is>
      </c>
      <c r="B1498" s="9" t="inlineStr">
        <is>
          <t>G</t>
        </is>
      </c>
      <c r="C1498" s="9" t="inlineStr">
        <is>
          <t>Carbon capture</t>
        </is>
      </c>
      <c r="D1498" s="9" t="inlineStr">
        <is>
          <t>Plant network / DCS fibre</t>
        </is>
      </c>
      <c r="E1498" s="9" t="inlineStr">
        <is>
          <t>CR</t>
        </is>
      </c>
      <c r="F1498" s="9" t="inlineStr">
        <is>
          <t>Control / admin building (main control room)</t>
        </is>
      </c>
      <c r="G1498" s="9" t="inlineStr"/>
      <c r="H1498" s="9" t="inlineStr">
        <is>
          <t>CCS F&amp;G / control</t>
        </is>
      </c>
      <c r="I1498" s="9" t="inlineStr">
        <is>
          <t>Fibre / data</t>
        </is>
      </c>
      <c r="J1498" s="9" t="inlineStr">
        <is>
          <t>Fibre optic, single-mode, 12-fibre, armored, orange jacket</t>
        </is>
      </c>
      <c r="K1498" s="9" t="inlineStr">
        <is>
          <t>FO|12 SM|-</t>
        </is>
      </c>
      <c r="L1498" s="9" t="inlineStr">
        <is>
          <t>12 SM</t>
        </is>
      </c>
      <c r="M1498" s="9" t="inlineStr">
        <is>
          <t>-</t>
        </is>
      </c>
      <c r="N1498" s="9" t="n">
        <v>1</v>
      </c>
      <c r="O1498" s="9" t="n">
        <v>1</v>
      </c>
      <c r="P1498" s="9" t="n"/>
      <c r="Q1498" s="9" t="n"/>
      <c r="R1498" s="9" t="n"/>
      <c r="S1498" s="9" t="inlineStr">
        <is>
          <t>Estimated</t>
        </is>
      </c>
      <c r="T1498" s="10" t="n">
        <v>1833</v>
      </c>
      <c r="U1498" s="10" t="n">
        <v>40</v>
      </c>
      <c r="V1498" s="10">
        <f>ROUNDUP((T1498+U1498+2*'Read Me'!$B$13)*(1+'Read Me'!$B$12),-1)</f>
        <v/>
      </c>
      <c r="W1498" s="10">
        <f>V1498*N1498*O1498</f>
        <v/>
      </c>
      <c r="X1498" s="9">
        <f>IF(LEFT(I1498,2)="MV",2*N1498*IF(L1498="1/C",O1498,1),0)</f>
        <v/>
      </c>
      <c r="Y1498" s="9">
        <f>IF(OR(LEFT(K1498,4)="LVAX",LEFT(K1498,6)="MV15AX",LEFT(K1498,4)="CTAX",LEFT(K1498,2)="W|"),2*N1498*O1498,0)</f>
        <v/>
      </c>
      <c r="Z1498" s="9" t="inlineStr"/>
    </row>
    <row r="1499">
      <c r="A1499" s="9" t="inlineStr">
        <is>
          <t>G-F-0002</t>
        </is>
      </c>
      <c r="B1499" s="9" t="inlineStr">
        <is>
          <t>G</t>
        </is>
      </c>
      <c r="C1499" s="9" t="inlineStr">
        <is>
          <t>Carbon capture</t>
        </is>
      </c>
      <c r="D1499" s="9" t="inlineStr">
        <is>
          <t>Plant network / DCS fibre</t>
        </is>
      </c>
      <c r="E1499" s="9" t="inlineStr">
        <is>
          <t>CR</t>
        </is>
      </c>
      <c r="F1499" s="9" t="inlineStr">
        <is>
          <t>Control / admin building (main control room)</t>
        </is>
      </c>
      <c r="G1499" s="9" t="inlineStr"/>
      <c r="H1499" s="9" t="inlineStr">
        <is>
          <t>CCS MV switchgear building (VFDs)</t>
        </is>
      </c>
      <c r="I1499" s="9" t="inlineStr">
        <is>
          <t>Fibre / data</t>
        </is>
      </c>
      <c r="J1499" s="9" t="inlineStr">
        <is>
          <t>Fibre optic, single-mode, 12-fibre, armored, orange jacket</t>
        </is>
      </c>
      <c r="K1499" s="9" t="inlineStr">
        <is>
          <t>FO|12 SM|-</t>
        </is>
      </c>
      <c r="L1499" s="9" t="inlineStr">
        <is>
          <t>12 SM</t>
        </is>
      </c>
      <c r="M1499" s="9" t="inlineStr">
        <is>
          <t>-</t>
        </is>
      </c>
      <c r="N1499" s="9" t="n">
        <v>1</v>
      </c>
      <c r="O1499" s="9" t="n">
        <v>1</v>
      </c>
      <c r="P1499" s="9" t="n"/>
      <c r="Q1499" s="9" t="n"/>
      <c r="R1499" s="9" t="n"/>
      <c r="S1499" s="9" t="inlineStr">
        <is>
          <t>Estimated</t>
        </is>
      </c>
      <c r="T1499" s="10" t="n">
        <v>1576</v>
      </c>
      <c r="U1499" s="10" t="n">
        <v>40</v>
      </c>
      <c r="V1499" s="10">
        <f>ROUNDUP((T1499+U1499+2*'Read Me'!$B$13)*(1+'Read Me'!$B$12),-1)</f>
        <v/>
      </c>
      <c r="W1499" s="10">
        <f>V1499*N1499*O1499</f>
        <v/>
      </c>
      <c r="X1499" s="9">
        <f>IF(LEFT(I1499,2)="MV",2*N1499*IF(L1499="1/C",O1499,1),0)</f>
        <v/>
      </c>
      <c r="Y1499" s="9">
        <f>IF(OR(LEFT(K1499,4)="LVAX",LEFT(K1499,6)="MV15AX",LEFT(K1499,4)="CTAX",LEFT(K1499,2)="W|"),2*N1499*O1499,0)</f>
        <v/>
      </c>
      <c r="Z1499" s="9" t="inlineStr"/>
    </row>
    <row r="1500">
      <c r="A1500" s="9" t="inlineStr">
        <is>
          <t>G-F-0003</t>
        </is>
      </c>
      <c r="B1500" s="9" t="inlineStr">
        <is>
          <t>G</t>
        </is>
      </c>
      <c r="C1500" s="9" t="inlineStr">
        <is>
          <t>Carbon capture</t>
        </is>
      </c>
      <c r="D1500" s="9" t="inlineStr">
        <is>
          <t>Plant network / DCS fibre</t>
        </is>
      </c>
      <c r="E1500" s="9" t="inlineStr">
        <is>
          <t>CR</t>
        </is>
      </c>
      <c r="F1500" s="9" t="inlineStr">
        <is>
          <t>Control / admin building (main control room)</t>
        </is>
      </c>
      <c r="G1500" s="9" t="inlineStr"/>
      <c r="H1500" s="9" t="inlineStr">
        <is>
          <t>CT MCC / VFD e-house</t>
        </is>
      </c>
      <c r="I1500" s="9" t="inlineStr">
        <is>
          <t>Fibre / data</t>
        </is>
      </c>
      <c r="J1500" s="9" t="inlineStr">
        <is>
          <t>Fibre optic, single-mode, 12-fibre, armored, orange jacket</t>
        </is>
      </c>
      <c r="K1500" s="9" t="inlineStr">
        <is>
          <t>FO|12 SM|-</t>
        </is>
      </c>
      <c r="L1500" s="9" t="inlineStr">
        <is>
          <t>12 SM</t>
        </is>
      </c>
      <c r="M1500" s="9" t="inlineStr">
        <is>
          <t>-</t>
        </is>
      </c>
      <c r="N1500" s="9" t="n">
        <v>1</v>
      </c>
      <c r="O1500" s="9" t="n">
        <v>1</v>
      </c>
      <c r="P1500" s="9" t="n"/>
      <c r="Q1500" s="9" t="n"/>
      <c r="R1500" s="9" t="n"/>
      <c r="S1500" s="9" t="inlineStr">
        <is>
          <t>Estimated</t>
        </is>
      </c>
      <c r="T1500" s="10" t="n">
        <v>2530</v>
      </c>
      <c r="U1500" s="10" t="n">
        <v>40</v>
      </c>
      <c r="V1500" s="10">
        <f>ROUNDUP((T1500+U1500+2*'Read Me'!$B$13)*(1+'Read Me'!$B$12),-1)</f>
        <v/>
      </c>
      <c r="W1500" s="10">
        <f>V1500*N1500*O1500</f>
        <v/>
      </c>
      <c r="X1500" s="9">
        <f>IF(LEFT(I1500,2)="MV",2*N1500*IF(L1500="1/C",O1500,1),0)</f>
        <v/>
      </c>
      <c r="Y1500" s="9">
        <f>IF(OR(LEFT(K1500,4)="LVAX",LEFT(K1500,6)="MV15AX",LEFT(K1500,4)="CTAX",LEFT(K1500,2)="W|"),2*N1500*O1500,0)</f>
        <v/>
      </c>
      <c r="Z1500" s="9" t="inlineStr"/>
    </row>
    <row r="1501">
      <c r="A1501" s="9" t="inlineStr">
        <is>
          <t>G-FA-0001</t>
        </is>
      </c>
      <c r="B1501" s="9" t="inlineStr">
        <is>
          <t>G</t>
        </is>
      </c>
      <c r="C1501" s="9" t="inlineStr">
        <is>
          <t>Carbon capture</t>
        </is>
      </c>
      <c r="D1501" s="9" t="inlineStr">
        <is>
          <t>Fire alarm / F&amp;G loop (to the local FACP / F&amp;G node)</t>
        </is>
      </c>
      <c r="E1501" s="9" t="inlineStr"/>
      <c r="F1501" s="9" t="inlineStr">
        <is>
          <t>CCS F&amp;G / control</t>
        </is>
      </c>
      <c r="G1501" s="9" t="inlineStr"/>
      <c r="H1501" s="9" t="inlineStr">
        <is>
          <t>CCS F&amp;G / control</t>
        </is>
      </c>
      <c r="I1501" s="9" t="inlineStr">
        <is>
          <t>Fire alarm</t>
        </is>
      </c>
      <c r="J1501" s="9" t="inlineStr">
        <is>
          <t>Fire alarm FPLR 2/C #14 shielded, red jacket (NEC 760)</t>
        </is>
      </c>
      <c r="K1501" s="9" t="inlineStr">
        <is>
          <t>FA|2/C|14</t>
        </is>
      </c>
      <c r="L1501" s="9" t="inlineStr">
        <is>
          <t>2/C</t>
        </is>
      </c>
      <c r="M1501" s="9" t="inlineStr">
        <is>
          <t>14</t>
        </is>
      </c>
      <c r="N1501" s="9" t="n">
        <v>1</v>
      </c>
      <c r="O1501" s="9" t="n">
        <v>1</v>
      </c>
      <c r="P1501" s="9" t="n"/>
      <c r="Q1501" s="9" t="n"/>
      <c r="R1501" s="9" t="n"/>
      <c r="S1501" s="9" t="inlineStr">
        <is>
          <t>Tray</t>
        </is>
      </c>
      <c r="T1501" s="10" t="n">
        <v>0</v>
      </c>
      <c r="U1501" s="10" t="n">
        <v>170</v>
      </c>
      <c r="V1501" s="10">
        <f>ROUNDUP((T1501+U1501+2*'Read Me'!$B$13)*(1+'Read Me'!$B$12),-1)</f>
        <v/>
      </c>
      <c r="W1501" s="10">
        <f>V1501*N1501*O1501</f>
        <v/>
      </c>
      <c r="X1501" s="9">
        <f>IF(LEFT(I1501,2)="MV",2*N1501*IF(L1501="1/C",O1501,1),0)</f>
        <v/>
      </c>
      <c r="Y1501" s="9">
        <f>IF(OR(LEFT(K1501,4)="LVAX",LEFT(K1501,6)="MV15AX",LEFT(K1501,4)="CTAX",LEFT(K1501,2)="W|"),2*N1501*O1501,0)</f>
        <v/>
      </c>
      <c r="Z1501" s="9" t="inlineStr"/>
    </row>
    <row r="1502">
      <c r="A1502" s="9" t="inlineStr">
        <is>
          <t>G-FA-0002</t>
        </is>
      </c>
      <c r="B1502" s="9" t="inlineStr">
        <is>
          <t>G</t>
        </is>
      </c>
      <c r="C1502" s="9" t="inlineStr">
        <is>
          <t>Carbon capture</t>
        </is>
      </c>
      <c r="D1502" s="9" t="inlineStr">
        <is>
          <t>Fire alarm / F&amp;G loop (to the local FACP / F&amp;G node)</t>
        </is>
      </c>
      <c r="E1502" s="9" t="inlineStr"/>
      <c r="F1502" s="9" t="inlineStr">
        <is>
          <t>CCS F&amp;G / control</t>
        </is>
      </c>
      <c r="G1502" s="9" t="inlineStr"/>
      <c r="H1502" s="9" t="inlineStr">
        <is>
          <t>CCS MV switchgear building (VFDs)</t>
        </is>
      </c>
      <c r="I1502" s="9" t="inlineStr">
        <is>
          <t>Fire alarm</t>
        </is>
      </c>
      <c r="J1502" s="9" t="inlineStr">
        <is>
          <t>Fire alarm FPLR 2/C #14 shielded, red jacket (NEC 760)</t>
        </is>
      </c>
      <c r="K1502" s="9" t="inlineStr">
        <is>
          <t>FA|2/C|14</t>
        </is>
      </c>
      <c r="L1502" s="9" t="inlineStr">
        <is>
          <t>2/C</t>
        </is>
      </c>
      <c r="M1502" s="9" t="inlineStr">
        <is>
          <t>14</t>
        </is>
      </c>
      <c r="N1502" s="9" t="n">
        <v>1</v>
      </c>
      <c r="O1502" s="9" t="n">
        <v>1</v>
      </c>
      <c r="P1502" s="9" t="n"/>
      <c r="Q1502" s="9" t="n"/>
      <c r="R1502" s="9" t="n"/>
      <c r="S1502" s="9" t="inlineStr">
        <is>
          <t>Duct bank</t>
        </is>
      </c>
      <c r="T1502" s="10" t="n">
        <v>206</v>
      </c>
      <c r="U1502" s="10" t="n">
        <v>101</v>
      </c>
      <c r="V1502" s="10">
        <f>ROUNDUP((T1502+U1502+2*'Read Me'!$B$13)*(1+'Read Me'!$B$12),-1)</f>
        <v/>
      </c>
      <c r="W1502" s="10">
        <f>V1502*N1502*O1502</f>
        <v/>
      </c>
      <c r="X1502" s="9">
        <f>IF(LEFT(I1502,2)="MV",2*N1502*IF(L1502="1/C",O1502,1),0)</f>
        <v/>
      </c>
      <c r="Y1502" s="9">
        <f>IF(OR(LEFT(K1502,4)="LVAX",LEFT(K1502,6)="MV15AX",LEFT(K1502,4)="CTAX",LEFT(K1502,2)="W|"),2*N1502*O1502,0)</f>
        <v/>
      </c>
      <c r="Z1502" s="9" t="inlineStr"/>
    </row>
    <row r="1503">
      <c r="A1503" s="9" t="inlineStr">
        <is>
          <t>G-FA-0003</t>
        </is>
      </c>
      <c r="B1503" s="9" t="inlineStr">
        <is>
          <t>G</t>
        </is>
      </c>
      <c r="C1503" s="9" t="inlineStr">
        <is>
          <t>Carbon capture</t>
        </is>
      </c>
      <c r="D1503" s="9" t="inlineStr">
        <is>
          <t>Fire alarm / F&amp;G loop (to the local FACP / F&amp;G node)</t>
        </is>
      </c>
      <c r="E1503" s="9" t="inlineStr"/>
      <c r="F1503" s="9" t="inlineStr">
        <is>
          <t>CCS F&amp;G / control</t>
        </is>
      </c>
      <c r="G1503" s="9" t="inlineStr"/>
      <c r="H1503" s="9" t="inlineStr">
        <is>
          <t>CT MCC / VFD e-house</t>
        </is>
      </c>
      <c r="I1503" s="9" t="inlineStr">
        <is>
          <t>Fire alarm</t>
        </is>
      </c>
      <c r="J1503" s="9" t="inlineStr">
        <is>
          <t>Fire alarm FPLR 2/C #14 shielded, red jacket (NEC 760)</t>
        </is>
      </c>
      <c r="K1503" s="9" t="inlineStr">
        <is>
          <t>FA|2/C|14</t>
        </is>
      </c>
      <c r="L1503" s="9" t="inlineStr">
        <is>
          <t>2/C</t>
        </is>
      </c>
      <c r="M1503" s="9" t="inlineStr">
        <is>
          <t>14</t>
        </is>
      </c>
      <c r="N1503" s="9" t="n">
        <v>1</v>
      </c>
      <c r="O1503" s="9" t="n">
        <v>1</v>
      </c>
      <c r="P1503" s="9" t="n"/>
      <c r="Q1503" s="9" t="n"/>
      <c r="R1503" s="9" t="n"/>
      <c r="S1503" s="9" t="inlineStr">
        <is>
          <t>Duct bank</t>
        </is>
      </c>
      <c r="T1503" s="10" t="n">
        <v>666</v>
      </c>
      <c r="U1503" s="10" t="n">
        <v>236</v>
      </c>
      <c r="V1503" s="10">
        <f>ROUNDUP((T1503+U1503+2*'Read Me'!$B$13)*(1+'Read Me'!$B$12),-1)</f>
        <v/>
      </c>
      <c r="W1503" s="10">
        <f>V1503*N1503*O1503</f>
        <v/>
      </c>
      <c r="X1503" s="9">
        <f>IF(LEFT(I1503,2)="MV",2*N1503*IF(L1503="1/C",O1503,1),0)</f>
        <v/>
      </c>
      <c r="Y1503" s="9">
        <f>IF(OR(LEFT(K1503,4)="LVAX",LEFT(K1503,6)="MV15AX",LEFT(K1503,4)="CTAX",LEFT(K1503,2)="W|"),2*N1503*O1503,0)</f>
        <v/>
      </c>
      <c r="Z1503" s="9" t="inlineStr"/>
    </row>
    <row r="1504">
      <c r="A1504" s="9" t="inlineStr">
        <is>
          <t>G-I-0001</t>
        </is>
      </c>
      <c r="B1504" s="9" t="inlineStr">
        <is>
          <t>G</t>
        </is>
      </c>
      <c r="C1504" s="9" t="inlineStr">
        <is>
          <t>Carbon capture</t>
        </is>
      </c>
      <c r="D1504" s="9" t="inlineStr">
        <is>
          <t>Instrumentation</t>
        </is>
      </c>
      <c r="E1504" s="9" t="inlineStr"/>
      <c r="F1504" s="9" t="inlineStr">
        <is>
          <t>CCS F&amp;G / control</t>
        </is>
      </c>
      <c r="G1504" s="9" t="inlineStr">
        <is>
          <t>ABS-A</t>
        </is>
      </c>
      <c r="H1504" s="9" t="inlineStr">
        <is>
          <t>Absorber A (62 ft dia x 262 ft, stack to 313 ft)</t>
        </is>
      </c>
      <c r="I1504" s="9" t="inlineStr">
        <is>
          <t>Instrumentation</t>
        </is>
      </c>
      <c r="J1504" s="9" t="inlineStr">
        <is>
          <t>Instrumentation PLTC / TC-ER 300 V, #18 twisted shielded pairs, overall shield</t>
        </is>
      </c>
      <c r="K1504" s="9" t="inlineStr">
        <is>
          <t>PLTC|4 pr|18</t>
        </is>
      </c>
      <c r="L1504" s="9" t="inlineStr">
        <is>
          <t>4 pr</t>
        </is>
      </c>
      <c r="M1504" s="9" t="inlineStr">
        <is>
          <t>18</t>
        </is>
      </c>
      <c r="N1504" s="9" t="n">
        <v>1</v>
      </c>
      <c r="O1504" s="9" t="n">
        <v>1</v>
      </c>
      <c r="P1504" s="9" t="n"/>
      <c r="Q1504" s="9" t="n"/>
      <c r="R1504" s="9" t="n"/>
      <c r="S1504" s="9" t="inlineStr">
        <is>
          <t>Tray</t>
        </is>
      </c>
      <c r="T1504" s="10" t="n">
        <v>973</v>
      </c>
      <c r="U1504" s="10" t="n">
        <v>119</v>
      </c>
      <c r="V1504" s="10">
        <f>ROUNDUP((T1504+U1504+2*'Read Me'!$B$13)*(1+'Read Me'!$B$12),-1)</f>
        <v/>
      </c>
      <c r="W1504" s="10">
        <f>V1504*N1504*O1504</f>
        <v/>
      </c>
      <c r="X1504" s="9">
        <f>IF(LEFT(I1504,2)="MV",2*N1504*IF(L1504="1/C",O1504,1),0)</f>
        <v/>
      </c>
      <c r="Y1504" s="9">
        <f>IF(OR(LEFT(K1504,4)="LVAX",LEFT(K1504,6)="MV15AX",LEFT(K1504,4)="CTAX",LEFT(K1504,2)="W|"),2*N1504*O1504,0)</f>
        <v/>
      </c>
      <c r="Z1504" s="9" t="inlineStr"/>
    </row>
    <row r="1505">
      <c r="A1505" s="9" t="inlineStr">
        <is>
          <t>G-I-0002</t>
        </is>
      </c>
      <c r="B1505" s="9" t="inlineStr">
        <is>
          <t>G</t>
        </is>
      </c>
      <c r="C1505" s="9" t="inlineStr">
        <is>
          <t>Carbon capture</t>
        </is>
      </c>
      <c r="D1505" s="9" t="inlineStr">
        <is>
          <t>Instrumentation</t>
        </is>
      </c>
      <c r="E1505" s="9" t="inlineStr"/>
      <c r="F1505" s="9" t="inlineStr">
        <is>
          <t>CCS F&amp;G / control</t>
        </is>
      </c>
      <c r="G1505" s="9" t="inlineStr">
        <is>
          <t>ABS-A</t>
        </is>
      </c>
      <c r="H1505" s="9" t="inlineStr">
        <is>
          <t>Absorber A (62 ft dia x 262 ft, stack to 313 ft)</t>
        </is>
      </c>
      <c r="I1505" s="9" t="inlineStr">
        <is>
          <t>Instrumentation</t>
        </is>
      </c>
      <c r="J1505" s="9" t="inlineStr">
        <is>
          <t>Instrumentation PLTC / TC-ER 300 V, #18 twisted shielded pairs, overall shield</t>
        </is>
      </c>
      <c r="K1505" s="9" t="inlineStr">
        <is>
          <t>PLTC|12 pr|18</t>
        </is>
      </c>
      <c r="L1505" s="9" t="inlineStr">
        <is>
          <t>12 pr</t>
        </is>
      </c>
      <c r="M1505" s="9" t="inlineStr">
        <is>
          <t>18</t>
        </is>
      </c>
      <c r="N1505" s="9" t="n">
        <v>1</v>
      </c>
      <c r="O1505" s="9" t="n">
        <v>1</v>
      </c>
      <c r="P1505" s="9" t="n"/>
      <c r="Q1505" s="9" t="n"/>
      <c r="R1505" s="9" t="n"/>
      <c r="S1505" s="9" t="inlineStr">
        <is>
          <t>Tray</t>
        </is>
      </c>
      <c r="T1505" s="10" t="n">
        <v>973</v>
      </c>
      <c r="U1505" s="10" t="n">
        <v>119</v>
      </c>
      <c r="V1505" s="10">
        <f>ROUNDUP((T1505+U1505+2*'Read Me'!$B$13)*(1+'Read Me'!$B$12),-1)</f>
        <v/>
      </c>
      <c r="W1505" s="10">
        <f>V1505*N1505*O1505</f>
        <v/>
      </c>
      <c r="X1505" s="9">
        <f>IF(LEFT(I1505,2)="MV",2*N1505*IF(L1505="1/C",O1505,1),0)</f>
        <v/>
      </c>
      <c r="Y1505" s="9">
        <f>IF(OR(LEFT(K1505,4)="LVAX",LEFT(K1505,6)="MV15AX",LEFT(K1505,4)="CTAX",LEFT(K1505,2)="W|"),2*N1505*O1505,0)</f>
        <v/>
      </c>
      <c r="Z1505" s="9" t="inlineStr"/>
    </row>
    <row r="1506">
      <c r="A1506" s="9" t="inlineStr">
        <is>
          <t>G-I-0003</t>
        </is>
      </c>
      <c r="B1506" s="9" t="inlineStr">
        <is>
          <t>G</t>
        </is>
      </c>
      <c r="C1506" s="9" t="inlineStr">
        <is>
          <t>Carbon capture</t>
        </is>
      </c>
      <c r="D1506" s="9" t="inlineStr">
        <is>
          <t>Instrumentation</t>
        </is>
      </c>
      <c r="E1506" s="9" t="inlineStr"/>
      <c r="F1506" s="9" t="inlineStr">
        <is>
          <t>CCS F&amp;G / control</t>
        </is>
      </c>
      <c r="G1506" s="9" t="inlineStr"/>
      <c r="H1506" s="9" t="inlineStr">
        <is>
          <t>Absorber A intercooler (pumps + plate exchanger)</t>
        </is>
      </c>
      <c r="I1506" s="9" t="inlineStr">
        <is>
          <t>Instrumentation</t>
        </is>
      </c>
      <c r="J1506" s="9" t="inlineStr">
        <is>
          <t>Instrumentation PLTC / TC-ER 300 V, #18 twisted shielded pairs, overall shield</t>
        </is>
      </c>
      <c r="K1506" s="9" t="inlineStr">
        <is>
          <t>PLTC|4 pr|18</t>
        </is>
      </c>
      <c r="L1506" s="9" t="inlineStr">
        <is>
          <t>4 pr</t>
        </is>
      </c>
      <c r="M1506" s="9" t="inlineStr">
        <is>
          <t>18</t>
        </is>
      </c>
      <c r="N1506" s="9" t="n">
        <v>1</v>
      </c>
      <c r="O1506" s="9" t="n">
        <v>1</v>
      </c>
      <c r="P1506" s="9" t="n"/>
      <c r="Q1506" s="9" t="n"/>
      <c r="R1506" s="9" t="n"/>
      <c r="S1506" s="9" t="inlineStr">
        <is>
          <t>Tray</t>
        </is>
      </c>
      <c r="T1506" s="10" t="n">
        <v>955</v>
      </c>
      <c r="U1506" s="10" t="n">
        <v>120</v>
      </c>
      <c r="V1506" s="10">
        <f>ROUNDUP((T1506+U1506+2*'Read Me'!$B$13)*(1+'Read Me'!$B$12),-1)</f>
        <v/>
      </c>
      <c r="W1506" s="10">
        <f>V1506*N1506*O1506</f>
        <v/>
      </c>
      <c r="X1506" s="9">
        <f>IF(LEFT(I1506,2)="MV",2*N1506*IF(L1506="1/C",O1506,1),0)</f>
        <v/>
      </c>
      <c r="Y1506" s="9">
        <f>IF(OR(LEFT(K1506,4)="LVAX",LEFT(K1506,6)="MV15AX",LEFT(K1506,4)="CTAX",LEFT(K1506,2)="W|"),2*N1506*O1506,0)</f>
        <v/>
      </c>
      <c r="Z1506" s="9" t="inlineStr"/>
    </row>
    <row r="1507">
      <c r="A1507" s="9" t="inlineStr">
        <is>
          <t>G-I-0004</t>
        </is>
      </c>
      <c r="B1507" s="9" t="inlineStr">
        <is>
          <t>G</t>
        </is>
      </c>
      <c r="C1507" s="9" t="inlineStr">
        <is>
          <t>Carbon capture</t>
        </is>
      </c>
      <c r="D1507" s="9" t="inlineStr">
        <is>
          <t>Instrumentation</t>
        </is>
      </c>
      <c r="E1507" s="9" t="inlineStr"/>
      <c r="F1507" s="9" t="inlineStr">
        <is>
          <t>CCS F&amp;G / control</t>
        </is>
      </c>
      <c r="G1507" s="9" t="inlineStr"/>
      <c r="H1507" s="9" t="inlineStr">
        <is>
          <t>Absorber A intercooler (pumps + plate exchanger)</t>
        </is>
      </c>
      <c r="I1507" s="9" t="inlineStr">
        <is>
          <t>Instrumentation</t>
        </is>
      </c>
      <c r="J1507" s="9" t="inlineStr">
        <is>
          <t>Instrumentation PLTC / TC-ER 300 V, #18 twisted shielded pairs, overall shield</t>
        </is>
      </c>
      <c r="K1507" s="9" t="inlineStr">
        <is>
          <t>PLTC|12 pr|18</t>
        </is>
      </c>
      <c r="L1507" s="9" t="inlineStr">
        <is>
          <t>12 pr</t>
        </is>
      </c>
      <c r="M1507" s="9" t="inlineStr">
        <is>
          <t>18</t>
        </is>
      </c>
      <c r="N1507" s="9" t="n">
        <v>1</v>
      </c>
      <c r="O1507" s="9" t="n">
        <v>1</v>
      </c>
      <c r="P1507" s="9" t="n"/>
      <c r="Q1507" s="9" t="n"/>
      <c r="R1507" s="9" t="n"/>
      <c r="S1507" s="9" t="inlineStr">
        <is>
          <t>Tray</t>
        </is>
      </c>
      <c r="T1507" s="10" t="n">
        <v>955</v>
      </c>
      <c r="U1507" s="10" t="n">
        <v>120</v>
      </c>
      <c r="V1507" s="10">
        <f>ROUNDUP((T1507+U1507+2*'Read Me'!$B$13)*(1+'Read Me'!$B$12),-1)</f>
        <v/>
      </c>
      <c r="W1507" s="10">
        <f>V1507*N1507*O1507</f>
        <v/>
      </c>
      <c r="X1507" s="9">
        <f>IF(LEFT(I1507,2)="MV",2*N1507*IF(L1507="1/C",O1507,1),0)</f>
        <v/>
      </c>
      <c r="Y1507" s="9">
        <f>IF(OR(LEFT(K1507,4)="LVAX",LEFT(K1507,6)="MV15AX",LEFT(K1507,4)="CTAX",LEFT(K1507,2)="W|"),2*N1507*O1507,0)</f>
        <v/>
      </c>
      <c r="Z1507" s="9" t="inlineStr"/>
    </row>
    <row r="1508">
      <c r="A1508" s="9" t="inlineStr">
        <is>
          <t>G-I-0005</t>
        </is>
      </c>
      <c r="B1508" s="9" t="inlineStr">
        <is>
          <t>G</t>
        </is>
      </c>
      <c r="C1508" s="9" t="inlineStr">
        <is>
          <t>Carbon capture</t>
        </is>
      </c>
      <c r="D1508" s="9" t="inlineStr">
        <is>
          <t>Instrumentation</t>
        </is>
      </c>
      <c r="E1508" s="9" t="inlineStr"/>
      <c r="F1508" s="9" t="inlineStr">
        <is>
          <t>CCS F&amp;G / control</t>
        </is>
      </c>
      <c r="G1508" s="9" t="inlineStr">
        <is>
          <t>ABS-B</t>
        </is>
      </c>
      <c r="H1508" s="9" t="inlineStr">
        <is>
          <t>Absorber B (62 ft dia x 262 ft, stack to 313 ft)</t>
        </is>
      </c>
      <c r="I1508" s="9" t="inlineStr">
        <is>
          <t>Instrumentation</t>
        </is>
      </c>
      <c r="J1508" s="9" t="inlineStr">
        <is>
          <t>Instrumentation PLTC / TC-ER 300 V, #18 twisted shielded pairs, overall shield</t>
        </is>
      </c>
      <c r="K1508" s="9" t="inlineStr">
        <is>
          <t>PLTC|4 pr|18</t>
        </is>
      </c>
      <c r="L1508" s="9" t="inlineStr">
        <is>
          <t>4 pr</t>
        </is>
      </c>
      <c r="M1508" s="9" t="inlineStr">
        <is>
          <t>18</t>
        </is>
      </c>
      <c r="N1508" s="9" t="n">
        <v>1</v>
      </c>
      <c r="O1508" s="9" t="n">
        <v>1</v>
      </c>
      <c r="P1508" s="9" t="n"/>
      <c r="Q1508" s="9" t="n"/>
      <c r="R1508" s="9" t="n"/>
      <c r="S1508" s="9" t="inlineStr">
        <is>
          <t>Tray</t>
        </is>
      </c>
      <c r="T1508" s="10" t="n">
        <v>813</v>
      </c>
      <c r="U1508" s="10" t="n">
        <v>119</v>
      </c>
      <c r="V1508" s="10">
        <f>ROUNDUP((T1508+U1508+2*'Read Me'!$B$13)*(1+'Read Me'!$B$12),-1)</f>
        <v/>
      </c>
      <c r="W1508" s="10">
        <f>V1508*N1508*O1508</f>
        <v/>
      </c>
      <c r="X1508" s="9">
        <f>IF(LEFT(I1508,2)="MV",2*N1508*IF(L1508="1/C",O1508,1),0)</f>
        <v/>
      </c>
      <c r="Y1508" s="9">
        <f>IF(OR(LEFT(K1508,4)="LVAX",LEFT(K1508,6)="MV15AX",LEFT(K1508,4)="CTAX",LEFT(K1508,2)="W|"),2*N1508*O1508,0)</f>
        <v/>
      </c>
      <c r="Z1508" s="9" t="inlineStr"/>
    </row>
    <row r="1509">
      <c r="A1509" s="9" t="inlineStr">
        <is>
          <t>G-I-0006</t>
        </is>
      </c>
      <c r="B1509" s="9" t="inlineStr">
        <is>
          <t>G</t>
        </is>
      </c>
      <c r="C1509" s="9" t="inlineStr">
        <is>
          <t>Carbon capture</t>
        </is>
      </c>
      <c r="D1509" s="9" t="inlineStr">
        <is>
          <t>Instrumentation</t>
        </is>
      </c>
      <c r="E1509" s="9" t="inlineStr"/>
      <c r="F1509" s="9" t="inlineStr">
        <is>
          <t>CCS F&amp;G / control</t>
        </is>
      </c>
      <c r="G1509" s="9" t="inlineStr">
        <is>
          <t>ABS-B</t>
        </is>
      </c>
      <c r="H1509" s="9" t="inlineStr">
        <is>
          <t>Absorber B (62 ft dia x 262 ft, stack to 313 ft)</t>
        </is>
      </c>
      <c r="I1509" s="9" t="inlineStr">
        <is>
          <t>Instrumentation</t>
        </is>
      </c>
      <c r="J1509" s="9" t="inlineStr">
        <is>
          <t>Instrumentation PLTC / TC-ER 300 V, #18 twisted shielded pairs, overall shield</t>
        </is>
      </c>
      <c r="K1509" s="9" t="inlineStr">
        <is>
          <t>PLTC|12 pr|18</t>
        </is>
      </c>
      <c r="L1509" s="9" t="inlineStr">
        <is>
          <t>12 pr</t>
        </is>
      </c>
      <c r="M1509" s="9" t="inlineStr">
        <is>
          <t>18</t>
        </is>
      </c>
      <c r="N1509" s="9" t="n">
        <v>1</v>
      </c>
      <c r="O1509" s="9" t="n">
        <v>1</v>
      </c>
      <c r="P1509" s="9" t="n"/>
      <c r="Q1509" s="9" t="n"/>
      <c r="R1509" s="9" t="n"/>
      <c r="S1509" s="9" t="inlineStr">
        <is>
          <t>Tray</t>
        </is>
      </c>
      <c r="T1509" s="10" t="n">
        <v>813</v>
      </c>
      <c r="U1509" s="10" t="n">
        <v>119</v>
      </c>
      <c r="V1509" s="10">
        <f>ROUNDUP((T1509+U1509+2*'Read Me'!$B$13)*(1+'Read Me'!$B$12),-1)</f>
        <v/>
      </c>
      <c r="W1509" s="10">
        <f>V1509*N1509*O1509</f>
        <v/>
      </c>
      <c r="X1509" s="9">
        <f>IF(LEFT(I1509,2)="MV",2*N1509*IF(L1509="1/C",O1509,1),0)</f>
        <v/>
      </c>
      <c r="Y1509" s="9">
        <f>IF(OR(LEFT(K1509,4)="LVAX",LEFT(K1509,6)="MV15AX",LEFT(K1509,4)="CTAX",LEFT(K1509,2)="W|"),2*N1509*O1509,0)</f>
        <v/>
      </c>
      <c r="Z1509" s="9" t="inlineStr"/>
    </row>
    <row r="1510">
      <c r="A1510" s="9" t="inlineStr">
        <is>
          <t>G-I-0007</t>
        </is>
      </c>
      <c r="B1510" s="9" t="inlineStr">
        <is>
          <t>G</t>
        </is>
      </c>
      <c r="C1510" s="9" t="inlineStr">
        <is>
          <t>Carbon capture</t>
        </is>
      </c>
      <c r="D1510" s="9" t="inlineStr">
        <is>
          <t>Instrumentation</t>
        </is>
      </c>
      <c r="E1510" s="9" t="inlineStr"/>
      <c r="F1510" s="9" t="inlineStr">
        <is>
          <t>CCS F&amp;G / control</t>
        </is>
      </c>
      <c r="G1510" s="9" t="inlineStr"/>
      <c r="H1510" s="9" t="inlineStr">
        <is>
          <t>Absorber B intercooler (pumps + plate exchanger)</t>
        </is>
      </c>
      <c r="I1510" s="9" t="inlineStr">
        <is>
          <t>Instrumentation</t>
        </is>
      </c>
      <c r="J1510" s="9" t="inlineStr">
        <is>
          <t>Instrumentation PLTC / TC-ER 300 V, #18 twisted shielded pairs, overall shield</t>
        </is>
      </c>
      <c r="K1510" s="9" t="inlineStr">
        <is>
          <t>PLTC|4 pr|18</t>
        </is>
      </c>
      <c r="L1510" s="9" t="inlineStr">
        <is>
          <t>4 pr</t>
        </is>
      </c>
      <c r="M1510" s="9" t="inlineStr">
        <is>
          <t>18</t>
        </is>
      </c>
      <c r="N1510" s="9" t="n">
        <v>1</v>
      </c>
      <c r="O1510" s="9" t="n">
        <v>1</v>
      </c>
      <c r="P1510" s="9" t="n"/>
      <c r="Q1510" s="9" t="n"/>
      <c r="R1510" s="9" t="n"/>
      <c r="S1510" s="9" t="inlineStr">
        <is>
          <t>Tray</t>
        </is>
      </c>
      <c r="T1510" s="10" t="n">
        <v>795</v>
      </c>
      <c r="U1510" s="10" t="n">
        <v>120</v>
      </c>
      <c r="V1510" s="10">
        <f>ROUNDUP((T1510+U1510+2*'Read Me'!$B$13)*(1+'Read Me'!$B$12),-1)</f>
        <v/>
      </c>
      <c r="W1510" s="10">
        <f>V1510*N1510*O1510</f>
        <v/>
      </c>
      <c r="X1510" s="9">
        <f>IF(LEFT(I1510,2)="MV",2*N1510*IF(L1510="1/C",O1510,1),0)</f>
        <v/>
      </c>
      <c r="Y1510" s="9">
        <f>IF(OR(LEFT(K1510,4)="LVAX",LEFT(K1510,6)="MV15AX",LEFT(K1510,4)="CTAX",LEFT(K1510,2)="W|"),2*N1510*O1510,0)</f>
        <v/>
      </c>
      <c r="Z1510" s="9" t="inlineStr"/>
    </row>
    <row r="1511">
      <c r="A1511" s="9" t="inlineStr">
        <is>
          <t>G-I-0008</t>
        </is>
      </c>
      <c r="B1511" s="9" t="inlineStr">
        <is>
          <t>G</t>
        </is>
      </c>
      <c r="C1511" s="9" t="inlineStr">
        <is>
          <t>Carbon capture</t>
        </is>
      </c>
      <c r="D1511" s="9" t="inlineStr">
        <is>
          <t>Instrumentation</t>
        </is>
      </c>
      <c r="E1511" s="9" t="inlineStr"/>
      <c r="F1511" s="9" t="inlineStr">
        <is>
          <t>CCS F&amp;G / control</t>
        </is>
      </c>
      <c r="G1511" s="9" t="inlineStr"/>
      <c r="H1511" s="9" t="inlineStr">
        <is>
          <t>Absorber B intercooler (pumps + plate exchanger)</t>
        </is>
      </c>
      <c r="I1511" s="9" t="inlineStr">
        <is>
          <t>Instrumentation</t>
        </is>
      </c>
      <c r="J1511" s="9" t="inlineStr">
        <is>
          <t>Instrumentation PLTC / TC-ER 300 V, #18 twisted shielded pairs, overall shield</t>
        </is>
      </c>
      <c r="K1511" s="9" t="inlineStr">
        <is>
          <t>PLTC|12 pr|18</t>
        </is>
      </c>
      <c r="L1511" s="9" t="inlineStr">
        <is>
          <t>12 pr</t>
        </is>
      </c>
      <c r="M1511" s="9" t="inlineStr">
        <is>
          <t>18</t>
        </is>
      </c>
      <c r="N1511" s="9" t="n">
        <v>1</v>
      </c>
      <c r="O1511" s="9" t="n">
        <v>1</v>
      </c>
      <c r="P1511" s="9" t="n"/>
      <c r="Q1511" s="9" t="n"/>
      <c r="R1511" s="9" t="n"/>
      <c r="S1511" s="9" t="inlineStr">
        <is>
          <t>Tray</t>
        </is>
      </c>
      <c r="T1511" s="10" t="n">
        <v>795</v>
      </c>
      <c r="U1511" s="10" t="n">
        <v>120</v>
      </c>
      <c r="V1511" s="10">
        <f>ROUNDUP((T1511+U1511+2*'Read Me'!$B$13)*(1+'Read Me'!$B$12),-1)</f>
        <v/>
      </c>
      <c r="W1511" s="10">
        <f>V1511*N1511*O1511</f>
        <v/>
      </c>
      <c r="X1511" s="9">
        <f>IF(LEFT(I1511,2)="MV",2*N1511*IF(L1511="1/C",O1511,1),0)</f>
        <v/>
      </c>
      <c r="Y1511" s="9">
        <f>IF(OR(LEFT(K1511,4)="LVAX",LEFT(K1511,6)="MV15AX",LEFT(K1511,4)="CTAX",LEFT(K1511,2)="W|"),2*N1511*O1511,0)</f>
        <v/>
      </c>
      <c r="Z1511" s="9" t="inlineStr"/>
    </row>
    <row r="1512">
      <c r="A1512" s="9" t="inlineStr">
        <is>
          <t>G-I-0009</t>
        </is>
      </c>
      <c r="B1512" s="9" t="inlineStr">
        <is>
          <t>G</t>
        </is>
      </c>
      <c r="C1512" s="9" t="inlineStr">
        <is>
          <t>Carbon capture</t>
        </is>
      </c>
      <c r="D1512" s="9" t="inlineStr">
        <is>
          <t>Instrumentation</t>
        </is>
      </c>
      <c r="E1512" s="9" t="inlineStr"/>
      <c r="F1512" s="9" t="inlineStr">
        <is>
          <t>CCS F&amp;G / control</t>
        </is>
      </c>
      <c r="G1512" s="9" t="inlineStr">
        <is>
          <t>ABS-C</t>
        </is>
      </c>
      <c r="H1512" s="9" t="inlineStr">
        <is>
          <t>Absorber C (62 ft dia x 262 ft, stack to 313 ft)</t>
        </is>
      </c>
      <c r="I1512" s="9" t="inlineStr">
        <is>
          <t>Instrumentation</t>
        </is>
      </c>
      <c r="J1512" s="9" t="inlineStr">
        <is>
          <t>Instrumentation PLTC / TC-ER 300 V, #18 twisted shielded pairs, overall shield</t>
        </is>
      </c>
      <c r="K1512" s="9" t="inlineStr">
        <is>
          <t>PLTC|4 pr|18</t>
        </is>
      </c>
      <c r="L1512" s="9" t="inlineStr">
        <is>
          <t>4 pr</t>
        </is>
      </c>
      <c r="M1512" s="9" t="inlineStr">
        <is>
          <t>18</t>
        </is>
      </c>
      <c r="N1512" s="9" t="n">
        <v>1</v>
      </c>
      <c r="O1512" s="9" t="n">
        <v>1</v>
      </c>
      <c r="P1512" s="9" t="n"/>
      <c r="Q1512" s="9" t="n"/>
      <c r="R1512" s="9" t="n"/>
      <c r="S1512" s="9" t="inlineStr">
        <is>
          <t>Duct bank</t>
        </is>
      </c>
      <c r="T1512" s="10" t="n">
        <v>653</v>
      </c>
      <c r="U1512" s="10" t="n">
        <v>119</v>
      </c>
      <c r="V1512" s="10">
        <f>ROUNDUP((T1512+U1512+2*'Read Me'!$B$13)*(1+'Read Me'!$B$12),-1)</f>
        <v/>
      </c>
      <c r="W1512" s="10">
        <f>V1512*N1512*O1512</f>
        <v/>
      </c>
      <c r="X1512" s="9">
        <f>IF(LEFT(I1512,2)="MV",2*N1512*IF(L1512="1/C",O1512,1),0)</f>
        <v/>
      </c>
      <c r="Y1512" s="9">
        <f>IF(OR(LEFT(K1512,4)="LVAX",LEFT(K1512,6)="MV15AX",LEFT(K1512,4)="CTAX",LEFT(K1512,2)="W|"),2*N1512*O1512,0)</f>
        <v/>
      </c>
      <c r="Z1512" s="9" t="inlineStr"/>
    </row>
    <row r="1513">
      <c r="A1513" s="9" t="inlineStr">
        <is>
          <t>G-I-0010</t>
        </is>
      </c>
      <c r="B1513" s="9" t="inlineStr">
        <is>
          <t>G</t>
        </is>
      </c>
      <c r="C1513" s="9" t="inlineStr">
        <is>
          <t>Carbon capture</t>
        </is>
      </c>
      <c r="D1513" s="9" t="inlineStr">
        <is>
          <t>Instrumentation</t>
        </is>
      </c>
      <c r="E1513" s="9" t="inlineStr"/>
      <c r="F1513" s="9" t="inlineStr">
        <is>
          <t>CCS F&amp;G / control</t>
        </is>
      </c>
      <c r="G1513" s="9" t="inlineStr">
        <is>
          <t>ABS-C</t>
        </is>
      </c>
      <c r="H1513" s="9" t="inlineStr">
        <is>
          <t>Absorber C (62 ft dia x 262 ft, stack to 313 ft)</t>
        </is>
      </c>
      <c r="I1513" s="9" t="inlineStr">
        <is>
          <t>Instrumentation</t>
        </is>
      </c>
      <c r="J1513" s="9" t="inlineStr">
        <is>
          <t>Instrumentation PLTC / TC-ER 300 V, #18 twisted shielded pairs, overall shield</t>
        </is>
      </c>
      <c r="K1513" s="9" t="inlineStr">
        <is>
          <t>PLTC|12 pr|18</t>
        </is>
      </c>
      <c r="L1513" s="9" t="inlineStr">
        <is>
          <t>12 pr</t>
        </is>
      </c>
      <c r="M1513" s="9" t="inlineStr">
        <is>
          <t>18</t>
        </is>
      </c>
      <c r="N1513" s="9" t="n">
        <v>1</v>
      </c>
      <c r="O1513" s="9" t="n">
        <v>1</v>
      </c>
      <c r="P1513" s="9" t="n"/>
      <c r="Q1513" s="9" t="n"/>
      <c r="R1513" s="9" t="n"/>
      <c r="S1513" s="9" t="inlineStr">
        <is>
          <t>Duct bank</t>
        </is>
      </c>
      <c r="T1513" s="10" t="n">
        <v>653</v>
      </c>
      <c r="U1513" s="10" t="n">
        <v>119</v>
      </c>
      <c r="V1513" s="10">
        <f>ROUNDUP((T1513+U1513+2*'Read Me'!$B$13)*(1+'Read Me'!$B$12),-1)</f>
        <v/>
      </c>
      <c r="W1513" s="10">
        <f>V1513*N1513*O1513</f>
        <v/>
      </c>
      <c r="X1513" s="9">
        <f>IF(LEFT(I1513,2)="MV",2*N1513*IF(L1513="1/C",O1513,1),0)</f>
        <v/>
      </c>
      <c r="Y1513" s="9">
        <f>IF(OR(LEFT(K1513,4)="LVAX",LEFT(K1513,6)="MV15AX",LEFT(K1513,4)="CTAX",LEFT(K1513,2)="W|"),2*N1513*O1513,0)</f>
        <v/>
      </c>
      <c r="Z1513" s="9" t="inlineStr"/>
    </row>
    <row r="1514">
      <c r="A1514" s="9" t="inlineStr">
        <is>
          <t>G-I-0011</t>
        </is>
      </c>
      <c r="B1514" s="9" t="inlineStr">
        <is>
          <t>G</t>
        </is>
      </c>
      <c r="C1514" s="9" t="inlineStr">
        <is>
          <t>Carbon capture</t>
        </is>
      </c>
      <c r="D1514" s="9" t="inlineStr">
        <is>
          <t>Instrumentation</t>
        </is>
      </c>
      <c r="E1514" s="9" t="inlineStr"/>
      <c r="F1514" s="9" t="inlineStr">
        <is>
          <t>CCS F&amp;G / control</t>
        </is>
      </c>
      <c r="G1514" s="9" t="inlineStr"/>
      <c r="H1514" s="9" t="inlineStr">
        <is>
          <t>Absorber C intercooler (pumps + plate exchanger)</t>
        </is>
      </c>
      <c r="I1514" s="9" t="inlineStr">
        <is>
          <t>Instrumentation</t>
        </is>
      </c>
      <c r="J1514" s="9" t="inlineStr">
        <is>
          <t>Instrumentation PLTC / TC-ER 300 V, #18 twisted shielded pairs, overall shield</t>
        </is>
      </c>
      <c r="K1514" s="9" t="inlineStr">
        <is>
          <t>PLTC|4 pr|18</t>
        </is>
      </c>
      <c r="L1514" s="9" t="inlineStr">
        <is>
          <t>4 pr</t>
        </is>
      </c>
      <c r="M1514" s="9" t="inlineStr">
        <is>
          <t>18</t>
        </is>
      </c>
      <c r="N1514" s="9" t="n">
        <v>1</v>
      </c>
      <c r="O1514" s="9" t="n">
        <v>1</v>
      </c>
      <c r="P1514" s="9" t="n"/>
      <c r="Q1514" s="9" t="n"/>
      <c r="R1514" s="9" t="n"/>
      <c r="S1514" s="9" t="inlineStr">
        <is>
          <t>Duct bank</t>
        </is>
      </c>
      <c r="T1514" s="10" t="n">
        <v>635</v>
      </c>
      <c r="U1514" s="10" t="n">
        <v>120</v>
      </c>
      <c r="V1514" s="10">
        <f>ROUNDUP((T1514+U1514+2*'Read Me'!$B$13)*(1+'Read Me'!$B$12),-1)</f>
        <v/>
      </c>
      <c r="W1514" s="10">
        <f>V1514*N1514*O1514</f>
        <v/>
      </c>
      <c r="X1514" s="9">
        <f>IF(LEFT(I1514,2)="MV",2*N1514*IF(L1514="1/C",O1514,1),0)</f>
        <v/>
      </c>
      <c r="Y1514" s="9">
        <f>IF(OR(LEFT(K1514,4)="LVAX",LEFT(K1514,6)="MV15AX",LEFT(K1514,4)="CTAX",LEFT(K1514,2)="W|"),2*N1514*O1514,0)</f>
        <v/>
      </c>
      <c r="Z1514" s="9" t="inlineStr"/>
    </row>
    <row r="1515">
      <c r="A1515" s="9" t="inlineStr">
        <is>
          <t>G-I-0012</t>
        </is>
      </c>
      <c r="B1515" s="9" t="inlineStr">
        <is>
          <t>G</t>
        </is>
      </c>
      <c r="C1515" s="9" t="inlineStr">
        <is>
          <t>Carbon capture</t>
        </is>
      </c>
      <c r="D1515" s="9" t="inlineStr">
        <is>
          <t>Instrumentation</t>
        </is>
      </c>
      <c r="E1515" s="9" t="inlineStr"/>
      <c r="F1515" s="9" t="inlineStr">
        <is>
          <t>CCS F&amp;G / control</t>
        </is>
      </c>
      <c r="G1515" s="9" t="inlineStr"/>
      <c r="H1515" s="9" t="inlineStr">
        <is>
          <t>Absorber C intercooler (pumps + plate exchanger)</t>
        </is>
      </c>
      <c r="I1515" s="9" t="inlineStr">
        <is>
          <t>Instrumentation</t>
        </is>
      </c>
      <c r="J1515" s="9" t="inlineStr">
        <is>
          <t>Instrumentation PLTC / TC-ER 300 V, #18 twisted shielded pairs, overall shield</t>
        </is>
      </c>
      <c r="K1515" s="9" t="inlineStr">
        <is>
          <t>PLTC|12 pr|18</t>
        </is>
      </c>
      <c r="L1515" s="9" t="inlineStr">
        <is>
          <t>12 pr</t>
        </is>
      </c>
      <c r="M1515" s="9" t="inlineStr">
        <is>
          <t>18</t>
        </is>
      </c>
      <c r="N1515" s="9" t="n">
        <v>1</v>
      </c>
      <c r="O1515" s="9" t="n">
        <v>1</v>
      </c>
      <c r="P1515" s="9" t="n"/>
      <c r="Q1515" s="9" t="n"/>
      <c r="R1515" s="9" t="n"/>
      <c r="S1515" s="9" t="inlineStr">
        <is>
          <t>Duct bank</t>
        </is>
      </c>
      <c r="T1515" s="10" t="n">
        <v>635</v>
      </c>
      <c r="U1515" s="10" t="n">
        <v>120</v>
      </c>
      <c r="V1515" s="10">
        <f>ROUNDUP((T1515+U1515+2*'Read Me'!$B$13)*(1+'Read Me'!$B$12),-1)</f>
        <v/>
      </c>
      <c r="W1515" s="10">
        <f>V1515*N1515*O1515</f>
        <v/>
      </c>
      <c r="X1515" s="9">
        <f>IF(LEFT(I1515,2)="MV",2*N1515*IF(L1515="1/C",O1515,1),0)</f>
        <v/>
      </c>
      <c r="Y1515" s="9">
        <f>IF(OR(LEFT(K1515,4)="LVAX",LEFT(K1515,6)="MV15AX",LEFT(K1515,4)="CTAX",LEFT(K1515,2)="W|"),2*N1515*O1515,0)</f>
        <v/>
      </c>
      <c r="Z1515" s="9" t="inlineStr"/>
    </row>
    <row r="1516">
      <c r="A1516" s="9" t="inlineStr">
        <is>
          <t>G-I-0013</t>
        </is>
      </c>
      <c r="B1516" s="9" t="inlineStr">
        <is>
          <t>G</t>
        </is>
      </c>
      <c r="C1516" s="9" t="inlineStr">
        <is>
          <t>Carbon capture</t>
        </is>
      </c>
      <c r="D1516" s="9" t="inlineStr">
        <is>
          <t>Instrumentation</t>
        </is>
      </c>
      <c r="E1516" s="9" t="inlineStr"/>
      <c r="F1516" s="9" t="inlineStr">
        <is>
          <t>CCS F&amp;G / control</t>
        </is>
      </c>
      <c r="G1516" s="9" t="inlineStr"/>
      <c r="H1516" s="9" t="inlineStr">
        <is>
          <t>Activated-carbon filter</t>
        </is>
      </c>
      <c r="I1516" s="9" t="inlineStr">
        <is>
          <t>Instrumentation</t>
        </is>
      </c>
      <c r="J1516" s="9" t="inlineStr">
        <is>
          <t>Instrumentation PLTC / TC-ER 300 V, #18 twisted shielded pairs, overall shield</t>
        </is>
      </c>
      <c r="K1516" s="9" t="inlineStr">
        <is>
          <t>PLTC|4 pr|18</t>
        </is>
      </c>
      <c r="L1516" s="9" t="inlineStr">
        <is>
          <t>4 pr</t>
        </is>
      </c>
      <c r="M1516" s="9" t="inlineStr">
        <is>
          <t>18</t>
        </is>
      </c>
      <c r="N1516" s="9" t="n">
        <v>1</v>
      </c>
      <c r="O1516" s="9" t="n">
        <v>1</v>
      </c>
      <c r="P1516" s="9" t="n"/>
      <c r="Q1516" s="9" t="n"/>
      <c r="R1516" s="9" t="n"/>
      <c r="S1516" s="9" t="inlineStr">
        <is>
          <t>Duct bank</t>
        </is>
      </c>
      <c r="T1516" s="10" t="n">
        <v>185</v>
      </c>
      <c r="U1516" s="10" t="n">
        <v>112</v>
      </c>
      <c r="V1516" s="10">
        <f>ROUNDUP((T1516+U1516+2*'Read Me'!$B$13)*(1+'Read Me'!$B$12),-1)</f>
        <v/>
      </c>
      <c r="W1516" s="10">
        <f>V1516*N1516*O1516</f>
        <v/>
      </c>
      <c r="X1516" s="9">
        <f>IF(LEFT(I1516,2)="MV",2*N1516*IF(L1516="1/C",O1516,1),0)</f>
        <v/>
      </c>
      <c r="Y1516" s="9">
        <f>IF(OR(LEFT(K1516,4)="LVAX",LEFT(K1516,6)="MV15AX",LEFT(K1516,4)="CTAX",LEFT(K1516,2)="W|"),2*N1516*O1516,0)</f>
        <v/>
      </c>
      <c r="Z1516" s="9" t="inlineStr"/>
    </row>
    <row r="1517">
      <c r="A1517" s="9" t="inlineStr">
        <is>
          <t>G-I-0014</t>
        </is>
      </c>
      <c r="B1517" s="9" t="inlineStr">
        <is>
          <t>G</t>
        </is>
      </c>
      <c r="C1517" s="9" t="inlineStr">
        <is>
          <t>Carbon capture</t>
        </is>
      </c>
      <c r="D1517" s="9" t="inlineStr">
        <is>
          <t>Instrumentation</t>
        </is>
      </c>
      <c r="E1517" s="9" t="inlineStr"/>
      <c r="F1517" s="9" t="inlineStr">
        <is>
          <t>CCS F&amp;G / control</t>
        </is>
      </c>
      <c r="G1517" s="9" t="inlineStr">
        <is>
          <t>BF-A</t>
        </is>
      </c>
      <c r="H1517" s="9" t="inlineStr">
        <is>
          <t>BF-A: booster fan (~16 MW)</t>
        </is>
      </c>
      <c r="I1517" s="9" t="inlineStr">
        <is>
          <t>Instrumentation</t>
        </is>
      </c>
      <c r="J1517" s="9" t="inlineStr">
        <is>
          <t>Instrumentation PLTC / TC-ER 300 V, #18 twisted shielded pairs, overall shield</t>
        </is>
      </c>
      <c r="K1517" s="9" t="inlineStr">
        <is>
          <t>PLTC|4 pr|18</t>
        </is>
      </c>
      <c r="L1517" s="9" t="inlineStr">
        <is>
          <t>4 pr</t>
        </is>
      </c>
      <c r="M1517" s="9" t="inlineStr">
        <is>
          <t>18</t>
        </is>
      </c>
      <c r="N1517" s="9" t="n">
        <v>1</v>
      </c>
      <c r="O1517" s="9" t="n">
        <v>1</v>
      </c>
      <c r="P1517" s="9" t="n"/>
      <c r="Q1517" s="9" t="n"/>
      <c r="R1517" s="9" t="n"/>
      <c r="S1517" s="9" t="inlineStr">
        <is>
          <t>Duct bank</t>
        </is>
      </c>
      <c r="T1517" s="10" t="n">
        <v>871</v>
      </c>
      <c r="U1517" s="10" t="n">
        <v>101</v>
      </c>
      <c r="V1517" s="10">
        <f>ROUNDUP((T1517+U1517+2*'Read Me'!$B$13)*(1+'Read Me'!$B$12),-1)</f>
        <v/>
      </c>
      <c r="W1517" s="10">
        <f>V1517*N1517*O1517</f>
        <v/>
      </c>
      <c r="X1517" s="9">
        <f>IF(LEFT(I1517,2)="MV",2*N1517*IF(L1517="1/C",O1517,1),0)</f>
        <v/>
      </c>
      <c r="Y1517" s="9">
        <f>IF(OR(LEFT(K1517,4)="LVAX",LEFT(K1517,6)="MV15AX",LEFT(K1517,4)="CTAX",LEFT(K1517,2)="W|"),2*N1517*O1517,0)</f>
        <v/>
      </c>
      <c r="Z1517" s="9" t="inlineStr"/>
    </row>
    <row r="1518">
      <c r="A1518" s="9" t="inlineStr">
        <is>
          <t>G-I-0015</t>
        </is>
      </c>
      <c r="B1518" s="9" t="inlineStr">
        <is>
          <t>G</t>
        </is>
      </c>
      <c r="C1518" s="9" t="inlineStr">
        <is>
          <t>Carbon capture</t>
        </is>
      </c>
      <c r="D1518" s="9" t="inlineStr">
        <is>
          <t>Instrumentation</t>
        </is>
      </c>
      <c r="E1518" s="9" t="inlineStr"/>
      <c r="F1518" s="9" t="inlineStr">
        <is>
          <t>CCS F&amp;G / control</t>
        </is>
      </c>
      <c r="G1518" s="9" t="inlineStr">
        <is>
          <t>BF-A</t>
        </is>
      </c>
      <c r="H1518" s="9" t="inlineStr">
        <is>
          <t>BF-A: booster fan (~16 MW)</t>
        </is>
      </c>
      <c r="I1518" s="9" t="inlineStr">
        <is>
          <t>Instrumentation</t>
        </is>
      </c>
      <c r="J1518" s="9" t="inlineStr">
        <is>
          <t>Instrumentation PLTC / TC-ER 300 V, #18 twisted shielded pairs, overall shield</t>
        </is>
      </c>
      <c r="K1518" s="9" t="inlineStr">
        <is>
          <t>PLTC|4 pr|18</t>
        </is>
      </c>
      <c r="L1518" s="9" t="inlineStr">
        <is>
          <t>4 pr</t>
        </is>
      </c>
      <c r="M1518" s="9" t="inlineStr">
        <is>
          <t>18</t>
        </is>
      </c>
      <c r="N1518" s="9" t="n">
        <v>1</v>
      </c>
      <c r="O1518" s="9" t="n">
        <v>1</v>
      </c>
      <c r="P1518" s="9" t="n"/>
      <c r="Q1518" s="9" t="n"/>
      <c r="R1518" s="9" t="n"/>
      <c r="S1518" s="9" t="inlineStr">
        <is>
          <t>Duct bank</t>
        </is>
      </c>
      <c r="T1518" s="10" t="n">
        <v>871</v>
      </c>
      <c r="U1518" s="10" t="n">
        <v>101</v>
      </c>
      <c r="V1518" s="10">
        <f>ROUNDUP((T1518+U1518+2*'Read Me'!$B$13)*(1+'Read Me'!$B$12),-1)</f>
        <v/>
      </c>
      <c r="W1518" s="10">
        <f>V1518*N1518*O1518</f>
        <v/>
      </c>
      <c r="X1518" s="9">
        <f>IF(LEFT(I1518,2)="MV",2*N1518*IF(L1518="1/C",O1518,1),0)</f>
        <v/>
      </c>
      <c r="Y1518" s="9">
        <f>IF(OR(LEFT(K1518,4)="LVAX",LEFT(K1518,6)="MV15AX",LEFT(K1518,4)="CTAX",LEFT(K1518,2)="W|"),2*N1518*O1518,0)</f>
        <v/>
      </c>
      <c r="Z1518" s="9" t="inlineStr"/>
    </row>
    <row r="1519">
      <c r="A1519" s="9" t="inlineStr">
        <is>
          <t>G-I-0016</t>
        </is>
      </c>
      <c r="B1519" s="9" t="inlineStr">
        <is>
          <t>G</t>
        </is>
      </c>
      <c r="C1519" s="9" t="inlineStr">
        <is>
          <t>Carbon capture</t>
        </is>
      </c>
      <c r="D1519" s="9" t="inlineStr">
        <is>
          <t>Instrumentation</t>
        </is>
      </c>
      <c r="E1519" s="9" t="inlineStr"/>
      <c r="F1519" s="9" t="inlineStr">
        <is>
          <t>CCS F&amp;G / control</t>
        </is>
      </c>
      <c r="G1519" s="9" t="inlineStr">
        <is>
          <t>BF-A</t>
        </is>
      </c>
      <c r="H1519" s="9" t="inlineStr">
        <is>
          <t>BF-A: booster fan (~16 MW)</t>
        </is>
      </c>
      <c r="I1519" s="9" t="inlineStr">
        <is>
          <t>Instrumentation</t>
        </is>
      </c>
      <c r="J1519" s="9" t="inlineStr">
        <is>
          <t>Instrumentation PLTC / TC-ER 300 V, #18 twisted shielded pairs, overall shield</t>
        </is>
      </c>
      <c r="K1519" s="9" t="inlineStr">
        <is>
          <t>PLTC|12 pr|18</t>
        </is>
      </c>
      <c r="L1519" s="9" t="inlineStr">
        <is>
          <t>12 pr</t>
        </is>
      </c>
      <c r="M1519" s="9" t="inlineStr">
        <is>
          <t>18</t>
        </is>
      </c>
      <c r="N1519" s="9" t="n">
        <v>1</v>
      </c>
      <c r="O1519" s="9" t="n">
        <v>1</v>
      </c>
      <c r="P1519" s="9" t="n"/>
      <c r="Q1519" s="9" t="n"/>
      <c r="R1519" s="9" t="n"/>
      <c r="S1519" s="9" t="inlineStr">
        <is>
          <t>Duct bank</t>
        </is>
      </c>
      <c r="T1519" s="10" t="n">
        <v>871</v>
      </c>
      <c r="U1519" s="10" t="n">
        <v>101</v>
      </c>
      <c r="V1519" s="10">
        <f>ROUNDUP((T1519+U1519+2*'Read Me'!$B$13)*(1+'Read Me'!$B$12),-1)</f>
        <v/>
      </c>
      <c r="W1519" s="10">
        <f>V1519*N1519*O1519</f>
        <v/>
      </c>
      <c r="X1519" s="9">
        <f>IF(LEFT(I1519,2)="MV",2*N1519*IF(L1519="1/C",O1519,1),0)</f>
        <v/>
      </c>
      <c r="Y1519" s="9">
        <f>IF(OR(LEFT(K1519,4)="LVAX",LEFT(K1519,6)="MV15AX",LEFT(K1519,4)="CTAX",LEFT(K1519,2)="W|"),2*N1519*O1519,0)</f>
        <v/>
      </c>
      <c r="Z1519" s="9" t="inlineStr"/>
    </row>
    <row r="1520">
      <c r="A1520" s="9" t="inlineStr">
        <is>
          <t>G-I-0017</t>
        </is>
      </c>
      <c r="B1520" s="9" t="inlineStr">
        <is>
          <t>G</t>
        </is>
      </c>
      <c r="C1520" s="9" t="inlineStr">
        <is>
          <t>Carbon capture</t>
        </is>
      </c>
      <c r="D1520" s="9" t="inlineStr">
        <is>
          <t>Instrumentation</t>
        </is>
      </c>
      <c r="E1520" s="9" t="inlineStr"/>
      <c r="F1520" s="9" t="inlineStr">
        <is>
          <t>CCS F&amp;G / control</t>
        </is>
      </c>
      <c r="G1520" s="9" t="inlineStr">
        <is>
          <t>BF-A</t>
        </is>
      </c>
      <c r="H1520" s="9" t="inlineStr">
        <is>
          <t>BF-A: booster fan (~16 MW)</t>
        </is>
      </c>
      <c r="I1520" s="9" t="inlineStr">
        <is>
          <t>Instrumentation</t>
        </is>
      </c>
      <c r="J1520" s="9" t="inlineStr">
        <is>
          <t>Instrumentation PLTC / TC-ER 300 V, #18 twisted shielded pairs, overall shield</t>
        </is>
      </c>
      <c r="K1520" s="9" t="inlineStr">
        <is>
          <t>PLTC|12 pr|18</t>
        </is>
      </c>
      <c r="L1520" s="9" t="inlineStr">
        <is>
          <t>12 pr</t>
        </is>
      </c>
      <c r="M1520" s="9" t="inlineStr">
        <is>
          <t>18</t>
        </is>
      </c>
      <c r="N1520" s="9" t="n">
        <v>1</v>
      </c>
      <c r="O1520" s="9" t="n">
        <v>1</v>
      </c>
      <c r="P1520" s="9" t="n"/>
      <c r="Q1520" s="9" t="n"/>
      <c r="R1520" s="9" t="n"/>
      <c r="S1520" s="9" t="inlineStr">
        <is>
          <t>Duct bank</t>
        </is>
      </c>
      <c r="T1520" s="10" t="n">
        <v>871</v>
      </c>
      <c r="U1520" s="10" t="n">
        <v>101</v>
      </c>
      <c r="V1520" s="10">
        <f>ROUNDUP((T1520+U1520+2*'Read Me'!$B$13)*(1+'Read Me'!$B$12),-1)</f>
        <v/>
      </c>
      <c r="W1520" s="10">
        <f>V1520*N1520*O1520</f>
        <v/>
      </c>
      <c r="X1520" s="9">
        <f>IF(LEFT(I1520,2)="MV",2*N1520*IF(L1520="1/C",O1520,1),0)</f>
        <v/>
      </c>
      <c r="Y1520" s="9">
        <f>IF(OR(LEFT(K1520,4)="LVAX",LEFT(K1520,6)="MV15AX",LEFT(K1520,4)="CTAX",LEFT(K1520,2)="W|"),2*N1520*O1520,0)</f>
        <v/>
      </c>
      <c r="Z1520" s="9" t="inlineStr"/>
    </row>
    <row r="1521">
      <c r="A1521" s="9" t="inlineStr">
        <is>
          <t>G-I-0018</t>
        </is>
      </c>
      <c r="B1521" s="9" t="inlineStr">
        <is>
          <t>G</t>
        </is>
      </c>
      <c r="C1521" s="9" t="inlineStr">
        <is>
          <t>Carbon capture</t>
        </is>
      </c>
      <c r="D1521" s="9" t="inlineStr">
        <is>
          <t>Instrumentation</t>
        </is>
      </c>
      <c r="E1521" s="9" t="inlineStr"/>
      <c r="F1521" s="9" t="inlineStr">
        <is>
          <t>CCS F&amp;G / control</t>
        </is>
      </c>
      <c r="G1521" s="9" t="inlineStr">
        <is>
          <t>BF-A</t>
        </is>
      </c>
      <c r="H1521" s="9" t="inlineStr">
        <is>
          <t>BF-A: booster fan (~16 MW)</t>
        </is>
      </c>
      <c r="I1521" s="9" t="inlineStr">
        <is>
          <t>Instrumentation</t>
        </is>
      </c>
      <c r="J1521" s="9" t="inlineStr">
        <is>
          <t>Instrumentation PLTC / TC-ER 300 V, #18 twisted shielded pairs, overall shield</t>
        </is>
      </c>
      <c r="K1521" s="9" t="inlineStr">
        <is>
          <t>PLTC|12 pr|18</t>
        </is>
      </c>
      <c r="L1521" s="9" t="inlineStr">
        <is>
          <t>12 pr</t>
        </is>
      </c>
      <c r="M1521" s="9" t="inlineStr">
        <is>
          <t>18</t>
        </is>
      </c>
      <c r="N1521" s="9" t="n">
        <v>1</v>
      </c>
      <c r="O1521" s="9" t="n">
        <v>1</v>
      </c>
      <c r="P1521" s="9" t="n"/>
      <c r="Q1521" s="9" t="n"/>
      <c r="R1521" s="9" t="n"/>
      <c r="S1521" s="9" t="inlineStr">
        <is>
          <t>Duct bank</t>
        </is>
      </c>
      <c r="T1521" s="10" t="n">
        <v>871</v>
      </c>
      <c r="U1521" s="10" t="n">
        <v>101</v>
      </c>
      <c r="V1521" s="10">
        <f>ROUNDUP((T1521+U1521+2*'Read Me'!$B$13)*(1+'Read Me'!$B$12),-1)</f>
        <v/>
      </c>
      <c r="W1521" s="10">
        <f>V1521*N1521*O1521</f>
        <v/>
      </c>
      <c r="X1521" s="9">
        <f>IF(LEFT(I1521,2)="MV",2*N1521*IF(L1521="1/C",O1521,1),0)</f>
        <v/>
      </c>
      <c r="Y1521" s="9">
        <f>IF(OR(LEFT(K1521,4)="LVAX",LEFT(K1521,6)="MV15AX",LEFT(K1521,4)="CTAX",LEFT(K1521,2)="W|"),2*N1521*O1521,0)</f>
        <v/>
      </c>
      <c r="Z1521" s="9" t="inlineStr"/>
    </row>
    <row r="1522">
      <c r="A1522" s="9" t="inlineStr">
        <is>
          <t>G-I-0019</t>
        </is>
      </c>
      <c r="B1522" s="9" t="inlineStr">
        <is>
          <t>G</t>
        </is>
      </c>
      <c r="C1522" s="9" t="inlineStr">
        <is>
          <t>Carbon capture</t>
        </is>
      </c>
      <c r="D1522" s="9" t="inlineStr">
        <is>
          <t>Instrumentation</t>
        </is>
      </c>
      <c r="E1522" s="9" t="inlineStr"/>
      <c r="F1522" s="9" t="inlineStr">
        <is>
          <t>CCS F&amp;G / control</t>
        </is>
      </c>
      <c r="G1522" s="9" t="inlineStr">
        <is>
          <t>BF-A</t>
        </is>
      </c>
      <c r="H1522" s="9" t="inlineStr">
        <is>
          <t>BF-A: booster fan (~16 MW)</t>
        </is>
      </c>
      <c r="I1522" s="9" t="inlineStr">
        <is>
          <t>Instrumentation</t>
        </is>
      </c>
      <c r="J1522" s="9" t="inlineStr">
        <is>
          <t>Instrumentation PLTC / TC-ER 300 V, #18 twisted shielded pairs, overall shield</t>
        </is>
      </c>
      <c r="K1522" s="9" t="inlineStr">
        <is>
          <t>PLTC|12 pr|18</t>
        </is>
      </c>
      <c r="L1522" s="9" t="inlineStr">
        <is>
          <t>12 pr</t>
        </is>
      </c>
      <c r="M1522" s="9" t="inlineStr">
        <is>
          <t>18</t>
        </is>
      </c>
      <c r="N1522" s="9" t="n">
        <v>1</v>
      </c>
      <c r="O1522" s="9" t="n">
        <v>1</v>
      </c>
      <c r="P1522" s="9" t="n"/>
      <c r="Q1522" s="9" t="n"/>
      <c r="R1522" s="9" t="n"/>
      <c r="S1522" s="9" t="inlineStr">
        <is>
          <t>Duct bank</t>
        </is>
      </c>
      <c r="T1522" s="10" t="n">
        <v>871</v>
      </c>
      <c r="U1522" s="10" t="n">
        <v>101</v>
      </c>
      <c r="V1522" s="10">
        <f>ROUNDUP((T1522+U1522+2*'Read Me'!$B$13)*(1+'Read Me'!$B$12),-1)</f>
        <v/>
      </c>
      <c r="W1522" s="10">
        <f>V1522*N1522*O1522</f>
        <v/>
      </c>
      <c r="X1522" s="9">
        <f>IF(LEFT(I1522,2)="MV",2*N1522*IF(L1522="1/C",O1522,1),0)</f>
        <v/>
      </c>
      <c r="Y1522" s="9">
        <f>IF(OR(LEFT(K1522,4)="LVAX",LEFT(K1522,6)="MV15AX",LEFT(K1522,4)="CTAX",LEFT(K1522,2)="W|"),2*N1522*O1522,0)</f>
        <v/>
      </c>
      <c r="Z1522" s="9" t="inlineStr"/>
    </row>
    <row r="1523">
      <c r="A1523" s="9" t="inlineStr">
        <is>
          <t>G-I-0020</t>
        </is>
      </c>
      <c r="B1523" s="9" t="inlineStr">
        <is>
          <t>G</t>
        </is>
      </c>
      <c r="C1523" s="9" t="inlineStr">
        <is>
          <t>Carbon capture</t>
        </is>
      </c>
      <c r="D1523" s="9" t="inlineStr">
        <is>
          <t>Instrumentation</t>
        </is>
      </c>
      <c r="E1523" s="9" t="inlineStr"/>
      <c r="F1523" s="9" t="inlineStr">
        <is>
          <t>CCS F&amp;G / control</t>
        </is>
      </c>
      <c r="G1523" s="9" t="inlineStr">
        <is>
          <t>BF-A</t>
        </is>
      </c>
      <c r="H1523" s="9" t="inlineStr">
        <is>
          <t>BF-A: booster fan (~16 MW)</t>
        </is>
      </c>
      <c r="I1523" s="9" t="inlineStr">
        <is>
          <t>Instrumentation</t>
        </is>
      </c>
      <c r="J1523" s="9" t="inlineStr">
        <is>
          <t>Instrumentation PLTC / TC-ER 300 V, #18 twisted shielded pairs, overall shield</t>
        </is>
      </c>
      <c r="K1523" s="9" t="inlineStr">
        <is>
          <t>PLTC|12 pr|18</t>
        </is>
      </c>
      <c r="L1523" s="9" t="inlineStr">
        <is>
          <t>12 pr</t>
        </is>
      </c>
      <c r="M1523" s="9" t="inlineStr">
        <is>
          <t>18</t>
        </is>
      </c>
      <c r="N1523" s="9" t="n">
        <v>1</v>
      </c>
      <c r="O1523" s="9" t="n">
        <v>1</v>
      </c>
      <c r="P1523" s="9" t="n"/>
      <c r="Q1523" s="9" t="n"/>
      <c r="R1523" s="9" t="n"/>
      <c r="S1523" s="9" t="inlineStr">
        <is>
          <t>Duct bank</t>
        </is>
      </c>
      <c r="T1523" s="10" t="n">
        <v>871</v>
      </c>
      <c r="U1523" s="10" t="n">
        <v>101</v>
      </c>
      <c r="V1523" s="10">
        <f>ROUNDUP((T1523+U1523+2*'Read Me'!$B$13)*(1+'Read Me'!$B$12),-1)</f>
        <v/>
      </c>
      <c r="W1523" s="10">
        <f>V1523*N1523*O1523</f>
        <v/>
      </c>
      <c r="X1523" s="9">
        <f>IF(LEFT(I1523,2)="MV",2*N1523*IF(L1523="1/C",O1523,1),0)</f>
        <v/>
      </c>
      <c r="Y1523" s="9">
        <f>IF(OR(LEFT(K1523,4)="LVAX",LEFT(K1523,6)="MV15AX",LEFT(K1523,4)="CTAX",LEFT(K1523,2)="W|"),2*N1523*O1523,0)</f>
        <v/>
      </c>
      <c r="Z1523" s="9" t="inlineStr"/>
    </row>
    <row r="1524">
      <c r="A1524" s="9" t="inlineStr">
        <is>
          <t>G-I-0021</t>
        </is>
      </c>
      <c r="B1524" s="9" t="inlineStr">
        <is>
          <t>G</t>
        </is>
      </c>
      <c r="C1524" s="9" t="inlineStr">
        <is>
          <t>Carbon capture</t>
        </is>
      </c>
      <c r="D1524" s="9" t="inlineStr">
        <is>
          <t>Instrumentation</t>
        </is>
      </c>
      <c r="E1524" s="9" t="inlineStr"/>
      <c r="F1524" s="9" t="inlineStr">
        <is>
          <t>CCS F&amp;G / control</t>
        </is>
      </c>
      <c r="G1524" s="9" t="inlineStr">
        <is>
          <t>BF-A</t>
        </is>
      </c>
      <c r="H1524" s="9" t="inlineStr">
        <is>
          <t>BF-A: booster fan (~16 MW)</t>
        </is>
      </c>
      <c r="I1524" s="9" t="inlineStr">
        <is>
          <t>Instrumentation</t>
        </is>
      </c>
      <c r="J1524" s="9" t="inlineStr">
        <is>
          <t>Instrumentation PLTC / TC-ER 300 V, #18 twisted shielded pairs, overall shield</t>
        </is>
      </c>
      <c r="K1524" s="9" t="inlineStr">
        <is>
          <t>PLTC|12 pr|18</t>
        </is>
      </c>
      <c r="L1524" s="9" t="inlineStr">
        <is>
          <t>12 pr</t>
        </is>
      </c>
      <c r="M1524" s="9" t="inlineStr">
        <is>
          <t>18</t>
        </is>
      </c>
      <c r="N1524" s="9" t="n">
        <v>1</v>
      </c>
      <c r="O1524" s="9" t="n">
        <v>1</v>
      </c>
      <c r="P1524" s="9" t="n"/>
      <c r="Q1524" s="9" t="n"/>
      <c r="R1524" s="9" t="n"/>
      <c r="S1524" s="9" t="inlineStr">
        <is>
          <t>Duct bank</t>
        </is>
      </c>
      <c r="T1524" s="10" t="n">
        <v>871</v>
      </c>
      <c r="U1524" s="10" t="n">
        <v>101</v>
      </c>
      <c r="V1524" s="10">
        <f>ROUNDUP((T1524+U1524+2*'Read Me'!$B$13)*(1+'Read Me'!$B$12),-1)</f>
        <v/>
      </c>
      <c r="W1524" s="10">
        <f>V1524*N1524*O1524</f>
        <v/>
      </c>
      <c r="X1524" s="9">
        <f>IF(LEFT(I1524,2)="MV",2*N1524*IF(L1524="1/C",O1524,1),0)</f>
        <v/>
      </c>
      <c r="Y1524" s="9">
        <f>IF(OR(LEFT(K1524,4)="LVAX",LEFT(K1524,6)="MV15AX",LEFT(K1524,4)="CTAX",LEFT(K1524,2)="W|"),2*N1524*O1524,0)</f>
        <v/>
      </c>
      <c r="Z1524" s="9" t="inlineStr"/>
    </row>
    <row r="1525">
      <c r="A1525" s="9" t="inlineStr">
        <is>
          <t>G-I-0022</t>
        </is>
      </c>
      <c r="B1525" s="9" t="inlineStr">
        <is>
          <t>G</t>
        </is>
      </c>
      <c r="C1525" s="9" t="inlineStr">
        <is>
          <t>Carbon capture</t>
        </is>
      </c>
      <c r="D1525" s="9" t="inlineStr">
        <is>
          <t>Instrumentation</t>
        </is>
      </c>
      <c r="E1525" s="9" t="inlineStr"/>
      <c r="F1525" s="9" t="inlineStr">
        <is>
          <t>CCS F&amp;G / control</t>
        </is>
      </c>
      <c r="G1525" s="9" t="inlineStr">
        <is>
          <t>BF-A</t>
        </is>
      </c>
      <c r="H1525" s="9" t="inlineStr">
        <is>
          <t>BF-A: booster fan (~16 MW)</t>
        </is>
      </c>
      <c r="I1525" s="9" t="inlineStr">
        <is>
          <t>Instrumentation</t>
        </is>
      </c>
      <c r="J1525" s="9" t="inlineStr">
        <is>
          <t>Instrumentation PLTC / TC-ER 300 V, #18 twisted shielded pairs, overall shield</t>
        </is>
      </c>
      <c r="K1525" s="9" t="inlineStr">
        <is>
          <t>PLTC|12 pr|18</t>
        </is>
      </c>
      <c r="L1525" s="9" t="inlineStr">
        <is>
          <t>12 pr</t>
        </is>
      </c>
      <c r="M1525" s="9" t="inlineStr">
        <is>
          <t>18</t>
        </is>
      </c>
      <c r="N1525" s="9" t="n">
        <v>1</v>
      </c>
      <c r="O1525" s="9" t="n">
        <v>1</v>
      </c>
      <c r="P1525" s="9" t="n"/>
      <c r="Q1525" s="9" t="n"/>
      <c r="R1525" s="9" t="n"/>
      <c r="S1525" s="9" t="inlineStr">
        <is>
          <t>Duct bank</t>
        </is>
      </c>
      <c r="T1525" s="10" t="n">
        <v>871</v>
      </c>
      <c r="U1525" s="10" t="n">
        <v>101</v>
      </c>
      <c r="V1525" s="10">
        <f>ROUNDUP((T1525+U1525+2*'Read Me'!$B$13)*(1+'Read Me'!$B$12),-1)</f>
        <v/>
      </c>
      <c r="W1525" s="10">
        <f>V1525*N1525*O1525</f>
        <v/>
      </c>
      <c r="X1525" s="9">
        <f>IF(LEFT(I1525,2)="MV",2*N1525*IF(L1525="1/C",O1525,1),0)</f>
        <v/>
      </c>
      <c r="Y1525" s="9">
        <f>IF(OR(LEFT(K1525,4)="LVAX",LEFT(K1525,6)="MV15AX",LEFT(K1525,4)="CTAX",LEFT(K1525,2)="W|"),2*N1525*O1525,0)</f>
        <v/>
      </c>
      <c r="Z1525" s="9" t="inlineStr"/>
    </row>
    <row r="1526">
      <c r="A1526" s="9" t="inlineStr">
        <is>
          <t>G-I-0023</t>
        </is>
      </c>
      <c r="B1526" s="9" t="inlineStr">
        <is>
          <t>G</t>
        </is>
      </c>
      <c r="C1526" s="9" t="inlineStr">
        <is>
          <t>Carbon capture</t>
        </is>
      </c>
      <c r="D1526" s="9" t="inlineStr">
        <is>
          <t>Instrumentation</t>
        </is>
      </c>
      <c r="E1526" s="9" t="inlineStr"/>
      <c r="F1526" s="9" t="inlineStr">
        <is>
          <t>CCS F&amp;G / control</t>
        </is>
      </c>
      <c r="G1526" s="9" t="inlineStr">
        <is>
          <t>BF-A</t>
        </is>
      </c>
      <c r="H1526" s="9" t="inlineStr">
        <is>
          <t>BF-A: booster fan (~16 MW)</t>
        </is>
      </c>
      <c r="I1526" s="9" t="inlineStr">
        <is>
          <t>Instrumentation</t>
        </is>
      </c>
      <c r="J1526" s="9" t="inlineStr">
        <is>
          <t>Instrumentation PLTC / TC-ER 300 V, #18 twisted shielded pairs, overall shield</t>
        </is>
      </c>
      <c r="K1526" s="9" t="inlineStr">
        <is>
          <t>PLTC|12 pr|18</t>
        </is>
      </c>
      <c r="L1526" s="9" t="inlineStr">
        <is>
          <t>12 pr</t>
        </is>
      </c>
      <c r="M1526" s="9" t="inlineStr">
        <is>
          <t>18</t>
        </is>
      </c>
      <c r="N1526" s="9" t="n">
        <v>1</v>
      </c>
      <c r="O1526" s="9" t="n">
        <v>1</v>
      </c>
      <c r="P1526" s="9" t="n"/>
      <c r="Q1526" s="9" t="n"/>
      <c r="R1526" s="9" t="n"/>
      <c r="S1526" s="9" t="inlineStr">
        <is>
          <t>Duct bank</t>
        </is>
      </c>
      <c r="T1526" s="10" t="n">
        <v>871</v>
      </c>
      <c r="U1526" s="10" t="n">
        <v>101</v>
      </c>
      <c r="V1526" s="10">
        <f>ROUNDUP((T1526+U1526+2*'Read Me'!$B$13)*(1+'Read Me'!$B$12),-1)</f>
        <v/>
      </c>
      <c r="W1526" s="10">
        <f>V1526*N1526*O1526</f>
        <v/>
      </c>
      <c r="X1526" s="9">
        <f>IF(LEFT(I1526,2)="MV",2*N1526*IF(L1526="1/C",O1526,1),0)</f>
        <v/>
      </c>
      <c r="Y1526" s="9">
        <f>IF(OR(LEFT(K1526,4)="LVAX",LEFT(K1526,6)="MV15AX",LEFT(K1526,4)="CTAX",LEFT(K1526,2)="W|"),2*N1526*O1526,0)</f>
        <v/>
      </c>
      <c r="Z1526" s="9" t="inlineStr"/>
    </row>
    <row r="1527">
      <c r="A1527" s="9" t="inlineStr">
        <is>
          <t>G-I-0024</t>
        </is>
      </c>
      <c r="B1527" s="9" t="inlineStr">
        <is>
          <t>G</t>
        </is>
      </c>
      <c r="C1527" s="9" t="inlineStr">
        <is>
          <t>Carbon capture</t>
        </is>
      </c>
      <c r="D1527" s="9" t="inlineStr">
        <is>
          <t>Instrumentation</t>
        </is>
      </c>
      <c r="E1527" s="9" t="inlineStr"/>
      <c r="F1527" s="9" t="inlineStr">
        <is>
          <t>CCS F&amp;G / control</t>
        </is>
      </c>
      <c r="G1527" s="9" t="inlineStr">
        <is>
          <t>BF-B</t>
        </is>
      </c>
      <c r="H1527" s="9" t="inlineStr">
        <is>
          <t>BF-B: booster fan (~16 MW)</t>
        </is>
      </c>
      <c r="I1527" s="9" t="inlineStr">
        <is>
          <t>Instrumentation</t>
        </is>
      </c>
      <c r="J1527" s="9" t="inlineStr">
        <is>
          <t>Instrumentation PLTC / TC-ER 300 V, #18 twisted shielded pairs, overall shield</t>
        </is>
      </c>
      <c r="K1527" s="9" t="inlineStr">
        <is>
          <t>PLTC|4 pr|18</t>
        </is>
      </c>
      <c r="L1527" s="9" t="inlineStr">
        <is>
          <t>4 pr</t>
        </is>
      </c>
      <c r="M1527" s="9" t="inlineStr">
        <is>
          <t>18</t>
        </is>
      </c>
      <c r="N1527" s="9" t="n">
        <v>1</v>
      </c>
      <c r="O1527" s="9" t="n">
        <v>1</v>
      </c>
      <c r="P1527" s="9" t="n"/>
      <c r="Q1527" s="9" t="n"/>
      <c r="R1527" s="9" t="n"/>
      <c r="S1527" s="9" t="inlineStr">
        <is>
          <t>Duct bank</t>
        </is>
      </c>
      <c r="T1527" s="10" t="n">
        <v>711</v>
      </c>
      <c r="U1527" s="10" t="n">
        <v>101</v>
      </c>
      <c r="V1527" s="10">
        <f>ROUNDUP((T1527+U1527+2*'Read Me'!$B$13)*(1+'Read Me'!$B$12),-1)</f>
        <v/>
      </c>
      <c r="W1527" s="10">
        <f>V1527*N1527*O1527</f>
        <v/>
      </c>
      <c r="X1527" s="9">
        <f>IF(LEFT(I1527,2)="MV",2*N1527*IF(L1527="1/C",O1527,1),0)</f>
        <v/>
      </c>
      <c r="Y1527" s="9">
        <f>IF(OR(LEFT(K1527,4)="LVAX",LEFT(K1527,6)="MV15AX",LEFT(K1527,4)="CTAX",LEFT(K1527,2)="W|"),2*N1527*O1527,0)</f>
        <v/>
      </c>
      <c r="Z1527" s="9" t="inlineStr"/>
    </row>
    <row r="1528">
      <c r="A1528" s="9" t="inlineStr">
        <is>
          <t>G-I-0025</t>
        </is>
      </c>
      <c r="B1528" s="9" t="inlineStr">
        <is>
          <t>G</t>
        </is>
      </c>
      <c r="C1528" s="9" t="inlineStr">
        <is>
          <t>Carbon capture</t>
        </is>
      </c>
      <c r="D1528" s="9" t="inlineStr">
        <is>
          <t>Instrumentation</t>
        </is>
      </c>
      <c r="E1528" s="9" t="inlineStr"/>
      <c r="F1528" s="9" t="inlineStr">
        <is>
          <t>CCS F&amp;G / control</t>
        </is>
      </c>
      <c r="G1528" s="9" t="inlineStr">
        <is>
          <t>BF-B</t>
        </is>
      </c>
      <c r="H1528" s="9" t="inlineStr">
        <is>
          <t>BF-B: booster fan (~16 MW)</t>
        </is>
      </c>
      <c r="I1528" s="9" t="inlineStr">
        <is>
          <t>Instrumentation</t>
        </is>
      </c>
      <c r="J1528" s="9" t="inlineStr">
        <is>
          <t>Instrumentation PLTC / TC-ER 300 V, #18 twisted shielded pairs, overall shield</t>
        </is>
      </c>
      <c r="K1528" s="9" t="inlineStr">
        <is>
          <t>PLTC|4 pr|18</t>
        </is>
      </c>
      <c r="L1528" s="9" t="inlineStr">
        <is>
          <t>4 pr</t>
        </is>
      </c>
      <c r="M1528" s="9" t="inlineStr">
        <is>
          <t>18</t>
        </is>
      </c>
      <c r="N1528" s="9" t="n">
        <v>1</v>
      </c>
      <c r="O1528" s="9" t="n">
        <v>1</v>
      </c>
      <c r="P1528" s="9" t="n"/>
      <c r="Q1528" s="9" t="n"/>
      <c r="R1528" s="9" t="n"/>
      <c r="S1528" s="9" t="inlineStr">
        <is>
          <t>Duct bank</t>
        </is>
      </c>
      <c r="T1528" s="10" t="n">
        <v>711</v>
      </c>
      <c r="U1528" s="10" t="n">
        <v>101</v>
      </c>
      <c r="V1528" s="10">
        <f>ROUNDUP((T1528+U1528+2*'Read Me'!$B$13)*(1+'Read Me'!$B$12),-1)</f>
        <v/>
      </c>
      <c r="W1528" s="10">
        <f>V1528*N1528*O1528</f>
        <v/>
      </c>
      <c r="X1528" s="9">
        <f>IF(LEFT(I1528,2)="MV",2*N1528*IF(L1528="1/C",O1528,1),0)</f>
        <v/>
      </c>
      <c r="Y1528" s="9">
        <f>IF(OR(LEFT(K1528,4)="LVAX",LEFT(K1528,6)="MV15AX",LEFT(K1528,4)="CTAX",LEFT(K1528,2)="W|"),2*N1528*O1528,0)</f>
        <v/>
      </c>
      <c r="Z1528" s="9" t="inlineStr"/>
    </row>
    <row r="1529">
      <c r="A1529" s="9" t="inlineStr">
        <is>
          <t>G-I-0026</t>
        </is>
      </c>
      <c r="B1529" s="9" t="inlineStr">
        <is>
          <t>G</t>
        </is>
      </c>
      <c r="C1529" s="9" t="inlineStr">
        <is>
          <t>Carbon capture</t>
        </is>
      </c>
      <c r="D1529" s="9" t="inlineStr">
        <is>
          <t>Instrumentation</t>
        </is>
      </c>
      <c r="E1529" s="9" t="inlineStr"/>
      <c r="F1529" s="9" t="inlineStr">
        <is>
          <t>CCS F&amp;G / control</t>
        </is>
      </c>
      <c r="G1529" s="9" t="inlineStr">
        <is>
          <t>BF-B</t>
        </is>
      </c>
      <c r="H1529" s="9" t="inlineStr">
        <is>
          <t>BF-B: booster fan (~16 MW)</t>
        </is>
      </c>
      <c r="I1529" s="9" t="inlineStr">
        <is>
          <t>Instrumentation</t>
        </is>
      </c>
      <c r="J1529" s="9" t="inlineStr">
        <is>
          <t>Instrumentation PLTC / TC-ER 300 V, #18 twisted shielded pairs, overall shield</t>
        </is>
      </c>
      <c r="K1529" s="9" t="inlineStr">
        <is>
          <t>PLTC|12 pr|18</t>
        </is>
      </c>
      <c r="L1529" s="9" t="inlineStr">
        <is>
          <t>12 pr</t>
        </is>
      </c>
      <c r="M1529" s="9" t="inlineStr">
        <is>
          <t>18</t>
        </is>
      </c>
      <c r="N1529" s="9" t="n">
        <v>1</v>
      </c>
      <c r="O1529" s="9" t="n">
        <v>1</v>
      </c>
      <c r="P1529" s="9" t="n"/>
      <c r="Q1529" s="9" t="n"/>
      <c r="R1529" s="9" t="n"/>
      <c r="S1529" s="9" t="inlineStr">
        <is>
          <t>Duct bank</t>
        </is>
      </c>
      <c r="T1529" s="10" t="n">
        <v>711</v>
      </c>
      <c r="U1529" s="10" t="n">
        <v>101</v>
      </c>
      <c r="V1529" s="10">
        <f>ROUNDUP((T1529+U1529+2*'Read Me'!$B$13)*(1+'Read Me'!$B$12),-1)</f>
        <v/>
      </c>
      <c r="W1529" s="10">
        <f>V1529*N1529*O1529</f>
        <v/>
      </c>
      <c r="X1529" s="9">
        <f>IF(LEFT(I1529,2)="MV",2*N1529*IF(L1529="1/C",O1529,1),0)</f>
        <v/>
      </c>
      <c r="Y1529" s="9">
        <f>IF(OR(LEFT(K1529,4)="LVAX",LEFT(K1529,6)="MV15AX",LEFT(K1529,4)="CTAX",LEFT(K1529,2)="W|"),2*N1529*O1529,0)</f>
        <v/>
      </c>
      <c r="Z1529" s="9" t="inlineStr"/>
    </row>
    <row r="1530">
      <c r="A1530" s="9" t="inlineStr">
        <is>
          <t>G-I-0027</t>
        </is>
      </c>
      <c r="B1530" s="9" t="inlineStr">
        <is>
          <t>G</t>
        </is>
      </c>
      <c r="C1530" s="9" t="inlineStr">
        <is>
          <t>Carbon capture</t>
        </is>
      </c>
      <c r="D1530" s="9" t="inlineStr">
        <is>
          <t>Instrumentation</t>
        </is>
      </c>
      <c r="E1530" s="9" t="inlineStr"/>
      <c r="F1530" s="9" t="inlineStr">
        <is>
          <t>CCS F&amp;G / control</t>
        </is>
      </c>
      <c r="G1530" s="9" t="inlineStr">
        <is>
          <t>BF-B</t>
        </is>
      </c>
      <c r="H1530" s="9" t="inlineStr">
        <is>
          <t>BF-B: booster fan (~16 MW)</t>
        </is>
      </c>
      <c r="I1530" s="9" t="inlineStr">
        <is>
          <t>Instrumentation</t>
        </is>
      </c>
      <c r="J1530" s="9" t="inlineStr">
        <is>
          <t>Instrumentation PLTC / TC-ER 300 V, #18 twisted shielded pairs, overall shield</t>
        </is>
      </c>
      <c r="K1530" s="9" t="inlineStr">
        <is>
          <t>PLTC|12 pr|18</t>
        </is>
      </c>
      <c r="L1530" s="9" t="inlineStr">
        <is>
          <t>12 pr</t>
        </is>
      </c>
      <c r="M1530" s="9" t="inlineStr">
        <is>
          <t>18</t>
        </is>
      </c>
      <c r="N1530" s="9" t="n">
        <v>1</v>
      </c>
      <c r="O1530" s="9" t="n">
        <v>1</v>
      </c>
      <c r="P1530" s="9" t="n"/>
      <c r="Q1530" s="9" t="n"/>
      <c r="R1530" s="9" t="n"/>
      <c r="S1530" s="9" t="inlineStr">
        <is>
          <t>Duct bank</t>
        </is>
      </c>
      <c r="T1530" s="10" t="n">
        <v>711</v>
      </c>
      <c r="U1530" s="10" t="n">
        <v>101</v>
      </c>
      <c r="V1530" s="10">
        <f>ROUNDUP((T1530+U1530+2*'Read Me'!$B$13)*(1+'Read Me'!$B$12),-1)</f>
        <v/>
      </c>
      <c r="W1530" s="10">
        <f>V1530*N1530*O1530</f>
        <v/>
      </c>
      <c r="X1530" s="9">
        <f>IF(LEFT(I1530,2)="MV",2*N1530*IF(L1530="1/C",O1530,1),0)</f>
        <v/>
      </c>
      <c r="Y1530" s="9">
        <f>IF(OR(LEFT(K1530,4)="LVAX",LEFT(K1530,6)="MV15AX",LEFT(K1530,4)="CTAX",LEFT(K1530,2)="W|"),2*N1530*O1530,0)</f>
        <v/>
      </c>
      <c r="Z1530" s="9" t="inlineStr"/>
    </row>
    <row r="1531">
      <c r="A1531" s="9" t="inlineStr">
        <is>
          <t>G-I-0028</t>
        </is>
      </c>
      <c r="B1531" s="9" t="inlineStr">
        <is>
          <t>G</t>
        </is>
      </c>
      <c r="C1531" s="9" t="inlineStr">
        <is>
          <t>Carbon capture</t>
        </is>
      </c>
      <c r="D1531" s="9" t="inlineStr">
        <is>
          <t>Instrumentation</t>
        </is>
      </c>
      <c r="E1531" s="9" t="inlineStr"/>
      <c r="F1531" s="9" t="inlineStr">
        <is>
          <t>CCS F&amp;G / control</t>
        </is>
      </c>
      <c r="G1531" s="9" t="inlineStr">
        <is>
          <t>BF-B</t>
        </is>
      </c>
      <c r="H1531" s="9" t="inlineStr">
        <is>
          <t>BF-B: booster fan (~16 MW)</t>
        </is>
      </c>
      <c r="I1531" s="9" t="inlineStr">
        <is>
          <t>Instrumentation</t>
        </is>
      </c>
      <c r="J1531" s="9" t="inlineStr">
        <is>
          <t>Instrumentation PLTC / TC-ER 300 V, #18 twisted shielded pairs, overall shield</t>
        </is>
      </c>
      <c r="K1531" s="9" t="inlineStr">
        <is>
          <t>PLTC|12 pr|18</t>
        </is>
      </c>
      <c r="L1531" s="9" t="inlineStr">
        <is>
          <t>12 pr</t>
        </is>
      </c>
      <c r="M1531" s="9" t="inlineStr">
        <is>
          <t>18</t>
        </is>
      </c>
      <c r="N1531" s="9" t="n">
        <v>1</v>
      </c>
      <c r="O1531" s="9" t="n">
        <v>1</v>
      </c>
      <c r="P1531" s="9" t="n"/>
      <c r="Q1531" s="9" t="n"/>
      <c r="R1531" s="9" t="n"/>
      <c r="S1531" s="9" t="inlineStr">
        <is>
          <t>Duct bank</t>
        </is>
      </c>
      <c r="T1531" s="10" t="n">
        <v>711</v>
      </c>
      <c r="U1531" s="10" t="n">
        <v>101</v>
      </c>
      <c r="V1531" s="10">
        <f>ROUNDUP((T1531+U1531+2*'Read Me'!$B$13)*(1+'Read Me'!$B$12),-1)</f>
        <v/>
      </c>
      <c r="W1531" s="10">
        <f>V1531*N1531*O1531</f>
        <v/>
      </c>
      <c r="X1531" s="9">
        <f>IF(LEFT(I1531,2)="MV",2*N1531*IF(L1531="1/C",O1531,1),0)</f>
        <v/>
      </c>
      <c r="Y1531" s="9">
        <f>IF(OR(LEFT(K1531,4)="LVAX",LEFT(K1531,6)="MV15AX",LEFT(K1531,4)="CTAX",LEFT(K1531,2)="W|"),2*N1531*O1531,0)</f>
        <v/>
      </c>
      <c r="Z1531" s="9" t="inlineStr"/>
    </row>
    <row r="1532">
      <c r="A1532" s="9" t="inlineStr">
        <is>
          <t>G-I-0029</t>
        </is>
      </c>
      <c r="B1532" s="9" t="inlineStr">
        <is>
          <t>G</t>
        </is>
      </c>
      <c r="C1532" s="9" t="inlineStr">
        <is>
          <t>Carbon capture</t>
        </is>
      </c>
      <c r="D1532" s="9" t="inlineStr">
        <is>
          <t>Instrumentation</t>
        </is>
      </c>
      <c r="E1532" s="9" t="inlineStr"/>
      <c r="F1532" s="9" t="inlineStr">
        <is>
          <t>CCS F&amp;G / control</t>
        </is>
      </c>
      <c r="G1532" s="9" t="inlineStr">
        <is>
          <t>BF-B</t>
        </is>
      </c>
      <c r="H1532" s="9" t="inlineStr">
        <is>
          <t>BF-B: booster fan (~16 MW)</t>
        </is>
      </c>
      <c r="I1532" s="9" t="inlineStr">
        <is>
          <t>Instrumentation</t>
        </is>
      </c>
      <c r="J1532" s="9" t="inlineStr">
        <is>
          <t>Instrumentation PLTC / TC-ER 300 V, #18 twisted shielded pairs, overall shield</t>
        </is>
      </c>
      <c r="K1532" s="9" t="inlineStr">
        <is>
          <t>PLTC|12 pr|18</t>
        </is>
      </c>
      <c r="L1532" s="9" t="inlineStr">
        <is>
          <t>12 pr</t>
        </is>
      </c>
      <c r="M1532" s="9" t="inlineStr">
        <is>
          <t>18</t>
        </is>
      </c>
      <c r="N1532" s="9" t="n">
        <v>1</v>
      </c>
      <c r="O1532" s="9" t="n">
        <v>1</v>
      </c>
      <c r="P1532" s="9" t="n"/>
      <c r="Q1532" s="9" t="n"/>
      <c r="R1532" s="9" t="n"/>
      <c r="S1532" s="9" t="inlineStr">
        <is>
          <t>Duct bank</t>
        </is>
      </c>
      <c r="T1532" s="10" t="n">
        <v>711</v>
      </c>
      <c r="U1532" s="10" t="n">
        <v>101</v>
      </c>
      <c r="V1532" s="10">
        <f>ROUNDUP((T1532+U1532+2*'Read Me'!$B$13)*(1+'Read Me'!$B$12),-1)</f>
        <v/>
      </c>
      <c r="W1532" s="10">
        <f>V1532*N1532*O1532</f>
        <v/>
      </c>
      <c r="X1532" s="9">
        <f>IF(LEFT(I1532,2)="MV",2*N1532*IF(L1532="1/C",O1532,1),0)</f>
        <v/>
      </c>
      <c r="Y1532" s="9">
        <f>IF(OR(LEFT(K1532,4)="LVAX",LEFT(K1532,6)="MV15AX",LEFT(K1532,4)="CTAX",LEFT(K1532,2)="W|"),2*N1532*O1532,0)</f>
        <v/>
      </c>
      <c r="Z1532" s="9" t="inlineStr"/>
    </row>
    <row r="1533">
      <c r="A1533" s="9" t="inlineStr">
        <is>
          <t>G-I-0030</t>
        </is>
      </c>
      <c r="B1533" s="9" t="inlineStr">
        <is>
          <t>G</t>
        </is>
      </c>
      <c r="C1533" s="9" t="inlineStr">
        <is>
          <t>Carbon capture</t>
        </is>
      </c>
      <c r="D1533" s="9" t="inlineStr">
        <is>
          <t>Instrumentation</t>
        </is>
      </c>
      <c r="E1533" s="9" t="inlineStr"/>
      <c r="F1533" s="9" t="inlineStr">
        <is>
          <t>CCS F&amp;G / control</t>
        </is>
      </c>
      <c r="G1533" s="9" t="inlineStr">
        <is>
          <t>BF-B</t>
        </is>
      </c>
      <c r="H1533" s="9" t="inlineStr">
        <is>
          <t>BF-B: booster fan (~16 MW)</t>
        </is>
      </c>
      <c r="I1533" s="9" t="inlineStr">
        <is>
          <t>Instrumentation</t>
        </is>
      </c>
      <c r="J1533" s="9" t="inlineStr">
        <is>
          <t>Instrumentation PLTC / TC-ER 300 V, #18 twisted shielded pairs, overall shield</t>
        </is>
      </c>
      <c r="K1533" s="9" t="inlineStr">
        <is>
          <t>PLTC|12 pr|18</t>
        </is>
      </c>
      <c r="L1533" s="9" t="inlineStr">
        <is>
          <t>12 pr</t>
        </is>
      </c>
      <c r="M1533" s="9" t="inlineStr">
        <is>
          <t>18</t>
        </is>
      </c>
      <c r="N1533" s="9" t="n">
        <v>1</v>
      </c>
      <c r="O1533" s="9" t="n">
        <v>1</v>
      </c>
      <c r="P1533" s="9" t="n"/>
      <c r="Q1533" s="9" t="n"/>
      <c r="R1533" s="9" t="n"/>
      <c r="S1533" s="9" t="inlineStr">
        <is>
          <t>Duct bank</t>
        </is>
      </c>
      <c r="T1533" s="10" t="n">
        <v>711</v>
      </c>
      <c r="U1533" s="10" t="n">
        <v>101</v>
      </c>
      <c r="V1533" s="10">
        <f>ROUNDUP((T1533+U1533+2*'Read Me'!$B$13)*(1+'Read Me'!$B$12),-1)</f>
        <v/>
      </c>
      <c r="W1533" s="10">
        <f>V1533*N1533*O1533</f>
        <v/>
      </c>
      <c r="X1533" s="9">
        <f>IF(LEFT(I1533,2)="MV",2*N1533*IF(L1533="1/C",O1533,1),0)</f>
        <v/>
      </c>
      <c r="Y1533" s="9">
        <f>IF(OR(LEFT(K1533,4)="LVAX",LEFT(K1533,6)="MV15AX",LEFT(K1533,4)="CTAX",LEFT(K1533,2)="W|"),2*N1533*O1533,0)</f>
        <v/>
      </c>
      <c r="Z1533" s="9" t="inlineStr"/>
    </row>
    <row r="1534">
      <c r="A1534" s="9" t="inlineStr">
        <is>
          <t>G-I-0031</t>
        </is>
      </c>
      <c r="B1534" s="9" t="inlineStr">
        <is>
          <t>G</t>
        </is>
      </c>
      <c r="C1534" s="9" t="inlineStr">
        <is>
          <t>Carbon capture</t>
        </is>
      </c>
      <c r="D1534" s="9" t="inlineStr">
        <is>
          <t>Instrumentation</t>
        </is>
      </c>
      <c r="E1534" s="9" t="inlineStr"/>
      <c r="F1534" s="9" t="inlineStr">
        <is>
          <t>CCS F&amp;G / control</t>
        </is>
      </c>
      <c r="G1534" s="9" t="inlineStr">
        <is>
          <t>BF-B</t>
        </is>
      </c>
      <c r="H1534" s="9" t="inlineStr">
        <is>
          <t>BF-B: booster fan (~16 MW)</t>
        </is>
      </c>
      <c r="I1534" s="9" t="inlineStr">
        <is>
          <t>Instrumentation</t>
        </is>
      </c>
      <c r="J1534" s="9" t="inlineStr">
        <is>
          <t>Instrumentation PLTC / TC-ER 300 V, #18 twisted shielded pairs, overall shield</t>
        </is>
      </c>
      <c r="K1534" s="9" t="inlineStr">
        <is>
          <t>PLTC|12 pr|18</t>
        </is>
      </c>
      <c r="L1534" s="9" t="inlineStr">
        <is>
          <t>12 pr</t>
        </is>
      </c>
      <c r="M1534" s="9" t="inlineStr">
        <is>
          <t>18</t>
        </is>
      </c>
      <c r="N1534" s="9" t="n">
        <v>1</v>
      </c>
      <c r="O1534" s="9" t="n">
        <v>1</v>
      </c>
      <c r="P1534" s="9" t="n"/>
      <c r="Q1534" s="9" t="n"/>
      <c r="R1534" s="9" t="n"/>
      <c r="S1534" s="9" t="inlineStr">
        <is>
          <t>Duct bank</t>
        </is>
      </c>
      <c r="T1534" s="10" t="n">
        <v>711</v>
      </c>
      <c r="U1534" s="10" t="n">
        <v>101</v>
      </c>
      <c r="V1534" s="10">
        <f>ROUNDUP((T1534+U1534+2*'Read Me'!$B$13)*(1+'Read Me'!$B$12),-1)</f>
        <v/>
      </c>
      <c r="W1534" s="10">
        <f>V1534*N1534*O1534</f>
        <v/>
      </c>
      <c r="X1534" s="9">
        <f>IF(LEFT(I1534,2)="MV",2*N1534*IF(L1534="1/C",O1534,1),0)</f>
        <v/>
      </c>
      <c r="Y1534" s="9">
        <f>IF(OR(LEFT(K1534,4)="LVAX",LEFT(K1534,6)="MV15AX",LEFT(K1534,4)="CTAX",LEFT(K1534,2)="W|"),2*N1534*O1534,0)</f>
        <v/>
      </c>
      <c r="Z1534" s="9" t="inlineStr"/>
    </row>
    <row r="1535">
      <c r="A1535" s="9" t="inlineStr">
        <is>
          <t>G-I-0032</t>
        </is>
      </c>
      <c r="B1535" s="9" t="inlineStr">
        <is>
          <t>G</t>
        </is>
      </c>
      <c r="C1535" s="9" t="inlineStr">
        <is>
          <t>Carbon capture</t>
        </is>
      </c>
      <c r="D1535" s="9" t="inlineStr">
        <is>
          <t>Instrumentation</t>
        </is>
      </c>
      <c r="E1535" s="9" t="inlineStr"/>
      <c r="F1535" s="9" t="inlineStr">
        <is>
          <t>CCS F&amp;G / control</t>
        </is>
      </c>
      <c r="G1535" s="9" t="inlineStr">
        <is>
          <t>BF-B</t>
        </is>
      </c>
      <c r="H1535" s="9" t="inlineStr">
        <is>
          <t>BF-B: booster fan (~16 MW)</t>
        </is>
      </c>
      <c r="I1535" s="9" t="inlineStr">
        <is>
          <t>Instrumentation</t>
        </is>
      </c>
      <c r="J1535" s="9" t="inlineStr">
        <is>
          <t>Instrumentation PLTC / TC-ER 300 V, #18 twisted shielded pairs, overall shield</t>
        </is>
      </c>
      <c r="K1535" s="9" t="inlineStr">
        <is>
          <t>PLTC|12 pr|18</t>
        </is>
      </c>
      <c r="L1535" s="9" t="inlineStr">
        <is>
          <t>12 pr</t>
        </is>
      </c>
      <c r="M1535" s="9" t="inlineStr">
        <is>
          <t>18</t>
        </is>
      </c>
      <c r="N1535" s="9" t="n">
        <v>1</v>
      </c>
      <c r="O1535" s="9" t="n">
        <v>1</v>
      </c>
      <c r="P1535" s="9" t="n"/>
      <c r="Q1535" s="9" t="n"/>
      <c r="R1535" s="9" t="n"/>
      <c r="S1535" s="9" t="inlineStr">
        <is>
          <t>Duct bank</t>
        </is>
      </c>
      <c r="T1535" s="10" t="n">
        <v>711</v>
      </c>
      <c r="U1535" s="10" t="n">
        <v>101</v>
      </c>
      <c r="V1535" s="10">
        <f>ROUNDUP((T1535+U1535+2*'Read Me'!$B$13)*(1+'Read Me'!$B$12),-1)</f>
        <v/>
      </c>
      <c r="W1535" s="10">
        <f>V1535*N1535*O1535</f>
        <v/>
      </c>
      <c r="X1535" s="9">
        <f>IF(LEFT(I1535,2)="MV",2*N1535*IF(L1535="1/C",O1535,1),0)</f>
        <v/>
      </c>
      <c r="Y1535" s="9">
        <f>IF(OR(LEFT(K1535,4)="LVAX",LEFT(K1535,6)="MV15AX",LEFT(K1535,4)="CTAX",LEFT(K1535,2)="W|"),2*N1535*O1535,0)</f>
        <v/>
      </c>
      <c r="Z1535" s="9" t="inlineStr"/>
    </row>
    <row r="1536">
      <c r="A1536" s="9" t="inlineStr">
        <is>
          <t>G-I-0033</t>
        </is>
      </c>
      <c r="B1536" s="9" t="inlineStr">
        <is>
          <t>G</t>
        </is>
      </c>
      <c r="C1536" s="9" t="inlineStr">
        <is>
          <t>Carbon capture</t>
        </is>
      </c>
      <c r="D1536" s="9" t="inlineStr">
        <is>
          <t>Instrumentation</t>
        </is>
      </c>
      <c r="E1536" s="9" t="inlineStr"/>
      <c r="F1536" s="9" t="inlineStr">
        <is>
          <t>CCS F&amp;G / control</t>
        </is>
      </c>
      <c r="G1536" s="9" t="inlineStr">
        <is>
          <t>BF-B</t>
        </is>
      </c>
      <c r="H1536" s="9" t="inlineStr">
        <is>
          <t>BF-B: booster fan (~16 MW)</t>
        </is>
      </c>
      <c r="I1536" s="9" t="inlineStr">
        <is>
          <t>Instrumentation</t>
        </is>
      </c>
      <c r="J1536" s="9" t="inlineStr">
        <is>
          <t>Instrumentation PLTC / TC-ER 300 V, #18 twisted shielded pairs, overall shield</t>
        </is>
      </c>
      <c r="K1536" s="9" t="inlineStr">
        <is>
          <t>PLTC|12 pr|18</t>
        </is>
      </c>
      <c r="L1536" s="9" t="inlineStr">
        <is>
          <t>12 pr</t>
        </is>
      </c>
      <c r="M1536" s="9" t="inlineStr">
        <is>
          <t>18</t>
        </is>
      </c>
      <c r="N1536" s="9" t="n">
        <v>1</v>
      </c>
      <c r="O1536" s="9" t="n">
        <v>1</v>
      </c>
      <c r="P1536" s="9" t="n"/>
      <c r="Q1536" s="9" t="n"/>
      <c r="R1536" s="9" t="n"/>
      <c r="S1536" s="9" t="inlineStr">
        <is>
          <t>Duct bank</t>
        </is>
      </c>
      <c r="T1536" s="10" t="n">
        <v>711</v>
      </c>
      <c r="U1536" s="10" t="n">
        <v>101</v>
      </c>
      <c r="V1536" s="10">
        <f>ROUNDUP((T1536+U1536+2*'Read Me'!$B$13)*(1+'Read Me'!$B$12),-1)</f>
        <v/>
      </c>
      <c r="W1536" s="10">
        <f>V1536*N1536*O1536</f>
        <v/>
      </c>
      <c r="X1536" s="9">
        <f>IF(LEFT(I1536,2)="MV",2*N1536*IF(L1536="1/C",O1536,1),0)</f>
        <v/>
      </c>
      <c r="Y1536" s="9">
        <f>IF(OR(LEFT(K1536,4)="LVAX",LEFT(K1536,6)="MV15AX",LEFT(K1536,4)="CTAX",LEFT(K1536,2)="W|"),2*N1536*O1536,0)</f>
        <v/>
      </c>
      <c r="Z1536" s="9" t="inlineStr"/>
    </row>
    <row r="1537">
      <c r="A1537" s="9" t="inlineStr">
        <is>
          <t>G-I-0034</t>
        </is>
      </c>
      <c r="B1537" s="9" t="inlineStr">
        <is>
          <t>G</t>
        </is>
      </c>
      <c r="C1537" s="9" t="inlineStr">
        <is>
          <t>Carbon capture</t>
        </is>
      </c>
      <c r="D1537" s="9" t="inlineStr">
        <is>
          <t>Instrumentation</t>
        </is>
      </c>
      <c r="E1537" s="9" t="inlineStr"/>
      <c r="F1537" s="9" t="inlineStr">
        <is>
          <t>CCS F&amp;G / control</t>
        </is>
      </c>
      <c r="G1537" s="9" t="inlineStr">
        <is>
          <t>BF-C</t>
        </is>
      </c>
      <c r="H1537" s="9" t="inlineStr">
        <is>
          <t>BF-C: booster fan (~16 MW)</t>
        </is>
      </c>
      <c r="I1537" s="9" t="inlineStr">
        <is>
          <t>Instrumentation</t>
        </is>
      </c>
      <c r="J1537" s="9" t="inlineStr">
        <is>
          <t>Instrumentation PLTC / TC-ER 300 V, #18 twisted shielded pairs, overall shield</t>
        </is>
      </c>
      <c r="K1537" s="9" t="inlineStr">
        <is>
          <t>PLTC|4 pr|18</t>
        </is>
      </c>
      <c r="L1537" s="9" t="inlineStr">
        <is>
          <t>4 pr</t>
        </is>
      </c>
      <c r="M1537" s="9" t="inlineStr">
        <is>
          <t>18</t>
        </is>
      </c>
      <c r="N1537" s="9" t="n">
        <v>1</v>
      </c>
      <c r="O1537" s="9" t="n">
        <v>1</v>
      </c>
      <c r="P1537" s="9" t="n"/>
      <c r="Q1537" s="9" t="n"/>
      <c r="R1537" s="9" t="n"/>
      <c r="S1537" s="9" t="inlineStr">
        <is>
          <t>Duct bank</t>
        </is>
      </c>
      <c r="T1537" s="10" t="n">
        <v>419</v>
      </c>
      <c r="U1537" s="10" t="n">
        <v>189</v>
      </c>
      <c r="V1537" s="10">
        <f>ROUNDUP((T1537+U1537+2*'Read Me'!$B$13)*(1+'Read Me'!$B$12),-1)</f>
        <v/>
      </c>
      <c r="W1537" s="10">
        <f>V1537*N1537*O1537</f>
        <v/>
      </c>
      <c r="X1537" s="9">
        <f>IF(LEFT(I1537,2)="MV",2*N1537*IF(L1537="1/C",O1537,1),0)</f>
        <v/>
      </c>
      <c r="Y1537" s="9">
        <f>IF(OR(LEFT(K1537,4)="LVAX",LEFT(K1537,6)="MV15AX",LEFT(K1537,4)="CTAX",LEFT(K1537,2)="W|"),2*N1537*O1537,0)</f>
        <v/>
      </c>
      <c r="Z1537" s="9" t="inlineStr"/>
    </row>
    <row r="1538">
      <c r="A1538" s="9" t="inlineStr">
        <is>
          <t>G-I-0035</t>
        </is>
      </c>
      <c r="B1538" s="9" t="inlineStr">
        <is>
          <t>G</t>
        </is>
      </c>
      <c r="C1538" s="9" t="inlineStr">
        <is>
          <t>Carbon capture</t>
        </is>
      </c>
      <c r="D1538" s="9" t="inlineStr">
        <is>
          <t>Instrumentation</t>
        </is>
      </c>
      <c r="E1538" s="9" t="inlineStr"/>
      <c r="F1538" s="9" t="inlineStr">
        <is>
          <t>CCS F&amp;G / control</t>
        </is>
      </c>
      <c r="G1538" s="9" t="inlineStr">
        <is>
          <t>BF-C</t>
        </is>
      </c>
      <c r="H1538" s="9" t="inlineStr">
        <is>
          <t>BF-C: booster fan (~16 MW)</t>
        </is>
      </c>
      <c r="I1538" s="9" t="inlineStr">
        <is>
          <t>Instrumentation</t>
        </is>
      </c>
      <c r="J1538" s="9" t="inlineStr">
        <is>
          <t>Instrumentation PLTC / TC-ER 300 V, #18 twisted shielded pairs, overall shield</t>
        </is>
      </c>
      <c r="K1538" s="9" t="inlineStr">
        <is>
          <t>PLTC|4 pr|18</t>
        </is>
      </c>
      <c r="L1538" s="9" t="inlineStr">
        <is>
          <t>4 pr</t>
        </is>
      </c>
      <c r="M1538" s="9" t="inlineStr">
        <is>
          <t>18</t>
        </is>
      </c>
      <c r="N1538" s="9" t="n">
        <v>1</v>
      </c>
      <c r="O1538" s="9" t="n">
        <v>1</v>
      </c>
      <c r="P1538" s="9" t="n"/>
      <c r="Q1538" s="9" t="n"/>
      <c r="R1538" s="9" t="n"/>
      <c r="S1538" s="9" t="inlineStr">
        <is>
          <t>Duct bank</t>
        </is>
      </c>
      <c r="T1538" s="10" t="n">
        <v>419</v>
      </c>
      <c r="U1538" s="10" t="n">
        <v>189</v>
      </c>
      <c r="V1538" s="10">
        <f>ROUNDUP((T1538+U1538+2*'Read Me'!$B$13)*(1+'Read Me'!$B$12),-1)</f>
        <v/>
      </c>
      <c r="W1538" s="10">
        <f>V1538*N1538*O1538</f>
        <v/>
      </c>
      <c r="X1538" s="9">
        <f>IF(LEFT(I1538,2)="MV",2*N1538*IF(L1538="1/C",O1538,1),0)</f>
        <v/>
      </c>
      <c r="Y1538" s="9">
        <f>IF(OR(LEFT(K1538,4)="LVAX",LEFT(K1538,6)="MV15AX",LEFT(K1538,4)="CTAX",LEFT(K1538,2)="W|"),2*N1538*O1538,0)</f>
        <v/>
      </c>
      <c r="Z1538" s="9" t="inlineStr"/>
    </row>
    <row r="1539">
      <c r="A1539" s="9" t="inlineStr">
        <is>
          <t>G-I-0036</t>
        </is>
      </c>
      <c r="B1539" s="9" t="inlineStr">
        <is>
          <t>G</t>
        </is>
      </c>
      <c r="C1539" s="9" t="inlineStr">
        <is>
          <t>Carbon capture</t>
        </is>
      </c>
      <c r="D1539" s="9" t="inlineStr">
        <is>
          <t>Instrumentation</t>
        </is>
      </c>
      <c r="E1539" s="9" t="inlineStr"/>
      <c r="F1539" s="9" t="inlineStr">
        <is>
          <t>CCS F&amp;G / control</t>
        </is>
      </c>
      <c r="G1539" s="9" t="inlineStr">
        <is>
          <t>BF-C</t>
        </is>
      </c>
      <c r="H1539" s="9" t="inlineStr">
        <is>
          <t>BF-C: booster fan (~16 MW)</t>
        </is>
      </c>
      <c r="I1539" s="9" t="inlineStr">
        <is>
          <t>Instrumentation</t>
        </is>
      </c>
      <c r="J1539" s="9" t="inlineStr">
        <is>
          <t>Instrumentation PLTC / TC-ER 300 V, #18 twisted shielded pairs, overall shield</t>
        </is>
      </c>
      <c r="K1539" s="9" t="inlineStr">
        <is>
          <t>PLTC|12 pr|18</t>
        </is>
      </c>
      <c r="L1539" s="9" t="inlineStr">
        <is>
          <t>12 pr</t>
        </is>
      </c>
      <c r="M1539" s="9" t="inlineStr">
        <is>
          <t>18</t>
        </is>
      </c>
      <c r="N1539" s="9" t="n">
        <v>1</v>
      </c>
      <c r="O1539" s="9" t="n">
        <v>1</v>
      </c>
      <c r="P1539" s="9" t="n"/>
      <c r="Q1539" s="9" t="n"/>
      <c r="R1539" s="9" t="n"/>
      <c r="S1539" s="9" t="inlineStr">
        <is>
          <t>Duct bank</t>
        </is>
      </c>
      <c r="T1539" s="10" t="n">
        <v>419</v>
      </c>
      <c r="U1539" s="10" t="n">
        <v>189</v>
      </c>
      <c r="V1539" s="10">
        <f>ROUNDUP((T1539+U1539+2*'Read Me'!$B$13)*(1+'Read Me'!$B$12),-1)</f>
        <v/>
      </c>
      <c r="W1539" s="10">
        <f>V1539*N1539*O1539</f>
        <v/>
      </c>
      <c r="X1539" s="9">
        <f>IF(LEFT(I1539,2)="MV",2*N1539*IF(L1539="1/C",O1539,1),0)</f>
        <v/>
      </c>
      <c r="Y1539" s="9">
        <f>IF(OR(LEFT(K1539,4)="LVAX",LEFT(K1539,6)="MV15AX",LEFT(K1539,4)="CTAX",LEFT(K1539,2)="W|"),2*N1539*O1539,0)</f>
        <v/>
      </c>
      <c r="Z1539" s="9" t="inlineStr"/>
    </row>
    <row r="1540">
      <c r="A1540" s="9" t="inlineStr">
        <is>
          <t>G-I-0037</t>
        </is>
      </c>
      <c r="B1540" s="9" t="inlineStr">
        <is>
          <t>G</t>
        </is>
      </c>
      <c r="C1540" s="9" t="inlineStr">
        <is>
          <t>Carbon capture</t>
        </is>
      </c>
      <c r="D1540" s="9" t="inlineStr">
        <is>
          <t>Instrumentation</t>
        </is>
      </c>
      <c r="E1540" s="9" t="inlineStr"/>
      <c r="F1540" s="9" t="inlineStr">
        <is>
          <t>CCS F&amp;G / control</t>
        </is>
      </c>
      <c r="G1540" s="9" t="inlineStr">
        <is>
          <t>BF-C</t>
        </is>
      </c>
      <c r="H1540" s="9" t="inlineStr">
        <is>
          <t>BF-C: booster fan (~16 MW)</t>
        </is>
      </c>
      <c r="I1540" s="9" t="inlineStr">
        <is>
          <t>Instrumentation</t>
        </is>
      </c>
      <c r="J1540" s="9" t="inlineStr">
        <is>
          <t>Instrumentation PLTC / TC-ER 300 V, #18 twisted shielded pairs, overall shield</t>
        </is>
      </c>
      <c r="K1540" s="9" t="inlineStr">
        <is>
          <t>PLTC|12 pr|18</t>
        </is>
      </c>
      <c r="L1540" s="9" t="inlineStr">
        <is>
          <t>12 pr</t>
        </is>
      </c>
      <c r="M1540" s="9" t="inlineStr">
        <is>
          <t>18</t>
        </is>
      </c>
      <c r="N1540" s="9" t="n">
        <v>1</v>
      </c>
      <c r="O1540" s="9" t="n">
        <v>1</v>
      </c>
      <c r="P1540" s="9" t="n"/>
      <c r="Q1540" s="9" t="n"/>
      <c r="R1540" s="9" t="n"/>
      <c r="S1540" s="9" t="inlineStr">
        <is>
          <t>Duct bank</t>
        </is>
      </c>
      <c r="T1540" s="10" t="n">
        <v>419</v>
      </c>
      <c r="U1540" s="10" t="n">
        <v>189</v>
      </c>
      <c r="V1540" s="10">
        <f>ROUNDUP((T1540+U1540+2*'Read Me'!$B$13)*(1+'Read Me'!$B$12),-1)</f>
        <v/>
      </c>
      <c r="W1540" s="10">
        <f>V1540*N1540*O1540</f>
        <v/>
      </c>
      <c r="X1540" s="9">
        <f>IF(LEFT(I1540,2)="MV",2*N1540*IF(L1540="1/C",O1540,1),0)</f>
        <v/>
      </c>
      <c r="Y1540" s="9">
        <f>IF(OR(LEFT(K1540,4)="LVAX",LEFT(K1540,6)="MV15AX",LEFT(K1540,4)="CTAX",LEFT(K1540,2)="W|"),2*N1540*O1540,0)</f>
        <v/>
      </c>
      <c r="Z1540" s="9" t="inlineStr"/>
    </row>
    <row r="1541">
      <c r="A1541" s="9" t="inlineStr">
        <is>
          <t>G-I-0038</t>
        </is>
      </c>
      <c r="B1541" s="9" t="inlineStr">
        <is>
          <t>G</t>
        </is>
      </c>
      <c r="C1541" s="9" t="inlineStr">
        <is>
          <t>Carbon capture</t>
        </is>
      </c>
      <c r="D1541" s="9" t="inlineStr">
        <is>
          <t>Instrumentation</t>
        </is>
      </c>
      <c r="E1541" s="9" t="inlineStr"/>
      <c r="F1541" s="9" t="inlineStr">
        <is>
          <t>CCS F&amp;G / control</t>
        </is>
      </c>
      <c r="G1541" s="9" t="inlineStr">
        <is>
          <t>BF-C</t>
        </is>
      </c>
      <c r="H1541" s="9" t="inlineStr">
        <is>
          <t>BF-C: booster fan (~16 MW)</t>
        </is>
      </c>
      <c r="I1541" s="9" t="inlineStr">
        <is>
          <t>Instrumentation</t>
        </is>
      </c>
      <c r="J1541" s="9" t="inlineStr">
        <is>
          <t>Instrumentation PLTC / TC-ER 300 V, #18 twisted shielded pairs, overall shield</t>
        </is>
      </c>
      <c r="K1541" s="9" t="inlineStr">
        <is>
          <t>PLTC|12 pr|18</t>
        </is>
      </c>
      <c r="L1541" s="9" t="inlineStr">
        <is>
          <t>12 pr</t>
        </is>
      </c>
      <c r="M1541" s="9" t="inlineStr">
        <is>
          <t>18</t>
        </is>
      </c>
      <c r="N1541" s="9" t="n">
        <v>1</v>
      </c>
      <c r="O1541" s="9" t="n">
        <v>1</v>
      </c>
      <c r="P1541" s="9" t="n"/>
      <c r="Q1541" s="9" t="n"/>
      <c r="R1541" s="9" t="n"/>
      <c r="S1541" s="9" t="inlineStr">
        <is>
          <t>Duct bank</t>
        </is>
      </c>
      <c r="T1541" s="10" t="n">
        <v>419</v>
      </c>
      <c r="U1541" s="10" t="n">
        <v>189</v>
      </c>
      <c r="V1541" s="10">
        <f>ROUNDUP((T1541+U1541+2*'Read Me'!$B$13)*(1+'Read Me'!$B$12),-1)</f>
        <v/>
      </c>
      <c r="W1541" s="10">
        <f>V1541*N1541*O1541</f>
        <v/>
      </c>
      <c r="X1541" s="9">
        <f>IF(LEFT(I1541,2)="MV",2*N1541*IF(L1541="1/C",O1541,1),0)</f>
        <v/>
      </c>
      <c r="Y1541" s="9">
        <f>IF(OR(LEFT(K1541,4)="LVAX",LEFT(K1541,6)="MV15AX",LEFT(K1541,4)="CTAX",LEFT(K1541,2)="W|"),2*N1541*O1541,0)</f>
        <v/>
      </c>
      <c r="Z1541" s="9" t="inlineStr"/>
    </row>
    <row r="1542">
      <c r="A1542" s="9" t="inlineStr">
        <is>
          <t>G-I-0039</t>
        </is>
      </c>
      <c r="B1542" s="9" t="inlineStr">
        <is>
          <t>G</t>
        </is>
      </c>
      <c r="C1542" s="9" t="inlineStr">
        <is>
          <t>Carbon capture</t>
        </is>
      </c>
      <c r="D1542" s="9" t="inlineStr">
        <is>
          <t>Instrumentation</t>
        </is>
      </c>
      <c r="E1542" s="9" t="inlineStr"/>
      <c r="F1542" s="9" t="inlineStr">
        <is>
          <t>CCS F&amp;G / control</t>
        </is>
      </c>
      <c r="G1542" s="9" t="inlineStr">
        <is>
          <t>BF-C</t>
        </is>
      </c>
      <c r="H1542" s="9" t="inlineStr">
        <is>
          <t>BF-C: booster fan (~16 MW)</t>
        </is>
      </c>
      <c r="I1542" s="9" t="inlineStr">
        <is>
          <t>Instrumentation</t>
        </is>
      </c>
      <c r="J1542" s="9" t="inlineStr">
        <is>
          <t>Instrumentation PLTC / TC-ER 300 V, #18 twisted shielded pairs, overall shield</t>
        </is>
      </c>
      <c r="K1542" s="9" t="inlineStr">
        <is>
          <t>PLTC|12 pr|18</t>
        </is>
      </c>
      <c r="L1542" s="9" t="inlineStr">
        <is>
          <t>12 pr</t>
        </is>
      </c>
      <c r="M1542" s="9" t="inlineStr">
        <is>
          <t>18</t>
        </is>
      </c>
      <c r="N1542" s="9" t="n">
        <v>1</v>
      </c>
      <c r="O1542" s="9" t="n">
        <v>1</v>
      </c>
      <c r="P1542" s="9" t="n"/>
      <c r="Q1542" s="9" t="n"/>
      <c r="R1542" s="9" t="n"/>
      <c r="S1542" s="9" t="inlineStr">
        <is>
          <t>Duct bank</t>
        </is>
      </c>
      <c r="T1542" s="10" t="n">
        <v>419</v>
      </c>
      <c r="U1542" s="10" t="n">
        <v>189</v>
      </c>
      <c r="V1542" s="10">
        <f>ROUNDUP((T1542+U1542+2*'Read Me'!$B$13)*(1+'Read Me'!$B$12),-1)</f>
        <v/>
      </c>
      <c r="W1542" s="10">
        <f>V1542*N1542*O1542</f>
        <v/>
      </c>
      <c r="X1542" s="9">
        <f>IF(LEFT(I1542,2)="MV",2*N1542*IF(L1542="1/C",O1542,1),0)</f>
        <v/>
      </c>
      <c r="Y1542" s="9">
        <f>IF(OR(LEFT(K1542,4)="LVAX",LEFT(K1542,6)="MV15AX",LEFT(K1542,4)="CTAX",LEFT(K1542,2)="W|"),2*N1542*O1542,0)</f>
        <v/>
      </c>
      <c r="Z1542" s="9" t="inlineStr"/>
    </row>
    <row r="1543">
      <c r="A1543" s="9" t="inlineStr">
        <is>
          <t>G-I-0040</t>
        </is>
      </c>
      <c r="B1543" s="9" t="inlineStr">
        <is>
          <t>G</t>
        </is>
      </c>
      <c r="C1543" s="9" t="inlineStr">
        <is>
          <t>Carbon capture</t>
        </is>
      </c>
      <c r="D1543" s="9" t="inlineStr">
        <is>
          <t>Instrumentation</t>
        </is>
      </c>
      <c r="E1543" s="9" t="inlineStr"/>
      <c r="F1543" s="9" t="inlineStr">
        <is>
          <t>CCS F&amp;G / control</t>
        </is>
      </c>
      <c r="G1543" s="9" t="inlineStr">
        <is>
          <t>BF-C</t>
        </is>
      </c>
      <c r="H1543" s="9" t="inlineStr">
        <is>
          <t>BF-C: booster fan (~16 MW)</t>
        </is>
      </c>
      <c r="I1543" s="9" t="inlineStr">
        <is>
          <t>Instrumentation</t>
        </is>
      </c>
      <c r="J1543" s="9" t="inlineStr">
        <is>
          <t>Instrumentation PLTC / TC-ER 300 V, #18 twisted shielded pairs, overall shield</t>
        </is>
      </c>
      <c r="K1543" s="9" t="inlineStr">
        <is>
          <t>PLTC|12 pr|18</t>
        </is>
      </c>
      <c r="L1543" s="9" t="inlineStr">
        <is>
          <t>12 pr</t>
        </is>
      </c>
      <c r="M1543" s="9" t="inlineStr">
        <is>
          <t>18</t>
        </is>
      </c>
      <c r="N1543" s="9" t="n">
        <v>1</v>
      </c>
      <c r="O1543" s="9" t="n">
        <v>1</v>
      </c>
      <c r="P1543" s="9" t="n"/>
      <c r="Q1543" s="9" t="n"/>
      <c r="R1543" s="9" t="n"/>
      <c r="S1543" s="9" t="inlineStr">
        <is>
          <t>Duct bank</t>
        </is>
      </c>
      <c r="T1543" s="10" t="n">
        <v>419</v>
      </c>
      <c r="U1543" s="10" t="n">
        <v>189</v>
      </c>
      <c r="V1543" s="10">
        <f>ROUNDUP((T1543+U1543+2*'Read Me'!$B$13)*(1+'Read Me'!$B$12),-1)</f>
        <v/>
      </c>
      <c r="W1543" s="10">
        <f>V1543*N1543*O1543</f>
        <v/>
      </c>
      <c r="X1543" s="9">
        <f>IF(LEFT(I1543,2)="MV",2*N1543*IF(L1543="1/C",O1543,1),0)</f>
        <v/>
      </c>
      <c r="Y1543" s="9">
        <f>IF(OR(LEFT(K1543,4)="LVAX",LEFT(K1543,6)="MV15AX",LEFT(K1543,4)="CTAX",LEFT(K1543,2)="W|"),2*N1543*O1543,0)</f>
        <v/>
      </c>
      <c r="Z1543" s="9" t="inlineStr"/>
    </row>
    <row r="1544">
      <c r="A1544" s="9" t="inlineStr">
        <is>
          <t>G-I-0041</t>
        </is>
      </c>
      <c r="B1544" s="9" t="inlineStr">
        <is>
          <t>G</t>
        </is>
      </c>
      <c r="C1544" s="9" t="inlineStr">
        <is>
          <t>Carbon capture</t>
        </is>
      </c>
      <c r="D1544" s="9" t="inlineStr">
        <is>
          <t>Instrumentation</t>
        </is>
      </c>
      <c r="E1544" s="9" t="inlineStr"/>
      <c r="F1544" s="9" t="inlineStr">
        <is>
          <t>CCS F&amp;G / control</t>
        </is>
      </c>
      <c r="G1544" s="9" t="inlineStr">
        <is>
          <t>BF-C</t>
        </is>
      </c>
      <c r="H1544" s="9" t="inlineStr">
        <is>
          <t>BF-C: booster fan (~16 MW)</t>
        </is>
      </c>
      <c r="I1544" s="9" t="inlineStr">
        <is>
          <t>Instrumentation</t>
        </is>
      </c>
      <c r="J1544" s="9" t="inlineStr">
        <is>
          <t>Instrumentation PLTC / TC-ER 300 V, #18 twisted shielded pairs, overall shield</t>
        </is>
      </c>
      <c r="K1544" s="9" t="inlineStr">
        <is>
          <t>PLTC|12 pr|18</t>
        </is>
      </c>
      <c r="L1544" s="9" t="inlineStr">
        <is>
          <t>12 pr</t>
        </is>
      </c>
      <c r="M1544" s="9" t="inlineStr">
        <is>
          <t>18</t>
        </is>
      </c>
      <c r="N1544" s="9" t="n">
        <v>1</v>
      </c>
      <c r="O1544" s="9" t="n">
        <v>1</v>
      </c>
      <c r="P1544" s="9" t="n"/>
      <c r="Q1544" s="9" t="n"/>
      <c r="R1544" s="9" t="n"/>
      <c r="S1544" s="9" t="inlineStr">
        <is>
          <t>Duct bank</t>
        </is>
      </c>
      <c r="T1544" s="10" t="n">
        <v>419</v>
      </c>
      <c r="U1544" s="10" t="n">
        <v>189</v>
      </c>
      <c r="V1544" s="10">
        <f>ROUNDUP((T1544+U1544+2*'Read Me'!$B$13)*(1+'Read Me'!$B$12),-1)</f>
        <v/>
      </c>
      <c r="W1544" s="10">
        <f>V1544*N1544*O1544</f>
        <v/>
      </c>
      <c r="X1544" s="9">
        <f>IF(LEFT(I1544,2)="MV",2*N1544*IF(L1544="1/C",O1544,1),0)</f>
        <v/>
      </c>
      <c r="Y1544" s="9">
        <f>IF(OR(LEFT(K1544,4)="LVAX",LEFT(K1544,6)="MV15AX",LEFT(K1544,4)="CTAX",LEFT(K1544,2)="W|"),2*N1544*O1544,0)</f>
        <v/>
      </c>
      <c r="Z1544" s="9" t="inlineStr"/>
    </row>
    <row r="1545">
      <c r="A1545" s="9" t="inlineStr">
        <is>
          <t>G-I-0042</t>
        </is>
      </c>
      <c r="B1545" s="9" t="inlineStr">
        <is>
          <t>G</t>
        </is>
      </c>
      <c r="C1545" s="9" t="inlineStr">
        <is>
          <t>Carbon capture</t>
        </is>
      </c>
      <c r="D1545" s="9" t="inlineStr">
        <is>
          <t>Instrumentation</t>
        </is>
      </c>
      <c r="E1545" s="9" t="inlineStr"/>
      <c r="F1545" s="9" t="inlineStr">
        <is>
          <t>CCS F&amp;G / control</t>
        </is>
      </c>
      <c r="G1545" s="9" t="inlineStr">
        <is>
          <t>BF-C</t>
        </is>
      </c>
      <c r="H1545" s="9" t="inlineStr">
        <is>
          <t>BF-C: booster fan (~16 MW)</t>
        </is>
      </c>
      <c r="I1545" s="9" t="inlineStr">
        <is>
          <t>Instrumentation</t>
        </is>
      </c>
      <c r="J1545" s="9" t="inlineStr">
        <is>
          <t>Instrumentation PLTC / TC-ER 300 V, #18 twisted shielded pairs, overall shield</t>
        </is>
      </c>
      <c r="K1545" s="9" t="inlineStr">
        <is>
          <t>PLTC|12 pr|18</t>
        </is>
      </c>
      <c r="L1545" s="9" t="inlineStr">
        <is>
          <t>12 pr</t>
        </is>
      </c>
      <c r="M1545" s="9" t="inlineStr">
        <is>
          <t>18</t>
        </is>
      </c>
      <c r="N1545" s="9" t="n">
        <v>1</v>
      </c>
      <c r="O1545" s="9" t="n">
        <v>1</v>
      </c>
      <c r="P1545" s="9" t="n"/>
      <c r="Q1545" s="9" t="n"/>
      <c r="R1545" s="9" t="n"/>
      <c r="S1545" s="9" t="inlineStr">
        <is>
          <t>Duct bank</t>
        </is>
      </c>
      <c r="T1545" s="10" t="n">
        <v>419</v>
      </c>
      <c r="U1545" s="10" t="n">
        <v>189</v>
      </c>
      <c r="V1545" s="10">
        <f>ROUNDUP((T1545+U1545+2*'Read Me'!$B$13)*(1+'Read Me'!$B$12),-1)</f>
        <v/>
      </c>
      <c r="W1545" s="10">
        <f>V1545*N1545*O1545</f>
        <v/>
      </c>
      <c r="X1545" s="9">
        <f>IF(LEFT(I1545,2)="MV",2*N1545*IF(L1545="1/C",O1545,1),0)</f>
        <v/>
      </c>
      <c r="Y1545" s="9">
        <f>IF(OR(LEFT(K1545,4)="LVAX",LEFT(K1545,6)="MV15AX",LEFT(K1545,4)="CTAX",LEFT(K1545,2)="W|"),2*N1545*O1545,0)</f>
        <v/>
      </c>
      <c r="Z1545" s="9" t="inlineStr"/>
    </row>
    <row r="1546">
      <c r="A1546" s="9" t="inlineStr">
        <is>
          <t>G-I-0043</t>
        </is>
      </c>
      <c r="B1546" s="9" t="inlineStr">
        <is>
          <t>G</t>
        </is>
      </c>
      <c r="C1546" s="9" t="inlineStr">
        <is>
          <t>Carbon capture</t>
        </is>
      </c>
      <c r="D1546" s="9" t="inlineStr">
        <is>
          <t>Instrumentation</t>
        </is>
      </c>
      <c r="E1546" s="9" t="inlineStr"/>
      <c r="F1546" s="9" t="inlineStr">
        <is>
          <t>CCS F&amp;G / control</t>
        </is>
      </c>
      <c r="G1546" s="9" t="inlineStr">
        <is>
          <t>BF-C</t>
        </is>
      </c>
      <c r="H1546" s="9" t="inlineStr">
        <is>
          <t>BF-C: booster fan (~16 MW)</t>
        </is>
      </c>
      <c r="I1546" s="9" t="inlineStr">
        <is>
          <t>Instrumentation</t>
        </is>
      </c>
      <c r="J1546" s="9" t="inlineStr">
        <is>
          <t>Instrumentation PLTC / TC-ER 300 V, #18 twisted shielded pairs, overall shield</t>
        </is>
      </c>
      <c r="K1546" s="9" t="inlineStr">
        <is>
          <t>PLTC|12 pr|18</t>
        </is>
      </c>
      <c r="L1546" s="9" t="inlineStr">
        <is>
          <t>12 pr</t>
        </is>
      </c>
      <c r="M1546" s="9" t="inlineStr">
        <is>
          <t>18</t>
        </is>
      </c>
      <c r="N1546" s="9" t="n">
        <v>1</v>
      </c>
      <c r="O1546" s="9" t="n">
        <v>1</v>
      </c>
      <c r="P1546" s="9" t="n"/>
      <c r="Q1546" s="9" t="n"/>
      <c r="R1546" s="9" t="n"/>
      <c r="S1546" s="9" t="inlineStr">
        <is>
          <t>Duct bank</t>
        </is>
      </c>
      <c r="T1546" s="10" t="n">
        <v>419</v>
      </c>
      <c r="U1546" s="10" t="n">
        <v>189</v>
      </c>
      <c r="V1546" s="10">
        <f>ROUNDUP((T1546+U1546+2*'Read Me'!$B$13)*(1+'Read Me'!$B$12),-1)</f>
        <v/>
      </c>
      <c r="W1546" s="10">
        <f>V1546*N1546*O1546</f>
        <v/>
      </c>
      <c r="X1546" s="9">
        <f>IF(LEFT(I1546,2)="MV",2*N1546*IF(L1546="1/C",O1546,1),0)</f>
        <v/>
      </c>
      <c r="Y1546" s="9">
        <f>IF(OR(LEFT(K1546,4)="LVAX",LEFT(K1546,6)="MV15AX",LEFT(K1546,4)="CTAX",LEFT(K1546,2)="W|"),2*N1546*O1546,0)</f>
        <v/>
      </c>
      <c r="Z1546" s="9" t="inlineStr"/>
    </row>
    <row r="1547">
      <c r="A1547" s="9" t="inlineStr">
        <is>
          <t>G-I-0044</t>
        </is>
      </c>
      <c r="B1547" s="9" t="inlineStr">
        <is>
          <t>G</t>
        </is>
      </c>
      <c r="C1547" s="9" t="inlineStr">
        <is>
          <t>Carbon capture</t>
        </is>
      </c>
      <c r="D1547" s="9" t="inlineStr">
        <is>
          <t>Instrumentation</t>
        </is>
      </c>
      <c r="E1547" s="9" t="inlineStr"/>
      <c r="F1547" s="9" t="inlineStr">
        <is>
          <t>CCS F&amp;G / control</t>
        </is>
      </c>
      <c r="G1547" s="9" t="inlineStr">
        <is>
          <t>CCS T-1</t>
        </is>
      </c>
      <c r="H1547" s="9" t="inlineStr">
        <is>
          <t>CCS T-1: 230/13.8 kV</t>
        </is>
      </c>
      <c r="I1547" s="9" t="inlineStr">
        <is>
          <t>Instrumentation</t>
        </is>
      </c>
      <c r="J1547" s="9" t="inlineStr">
        <is>
          <t>Instrumentation PLTC / TC-ER 300 V, #18 twisted shielded pairs, overall shield</t>
        </is>
      </c>
      <c r="K1547" s="9" t="inlineStr">
        <is>
          <t>PLTC|4 pr|18</t>
        </is>
      </c>
      <c r="L1547" s="9" t="inlineStr">
        <is>
          <t>4 pr</t>
        </is>
      </c>
      <c r="M1547" s="9" t="inlineStr">
        <is>
          <t>18</t>
        </is>
      </c>
      <c r="N1547" s="9" t="n">
        <v>1</v>
      </c>
      <c r="O1547" s="9" t="n">
        <v>1</v>
      </c>
      <c r="P1547" s="9" t="n"/>
      <c r="Q1547" s="9" t="n"/>
      <c r="R1547" s="9" t="n"/>
      <c r="S1547" s="9" t="inlineStr">
        <is>
          <t>HV duct bank</t>
        </is>
      </c>
      <c r="T1547" s="10" t="n">
        <v>77</v>
      </c>
      <c r="U1547" s="10" t="n">
        <v>103</v>
      </c>
      <c r="V1547" s="10">
        <f>ROUNDUP((T1547+U1547+2*'Read Me'!$B$13)*(1+'Read Me'!$B$12),-1)</f>
        <v/>
      </c>
      <c r="W1547" s="10">
        <f>V1547*N1547*O1547</f>
        <v/>
      </c>
      <c r="X1547" s="9">
        <f>IF(LEFT(I1547,2)="MV",2*N1547*IF(L1547="1/C",O1547,1),0)</f>
        <v/>
      </c>
      <c r="Y1547" s="9">
        <f>IF(OR(LEFT(K1547,4)="LVAX",LEFT(K1547,6)="MV15AX",LEFT(K1547,4)="CTAX",LEFT(K1547,2)="W|"),2*N1547*O1547,0)</f>
        <v/>
      </c>
      <c r="Z1547" s="9" t="inlineStr"/>
    </row>
    <row r="1548">
      <c r="A1548" s="9" t="inlineStr">
        <is>
          <t>G-I-0045</t>
        </is>
      </c>
      <c r="B1548" s="9" t="inlineStr">
        <is>
          <t>G</t>
        </is>
      </c>
      <c r="C1548" s="9" t="inlineStr">
        <is>
          <t>Carbon capture</t>
        </is>
      </c>
      <c r="D1548" s="9" t="inlineStr">
        <is>
          <t>Instrumentation</t>
        </is>
      </c>
      <c r="E1548" s="9" t="inlineStr"/>
      <c r="F1548" s="9" t="inlineStr">
        <is>
          <t>CCS F&amp;G / control</t>
        </is>
      </c>
      <c r="G1548" s="9" t="inlineStr">
        <is>
          <t>CCS T-2</t>
        </is>
      </c>
      <c r="H1548" s="9" t="inlineStr">
        <is>
          <t>CCS T-2: 230/13.8 kV</t>
        </is>
      </c>
      <c r="I1548" s="9" t="inlineStr">
        <is>
          <t>Instrumentation</t>
        </is>
      </c>
      <c r="J1548" s="9" t="inlineStr">
        <is>
          <t>Instrumentation PLTC / TC-ER 300 V, #18 twisted shielded pairs, overall shield</t>
        </is>
      </c>
      <c r="K1548" s="9" t="inlineStr">
        <is>
          <t>PLTC|4 pr|18</t>
        </is>
      </c>
      <c r="L1548" s="9" t="inlineStr">
        <is>
          <t>4 pr</t>
        </is>
      </c>
      <c r="M1548" s="9" t="inlineStr">
        <is>
          <t>18</t>
        </is>
      </c>
      <c r="N1548" s="9" t="n">
        <v>1</v>
      </c>
      <c r="O1548" s="9" t="n">
        <v>1</v>
      </c>
      <c r="P1548" s="9" t="n"/>
      <c r="Q1548" s="9" t="n"/>
      <c r="R1548" s="9" t="n"/>
      <c r="S1548" s="9" t="inlineStr">
        <is>
          <t>Tray</t>
        </is>
      </c>
      <c r="T1548" s="10" t="n">
        <v>11</v>
      </c>
      <c r="U1548" s="10" t="n">
        <v>101</v>
      </c>
      <c r="V1548" s="10">
        <f>ROUNDUP((T1548+U1548+2*'Read Me'!$B$13)*(1+'Read Me'!$B$12),-1)</f>
        <v/>
      </c>
      <c r="W1548" s="10">
        <f>V1548*N1548*O1548</f>
        <v/>
      </c>
      <c r="X1548" s="9">
        <f>IF(LEFT(I1548,2)="MV",2*N1548*IF(L1548="1/C",O1548,1),0)</f>
        <v/>
      </c>
      <c r="Y1548" s="9">
        <f>IF(OR(LEFT(K1548,4)="LVAX",LEFT(K1548,6)="MV15AX",LEFT(K1548,4)="CTAX",LEFT(K1548,2)="W|"),2*N1548*O1548,0)</f>
        <v/>
      </c>
      <c r="Z1548" s="9" t="inlineStr"/>
    </row>
    <row r="1549">
      <c r="A1549" s="9" t="inlineStr">
        <is>
          <t>G-I-0046</t>
        </is>
      </c>
      <c r="B1549" s="9" t="inlineStr">
        <is>
          <t>G</t>
        </is>
      </c>
      <c r="C1549" s="9" t="inlineStr">
        <is>
          <t>Carbon capture</t>
        </is>
      </c>
      <c r="D1549" s="9" t="inlineStr">
        <is>
          <t>Instrumentation</t>
        </is>
      </c>
      <c r="E1549" s="9" t="inlineStr"/>
      <c r="F1549" s="9" t="inlineStr">
        <is>
          <t>CCS F&amp;G / control</t>
        </is>
      </c>
      <c r="G1549" s="9" t="inlineStr"/>
      <c r="H1549" s="9" t="inlineStr">
        <is>
          <t>CCS circulating-water pumps</t>
        </is>
      </c>
      <c r="I1549" s="9" t="inlineStr">
        <is>
          <t>Instrumentation</t>
        </is>
      </c>
      <c r="J1549" s="9" t="inlineStr">
        <is>
          <t>Instrumentation PLTC / TC-ER 300 V, #18 twisted shielded pairs, overall shield</t>
        </is>
      </c>
      <c r="K1549" s="9" t="inlineStr">
        <is>
          <t>PLTC|4 pr|18</t>
        </is>
      </c>
      <c r="L1549" s="9" t="inlineStr">
        <is>
          <t>4 pr</t>
        </is>
      </c>
      <c r="M1549" s="9" t="inlineStr">
        <is>
          <t>18</t>
        </is>
      </c>
      <c r="N1549" s="9" t="n">
        <v>1</v>
      </c>
      <c r="O1549" s="9" t="n">
        <v>1</v>
      </c>
      <c r="P1549" s="9" t="n"/>
      <c r="Q1549" s="9" t="n"/>
      <c r="R1549" s="9" t="n"/>
      <c r="S1549" s="9" t="inlineStr">
        <is>
          <t>Duct bank</t>
        </is>
      </c>
      <c r="T1549" s="10" t="n">
        <v>666</v>
      </c>
      <c r="U1549" s="10" t="n">
        <v>176</v>
      </c>
      <c r="V1549" s="10">
        <f>ROUNDUP((T1549+U1549+2*'Read Me'!$B$13)*(1+'Read Me'!$B$12),-1)</f>
        <v/>
      </c>
      <c r="W1549" s="10">
        <f>V1549*N1549*O1549</f>
        <v/>
      </c>
      <c r="X1549" s="9">
        <f>IF(LEFT(I1549,2)="MV",2*N1549*IF(L1549="1/C",O1549,1),0)</f>
        <v/>
      </c>
      <c r="Y1549" s="9">
        <f>IF(OR(LEFT(K1549,4)="LVAX",LEFT(K1549,6)="MV15AX",LEFT(K1549,4)="CTAX",LEFT(K1549,2)="W|"),2*N1549*O1549,0)</f>
        <v/>
      </c>
      <c r="Z1549" s="9" t="inlineStr"/>
    </row>
    <row r="1550">
      <c r="A1550" s="9" t="inlineStr">
        <is>
          <t>G-I-0047</t>
        </is>
      </c>
      <c r="B1550" s="9" t="inlineStr">
        <is>
          <t>G</t>
        </is>
      </c>
      <c r="C1550" s="9" t="inlineStr">
        <is>
          <t>Carbon capture</t>
        </is>
      </c>
      <c r="D1550" s="9" t="inlineStr">
        <is>
          <t>Instrumentation</t>
        </is>
      </c>
      <c r="E1550" s="9" t="inlineStr"/>
      <c r="F1550" s="9" t="inlineStr">
        <is>
          <t>CCS F&amp;G / control</t>
        </is>
      </c>
      <c r="G1550" s="9" t="inlineStr"/>
      <c r="H1550" s="9" t="inlineStr">
        <is>
          <t>CCS circulating-water pumps</t>
        </is>
      </c>
      <c r="I1550" s="9" t="inlineStr">
        <is>
          <t>Instrumentation</t>
        </is>
      </c>
      <c r="J1550" s="9" t="inlineStr">
        <is>
          <t>Instrumentation PLTC / TC-ER 300 V, #18 twisted shielded pairs, overall shield</t>
        </is>
      </c>
      <c r="K1550" s="9" t="inlineStr">
        <is>
          <t>PLTC|12 pr|18</t>
        </is>
      </c>
      <c r="L1550" s="9" t="inlineStr">
        <is>
          <t>12 pr</t>
        </is>
      </c>
      <c r="M1550" s="9" t="inlineStr">
        <is>
          <t>18</t>
        </is>
      </c>
      <c r="N1550" s="9" t="n">
        <v>1</v>
      </c>
      <c r="O1550" s="9" t="n">
        <v>1</v>
      </c>
      <c r="P1550" s="9" t="n"/>
      <c r="Q1550" s="9" t="n"/>
      <c r="R1550" s="9" t="n"/>
      <c r="S1550" s="9" t="inlineStr">
        <is>
          <t>Duct bank</t>
        </is>
      </c>
      <c r="T1550" s="10" t="n">
        <v>666</v>
      </c>
      <c r="U1550" s="10" t="n">
        <v>176</v>
      </c>
      <c r="V1550" s="10">
        <f>ROUNDUP((T1550+U1550+2*'Read Me'!$B$13)*(1+'Read Me'!$B$12),-1)</f>
        <v/>
      </c>
      <c r="W1550" s="10">
        <f>V1550*N1550*O1550</f>
        <v/>
      </c>
      <c r="X1550" s="9">
        <f>IF(LEFT(I1550,2)="MV",2*N1550*IF(L1550="1/C",O1550,1),0)</f>
        <v/>
      </c>
      <c r="Y1550" s="9">
        <f>IF(OR(LEFT(K1550,4)="LVAX",LEFT(K1550,6)="MV15AX",LEFT(K1550,4)="CTAX",LEFT(K1550,2)="W|"),2*N1550*O1550,0)</f>
        <v/>
      </c>
      <c r="Z1550" s="9" t="inlineStr"/>
    </row>
    <row r="1551">
      <c r="A1551" s="9" t="inlineStr">
        <is>
          <t>G-I-0048</t>
        </is>
      </c>
      <c r="B1551" s="9" t="inlineStr">
        <is>
          <t>G</t>
        </is>
      </c>
      <c r="C1551" s="9" t="inlineStr">
        <is>
          <t>Carbon capture</t>
        </is>
      </c>
      <c r="D1551" s="9" t="inlineStr">
        <is>
          <t>Instrumentation</t>
        </is>
      </c>
      <c r="E1551" s="9" t="inlineStr"/>
      <c r="F1551" s="9" t="inlineStr">
        <is>
          <t>CCS F&amp;G / control</t>
        </is>
      </c>
      <c r="G1551" s="9" t="inlineStr">
        <is>
          <t>CCS-CT</t>
        </is>
      </c>
      <c r="H1551" s="9" t="inlineStr">
        <is>
          <t>CCS cooling tower (~30 cells): CCS process cooling only</t>
        </is>
      </c>
      <c r="I1551" s="9" t="inlineStr">
        <is>
          <t>Instrumentation</t>
        </is>
      </c>
      <c r="J1551" s="9" t="inlineStr">
        <is>
          <t>Instrumentation PLTC / TC-ER 300 V, #18 twisted shielded pairs, overall shield</t>
        </is>
      </c>
      <c r="K1551" s="9" t="inlineStr">
        <is>
          <t>PLTC|4 pr|18</t>
        </is>
      </c>
      <c r="L1551" s="9" t="inlineStr">
        <is>
          <t>4 pr</t>
        </is>
      </c>
      <c r="M1551" s="9" t="inlineStr">
        <is>
          <t>18</t>
        </is>
      </c>
      <c r="N1551" s="9" t="n">
        <v>1</v>
      </c>
      <c r="O1551" s="9" t="n">
        <v>1</v>
      </c>
      <c r="P1551" s="9" t="n"/>
      <c r="Q1551" s="9" t="n"/>
      <c r="R1551" s="9" t="n"/>
      <c r="S1551" s="9" t="inlineStr">
        <is>
          <t>Estimated</t>
        </is>
      </c>
      <c r="T1551" s="10" t="n">
        <v>1375</v>
      </c>
      <c r="U1551" s="10" t="n">
        <v>40</v>
      </c>
      <c r="V1551" s="10">
        <f>ROUNDUP((T1551+U1551+2*'Read Me'!$B$13)*(1+'Read Me'!$B$12),-1)</f>
        <v/>
      </c>
      <c r="W1551" s="10">
        <f>V1551*N1551*O1551</f>
        <v/>
      </c>
      <c r="X1551" s="9">
        <f>IF(LEFT(I1551,2)="MV",2*N1551*IF(L1551="1/C",O1551,1),0)</f>
        <v/>
      </c>
      <c r="Y1551" s="9">
        <f>IF(OR(LEFT(K1551,4)="LVAX",LEFT(K1551,6)="MV15AX",LEFT(K1551,4)="CTAX",LEFT(K1551,2)="W|"),2*N1551*O1551,0)</f>
        <v/>
      </c>
      <c r="Z1551" s="9" t="inlineStr"/>
    </row>
    <row r="1552">
      <c r="A1552" s="9" t="inlineStr">
        <is>
          <t>G-I-0049</t>
        </is>
      </c>
      <c r="B1552" s="9" t="inlineStr">
        <is>
          <t>G</t>
        </is>
      </c>
      <c r="C1552" s="9" t="inlineStr">
        <is>
          <t>Carbon capture</t>
        </is>
      </c>
      <c r="D1552" s="9" t="inlineStr">
        <is>
          <t>Instrumentation</t>
        </is>
      </c>
      <c r="E1552" s="9" t="inlineStr"/>
      <c r="F1552" s="9" t="inlineStr">
        <is>
          <t>CCS F&amp;G / control</t>
        </is>
      </c>
      <c r="G1552" s="9" t="inlineStr"/>
      <c r="H1552" s="9" t="inlineStr">
        <is>
          <t>CCS instrument air</t>
        </is>
      </c>
      <c r="I1552" s="9" t="inlineStr">
        <is>
          <t>Instrumentation</t>
        </is>
      </c>
      <c r="J1552" s="9" t="inlineStr">
        <is>
          <t>Instrumentation PLTC / TC-ER 300 V, #18 twisted shielded pairs, overall shield</t>
        </is>
      </c>
      <c r="K1552" s="9" t="inlineStr">
        <is>
          <t>PLTC|4 pr|18</t>
        </is>
      </c>
      <c r="L1552" s="9" t="inlineStr">
        <is>
          <t>4 pr</t>
        </is>
      </c>
      <c r="M1552" s="9" t="inlineStr">
        <is>
          <t>18</t>
        </is>
      </c>
      <c r="N1552" s="9" t="n">
        <v>1</v>
      </c>
      <c r="O1552" s="9" t="n">
        <v>1</v>
      </c>
      <c r="P1552" s="9" t="n"/>
      <c r="Q1552" s="9" t="n"/>
      <c r="R1552" s="9" t="n"/>
      <c r="S1552" s="9" t="inlineStr">
        <is>
          <t>Tray</t>
        </is>
      </c>
      <c r="T1552" s="10" t="n">
        <v>0</v>
      </c>
      <c r="U1552" s="10" t="n">
        <v>120</v>
      </c>
      <c r="V1552" s="10">
        <f>ROUNDUP((T1552+U1552+2*'Read Me'!$B$13)*(1+'Read Me'!$B$12),-1)</f>
        <v/>
      </c>
      <c r="W1552" s="10">
        <f>V1552*N1552*O1552</f>
        <v/>
      </c>
      <c r="X1552" s="9">
        <f>IF(LEFT(I1552,2)="MV",2*N1552*IF(L1552="1/C",O1552,1),0)</f>
        <v/>
      </c>
      <c r="Y1552" s="9">
        <f>IF(OR(LEFT(K1552,4)="LVAX",LEFT(K1552,6)="MV15AX",LEFT(K1552,4)="CTAX",LEFT(K1552,2)="W|"),2*N1552*O1552,0)</f>
        <v/>
      </c>
      <c r="Z1552" s="9" t="inlineStr"/>
    </row>
    <row r="1553">
      <c r="A1553" s="9" t="inlineStr">
        <is>
          <t>G-I-0050</t>
        </is>
      </c>
      <c r="B1553" s="9" t="inlineStr">
        <is>
          <t>G</t>
        </is>
      </c>
      <c r="C1553" s="9" t="inlineStr">
        <is>
          <t>Carbon capture</t>
        </is>
      </c>
      <c r="D1553" s="9" t="inlineStr">
        <is>
          <t>Instrumentation</t>
        </is>
      </c>
      <c r="E1553" s="9" t="inlineStr"/>
      <c r="F1553" s="9" t="inlineStr">
        <is>
          <t>CCS F&amp;G / control</t>
        </is>
      </c>
      <c r="G1553" s="9" t="inlineStr"/>
      <c r="H1553" s="9" t="inlineStr">
        <is>
          <t>CCS wastewater (DCC + tower blowdown)</t>
        </is>
      </c>
      <c r="I1553" s="9" t="inlineStr">
        <is>
          <t>Instrumentation</t>
        </is>
      </c>
      <c r="J1553" s="9" t="inlineStr">
        <is>
          <t>Instrumentation PLTC / TC-ER 300 V, #18 twisted shielded pairs, overall shield</t>
        </is>
      </c>
      <c r="K1553" s="9" t="inlineStr">
        <is>
          <t>PLTC|4 pr|18</t>
        </is>
      </c>
      <c r="L1553" s="9" t="inlineStr">
        <is>
          <t>4 pr</t>
        </is>
      </c>
      <c r="M1553" s="9" t="inlineStr">
        <is>
          <t>18</t>
        </is>
      </c>
      <c r="N1553" s="9" t="n">
        <v>1</v>
      </c>
      <c r="O1553" s="9" t="n">
        <v>1</v>
      </c>
      <c r="P1553" s="9" t="n"/>
      <c r="Q1553" s="9" t="n"/>
      <c r="R1553" s="9" t="n"/>
      <c r="S1553" s="9" t="inlineStr">
        <is>
          <t>Duct bank</t>
        </is>
      </c>
      <c r="T1553" s="10" t="n">
        <v>656</v>
      </c>
      <c r="U1553" s="10" t="n">
        <v>121</v>
      </c>
      <c r="V1553" s="10">
        <f>ROUNDUP((T1553+U1553+2*'Read Me'!$B$13)*(1+'Read Me'!$B$12),-1)</f>
        <v/>
      </c>
      <c r="W1553" s="10">
        <f>V1553*N1553*O1553</f>
        <v/>
      </c>
      <c r="X1553" s="9">
        <f>IF(LEFT(I1553,2)="MV",2*N1553*IF(L1553="1/C",O1553,1),0)</f>
        <v/>
      </c>
      <c r="Y1553" s="9">
        <f>IF(OR(LEFT(K1553,4)="LVAX",LEFT(K1553,6)="MV15AX",LEFT(K1553,4)="CTAX",LEFT(K1553,2)="W|"),2*N1553*O1553,0)</f>
        <v/>
      </c>
      <c r="Z1553" s="9" t="inlineStr"/>
    </row>
    <row r="1554">
      <c r="A1554" s="9" t="inlineStr">
        <is>
          <t>G-I-0051</t>
        </is>
      </c>
      <c r="B1554" s="9" t="inlineStr">
        <is>
          <t>G</t>
        </is>
      </c>
      <c r="C1554" s="9" t="inlineStr">
        <is>
          <t>Carbon capture</t>
        </is>
      </c>
      <c r="D1554" s="9" t="inlineStr">
        <is>
          <t>Instrumentation</t>
        </is>
      </c>
      <c r="E1554" s="9" t="inlineStr"/>
      <c r="F1554" s="9" t="inlineStr">
        <is>
          <t>CCS F&amp;G / control</t>
        </is>
      </c>
      <c r="G1554" s="9" t="inlineStr"/>
      <c r="H1554" s="9" t="inlineStr">
        <is>
          <t>CCS wastewater (DCC + tower blowdown)</t>
        </is>
      </c>
      <c r="I1554" s="9" t="inlineStr">
        <is>
          <t>Instrumentation</t>
        </is>
      </c>
      <c r="J1554" s="9" t="inlineStr">
        <is>
          <t>Instrumentation PLTC / TC-ER 300 V, #18 twisted shielded pairs, overall shield</t>
        </is>
      </c>
      <c r="K1554" s="9" t="inlineStr">
        <is>
          <t>PLTC|12 pr|18</t>
        </is>
      </c>
      <c r="L1554" s="9" t="inlineStr">
        <is>
          <t>12 pr</t>
        </is>
      </c>
      <c r="M1554" s="9" t="inlineStr">
        <is>
          <t>18</t>
        </is>
      </c>
      <c r="N1554" s="9" t="n">
        <v>1</v>
      </c>
      <c r="O1554" s="9" t="n">
        <v>1</v>
      </c>
      <c r="P1554" s="9" t="n"/>
      <c r="Q1554" s="9" t="n"/>
      <c r="R1554" s="9" t="n"/>
      <c r="S1554" s="9" t="inlineStr">
        <is>
          <t>Duct bank</t>
        </is>
      </c>
      <c r="T1554" s="10" t="n">
        <v>656</v>
      </c>
      <c r="U1554" s="10" t="n">
        <v>121</v>
      </c>
      <c r="V1554" s="10">
        <f>ROUNDUP((T1554+U1554+2*'Read Me'!$B$13)*(1+'Read Me'!$B$12),-1)</f>
        <v/>
      </c>
      <c r="W1554" s="10">
        <f>V1554*N1554*O1554</f>
        <v/>
      </c>
      <c r="X1554" s="9">
        <f>IF(LEFT(I1554,2)="MV",2*N1554*IF(L1554="1/C",O1554,1),0)</f>
        <v/>
      </c>
      <c r="Y1554" s="9">
        <f>IF(OR(LEFT(K1554,4)="LVAX",LEFT(K1554,6)="MV15AX",LEFT(K1554,4)="CTAX",LEFT(K1554,2)="W|"),2*N1554*O1554,0)</f>
        <v/>
      </c>
      <c r="Z1554" s="9" t="inlineStr"/>
    </row>
    <row r="1555">
      <c r="A1555" s="9" t="inlineStr">
        <is>
          <t>G-I-0052</t>
        </is>
      </c>
      <c r="B1555" s="9" t="inlineStr">
        <is>
          <t>G</t>
        </is>
      </c>
      <c r="C1555" s="9" t="inlineStr">
        <is>
          <t>Carbon capture</t>
        </is>
      </c>
      <c r="D1555" s="9" t="inlineStr">
        <is>
          <t>Instrumentation</t>
        </is>
      </c>
      <c r="E1555" s="9" t="inlineStr"/>
      <c r="F1555" s="9" t="inlineStr">
        <is>
          <t>CCS F&amp;G / control</t>
        </is>
      </c>
      <c r="G1555" s="9" t="inlineStr"/>
      <c r="H1555" s="9" t="inlineStr">
        <is>
          <t>CO2 compression 3 x ~19 MW + dehydration</t>
        </is>
      </c>
      <c r="I1555" s="9" t="inlineStr">
        <is>
          <t>Instrumentation</t>
        </is>
      </c>
      <c r="J1555" s="9" t="inlineStr">
        <is>
          <t>Instrumentation PLTC / TC-ER 300 V, #18 twisted shielded pairs, overall shield</t>
        </is>
      </c>
      <c r="K1555" s="9" t="inlineStr">
        <is>
          <t>PLTC|4 pr|18</t>
        </is>
      </c>
      <c r="L1555" s="9" t="inlineStr">
        <is>
          <t>4 pr</t>
        </is>
      </c>
      <c r="M1555" s="9" t="inlineStr">
        <is>
          <t>18</t>
        </is>
      </c>
      <c r="N1555" s="9" t="n">
        <v>1</v>
      </c>
      <c r="O1555" s="9" t="n">
        <v>1</v>
      </c>
      <c r="P1555" s="9" t="n"/>
      <c r="Q1555" s="9" t="n"/>
      <c r="R1555" s="9" t="n"/>
      <c r="S1555" s="9" t="inlineStr">
        <is>
          <t>Duct bank</t>
        </is>
      </c>
      <c r="T1555" s="10" t="n">
        <v>183</v>
      </c>
      <c r="U1555" s="10" t="n">
        <v>105</v>
      </c>
      <c r="V1555" s="10">
        <f>ROUNDUP((T1555+U1555+2*'Read Me'!$B$13)*(1+'Read Me'!$B$12),-1)</f>
        <v/>
      </c>
      <c r="W1555" s="10">
        <f>V1555*N1555*O1555</f>
        <v/>
      </c>
      <c r="X1555" s="9">
        <f>IF(LEFT(I1555,2)="MV",2*N1555*IF(L1555="1/C",O1555,1),0)</f>
        <v/>
      </c>
      <c r="Y1555" s="9">
        <f>IF(OR(LEFT(K1555,4)="LVAX",LEFT(K1555,6)="MV15AX",LEFT(K1555,4)="CTAX",LEFT(K1555,2)="W|"),2*N1555*O1555,0)</f>
        <v/>
      </c>
      <c r="Z1555" s="9" t="inlineStr"/>
    </row>
    <row r="1556">
      <c r="A1556" s="9" t="inlineStr">
        <is>
          <t>G-I-0053</t>
        </is>
      </c>
      <c r="B1556" s="9" t="inlineStr">
        <is>
          <t>G</t>
        </is>
      </c>
      <c r="C1556" s="9" t="inlineStr">
        <is>
          <t>Carbon capture</t>
        </is>
      </c>
      <c r="D1556" s="9" t="inlineStr">
        <is>
          <t>Instrumentation</t>
        </is>
      </c>
      <c r="E1556" s="9" t="inlineStr"/>
      <c r="F1556" s="9" t="inlineStr">
        <is>
          <t>CCS F&amp;G / control</t>
        </is>
      </c>
      <c r="G1556" s="9" t="inlineStr"/>
      <c r="H1556" s="9" t="inlineStr">
        <is>
          <t>CO2 compression 3 x ~19 MW + dehydration</t>
        </is>
      </c>
      <c r="I1556" s="9" t="inlineStr">
        <is>
          <t>Instrumentation</t>
        </is>
      </c>
      <c r="J1556" s="9" t="inlineStr">
        <is>
          <t>Instrumentation PLTC / TC-ER 300 V, #18 twisted shielded pairs, overall shield</t>
        </is>
      </c>
      <c r="K1556" s="9" t="inlineStr">
        <is>
          <t>PLTC|4 pr|18</t>
        </is>
      </c>
      <c r="L1556" s="9" t="inlineStr">
        <is>
          <t>4 pr</t>
        </is>
      </c>
      <c r="M1556" s="9" t="inlineStr">
        <is>
          <t>18</t>
        </is>
      </c>
      <c r="N1556" s="9" t="n">
        <v>1</v>
      </c>
      <c r="O1556" s="9" t="n">
        <v>1</v>
      </c>
      <c r="P1556" s="9" t="n"/>
      <c r="Q1556" s="9" t="n"/>
      <c r="R1556" s="9" t="n"/>
      <c r="S1556" s="9" t="inlineStr">
        <is>
          <t>Duct bank</t>
        </is>
      </c>
      <c r="T1556" s="10" t="n">
        <v>183</v>
      </c>
      <c r="U1556" s="10" t="n">
        <v>105</v>
      </c>
      <c r="V1556" s="10">
        <f>ROUNDUP((T1556+U1556+2*'Read Me'!$B$13)*(1+'Read Me'!$B$12),-1)</f>
        <v/>
      </c>
      <c r="W1556" s="10">
        <f>V1556*N1556*O1556</f>
        <v/>
      </c>
      <c r="X1556" s="9">
        <f>IF(LEFT(I1556,2)="MV",2*N1556*IF(L1556="1/C",O1556,1),0)</f>
        <v/>
      </c>
      <c r="Y1556" s="9">
        <f>IF(OR(LEFT(K1556,4)="LVAX",LEFT(K1556,6)="MV15AX",LEFT(K1556,4)="CTAX",LEFT(K1556,2)="W|"),2*N1556*O1556,0)</f>
        <v/>
      </c>
      <c r="Z1556" s="9" t="inlineStr"/>
    </row>
    <row r="1557">
      <c r="A1557" s="9" t="inlineStr">
        <is>
          <t>G-I-0054</t>
        </is>
      </c>
      <c r="B1557" s="9" t="inlineStr">
        <is>
          <t>G</t>
        </is>
      </c>
      <c r="C1557" s="9" t="inlineStr">
        <is>
          <t>Carbon capture</t>
        </is>
      </c>
      <c r="D1557" s="9" t="inlineStr">
        <is>
          <t>Instrumentation</t>
        </is>
      </c>
      <c r="E1557" s="9" t="inlineStr"/>
      <c r="F1557" s="9" t="inlineStr">
        <is>
          <t>CCS F&amp;G / control</t>
        </is>
      </c>
      <c r="G1557" s="9" t="inlineStr"/>
      <c r="H1557" s="9" t="inlineStr">
        <is>
          <t>CO2 compression 3 x ~19 MW + dehydration</t>
        </is>
      </c>
      <c r="I1557" s="9" t="inlineStr">
        <is>
          <t>Instrumentation</t>
        </is>
      </c>
      <c r="J1557" s="9" t="inlineStr">
        <is>
          <t>Instrumentation PLTC / TC-ER 300 V, #18 twisted shielded pairs, overall shield</t>
        </is>
      </c>
      <c r="K1557" s="9" t="inlineStr">
        <is>
          <t>PLTC|12 pr|18</t>
        </is>
      </c>
      <c r="L1557" s="9" t="inlineStr">
        <is>
          <t>12 pr</t>
        </is>
      </c>
      <c r="M1557" s="9" t="inlineStr">
        <is>
          <t>18</t>
        </is>
      </c>
      <c r="N1557" s="9" t="n">
        <v>1</v>
      </c>
      <c r="O1557" s="9" t="n">
        <v>1</v>
      </c>
      <c r="P1557" s="9" t="n"/>
      <c r="Q1557" s="9" t="n"/>
      <c r="R1557" s="9" t="n"/>
      <c r="S1557" s="9" t="inlineStr">
        <is>
          <t>Duct bank</t>
        </is>
      </c>
      <c r="T1557" s="10" t="n">
        <v>183</v>
      </c>
      <c r="U1557" s="10" t="n">
        <v>105</v>
      </c>
      <c r="V1557" s="10">
        <f>ROUNDUP((T1557+U1557+2*'Read Me'!$B$13)*(1+'Read Me'!$B$12),-1)</f>
        <v/>
      </c>
      <c r="W1557" s="10">
        <f>V1557*N1557*O1557</f>
        <v/>
      </c>
      <c r="X1557" s="9">
        <f>IF(LEFT(I1557,2)="MV",2*N1557*IF(L1557="1/C",O1557,1),0)</f>
        <v/>
      </c>
      <c r="Y1557" s="9">
        <f>IF(OR(LEFT(K1557,4)="LVAX",LEFT(K1557,6)="MV15AX",LEFT(K1557,4)="CTAX",LEFT(K1557,2)="W|"),2*N1557*O1557,0)</f>
        <v/>
      </c>
      <c r="Z1557" s="9" t="inlineStr"/>
    </row>
    <row r="1558">
      <c r="A1558" s="9" t="inlineStr">
        <is>
          <t>G-I-0055</t>
        </is>
      </c>
      <c r="B1558" s="9" t="inlineStr">
        <is>
          <t>G</t>
        </is>
      </c>
      <c r="C1558" s="9" t="inlineStr">
        <is>
          <t>Carbon capture</t>
        </is>
      </c>
      <c r="D1558" s="9" t="inlineStr">
        <is>
          <t>Instrumentation</t>
        </is>
      </c>
      <c r="E1558" s="9" t="inlineStr"/>
      <c r="F1558" s="9" t="inlineStr">
        <is>
          <t>CCS F&amp;G / control</t>
        </is>
      </c>
      <c r="G1558" s="9" t="inlineStr"/>
      <c r="H1558" s="9" t="inlineStr">
        <is>
          <t>CO2 compression 3 x ~19 MW + dehydration</t>
        </is>
      </c>
      <c r="I1558" s="9" t="inlineStr">
        <is>
          <t>Instrumentation</t>
        </is>
      </c>
      <c r="J1558" s="9" t="inlineStr">
        <is>
          <t>Instrumentation PLTC / TC-ER 300 V, #18 twisted shielded pairs, overall shield</t>
        </is>
      </c>
      <c r="K1558" s="9" t="inlineStr">
        <is>
          <t>PLTC|12 pr|18</t>
        </is>
      </c>
      <c r="L1558" s="9" t="inlineStr">
        <is>
          <t>12 pr</t>
        </is>
      </c>
      <c r="M1558" s="9" t="inlineStr">
        <is>
          <t>18</t>
        </is>
      </c>
      <c r="N1558" s="9" t="n">
        <v>1</v>
      </c>
      <c r="O1558" s="9" t="n">
        <v>1</v>
      </c>
      <c r="P1558" s="9" t="n"/>
      <c r="Q1558" s="9" t="n"/>
      <c r="R1558" s="9" t="n"/>
      <c r="S1558" s="9" t="inlineStr">
        <is>
          <t>Duct bank</t>
        </is>
      </c>
      <c r="T1558" s="10" t="n">
        <v>183</v>
      </c>
      <c r="U1558" s="10" t="n">
        <v>105</v>
      </c>
      <c r="V1558" s="10">
        <f>ROUNDUP((T1558+U1558+2*'Read Me'!$B$13)*(1+'Read Me'!$B$12),-1)</f>
        <v/>
      </c>
      <c r="W1558" s="10">
        <f>V1558*N1558*O1558</f>
        <v/>
      </c>
      <c r="X1558" s="9">
        <f>IF(LEFT(I1558,2)="MV",2*N1558*IF(L1558="1/C",O1558,1),0)</f>
        <v/>
      </c>
      <c r="Y1558" s="9">
        <f>IF(OR(LEFT(K1558,4)="LVAX",LEFT(K1558,6)="MV15AX",LEFT(K1558,4)="CTAX",LEFT(K1558,2)="W|"),2*N1558*O1558,0)</f>
        <v/>
      </c>
      <c r="Z1558" s="9" t="inlineStr"/>
    </row>
    <row r="1559">
      <c r="A1559" s="9" t="inlineStr">
        <is>
          <t>G-I-0056</t>
        </is>
      </c>
      <c r="B1559" s="9" t="inlineStr">
        <is>
          <t>G</t>
        </is>
      </c>
      <c r="C1559" s="9" t="inlineStr">
        <is>
          <t>Carbon capture</t>
        </is>
      </c>
      <c r="D1559" s="9" t="inlineStr">
        <is>
          <t>Instrumentation</t>
        </is>
      </c>
      <c r="E1559" s="9" t="inlineStr"/>
      <c r="F1559" s="9" t="inlineStr">
        <is>
          <t>CCS F&amp;G / control</t>
        </is>
      </c>
      <c r="G1559" s="9" t="inlineStr"/>
      <c r="H1559" s="9" t="inlineStr">
        <is>
          <t>CO2 compression 3 x ~19 MW + dehydration</t>
        </is>
      </c>
      <c r="I1559" s="9" t="inlineStr">
        <is>
          <t>Instrumentation</t>
        </is>
      </c>
      <c r="J1559" s="9" t="inlineStr">
        <is>
          <t>Instrumentation PLTC / TC-ER 300 V, #18 twisted shielded pairs, overall shield</t>
        </is>
      </c>
      <c r="K1559" s="9" t="inlineStr">
        <is>
          <t>PLTC|12 pr|18</t>
        </is>
      </c>
      <c r="L1559" s="9" t="inlineStr">
        <is>
          <t>12 pr</t>
        </is>
      </c>
      <c r="M1559" s="9" t="inlineStr">
        <is>
          <t>18</t>
        </is>
      </c>
      <c r="N1559" s="9" t="n">
        <v>1</v>
      </c>
      <c r="O1559" s="9" t="n">
        <v>1</v>
      </c>
      <c r="P1559" s="9" t="n"/>
      <c r="Q1559" s="9" t="n"/>
      <c r="R1559" s="9" t="n"/>
      <c r="S1559" s="9" t="inlineStr">
        <is>
          <t>Duct bank</t>
        </is>
      </c>
      <c r="T1559" s="10" t="n">
        <v>183</v>
      </c>
      <c r="U1559" s="10" t="n">
        <v>105</v>
      </c>
      <c r="V1559" s="10">
        <f>ROUNDUP((T1559+U1559+2*'Read Me'!$B$13)*(1+'Read Me'!$B$12),-1)</f>
        <v/>
      </c>
      <c r="W1559" s="10">
        <f>V1559*N1559*O1559</f>
        <v/>
      </c>
      <c r="X1559" s="9">
        <f>IF(LEFT(I1559,2)="MV",2*N1559*IF(L1559="1/C",O1559,1),0)</f>
        <v/>
      </c>
      <c r="Y1559" s="9">
        <f>IF(OR(LEFT(K1559,4)="LVAX",LEFT(K1559,6)="MV15AX",LEFT(K1559,4)="CTAX",LEFT(K1559,2)="W|"),2*N1559*O1559,0)</f>
        <v/>
      </c>
      <c r="Z1559" s="9" t="inlineStr"/>
    </row>
    <row r="1560">
      <c r="A1560" s="9" t="inlineStr">
        <is>
          <t>G-I-0057</t>
        </is>
      </c>
      <c r="B1560" s="9" t="inlineStr">
        <is>
          <t>G</t>
        </is>
      </c>
      <c r="C1560" s="9" t="inlineStr">
        <is>
          <t>Carbon capture</t>
        </is>
      </c>
      <c r="D1560" s="9" t="inlineStr">
        <is>
          <t>Instrumentation</t>
        </is>
      </c>
      <c r="E1560" s="9" t="inlineStr"/>
      <c r="F1560" s="9" t="inlineStr">
        <is>
          <t>CCS F&amp;G / control</t>
        </is>
      </c>
      <c r="G1560" s="9" t="inlineStr"/>
      <c r="H1560" s="9" t="inlineStr">
        <is>
          <t>CO2 compression 3 x ~19 MW + dehydration</t>
        </is>
      </c>
      <c r="I1560" s="9" t="inlineStr">
        <is>
          <t>Instrumentation</t>
        </is>
      </c>
      <c r="J1560" s="9" t="inlineStr">
        <is>
          <t>Instrumentation PLTC / TC-ER 300 V, #18 twisted shielded pairs, overall shield</t>
        </is>
      </c>
      <c r="K1560" s="9" t="inlineStr">
        <is>
          <t>PLTC|12 pr|18</t>
        </is>
      </c>
      <c r="L1560" s="9" t="inlineStr">
        <is>
          <t>12 pr</t>
        </is>
      </c>
      <c r="M1560" s="9" t="inlineStr">
        <is>
          <t>18</t>
        </is>
      </c>
      <c r="N1560" s="9" t="n">
        <v>1</v>
      </c>
      <c r="O1560" s="9" t="n">
        <v>1</v>
      </c>
      <c r="P1560" s="9" t="n"/>
      <c r="Q1560" s="9" t="n"/>
      <c r="R1560" s="9" t="n"/>
      <c r="S1560" s="9" t="inlineStr">
        <is>
          <t>Duct bank</t>
        </is>
      </c>
      <c r="T1560" s="10" t="n">
        <v>183</v>
      </c>
      <c r="U1560" s="10" t="n">
        <v>105</v>
      </c>
      <c r="V1560" s="10">
        <f>ROUNDUP((T1560+U1560+2*'Read Me'!$B$13)*(1+'Read Me'!$B$12),-1)</f>
        <v/>
      </c>
      <c r="W1560" s="10">
        <f>V1560*N1560*O1560</f>
        <v/>
      </c>
      <c r="X1560" s="9">
        <f>IF(LEFT(I1560,2)="MV",2*N1560*IF(L1560="1/C",O1560,1),0)</f>
        <v/>
      </c>
      <c r="Y1560" s="9">
        <f>IF(OR(LEFT(K1560,4)="LVAX",LEFT(K1560,6)="MV15AX",LEFT(K1560,4)="CTAX",LEFT(K1560,2)="W|"),2*N1560*O1560,0)</f>
        <v/>
      </c>
      <c r="Z1560" s="9" t="inlineStr"/>
    </row>
    <row r="1561">
      <c r="A1561" s="9" t="inlineStr">
        <is>
          <t>G-I-0058</t>
        </is>
      </c>
      <c r="B1561" s="9" t="inlineStr">
        <is>
          <t>G</t>
        </is>
      </c>
      <c r="C1561" s="9" t="inlineStr">
        <is>
          <t>Carbon capture</t>
        </is>
      </c>
      <c r="D1561" s="9" t="inlineStr">
        <is>
          <t>Instrumentation</t>
        </is>
      </c>
      <c r="E1561" s="9" t="inlineStr"/>
      <c r="F1561" s="9" t="inlineStr">
        <is>
          <t>CCS F&amp;G / control</t>
        </is>
      </c>
      <c r="G1561" s="9" t="inlineStr"/>
      <c r="H1561" s="9" t="inlineStr">
        <is>
          <t>CO2 compression 3 x ~19 MW + dehydration</t>
        </is>
      </c>
      <c r="I1561" s="9" t="inlineStr">
        <is>
          <t>Instrumentation</t>
        </is>
      </c>
      <c r="J1561" s="9" t="inlineStr">
        <is>
          <t>Instrumentation PLTC / TC-ER 300 V, #18 twisted shielded pairs, overall shield</t>
        </is>
      </c>
      <c r="K1561" s="9" t="inlineStr">
        <is>
          <t>PLTC|12 pr|18</t>
        </is>
      </c>
      <c r="L1561" s="9" t="inlineStr">
        <is>
          <t>12 pr</t>
        </is>
      </c>
      <c r="M1561" s="9" t="inlineStr">
        <is>
          <t>18</t>
        </is>
      </c>
      <c r="N1561" s="9" t="n">
        <v>1</v>
      </c>
      <c r="O1561" s="9" t="n">
        <v>1</v>
      </c>
      <c r="P1561" s="9" t="n"/>
      <c r="Q1561" s="9" t="n"/>
      <c r="R1561" s="9" t="n"/>
      <c r="S1561" s="9" t="inlineStr">
        <is>
          <t>Duct bank</t>
        </is>
      </c>
      <c r="T1561" s="10" t="n">
        <v>183</v>
      </c>
      <c r="U1561" s="10" t="n">
        <v>105</v>
      </c>
      <c r="V1561" s="10">
        <f>ROUNDUP((T1561+U1561+2*'Read Me'!$B$13)*(1+'Read Me'!$B$12),-1)</f>
        <v/>
      </c>
      <c r="W1561" s="10">
        <f>V1561*N1561*O1561</f>
        <v/>
      </c>
      <c r="X1561" s="9">
        <f>IF(LEFT(I1561,2)="MV",2*N1561*IF(L1561="1/C",O1561,1),0)</f>
        <v/>
      </c>
      <c r="Y1561" s="9">
        <f>IF(OR(LEFT(K1561,4)="LVAX",LEFT(K1561,6)="MV15AX",LEFT(K1561,4)="CTAX",LEFT(K1561,2)="W|"),2*N1561*O1561,0)</f>
        <v/>
      </c>
      <c r="Z1561" s="9" t="inlineStr"/>
    </row>
    <row r="1562">
      <c r="A1562" s="9" t="inlineStr">
        <is>
          <t>G-I-0059</t>
        </is>
      </c>
      <c r="B1562" s="9" t="inlineStr">
        <is>
          <t>G</t>
        </is>
      </c>
      <c r="C1562" s="9" t="inlineStr">
        <is>
          <t>Carbon capture</t>
        </is>
      </c>
      <c r="D1562" s="9" t="inlineStr">
        <is>
          <t>Instrumentation</t>
        </is>
      </c>
      <c r="E1562" s="9" t="inlineStr"/>
      <c r="F1562" s="9" t="inlineStr">
        <is>
          <t>CCS F&amp;G / control</t>
        </is>
      </c>
      <c r="G1562" s="9" t="inlineStr"/>
      <c r="H1562" s="9" t="inlineStr">
        <is>
          <t>CO2 compression 3 x ~19 MW + dehydration</t>
        </is>
      </c>
      <c r="I1562" s="9" t="inlineStr">
        <is>
          <t>Instrumentation</t>
        </is>
      </c>
      <c r="J1562" s="9" t="inlineStr">
        <is>
          <t>Instrumentation PLTC / TC-ER 300 V, #18 twisted shielded pairs, overall shield</t>
        </is>
      </c>
      <c r="K1562" s="9" t="inlineStr">
        <is>
          <t>PLTC|12 pr|18</t>
        </is>
      </c>
      <c r="L1562" s="9" t="inlineStr">
        <is>
          <t>12 pr</t>
        </is>
      </c>
      <c r="M1562" s="9" t="inlineStr">
        <is>
          <t>18</t>
        </is>
      </c>
      <c r="N1562" s="9" t="n">
        <v>1</v>
      </c>
      <c r="O1562" s="9" t="n">
        <v>1</v>
      </c>
      <c r="P1562" s="9" t="n"/>
      <c r="Q1562" s="9" t="n"/>
      <c r="R1562" s="9" t="n"/>
      <c r="S1562" s="9" t="inlineStr">
        <is>
          <t>Duct bank</t>
        </is>
      </c>
      <c r="T1562" s="10" t="n">
        <v>183</v>
      </c>
      <c r="U1562" s="10" t="n">
        <v>105</v>
      </c>
      <c r="V1562" s="10">
        <f>ROUNDUP((T1562+U1562+2*'Read Me'!$B$13)*(1+'Read Me'!$B$12),-1)</f>
        <v/>
      </c>
      <c r="W1562" s="10">
        <f>V1562*N1562*O1562</f>
        <v/>
      </c>
      <c r="X1562" s="9">
        <f>IF(LEFT(I1562,2)="MV",2*N1562*IF(L1562="1/C",O1562,1),0)</f>
        <v/>
      </c>
      <c r="Y1562" s="9">
        <f>IF(OR(LEFT(K1562,4)="LVAX",LEFT(K1562,6)="MV15AX",LEFT(K1562,4)="CTAX",LEFT(K1562,2)="W|"),2*N1562*O1562,0)</f>
        <v/>
      </c>
      <c r="Z1562" s="9" t="inlineStr"/>
    </row>
    <row r="1563">
      <c r="A1563" s="9" t="inlineStr">
        <is>
          <t>G-I-0060</t>
        </is>
      </c>
      <c r="B1563" s="9" t="inlineStr">
        <is>
          <t>G</t>
        </is>
      </c>
      <c r="C1563" s="9" t="inlineStr">
        <is>
          <t>Carbon capture</t>
        </is>
      </c>
      <c r="D1563" s="9" t="inlineStr">
        <is>
          <t>Instrumentation</t>
        </is>
      </c>
      <c r="E1563" s="9" t="inlineStr"/>
      <c r="F1563" s="9" t="inlineStr">
        <is>
          <t>CCS F&amp;G / control</t>
        </is>
      </c>
      <c r="G1563" s="9" t="inlineStr"/>
      <c r="H1563" s="9" t="inlineStr">
        <is>
          <t>CO2 compression 3 x ~19 MW + dehydration</t>
        </is>
      </c>
      <c r="I1563" s="9" t="inlineStr">
        <is>
          <t>Instrumentation</t>
        </is>
      </c>
      <c r="J1563" s="9" t="inlineStr">
        <is>
          <t>Instrumentation PLTC / TC-ER 300 V, #18 twisted shielded pairs, overall shield</t>
        </is>
      </c>
      <c r="K1563" s="9" t="inlineStr">
        <is>
          <t>PLTC|12 pr|18</t>
        </is>
      </c>
      <c r="L1563" s="9" t="inlineStr">
        <is>
          <t>12 pr</t>
        </is>
      </c>
      <c r="M1563" s="9" t="inlineStr">
        <is>
          <t>18</t>
        </is>
      </c>
      <c r="N1563" s="9" t="n">
        <v>1</v>
      </c>
      <c r="O1563" s="9" t="n">
        <v>1</v>
      </c>
      <c r="P1563" s="9" t="n"/>
      <c r="Q1563" s="9" t="n"/>
      <c r="R1563" s="9" t="n"/>
      <c r="S1563" s="9" t="inlineStr">
        <is>
          <t>Duct bank</t>
        </is>
      </c>
      <c r="T1563" s="10" t="n">
        <v>183</v>
      </c>
      <c r="U1563" s="10" t="n">
        <v>105</v>
      </c>
      <c r="V1563" s="10">
        <f>ROUNDUP((T1563+U1563+2*'Read Me'!$B$13)*(1+'Read Me'!$B$12),-1)</f>
        <v/>
      </c>
      <c r="W1563" s="10">
        <f>V1563*N1563*O1563</f>
        <v/>
      </c>
      <c r="X1563" s="9">
        <f>IF(LEFT(I1563,2)="MV",2*N1563*IF(L1563="1/C",O1563,1),0)</f>
        <v/>
      </c>
      <c r="Y1563" s="9">
        <f>IF(OR(LEFT(K1563,4)="LVAX",LEFT(K1563,6)="MV15AX",LEFT(K1563,4)="CTAX",LEFT(K1563,2)="W|"),2*N1563*O1563,0)</f>
        <v/>
      </c>
      <c r="Z1563" s="9" t="inlineStr"/>
    </row>
    <row r="1564">
      <c r="A1564" s="9" t="inlineStr">
        <is>
          <t>G-I-0061</t>
        </is>
      </c>
      <c r="B1564" s="9" t="inlineStr">
        <is>
          <t>G</t>
        </is>
      </c>
      <c r="C1564" s="9" t="inlineStr">
        <is>
          <t>Carbon capture</t>
        </is>
      </c>
      <c r="D1564" s="9" t="inlineStr">
        <is>
          <t>Instrumentation</t>
        </is>
      </c>
      <c r="E1564" s="9" t="inlineStr"/>
      <c r="F1564" s="9" t="inlineStr">
        <is>
          <t>CCS F&amp;G / control</t>
        </is>
      </c>
      <c r="G1564" s="9" t="inlineStr"/>
      <c r="H1564" s="9" t="inlineStr">
        <is>
          <t>CO2 compression 3 x ~19 MW + dehydration</t>
        </is>
      </c>
      <c r="I1564" s="9" t="inlineStr">
        <is>
          <t>Instrumentation</t>
        </is>
      </c>
      <c r="J1564" s="9" t="inlineStr">
        <is>
          <t>Instrumentation PLTC / TC-ER 300 V, #18 twisted shielded pairs, overall shield</t>
        </is>
      </c>
      <c r="K1564" s="9" t="inlineStr">
        <is>
          <t>PLTC|12 pr|18</t>
        </is>
      </c>
      <c r="L1564" s="9" t="inlineStr">
        <is>
          <t>12 pr</t>
        </is>
      </c>
      <c r="M1564" s="9" t="inlineStr">
        <is>
          <t>18</t>
        </is>
      </c>
      <c r="N1564" s="9" t="n">
        <v>1</v>
      </c>
      <c r="O1564" s="9" t="n">
        <v>1</v>
      </c>
      <c r="P1564" s="9" t="n"/>
      <c r="Q1564" s="9" t="n"/>
      <c r="R1564" s="9" t="n"/>
      <c r="S1564" s="9" t="inlineStr">
        <is>
          <t>Duct bank</t>
        </is>
      </c>
      <c r="T1564" s="10" t="n">
        <v>183</v>
      </c>
      <c r="U1564" s="10" t="n">
        <v>105</v>
      </c>
      <c r="V1564" s="10">
        <f>ROUNDUP((T1564+U1564+2*'Read Me'!$B$13)*(1+'Read Me'!$B$12),-1)</f>
        <v/>
      </c>
      <c r="W1564" s="10">
        <f>V1564*N1564*O1564</f>
        <v/>
      </c>
      <c r="X1564" s="9">
        <f>IF(LEFT(I1564,2)="MV",2*N1564*IF(L1564="1/C",O1564,1),0)</f>
        <v/>
      </c>
      <c r="Y1564" s="9">
        <f>IF(OR(LEFT(K1564,4)="LVAX",LEFT(K1564,6)="MV15AX",LEFT(K1564,4)="CTAX",LEFT(K1564,2)="W|"),2*N1564*O1564,0)</f>
        <v/>
      </c>
      <c r="Z1564" s="9" t="inlineStr"/>
    </row>
    <row r="1565">
      <c r="A1565" s="9" t="inlineStr">
        <is>
          <t>G-I-0062</t>
        </is>
      </c>
      <c r="B1565" s="9" t="inlineStr">
        <is>
          <t>G</t>
        </is>
      </c>
      <c r="C1565" s="9" t="inlineStr">
        <is>
          <t>Carbon capture</t>
        </is>
      </c>
      <c r="D1565" s="9" t="inlineStr">
        <is>
          <t>Instrumentation</t>
        </is>
      </c>
      <c r="E1565" s="9" t="inlineStr"/>
      <c r="F1565" s="9" t="inlineStr">
        <is>
          <t>CCS F&amp;G / control</t>
        </is>
      </c>
      <c r="G1565" s="9" t="inlineStr"/>
      <c r="H1565" s="9" t="inlineStr">
        <is>
          <t>CO2 dehydration: molecular-sieve towers and regeneration heater</t>
        </is>
      </c>
      <c r="I1565" s="9" t="inlineStr">
        <is>
          <t>Instrumentation</t>
        </is>
      </c>
      <c r="J1565" s="9" t="inlineStr">
        <is>
          <t>Instrumentation PLTC / TC-ER 300 V, #18 twisted shielded pairs, overall shield</t>
        </is>
      </c>
      <c r="K1565" s="9" t="inlineStr">
        <is>
          <t>PLTC|4 pr|18</t>
        </is>
      </c>
      <c r="L1565" s="9" t="inlineStr">
        <is>
          <t>4 pr</t>
        </is>
      </c>
      <c r="M1565" s="9" t="inlineStr">
        <is>
          <t>18</t>
        </is>
      </c>
      <c r="N1565" s="9" t="n">
        <v>1</v>
      </c>
      <c r="O1565" s="9" t="n">
        <v>1</v>
      </c>
      <c r="P1565" s="9" t="n"/>
      <c r="Q1565" s="9" t="n"/>
      <c r="R1565" s="9" t="n"/>
      <c r="S1565" s="9" t="inlineStr">
        <is>
          <t>Duct bank</t>
        </is>
      </c>
      <c r="T1565" s="10" t="n">
        <v>197</v>
      </c>
      <c r="U1565" s="10" t="n">
        <v>229</v>
      </c>
      <c r="V1565" s="10">
        <f>ROUNDUP((T1565+U1565+2*'Read Me'!$B$13)*(1+'Read Me'!$B$12),-1)</f>
        <v/>
      </c>
      <c r="W1565" s="10">
        <f>V1565*N1565*O1565</f>
        <v/>
      </c>
      <c r="X1565" s="9">
        <f>IF(LEFT(I1565,2)="MV",2*N1565*IF(L1565="1/C",O1565,1),0)</f>
        <v/>
      </c>
      <c r="Y1565" s="9">
        <f>IF(OR(LEFT(K1565,4)="LVAX",LEFT(K1565,6)="MV15AX",LEFT(K1565,4)="CTAX",LEFT(K1565,2)="W|"),2*N1565*O1565,0)</f>
        <v/>
      </c>
      <c r="Z1565" s="9" t="inlineStr"/>
    </row>
    <row r="1566">
      <c r="A1566" s="9" t="inlineStr">
        <is>
          <t>G-I-0063</t>
        </is>
      </c>
      <c r="B1566" s="9" t="inlineStr">
        <is>
          <t>G</t>
        </is>
      </c>
      <c r="C1566" s="9" t="inlineStr">
        <is>
          <t>Carbon capture</t>
        </is>
      </c>
      <c r="D1566" s="9" t="inlineStr">
        <is>
          <t>Instrumentation</t>
        </is>
      </c>
      <c r="E1566" s="9" t="inlineStr"/>
      <c r="F1566" s="9" t="inlineStr">
        <is>
          <t>CCS F&amp;G / control</t>
        </is>
      </c>
      <c r="G1566" s="9" t="inlineStr"/>
      <c r="H1566" s="9" t="inlineStr">
        <is>
          <t>CO2 dehydration: molecular-sieve towers and regeneration heater</t>
        </is>
      </c>
      <c r="I1566" s="9" t="inlineStr">
        <is>
          <t>Instrumentation</t>
        </is>
      </c>
      <c r="J1566" s="9" t="inlineStr">
        <is>
          <t>Instrumentation PLTC / TC-ER 300 V, #18 twisted shielded pairs, overall shield</t>
        </is>
      </c>
      <c r="K1566" s="9" t="inlineStr">
        <is>
          <t>PLTC|12 pr|18</t>
        </is>
      </c>
      <c r="L1566" s="9" t="inlineStr">
        <is>
          <t>12 pr</t>
        </is>
      </c>
      <c r="M1566" s="9" t="inlineStr">
        <is>
          <t>18</t>
        </is>
      </c>
      <c r="N1566" s="9" t="n">
        <v>1</v>
      </c>
      <c r="O1566" s="9" t="n">
        <v>1</v>
      </c>
      <c r="P1566" s="9" t="n"/>
      <c r="Q1566" s="9" t="n"/>
      <c r="R1566" s="9" t="n"/>
      <c r="S1566" s="9" t="inlineStr">
        <is>
          <t>Duct bank</t>
        </is>
      </c>
      <c r="T1566" s="10" t="n">
        <v>197</v>
      </c>
      <c r="U1566" s="10" t="n">
        <v>229</v>
      </c>
      <c r="V1566" s="10">
        <f>ROUNDUP((T1566+U1566+2*'Read Me'!$B$13)*(1+'Read Me'!$B$12),-1)</f>
        <v/>
      </c>
      <c r="W1566" s="10">
        <f>V1566*N1566*O1566</f>
        <v/>
      </c>
      <c r="X1566" s="9">
        <f>IF(LEFT(I1566,2)="MV",2*N1566*IF(L1566="1/C",O1566,1),0)</f>
        <v/>
      </c>
      <c r="Y1566" s="9">
        <f>IF(OR(LEFT(K1566,4)="LVAX",LEFT(K1566,6)="MV15AX",LEFT(K1566,4)="CTAX",LEFT(K1566,2)="W|"),2*N1566*O1566,0)</f>
        <v/>
      </c>
      <c r="Z1566" s="9" t="inlineStr"/>
    </row>
    <row r="1567">
      <c r="A1567" s="9" t="inlineStr">
        <is>
          <t>G-I-0064</t>
        </is>
      </c>
      <c r="B1567" s="9" t="inlineStr">
        <is>
          <t>G</t>
        </is>
      </c>
      <c r="C1567" s="9" t="inlineStr">
        <is>
          <t>Carbon capture</t>
        </is>
      </c>
      <c r="D1567" s="9" t="inlineStr">
        <is>
          <t>Instrumentation</t>
        </is>
      </c>
      <c r="E1567" s="9" t="inlineStr"/>
      <c r="F1567" s="9" t="inlineStr">
        <is>
          <t>CCS F&amp;G / control</t>
        </is>
      </c>
      <c r="G1567" s="9" t="inlineStr"/>
      <c r="H1567" s="9" t="inlineStr">
        <is>
          <t>CONDITIONAL: HP export compressor + metering</t>
        </is>
      </c>
      <c r="I1567" s="9" t="inlineStr">
        <is>
          <t>Instrumentation</t>
        </is>
      </c>
      <c r="J1567" s="9" t="inlineStr">
        <is>
          <t>Instrumentation ITC / PLTC, IS, #18 shielded pairs, blue jacket</t>
        </is>
      </c>
      <c r="K1567" s="9" t="inlineStr">
        <is>
          <t>ITC|4 pr|18</t>
        </is>
      </c>
      <c r="L1567" s="9" t="inlineStr">
        <is>
          <t>4 pr</t>
        </is>
      </c>
      <c r="M1567" s="9" t="inlineStr">
        <is>
          <t>18</t>
        </is>
      </c>
      <c r="N1567" s="9" t="n">
        <v>1</v>
      </c>
      <c r="O1567" s="9" t="n">
        <v>1</v>
      </c>
      <c r="P1567" s="9" t="n"/>
      <c r="Q1567" s="9" t="n"/>
      <c r="R1567" s="9" t="n"/>
      <c r="S1567" s="9" t="inlineStr">
        <is>
          <t>Duct bank</t>
        </is>
      </c>
      <c r="T1567" s="10" t="n">
        <v>144</v>
      </c>
      <c r="U1567" s="10" t="n">
        <v>154</v>
      </c>
      <c r="V1567" s="10">
        <f>ROUNDUP((T1567+U1567+2*'Read Me'!$B$13)*(1+'Read Me'!$B$12),-1)</f>
        <v/>
      </c>
      <c r="W1567" s="10">
        <f>V1567*N1567*O1567</f>
        <v/>
      </c>
      <c r="X1567" s="9">
        <f>IF(LEFT(I1567,2)="MV",2*N1567*IF(L1567="1/C",O1567,1),0)</f>
        <v/>
      </c>
      <c r="Y1567" s="9">
        <f>IF(OR(LEFT(K1567,4)="LVAX",LEFT(K1567,6)="MV15AX",LEFT(K1567,4)="CTAX",LEFT(K1567,2)="W|"),2*N1567*O1567,0)</f>
        <v/>
      </c>
      <c r="Z1567" s="9" t="inlineStr"/>
    </row>
    <row r="1568">
      <c r="A1568" s="9" t="inlineStr">
        <is>
          <t>G-I-0065</t>
        </is>
      </c>
      <c r="B1568" s="9" t="inlineStr">
        <is>
          <t>G</t>
        </is>
      </c>
      <c r="C1568" s="9" t="inlineStr">
        <is>
          <t>Carbon capture</t>
        </is>
      </c>
      <c r="D1568" s="9" t="inlineStr">
        <is>
          <t>Instrumentation</t>
        </is>
      </c>
      <c r="E1568" s="9" t="inlineStr"/>
      <c r="F1568" s="9" t="inlineStr">
        <is>
          <t>CCS F&amp;G / control</t>
        </is>
      </c>
      <c r="G1568" s="9" t="inlineStr"/>
      <c r="H1568" s="9" t="inlineStr">
        <is>
          <t>CONDITIONAL: HP export compressor + metering</t>
        </is>
      </c>
      <c r="I1568" s="9" t="inlineStr">
        <is>
          <t>Instrumentation</t>
        </is>
      </c>
      <c r="J1568" s="9" t="inlineStr">
        <is>
          <t>Instrumentation ITC / PLTC, IS, #18 shielded pairs, blue jacket</t>
        </is>
      </c>
      <c r="K1568" s="9" t="inlineStr">
        <is>
          <t>ITC|12 pr|18</t>
        </is>
      </c>
      <c r="L1568" s="9" t="inlineStr">
        <is>
          <t>12 pr</t>
        </is>
      </c>
      <c r="M1568" s="9" t="inlineStr">
        <is>
          <t>18</t>
        </is>
      </c>
      <c r="N1568" s="9" t="n">
        <v>1</v>
      </c>
      <c r="O1568" s="9" t="n">
        <v>1</v>
      </c>
      <c r="P1568" s="9" t="n"/>
      <c r="Q1568" s="9" t="n"/>
      <c r="R1568" s="9" t="n"/>
      <c r="S1568" s="9" t="inlineStr">
        <is>
          <t>Duct bank</t>
        </is>
      </c>
      <c r="T1568" s="10" t="n">
        <v>144</v>
      </c>
      <c r="U1568" s="10" t="n">
        <v>154</v>
      </c>
      <c r="V1568" s="10">
        <f>ROUNDUP((T1568+U1568+2*'Read Me'!$B$13)*(1+'Read Me'!$B$12),-1)</f>
        <v/>
      </c>
      <c r="W1568" s="10">
        <f>V1568*N1568*O1568</f>
        <v/>
      </c>
      <c r="X1568" s="9">
        <f>IF(LEFT(I1568,2)="MV",2*N1568*IF(L1568="1/C",O1568,1),0)</f>
        <v/>
      </c>
      <c r="Y1568" s="9">
        <f>IF(OR(LEFT(K1568,4)="LVAX",LEFT(K1568,6)="MV15AX",LEFT(K1568,4)="CTAX",LEFT(K1568,2)="W|"),2*N1568*O1568,0)</f>
        <v/>
      </c>
      <c r="Z1568" s="9" t="inlineStr"/>
    </row>
    <row r="1569">
      <c r="A1569" s="9" t="inlineStr">
        <is>
          <t>G-I-0066</t>
        </is>
      </c>
      <c r="B1569" s="9" t="inlineStr">
        <is>
          <t>G</t>
        </is>
      </c>
      <c r="C1569" s="9" t="inlineStr">
        <is>
          <t>Carbon capture</t>
        </is>
      </c>
      <c r="D1569" s="9" t="inlineStr">
        <is>
          <t>Instrumentation</t>
        </is>
      </c>
      <c r="E1569" s="9" t="inlineStr"/>
      <c r="F1569" s="9" t="inlineStr">
        <is>
          <t>CCS F&amp;G / control</t>
        </is>
      </c>
      <c r="G1569" s="9" t="inlineStr"/>
      <c r="H1569" s="9" t="inlineStr">
        <is>
          <t>DCC-A pumps + water filter</t>
        </is>
      </c>
      <c r="I1569" s="9" t="inlineStr">
        <is>
          <t>Instrumentation</t>
        </is>
      </c>
      <c r="J1569" s="9" t="inlineStr">
        <is>
          <t>Instrumentation PLTC / TC-ER 300 V, #18 twisted shielded pairs, overall shield</t>
        </is>
      </c>
      <c r="K1569" s="9" t="inlineStr">
        <is>
          <t>PLTC|4 pr|18</t>
        </is>
      </c>
      <c r="L1569" s="9" t="inlineStr">
        <is>
          <t>4 pr</t>
        </is>
      </c>
      <c r="M1569" s="9" t="inlineStr">
        <is>
          <t>18</t>
        </is>
      </c>
      <c r="N1569" s="9" t="n">
        <v>1</v>
      </c>
      <c r="O1569" s="9" t="n">
        <v>1</v>
      </c>
      <c r="P1569" s="9" t="n"/>
      <c r="Q1569" s="9" t="n"/>
      <c r="R1569" s="9" t="n"/>
      <c r="S1569" s="9" t="inlineStr">
        <is>
          <t>Tray</t>
        </is>
      </c>
      <c r="T1569" s="10" t="n">
        <v>918</v>
      </c>
      <c r="U1569" s="10" t="n">
        <v>203</v>
      </c>
      <c r="V1569" s="10">
        <f>ROUNDUP((T1569+U1569+2*'Read Me'!$B$13)*(1+'Read Me'!$B$12),-1)</f>
        <v/>
      </c>
      <c r="W1569" s="10">
        <f>V1569*N1569*O1569</f>
        <v/>
      </c>
      <c r="X1569" s="9">
        <f>IF(LEFT(I1569,2)="MV",2*N1569*IF(L1569="1/C",O1569,1),0)</f>
        <v/>
      </c>
      <c r="Y1569" s="9">
        <f>IF(OR(LEFT(K1569,4)="LVAX",LEFT(K1569,6)="MV15AX",LEFT(K1569,4)="CTAX",LEFT(K1569,2)="W|"),2*N1569*O1569,0)</f>
        <v/>
      </c>
      <c r="Z1569" s="9" t="inlineStr"/>
    </row>
    <row r="1570">
      <c r="A1570" s="9" t="inlineStr">
        <is>
          <t>G-I-0067</t>
        </is>
      </c>
      <c r="B1570" s="9" t="inlineStr">
        <is>
          <t>G</t>
        </is>
      </c>
      <c r="C1570" s="9" t="inlineStr">
        <is>
          <t>Carbon capture</t>
        </is>
      </c>
      <c r="D1570" s="9" t="inlineStr">
        <is>
          <t>Instrumentation</t>
        </is>
      </c>
      <c r="E1570" s="9" t="inlineStr"/>
      <c r="F1570" s="9" t="inlineStr">
        <is>
          <t>CCS F&amp;G / control</t>
        </is>
      </c>
      <c r="G1570" s="9" t="inlineStr"/>
      <c r="H1570" s="9" t="inlineStr">
        <is>
          <t>DCC-A pumps + water filter</t>
        </is>
      </c>
      <c r="I1570" s="9" t="inlineStr">
        <is>
          <t>Instrumentation</t>
        </is>
      </c>
      <c r="J1570" s="9" t="inlineStr">
        <is>
          <t>Instrumentation PLTC / TC-ER 300 V, #18 twisted shielded pairs, overall shield</t>
        </is>
      </c>
      <c r="K1570" s="9" t="inlineStr">
        <is>
          <t>PLTC|12 pr|18</t>
        </is>
      </c>
      <c r="L1570" s="9" t="inlineStr">
        <is>
          <t>12 pr</t>
        </is>
      </c>
      <c r="M1570" s="9" t="inlineStr">
        <is>
          <t>18</t>
        </is>
      </c>
      <c r="N1570" s="9" t="n">
        <v>1</v>
      </c>
      <c r="O1570" s="9" t="n">
        <v>1</v>
      </c>
      <c r="P1570" s="9" t="n"/>
      <c r="Q1570" s="9" t="n"/>
      <c r="R1570" s="9" t="n"/>
      <c r="S1570" s="9" t="inlineStr">
        <is>
          <t>Tray</t>
        </is>
      </c>
      <c r="T1570" s="10" t="n">
        <v>918</v>
      </c>
      <c r="U1570" s="10" t="n">
        <v>203</v>
      </c>
      <c r="V1570" s="10">
        <f>ROUNDUP((T1570+U1570+2*'Read Me'!$B$13)*(1+'Read Me'!$B$12),-1)</f>
        <v/>
      </c>
      <c r="W1570" s="10">
        <f>V1570*N1570*O1570</f>
        <v/>
      </c>
      <c r="X1570" s="9">
        <f>IF(LEFT(I1570,2)="MV",2*N1570*IF(L1570="1/C",O1570,1),0)</f>
        <v/>
      </c>
      <c r="Y1570" s="9">
        <f>IF(OR(LEFT(K1570,4)="LVAX",LEFT(K1570,6)="MV15AX",LEFT(K1570,4)="CTAX",LEFT(K1570,2)="W|"),2*N1570*O1570,0)</f>
        <v/>
      </c>
      <c r="Z1570" s="9" t="inlineStr"/>
    </row>
    <row r="1571">
      <c r="A1571" s="9" t="inlineStr">
        <is>
          <t>G-I-0068</t>
        </is>
      </c>
      <c r="B1571" s="9" t="inlineStr">
        <is>
          <t>G</t>
        </is>
      </c>
      <c r="C1571" s="9" t="inlineStr">
        <is>
          <t>Carbon capture</t>
        </is>
      </c>
      <c r="D1571" s="9" t="inlineStr">
        <is>
          <t>Instrumentation</t>
        </is>
      </c>
      <c r="E1571" s="9" t="inlineStr"/>
      <c r="F1571" s="9" t="inlineStr">
        <is>
          <t>CCS F&amp;G / control</t>
        </is>
      </c>
      <c r="G1571" s="9" t="inlineStr">
        <is>
          <t>DCC-A</t>
        </is>
      </c>
      <c r="H1571" s="9" t="inlineStr">
        <is>
          <t>DCC-A: direct-contact cooler (quench)</t>
        </is>
      </c>
      <c r="I1571" s="9" t="inlineStr">
        <is>
          <t>Instrumentation</t>
        </is>
      </c>
      <c r="J1571" s="9" t="inlineStr">
        <is>
          <t>Instrumentation PLTC / TC-ER 300 V, #18 twisted shielded pairs, overall shield</t>
        </is>
      </c>
      <c r="K1571" s="9" t="inlineStr">
        <is>
          <t>PLTC|4 pr|18</t>
        </is>
      </c>
      <c r="L1571" s="9" t="inlineStr">
        <is>
          <t>4 pr</t>
        </is>
      </c>
      <c r="M1571" s="9" t="inlineStr">
        <is>
          <t>18</t>
        </is>
      </c>
      <c r="N1571" s="9" t="n">
        <v>1</v>
      </c>
      <c r="O1571" s="9" t="n">
        <v>1</v>
      </c>
      <c r="P1571" s="9" t="n"/>
      <c r="Q1571" s="9" t="n"/>
      <c r="R1571" s="9" t="n"/>
      <c r="S1571" s="9" t="inlineStr">
        <is>
          <t>Duct bank</t>
        </is>
      </c>
      <c r="T1571" s="10" t="n">
        <v>871</v>
      </c>
      <c r="U1571" s="10" t="n">
        <v>128</v>
      </c>
      <c r="V1571" s="10">
        <f>ROUNDUP((T1571+U1571+2*'Read Me'!$B$13)*(1+'Read Me'!$B$12),-1)</f>
        <v/>
      </c>
      <c r="W1571" s="10">
        <f>V1571*N1571*O1571</f>
        <v/>
      </c>
      <c r="X1571" s="9">
        <f>IF(LEFT(I1571,2)="MV",2*N1571*IF(L1571="1/C",O1571,1),0)</f>
        <v/>
      </c>
      <c r="Y1571" s="9">
        <f>IF(OR(LEFT(K1571,4)="LVAX",LEFT(K1571,6)="MV15AX",LEFT(K1571,4)="CTAX",LEFT(K1571,2)="W|"),2*N1571*O1571,0)</f>
        <v/>
      </c>
      <c r="Z1571" s="9" t="inlineStr"/>
    </row>
    <row r="1572">
      <c r="A1572" s="9" t="inlineStr">
        <is>
          <t>G-I-0069</t>
        </is>
      </c>
      <c r="B1572" s="9" t="inlineStr">
        <is>
          <t>G</t>
        </is>
      </c>
      <c r="C1572" s="9" t="inlineStr">
        <is>
          <t>Carbon capture</t>
        </is>
      </c>
      <c r="D1572" s="9" t="inlineStr">
        <is>
          <t>Instrumentation</t>
        </is>
      </c>
      <c r="E1572" s="9" t="inlineStr"/>
      <c r="F1572" s="9" t="inlineStr">
        <is>
          <t>CCS F&amp;G / control</t>
        </is>
      </c>
      <c r="G1572" s="9" t="inlineStr">
        <is>
          <t>DCC-A</t>
        </is>
      </c>
      <c r="H1572" s="9" t="inlineStr">
        <is>
          <t>DCC-A: direct-contact cooler (quench)</t>
        </is>
      </c>
      <c r="I1572" s="9" t="inlineStr">
        <is>
          <t>Instrumentation</t>
        </is>
      </c>
      <c r="J1572" s="9" t="inlineStr">
        <is>
          <t>Instrumentation PLTC / TC-ER 300 V, #18 twisted shielded pairs, overall shield</t>
        </is>
      </c>
      <c r="K1572" s="9" t="inlineStr">
        <is>
          <t>PLTC|12 pr|18</t>
        </is>
      </c>
      <c r="L1572" s="9" t="inlineStr">
        <is>
          <t>12 pr</t>
        </is>
      </c>
      <c r="M1572" s="9" t="inlineStr">
        <is>
          <t>18</t>
        </is>
      </c>
      <c r="N1572" s="9" t="n">
        <v>1</v>
      </c>
      <c r="O1572" s="9" t="n">
        <v>1</v>
      </c>
      <c r="P1572" s="9" t="n"/>
      <c r="Q1572" s="9" t="n"/>
      <c r="R1572" s="9" t="n"/>
      <c r="S1572" s="9" t="inlineStr">
        <is>
          <t>Duct bank</t>
        </is>
      </c>
      <c r="T1572" s="10" t="n">
        <v>871</v>
      </c>
      <c r="U1572" s="10" t="n">
        <v>128</v>
      </c>
      <c r="V1572" s="10">
        <f>ROUNDUP((T1572+U1572+2*'Read Me'!$B$13)*(1+'Read Me'!$B$12),-1)</f>
        <v/>
      </c>
      <c r="W1572" s="10">
        <f>V1572*N1572*O1572</f>
        <v/>
      </c>
      <c r="X1572" s="9">
        <f>IF(LEFT(I1572,2)="MV",2*N1572*IF(L1572="1/C",O1572,1),0)</f>
        <v/>
      </c>
      <c r="Y1572" s="9">
        <f>IF(OR(LEFT(K1572,4)="LVAX",LEFT(K1572,6)="MV15AX",LEFT(K1572,4)="CTAX",LEFT(K1572,2)="W|"),2*N1572*O1572,0)</f>
        <v/>
      </c>
      <c r="Z1572" s="9" t="inlineStr"/>
    </row>
    <row r="1573">
      <c r="A1573" s="9" t="inlineStr">
        <is>
          <t>G-I-0070</t>
        </is>
      </c>
      <c r="B1573" s="9" t="inlineStr">
        <is>
          <t>G</t>
        </is>
      </c>
      <c r="C1573" s="9" t="inlineStr">
        <is>
          <t>Carbon capture</t>
        </is>
      </c>
      <c r="D1573" s="9" t="inlineStr">
        <is>
          <t>Instrumentation</t>
        </is>
      </c>
      <c r="E1573" s="9" t="inlineStr"/>
      <c r="F1573" s="9" t="inlineStr">
        <is>
          <t>CCS F&amp;G / control</t>
        </is>
      </c>
      <c r="G1573" s="9" t="inlineStr"/>
      <c r="H1573" s="9" t="inlineStr">
        <is>
          <t>DCC-B pumps + water filter</t>
        </is>
      </c>
      <c r="I1573" s="9" t="inlineStr">
        <is>
          <t>Instrumentation</t>
        </is>
      </c>
      <c r="J1573" s="9" t="inlineStr">
        <is>
          <t>Instrumentation PLTC / TC-ER 300 V, #18 twisted shielded pairs, overall shield</t>
        </is>
      </c>
      <c r="K1573" s="9" t="inlineStr">
        <is>
          <t>PLTC|4 pr|18</t>
        </is>
      </c>
      <c r="L1573" s="9" t="inlineStr">
        <is>
          <t>4 pr</t>
        </is>
      </c>
      <c r="M1573" s="9" t="inlineStr">
        <is>
          <t>18</t>
        </is>
      </c>
      <c r="N1573" s="9" t="n">
        <v>1</v>
      </c>
      <c r="O1573" s="9" t="n">
        <v>1</v>
      </c>
      <c r="P1573" s="9" t="n"/>
      <c r="Q1573" s="9" t="n"/>
      <c r="R1573" s="9" t="n"/>
      <c r="S1573" s="9" t="inlineStr">
        <is>
          <t>Tray</t>
        </is>
      </c>
      <c r="T1573" s="10" t="n">
        <v>818</v>
      </c>
      <c r="U1573" s="10" t="n">
        <v>161</v>
      </c>
      <c r="V1573" s="10">
        <f>ROUNDUP((T1573+U1573+2*'Read Me'!$B$13)*(1+'Read Me'!$B$12),-1)</f>
        <v/>
      </c>
      <c r="W1573" s="10">
        <f>V1573*N1573*O1573</f>
        <v/>
      </c>
      <c r="X1573" s="9">
        <f>IF(LEFT(I1573,2)="MV",2*N1573*IF(L1573="1/C",O1573,1),0)</f>
        <v/>
      </c>
      <c r="Y1573" s="9">
        <f>IF(OR(LEFT(K1573,4)="LVAX",LEFT(K1573,6)="MV15AX",LEFT(K1573,4)="CTAX",LEFT(K1573,2)="W|"),2*N1573*O1573,0)</f>
        <v/>
      </c>
      <c r="Z1573" s="9" t="inlineStr"/>
    </row>
    <row r="1574">
      <c r="A1574" s="9" t="inlineStr">
        <is>
          <t>G-I-0071</t>
        </is>
      </c>
      <c r="B1574" s="9" t="inlineStr">
        <is>
          <t>G</t>
        </is>
      </c>
      <c r="C1574" s="9" t="inlineStr">
        <is>
          <t>Carbon capture</t>
        </is>
      </c>
      <c r="D1574" s="9" t="inlineStr">
        <is>
          <t>Instrumentation</t>
        </is>
      </c>
      <c r="E1574" s="9" t="inlineStr"/>
      <c r="F1574" s="9" t="inlineStr">
        <is>
          <t>CCS F&amp;G / control</t>
        </is>
      </c>
      <c r="G1574" s="9" t="inlineStr"/>
      <c r="H1574" s="9" t="inlineStr">
        <is>
          <t>DCC-B pumps + water filter</t>
        </is>
      </c>
      <c r="I1574" s="9" t="inlineStr">
        <is>
          <t>Instrumentation</t>
        </is>
      </c>
      <c r="J1574" s="9" t="inlineStr">
        <is>
          <t>Instrumentation PLTC / TC-ER 300 V, #18 twisted shielded pairs, overall shield</t>
        </is>
      </c>
      <c r="K1574" s="9" t="inlineStr">
        <is>
          <t>PLTC|12 pr|18</t>
        </is>
      </c>
      <c r="L1574" s="9" t="inlineStr">
        <is>
          <t>12 pr</t>
        </is>
      </c>
      <c r="M1574" s="9" t="inlineStr">
        <is>
          <t>18</t>
        </is>
      </c>
      <c r="N1574" s="9" t="n">
        <v>1</v>
      </c>
      <c r="O1574" s="9" t="n">
        <v>1</v>
      </c>
      <c r="P1574" s="9" t="n"/>
      <c r="Q1574" s="9" t="n"/>
      <c r="R1574" s="9" t="n"/>
      <c r="S1574" s="9" t="inlineStr">
        <is>
          <t>Tray</t>
        </is>
      </c>
      <c r="T1574" s="10" t="n">
        <v>818</v>
      </c>
      <c r="U1574" s="10" t="n">
        <v>161</v>
      </c>
      <c r="V1574" s="10">
        <f>ROUNDUP((T1574+U1574+2*'Read Me'!$B$13)*(1+'Read Me'!$B$12),-1)</f>
        <v/>
      </c>
      <c r="W1574" s="10">
        <f>V1574*N1574*O1574</f>
        <v/>
      </c>
      <c r="X1574" s="9">
        <f>IF(LEFT(I1574,2)="MV",2*N1574*IF(L1574="1/C",O1574,1),0)</f>
        <v/>
      </c>
      <c r="Y1574" s="9">
        <f>IF(OR(LEFT(K1574,4)="LVAX",LEFT(K1574,6)="MV15AX",LEFT(K1574,4)="CTAX",LEFT(K1574,2)="W|"),2*N1574*O1574,0)</f>
        <v/>
      </c>
      <c r="Z1574" s="9" t="inlineStr"/>
    </row>
    <row r="1575">
      <c r="A1575" s="9" t="inlineStr">
        <is>
          <t>G-I-0072</t>
        </is>
      </c>
      <c r="B1575" s="9" t="inlineStr">
        <is>
          <t>G</t>
        </is>
      </c>
      <c r="C1575" s="9" t="inlineStr">
        <is>
          <t>Carbon capture</t>
        </is>
      </c>
      <c r="D1575" s="9" t="inlineStr">
        <is>
          <t>Instrumentation</t>
        </is>
      </c>
      <c r="E1575" s="9" t="inlineStr"/>
      <c r="F1575" s="9" t="inlineStr">
        <is>
          <t>CCS F&amp;G / control</t>
        </is>
      </c>
      <c r="G1575" s="9" t="inlineStr">
        <is>
          <t>DCC-B</t>
        </is>
      </c>
      <c r="H1575" s="9" t="inlineStr">
        <is>
          <t>DCC-B: direct-contact cooler (quench)</t>
        </is>
      </c>
      <c r="I1575" s="9" t="inlineStr">
        <is>
          <t>Instrumentation</t>
        </is>
      </c>
      <c r="J1575" s="9" t="inlineStr">
        <is>
          <t>Instrumentation PLTC / TC-ER 300 V, #18 twisted shielded pairs, overall shield</t>
        </is>
      </c>
      <c r="K1575" s="9" t="inlineStr">
        <is>
          <t>PLTC|4 pr|18</t>
        </is>
      </c>
      <c r="L1575" s="9" t="inlineStr">
        <is>
          <t>4 pr</t>
        </is>
      </c>
      <c r="M1575" s="9" t="inlineStr">
        <is>
          <t>18</t>
        </is>
      </c>
      <c r="N1575" s="9" t="n">
        <v>1</v>
      </c>
      <c r="O1575" s="9" t="n">
        <v>1</v>
      </c>
      <c r="P1575" s="9" t="n"/>
      <c r="Q1575" s="9" t="n"/>
      <c r="R1575" s="9" t="n"/>
      <c r="S1575" s="9" t="inlineStr">
        <is>
          <t>Duct bank</t>
        </is>
      </c>
      <c r="T1575" s="10" t="n">
        <v>711</v>
      </c>
      <c r="U1575" s="10" t="n">
        <v>128</v>
      </c>
      <c r="V1575" s="10">
        <f>ROUNDUP((T1575+U1575+2*'Read Me'!$B$13)*(1+'Read Me'!$B$12),-1)</f>
        <v/>
      </c>
      <c r="W1575" s="10">
        <f>V1575*N1575*O1575</f>
        <v/>
      </c>
      <c r="X1575" s="9">
        <f>IF(LEFT(I1575,2)="MV",2*N1575*IF(L1575="1/C",O1575,1),0)</f>
        <v/>
      </c>
      <c r="Y1575" s="9">
        <f>IF(OR(LEFT(K1575,4)="LVAX",LEFT(K1575,6)="MV15AX",LEFT(K1575,4)="CTAX",LEFT(K1575,2)="W|"),2*N1575*O1575,0)</f>
        <v/>
      </c>
      <c r="Z1575" s="9" t="inlineStr"/>
    </row>
    <row r="1576">
      <c r="A1576" s="9" t="inlineStr">
        <is>
          <t>G-I-0073</t>
        </is>
      </c>
      <c r="B1576" s="9" t="inlineStr">
        <is>
          <t>G</t>
        </is>
      </c>
      <c r="C1576" s="9" t="inlineStr">
        <is>
          <t>Carbon capture</t>
        </is>
      </c>
      <c r="D1576" s="9" t="inlineStr">
        <is>
          <t>Instrumentation</t>
        </is>
      </c>
      <c r="E1576" s="9" t="inlineStr"/>
      <c r="F1576" s="9" t="inlineStr">
        <is>
          <t>CCS F&amp;G / control</t>
        </is>
      </c>
      <c r="G1576" s="9" t="inlineStr">
        <is>
          <t>DCC-B</t>
        </is>
      </c>
      <c r="H1576" s="9" t="inlineStr">
        <is>
          <t>DCC-B: direct-contact cooler (quench)</t>
        </is>
      </c>
      <c r="I1576" s="9" t="inlineStr">
        <is>
          <t>Instrumentation</t>
        </is>
      </c>
      <c r="J1576" s="9" t="inlineStr">
        <is>
          <t>Instrumentation PLTC / TC-ER 300 V, #18 twisted shielded pairs, overall shield</t>
        </is>
      </c>
      <c r="K1576" s="9" t="inlineStr">
        <is>
          <t>PLTC|12 pr|18</t>
        </is>
      </c>
      <c r="L1576" s="9" t="inlineStr">
        <is>
          <t>12 pr</t>
        </is>
      </c>
      <c r="M1576" s="9" t="inlineStr">
        <is>
          <t>18</t>
        </is>
      </c>
      <c r="N1576" s="9" t="n">
        <v>1</v>
      </c>
      <c r="O1576" s="9" t="n">
        <v>1</v>
      </c>
      <c r="P1576" s="9" t="n"/>
      <c r="Q1576" s="9" t="n"/>
      <c r="R1576" s="9" t="n"/>
      <c r="S1576" s="9" t="inlineStr">
        <is>
          <t>Duct bank</t>
        </is>
      </c>
      <c r="T1576" s="10" t="n">
        <v>711</v>
      </c>
      <c r="U1576" s="10" t="n">
        <v>128</v>
      </c>
      <c r="V1576" s="10">
        <f>ROUNDUP((T1576+U1576+2*'Read Me'!$B$13)*(1+'Read Me'!$B$12),-1)</f>
        <v/>
      </c>
      <c r="W1576" s="10">
        <f>V1576*N1576*O1576</f>
        <v/>
      </c>
      <c r="X1576" s="9">
        <f>IF(LEFT(I1576,2)="MV",2*N1576*IF(L1576="1/C",O1576,1),0)</f>
        <v/>
      </c>
      <c r="Y1576" s="9">
        <f>IF(OR(LEFT(K1576,4)="LVAX",LEFT(K1576,6)="MV15AX",LEFT(K1576,4)="CTAX",LEFT(K1576,2)="W|"),2*N1576*O1576,0)</f>
        <v/>
      </c>
      <c r="Z1576" s="9" t="inlineStr"/>
    </row>
    <row r="1577">
      <c r="A1577" s="9" t="inlineStr">
        <is>
          <t>G-I-0074</t>
        </is>
      </c>
      <c r="B1577" s="9" t="inlineStr">
        <is>
          <t>G</t>
        </is>
      </c>
      <c r="C1577" s="9" t="inlineStr">
        <is>
          <t>Carbon capture</t>
        </is>
      </c>
      <c r="D1577" s="9" t="inlineStr">
        <is>
          <t>Instrumentation</t>
        </is>
      </c>
      <c r="E1577" s="9" t="inlineStr"/>
      <c r="F1577" s="9" t="inlineStr">
        <is>
          <t>CCS F&amp;G / control</t>
        </is>
      </c>
      <c r="G1577" s="9" t="inlineStr"/>
      <c r="H1577" s="9" t="inlineStr">
        <is>
          <t>DCC-C pumps + water filter</t>
        </is>
      </c>
      <c r="I1577" s="9" t="inlineStr">
        <is>
          <t>Instrumentation</t>
        </is>
      </c>
      <c r="J1577" s="9" t="inlineStr">
        <is>
          <t>Instrumentation PLTC / TC-ER 300 V, #18 twisted shielded pairs, overall shield</t>
        </is>
      </c>
      <c r="K1577" s="9" t="inlineStr">
        <is>
          <t>PLTC|4 pr|18</t>
        </is>
      </c>
      <c r="L1577" s="9" t="inlineStr">
        <is>
          <t>4 pr</t>
        </is>
      </c>
      <c r="M1577" s="9" t="inlineStr">
        <is>
          <t>18</t>
        </is>
      </c>
      <c r="N1577" s="9" t="n">
        <v>1</v>
      </c>
      <c r="O1577" s="9" t="n">
        <v>1</v>
      </c>
      <c r="P1577" s="9" t="n"/>
      <c r="Q1577" s="9" t="n"/>
      <c r="R1577" s="9" t="n"/>
      <c r="S1577" s="9" t="inlineStr">
        <is>
          <t>Duct bank</t>
        </is>
      </c>
      <c r="T1577" s="10" t="n">
        <v>598</v>
      </c>
      <c r="U1577" s="10" t="n">
        <v>203</v>
      </c>
      <c r="V1577" s="10">
        <f>ROUNDUP((T1577+U1577+2*'Read Me'!$B$13)*(1+'Read Me'!$B$12),-1)</f>
        <v/>
      </c>
      <c r="W1577" s="10">
        <f>V1577*N1577*O1577</f>
        <v/>
      </c>
      <c r="X1577" s="9">
        <f>IF(LEFT(I1577,2)="MV",2*N1577*IF(L1577="1/C",O1577,1),0)</f>
        <v/>
      </c>
      <c r="Y1577" s="9">
        <f>IF(OR(LEFT(K1577,4)="LVAX",LEFT(K1577,6)="MV15AX",LEFT(K1577,4)="CTAX",LEFT(K1577,2)="W|"),2*N1577*O1577,0)</f>
        <v/>
      </c>
      <c r="Z1577" s="9" t="inlineStr"/>
    </row>
    <row r="1578">
      <c r="A1578" s="9" t="inlineStr">
        <is>
          <t>G-I-0075</t>
        </is>
      </c>
      <c r="B1578" s="9" t="inlineStr">
        <is>
          <t>G</t>
        </is>
      </c>
      <c r="C1578" s="9" t="inlineStr">
        <is>
          <t>Carbon capture</t>
        </is>
      </c>
      <c r="D1578" s="9" t="inlineStr">
        <is>
          <t>Instrumentation</t>
        </is>
      </c>
      <c r="E1578" s="9" t="inlineStr"/>
      <c r="F1578" s="9" t="inlineStr">
        <is>
          <t>CCS F&amp;G / control</t>
        </is>
      </c>
      <c r="G1578" s="9" t="inlineStr"/>
      <c r="H1578" s="9" t="inlineStr">
        <is>
          <t>DCC-C pumps + water filter</t>
        </is>
      </c>
      <c r="I1578" s="9" t="inlineStr">
        <is>
          <t>Instrumentation</t>
        </is>
      </c>
      <c r="J1578" s="9" t="inlineStr">
        <is>
          <t>Instrumentation PLTC / TC-ER 300 V, #18 twisted shielded pairs, overall shield</t>
        </is>
      </c>
      <c r="K1578" s="9" t="inlineStr">
        <is>
          <t>PLTC|12 pr|18</t>
        </is>
      </c>
      <c r="L1578" s="9" t="inlineStr">
        <is>
          <t>12 pr</t>
        </is>
      </c>
      <c r="M1578" s="9" t="inlineStr">
        <is>
          <t>18</t>
        </is>
      </c>
      <c r="N1578" s="9" t="n">
        <v>1</v>
      </c>
      <c r="O1578" s="9" t="n">
        <v>1</v>
      </c>
      <c r="P1578" s="9" t="n"/>
      <c r="Q1578" s="9" t="n"/>
      <c r="R1578" s="9" t="n"/>
      <c r="S1578" s="9" t="inlineStr">
        <is>
          <t>Duct bank</t>
        </is>
      </c>
      <c r="T1578" s="10" t="n">
        <v>598</v>
      </c>
      <c r="U1578" s="10" t="n">
        <v>203</v>
      </c>
      <c r="V1578" s="10">
        <f>ROUNDUP((T1578+U1578+2*'Read Me'!$B$13)*(1+'Read Me'!$B$12),-1)</f>
        <v/>
      </c>
      <c r="W1578" s="10">
        <f>V1578*N1578*O1578</f>
        <v/>
      </c>
      <c r="X1578" s="9">
        <f>IF(LEFT(I1578,2)="MV",2*N1578*IF(L1578="1/C",O1578,1),0)</f>
        <v/>
      </c>
      <c r="Y1578" s="9">
        <f>IF(OR(LEFT(K1578,4)="LVAX",LEFT(K1578,6)="MV15AX",LEFT(K1578,4)="CTAX",LEFT(K1578,2)="W|"),2*N1578*O1578,0)</f>
        <v/>
      </c>
      <c r="Z1578" s="9" t="inlineStr"/>
    </row>
    <row r="1579">
      <c r="A1579" s="9" t="inlineStr">
        <is>
          <t>G-I-0076</t>
        </is>
      </c>
      <c r="B1579" s="9" t="inlineStr">
        <is>
          <t>G</t>
        </is>
      </c>
      <c r="C1579" s="9" t="inlineStr">
        <is>
          <t>Carbon capture</t>
        </is>
      </c>
      <c r="D1579" s="9" t="inlineStr">
        <is>
          <t>Instrumentation</t>
        </is>
      </c>
      <c r="E1579" s="9" t="inlineStr"/>
      <c r="F1579" s="9" t="inlineStr">
        <is>
          <t>CCS F&amp;G / control</t>
        </is>
      </c>
      <c r="G1579" s="9" t="inlineStr">
        <is>
          <t>DCC-C</t>
        </is>
      </c>
      <c r="H1579" s="9" t="inlineStr">
        <is>
          <t>DCC-C: direct-contact cooler (quench)</t>
        </is>
      </c>
      <c r="I1579" s="9" t="inlineStr">
        <is>
          <t>Instrumentation</t>
        </is>
      </c>
      <c r="J1579" s="9" t="inlineStr">
        <is>
          <t>Instrumentation PLTC / TC-ER 300 V, #18 twisted shielded pairs, overall shield</t>
        </is>
      </c>
      <c r="K1579" s="9" t="inlineStr">
        <is>
          <t>PLTC|4 pr|18</t>
        </is>
      </c>
      <c r="L1579" s="9" t="inlineStr">
        <is>
          <t>4 pr</t>
        </is>
      </c>
      <c r="M1579" s="9" t="inlineStr">
        <is>
          <t>18</t>
        </is>
      </c>
      <c r="N1579" s="9" t="n">
        <v>1</v>
      </c>
      <c r="O1579" s="9" t="n">
        <v>1</v>
      </c>
      <c r="P1579" s="9" t="n"/>
      <c r="Q1579" s="9" t="n"/>
      <c r="R1579" s="9" t="n"/>
      <c r="S1579" s="9" t="inlineStr">
        <is>
          <t>Duct bank</t>
        </is>
      </c>
      <c r="T1579" s="10" t="n">
        <v>551</v>
      </c>
      <c r="U1579" s="10" t="n">
        <v>128</v>
      </c>
      <c r="V1579" s="10">
        <f>ROUNDUP((T1579+U1579+2*'Read Me'!$B$13)*(1+'Read Me'!$B$12),-1)</f>
        <v/>
      </c>
      <c r="W1579" s="10">
        <f>V1579*N1579*O1579</f>
        <v/>
      </c>
      <c r="X1579" s="9">
        <f>IF(LEFT(I1579,2)="MV",2*N1579*IF(L1579="1/C",O1579,1),0)</f>
        <v/>
      </c>
      <c r="Y1579" s="9">
        <f>IF(OR(LEFT(K1579,4)="LVAX",LEFT(K1579,6)="MV15AX",LEFT(K1579,4)="CTAX",LEFT(K1579,2)="W|"),2*N1579*O1579,0)</f>
        <v/>
      </c>
      <c r="Z1579" s="9" t="inlineStr"/>
    </row>
    <row r="1580">
      <c r="A1580" s="9" t="inlineStr">
        <is>
          <t>G-I-0077</t>
        </is>
      </c>
      <c r="B1580" s="9" t="inlineStr">
        <is>
          <t>G</t>
        </is>
      </c>
      <c r="C1580" s="9" t="inlineStr">
        <is>
          <t>Carbon capture</t>
        </is>
      </c>
      <c r="D1580" s="9" t="inlineStr">
        <is>
          <t>Instrumentation</t>
        </is>
      </c>
      <c r="E1580" s="9" t="inlineStr"/>
      <c r="F1580" s="9" t="inlineStr">
        <is>
          <t>CCS F&amp;G / control</t>
        </is>
      </c>
      <c r="G1580" s="9" t="inlineStr">
        <is>
          <t>DCC-C</t>
        </is>
      </c>
      <c r="H1580" s="9" t="inlineStr">
        <is>
          <t>DCC-C: direct-contact cooler (quench)</t>
        </is>
      </c>
      <c r="I1580" s="9" t="inlineStr">
        <is>
          <t>Instrumentation</t>
        </is>
      </c>
      <c r="J1580" s="9" t="inlineStr">
        <is>
          <t>Instrumentation PLTC / TC-ER 300 V, #18 twisted shielded pairs, overall shield</t>
        </is>
      </c>
      <c r="K1580" s="9" t="inlineStr">
        <is>
          <t>PLTC|12 pr|18</t>
        </is>
      </c>
      <c r="L1580" s="9" t="inlineStr">
        <is>
          <t>12 pr</t>
        </is>
      </c>
      <c r="M1580" s="9" t="inlineStr">
        <is>
          <t>18</t>
        </is>
      </c>
      <c r="N1580" s="9" t="n">
        <v>1</v>
      </c>
      <c r="O1580" s="9" t="n">
        <v>1</v>
      </c>
      <c r="P1580" s="9" t="n"/>
      <c r="Q1580" s="9" t="n"/>
      <c r="R1580" s="9" t="n"/>
      <c r="S1580" s="9" t="inlineStr">
        <is>
          <t>Duct bank</t>
        </is>
      </c>
      <c r="T1580" s="10" t="n">
        <v>551</v>
      </c>
      <c r="U1580" s="10" t="n">
        <v>128</v>
      </c>
      <c r="V1580" s="10">
        <f>ROUNDUP((T1580+U1580+2*'Read Me'!$B$13)*(1+'Read Me'!$B$12),-1)</f>
        <v/>
      </c>
      <c r="W1580" s="10">
        <f>V1580*N1580*O1580</f>
        <v/>
      </c>
      <c r="X1580" s="9">
        <f>IF(LEFT(I1580,2)="MV",2*N1580*IF(L1580="1/C",O1580,1),0)</f>
        <v/>
      </c>
      <c r="Y1580" s="9">
        <f>IF(OR(LEFT(K1580,4)="LVAX",LEFT(K1580,6)="MV15AX",LEFT(K1580,4)="CTAX",LEFT(K1580,2)="W|"),2*N1580*O1580,0)</f>
        <v/>
      </c>
      <c r="Z1580" s="9" t="inlineStr"/>
    </row>
    <row r="1581">
      <c r="A1581" s="9" t="inlineStr">
        <is>
          <t>G-I-0078</t>
        </is>
      </c>
      <c r="B1581" s="9" t="inlineStr">
        <is>
          <t>G</t>
        </is>
      </c>
      <c r="C1581" s="9" t="inlineStr">
        <is>
          <t>Carbon capture</t>
        </is>
      </c>
      <c r="D1581" s="9" t="inlineStr">
        <is>
          <t>Instrumentation</t>
        </is>
      </c>
      <c r="E1581" s="9" t="inlineStr"/>
      <c r="F1581" s="9" t="inlineStr">
        <is>
          <t>CCS F&amp;G / control</t>
        </is>
      </c>
      <c r="G1581" s="9" t="inlineStr">
        <is>
          <t>DMP-A</t>
        </is>
      </c>
      <c r="H1581" s="9" t="inlineStr">
        <is>
          <t>DMP-A: diverter / bypass damper</t>
        </is>
      </c>
      <c r="I1581" s="9" t="inlineStr">
        <is>
          <t>Instrumentation</t>
        </is>
      </c>
      <c r="J1581" s="9" t="inlineStr">
        <is>
          <t>Instrumentation PLTC / TC-ER 300 V, #18 twisted shielded pairs, overall shield</t>
        </is>
      </c>
      <c r="K1581" s="9" t="inlineStr">
        <is>
          <t>PLTC|4 pr|18</t>
        </is>
      </c>
      <c r="L1581" s="9" t="inlineStr">
        <is>
          <t>4 pr</t>
        </is>
      </c>
      <c r="M1581" s="9" t="inlineStr">
        <is>
          <t>18</t>
        </is>
      </c>
      <c r="N1581" s="9" t="n">
        <v>1</v>
      </c>
      <c r="O1581" s="9" t="n">
        <v>1</v>
      </c>
      <c r="P1581" s="9" t="n"/>
      <c r="Q1581" s="9" t="n"/>
      <c r="R1581" s="9" t="n"/>
      <c r="S1581" s="9" t="inlineStr">
        <is>
          <t>Estimated</t>
        </is>
      </c>
      <c r="T1581" s="10" t="n">
        <v>960</v>
      </c>
      <c r="U1581" s="10" t="n">
        <v>40</v>
      </c>
      <c r="V1581" s="10">
        <f>ROUNDUP((T1581+U1581+2*'Read Me'!$B$13)*(1+'Read Me'!$B$12),-1)</f>
        <v/>
      </c>
      <c r="W1581" s="10">
        <f>V1581*N1581*O1581</f>
        <v/>
      </c>
      <c r="X1581" s="9">
        <f>IF(LEFT(I1581,2)="MV",2*N1581*IF(L1581="1/C",O1581,1),0)</f>
        <v/>
      </c>
      <c r="Y1581" s="9">
        <f>IF(OR(LEFT(K1581,4)="LVAX",LEFT(K1581,6)="MV15AX",LEFT(K1581,4)="CTAX",LEFT(K1581,2)="W|"),2*N1581*O1581,0)</f>
        <v/>
      </c>
      <c r="Z1581" s="9" t="inlineStr"/>
    </row>
    <row r="1582">
      <c r="A1582" s="9" t="inlineStr">
        <is>
          <t>G-I-0079</t>
        </is>
      </c>
      <c r="B1582" s="9" t="inlineStr">
        <is>
          <t>G</t>
        </is>
      </c>
      <c r="C1582" s="9" t="inlineStr">
        <is>
          <t>Carbon capture</t>
        </is>
      </c>
      <c r="D1582" s="9" t="inlineStr">
        <is>
          <t>Instrumentation</t>
        </is>
      </c>
      <c r="E1582" s="9" t="inlineStr"/>
      <c r="F1582" s="9" t="inlineStr">
        <is>
          <t>CCS F&amp;G / control</t>
        </is>
      </c>
      <c r="G1582" s="9" t="inlineStr">
        <is>
          <t>DMP-B</t>
        </is>
      </c>
      <c r="H1582" s="9" t="inlineStr">
        <is>
          <t>DMP-B: diverter / bypass damper</t>
        </is>
      </c>
      <c r="I1582" s="9" t="inlineStr">
        <is>
          <t>Instrumentation</t>
        </is>
      </c>
      <c r="J1582" s="9" t="inlineStr">
        <is>
          <t>Instrumentation PLTC / TC-ER 300 V, #18 twisted shielded pairs, overall shield</t>
        </is>
      </c>
      <c r="K1582" s="9" t="inlineStr">
        <is>
          <t>PLTC|4 pr|18</t>
        </is>
      </c>
      <c r="L1582" s="9" t="inlineStr">
        <is>
          <t>4 pr</t>
        </is>
      </c>
      <c r="M1582" s="9" t="inlineStr">
        <is>
          <t>18</t>
        </is>
      </c>
      <c r="N1582" s="9" t="n">
        <v>1</v>
      </c>
      <c r="O1582" s="9" t="n">
        <v>1</v>
      </c>
      <c r="P1582" s="9" t="n"/>
      <c r="Q1582" s="9" t="n"/>
      <c r="R1582" s="9" t="n"/>
      <c r="S1582" s="9" t="inlineStr">
        <is>
          <t>Estimated</t>
        </is>
      </c>
      <c r="T1582" s="10" t="n">
        <v>800</v>
      </c>
      <c r="U1582" s="10" t="n">
        <v>40</v>
      </c>
      <c r="V1582" s="10">
        <f>ROUNDUP((T1582+U1582+2*'Read Me'!$B$13)*(1+'Read Me'!$B$12),-1)</f>
        <v/>
      </c>
      <c r="W1582" s="10">
        <f>V1582*N1582*O1582</f>
        <v/>
      </c>
      <c r="X1582" s="9">
        <f>IF(LEFT(I1582,2)="MV",2*N1582*IF(L1582="1/C",O1582,1),0)</f>
        <v/>
      </c>
      <c r="Y1582" s="9">
        <f>IF(OR(LEFT(K1582,4)="LVAX",LEFT(K1582,6)="MV15AX",LEFT(K1582,4)="CTAX",LEFT(K1582,2)="W|"),2*N1582*O1582,0)</f>
        <v/>
      </c>
      <c r="Z1582" s="9" t="inlineStr"/>
    </row>
    <row r="1583">
      <c r="A1583" s="9" t="inlineStr">
        <is>
          <t>G-I-0080</t>
        </is>
      </c>
      <c r="B1583" s="9" t="inlineStr">
        <is>
          <t>G</t>
        </is>
      </c>
      <c r="C1583" s="9" t="inlineStr">
        <is>
          <t>Carbon capture</t>
        </is>
      </c>
      <c r="D1583" s="9" t="inlineStr">
        <is>
          <t>Instrumentation</t>
        </is>
      </c>
      <c r="E1583" s="9" t="inlineStr"/>
      <c r="F1583" s="9" t="inlineStr">
        <is>
          <t>CCS F&amp;G / control</t>
        </is>
      </c>
      <c r="G1583" s="9" t="inlineStr">
        <is>
          <t>DMP-C</t>
        </is>
      </c>
      <c r="H1583" s="9" t="inlineStr">
        <is>
          <t>DMP-C: diverter / bypass damper</t>
        </is>
      </c>
      <c r="I1583" s="9" t="inlineStr">
        <is>
          <t>Instrumentation</t>
        </is>
      </c>
      <c r="J1583" s="9" t="inlineStr">
        <is>
          <t>Instrumentation PLTC / TC-ER 300 V, #18 twisted shielded pairs, overall shield</t>
        </is>
      </c>
      <c r="K1583" s="9" t="inlineStr">
        <is>
          <t>PLTC|4 pr|18</t>
        </is>
      </c>
      <c r="L1583" s="9" t="inlineStr">
        <is>
          <t>4 pr</t>
        </is>
      </c>
      <c r="M1583" s="9" t="inlineStr">
        <is>
          <t>18</t>
        </is>
      </c>
      <c r="N1583" s="9" t="n">
        <v>1</v>
      </c>
      <c r="O1583" s="9" t="n">
        <v>1</v>
      </c>
      <c r="P1583" s="9" t="n"/>
      <c r="Q1583" s="9" t="n"/>
      <c r="R1583" s="9" t="n"/>
      <c r="S1583" s="9" t="inlineStr">
        <is>
          <t>Estimated</t>
        </is>
      </c>
      <c r="T1583" s="10" t="n">
        <v>640</v>
      </c>
      <c r="U1583" s="10" t="n">
        <v>40</v>
      </c>
      <c r="V1583" s="10">
        <f>ROUNDUP((T1583+U1583+2*'Read Me'!$B$13)*(1+'Read Me'!$B$12),-1)</f>
        <v/>
      </c>
      <c r="W1583" s="10">
        <f>V1583*N1583*O1583</f>
        <v/>
      </c>
      <c r="X1583" s="9">
        <f>IF(LEFT(I1583,2)="MV",2*N1583*IF(L1583="1/C",O1583,1),0)</f>
        <v/>
      </c>
      <c r="Y1583" s="9">
        <f>IF(OR(LEFT(K1583,4)="LVAX",LEFT(K1583,6)="MV15AX",LEFT(K1583,4)="CTAX",LEFT(K1583,2)="W|"),2*N1583*O1583,0)</f>
        <v/>
      </c>
      <c r="Z1583" s="9" t="inlineStr"/>
    </row>
    <row r="1584">
      <c r="A1584" s="9" t="inlineStr">
        <is>
          <t>G-I-0081</t>
        </is>
      </c>
      <c r="B1584" s="9" t="inlineStr">
        <is>
          <t>G</t>
        </is>
      </c>
      <c r="C1584" s="9" t="inlineStr">
        <is>
          <t>Carbon capture</t>
        </is>
      </c>
      <c r="D1584" s="9" t="inlineStr">
        <is>
          <t>Instrumentation</t>
        </is>
      </c>
      <c r="E1584" s="9" t="inlineStr"/>
      <c r="F1584" s="9" t="inlineStr">
        <is>
          <t>CCS F&amp;G / control</t>
        </is>
      </c>
      <c r="G1584" s="9" t="inlineStr"/>
      <c r="H1584" s="9" t="inlineStr">
        <is>
          <t>RB-A: reboiler (LP steam from ST extraction)</t>
        </is>
      </c>
      <c r="I1584" s="9" t="inlineStr">
        <is>
          <t>Instrumentation</t>
        </is>
      </c>
      <c r="J1584" s="9" t="inlineStr">
        <is>
          <t>Instrumentation PLTC / TC-ER 300 V, #18 twisted shielded pairs, overall shield</t>
        </is>
      </c>
      <c r="K1584" s="9" t="inlineStr">
        <is>
          <t>PLTC|4 pr|18</t>
        </is>
      </c>
      <c r="L1584" s="9" t="inlineStr">
        <is>
          <t>4 pr</t>
        </is>
      </c>
      <c r="M1584" s="9" t="inlineStr">
        <is>
          <t>18</t>
        </is>
      </c>
      <c r="N1584" s="9" t="n">
        <v>1</v>
      </c>
      <c r="O1584" s="9" t="n">
        <v>1</v>
      </c>
      <c r="P1584" s="9" t="n"/>
      <c r="Q1584" s="9" t="n"/>
      <c r="R1584" s="9" t="n"/>
      <c r="S1584" s="9" t="inlineStr">
        <is>
          <t>Duct bank</t>
        </is>
      </c>
      <c r="T1584" s="10" t="n">
        <v>266</v>
      </c>
      <c r="U1584" s="10" t="n">
        <v>111</v>
      </c>
      <c r="V1584" s="10">
        <f>ROUNDUP((T1584+U1584+2*'Read Me'!$B$13)*(1+'Read Me'!$B$12),-1)</f>
        <v/>
      </c>
      <c r="W1584" s="10">
        <f>V1584*N1584*O1584</f>
        <v/>
      </c>
      <c r="X1584" s="9">
        <f>IF(LEFT(I1584,2)="MV",2*N1584*IF(L1584="1/C",O1584,1),0)</f>
        <v/>
      </c>
      <c r="Y1584" s="9">
        <f>IF(OR(LEFT(K1584,4)="LVAX",LEFT(K1584,6)="MV15AX",LEFT(K1584,4)="CTAX",LEFT(K1584,2)="W|"),2*N1584*O1584,0)</f>
        <v/>
      </c>
      <c r="Z1584" s="9" t="inlineStr"/>
    </row>
    <row r="1585">
      <c r="A1585" s="9" t="inlineStr">
        <is>
          <t>G-I-0082</t>
        </is>
      </c>
      <c r="B1585" s="9" t="inlineStr">
        <is>
          <t>G</t>
        </is>
      </c>
      <c r="C1585" s="9" t="inlineStr">
        <is>
          <t>Carbon capture</t>
        </is>
      </c>
      <c r="D1585" s="9" t="inlineStr">
        <is>
          <t>Instrumentation</t>
        </is>
      </c>
      <c r="E1585" s="9" t="inlineStr"/>
      <c r="F1585" s="9" t="inlineStr">
        <is>
          <t>CCS F&amp;G / control</t>
        </is>
      </c>
      <c r="G1585" s="9" t="inlineStr"/>
      <c r="H1585" s="9" t="inlineStr">
        <is>
          <t>RB-A: reboiler (LP steam from ST extraction)</t>
        </is>
      </c>
      <c r="I1585" s="9" t="inlineStr">
        <is>
          <t>Instrumentation</t>
        </is>
      </c>
      <c r="J1585" s="9" t="inlineStr">
        <is>
          <t>Instrumentation PLTC / TC-ER 300 V, #18 twisted shielded pairs, overall shield</t>
        </is>
      </c>
      <c r="K1585" s="9" t="inlineStr">
        <is>
          <t>PLTC|12 pr|18</t>
        </is>
      </c>
      <c r="L1585" s="9" t="inlineStr">
        <is>
          <t>12 pr</t>
        </is>
      </c>
      <c r="M1585" s="9" t="inlineStr">
        <is>
          <t>18</t>
        </is>
      </c>
      <c r="N1585" s="9" t="n">
        <v>1</v>
      </c>
      <c r="O1585" s="9" t="n">
        <v>1</v>
      </c>
      <c r="P1585" s="9" t="n"/>
      <c r="Q1585" s="9" t="n"/>
      <c r="R1585" s="9" t="n"/>
      <c r="S1585" s="9" t="inlineStr">
        <is>
          <t>Duct bank</t>
        </is>
      </c>
      <c r="T1585" s="10" t="n">
        <v>266</v>
      </c>
      <c r="U1585" s="10" t="n">
        <v>111</v>
      </c>
      <c r="V1585" s="10">
        <f>ROUNDUP((T1585+U1585+2*'Read Me'!$B$13)*(1+'Read Me'!$B$12),-1)</f>
        <v/>
      </c>
      <c r="W1585" s="10">
        <f>V1585*N1585*O1585</f>
        <v/>
      </c>
      <c r="X1585" s="9">
        <f>IF(LEFT(I1585,2)="MV",2*N1585*IF(L1585="1/C",O1585,1),0)</f>
        <v/>
      </c>
      <c r="Y1585" s="9">
        <f>IF(OR(LEFT(K1585,4)="LVAX",LEFT(K1585,6)="MV15AX",LEFT(K1585,4)="CTAX",LEFT(K1585,2)="W|"),2*N1585*O1585,0)</f>
        <v/>
      </c>
      <c r="Z1585" s="9" t="inlineStr"/>
    </row>
    <row r="1586">
      <c r="A1586" s="9" t="inlineStr">
        <is>
          <t>G-I-0083</t>
        </is>
      </c>
      <c r="B1586" s="9" t="inlineStr">
        <is>
          <t>G</t>
        </is>
      </c>
      <c r="C1586" s="9" t="inlineStr">
        <is>
          <t>Carbon capture</t>
        </is>
      </c>
      <c r="D1586" s="9" t="inlineStr">
        <is>
          <t>Instrumentation</t>
        </is>
      </c>
      <c r="E1586" s="9" t="inlineStr"/>
      <c r="F1586" s="9" t="inlineStr">
        <is>
          <t>CCS F&amp;G / control</t>
        </is>
      </c>
      <c r="G1586" s="9" t="inlineStr"/>
      <c r="H1586" s="9" t="inlineStr">
        <is>
          <t>RB-B: reboiler (LP steam from ST extraction)</t>
        </is>
      </c>
      <c r="I1586" s="9" t="inlineStr">
        <is>
          <t>Instrumentation</t>
        </is>
      </c>
      <c r="J1586" s="9" t="inlineStr">
        <is>
          <t>Instrumentation PLTC / TC-ER 300 V, #18 twisted shielded pairs, overall shield</t>
        </is>
      </c>
      <c r="K1586" s="9" t="inlineStr">
        <is>
          <t>PLTC|4 pr|18</t>
        </is>
      </c>
      <c r="L1586" s="9" t="inlineStr">
        <is>
          <t>4 pr</t>
        </is>
      </c>
      <c r="M1586" s="9" t="inlineStr">
        <is>
          <t>18</t>
        </is>
      </c>
      <c r="N1586" s="9" t="n">
        <v>1</v>
      </c>
      <c r="O1586" s="9" t="n">
        <v>1</v>
      </c>
      <c r="P1586" s="9" t="n"/>
      <c r="Q1586" s="9" t="n"/>
      <c r="R1586" s="9" t="n"/>
      <c r="S1586" s="9" t="inlineStr">
        <is>
          <t>Duct bank</t>
        </is>
      </c>
      <c r="T1586" s="10" t="n">
        <v>216</v>
      </c>
      <c r="U1586" s="10" t="n">
        <v>111</v>
      </c>
      <c r="V1586" s="10">
        <f>ROUNDUP((T1586+U1586+2*'Read Me'!$B$13)*(1+'Read Me'!$B$12),-1)</f>
        <v/>
      </c>
      <c r="W1586" s="10">
        <f>V1586*N1586*O1586</f>
        <v/>
      </c>
      <c r="X1586" s="9">
        <f>IF(LEFT(I1586,2)="MV",2*N1586*IF(L1586="1/C",O1586,1),0)</f>
        <v/>
      </c>
      <c r="Y1586" s="9">
        <f>IF(OR(LEFT(K1586,4)="LVAX",LEFT(K1586,6)="MV15AX",LEFT(K1586,4)="CTAX",LEFT(K1586,2)="W|"),2*N1586*O1586,0)</f>
        <v/>
      </c>
      <c r="Z1586" s="9" t="inlineStr"/>
    </row>
    <row r="1587">
      <c r="A1587" s="9" t="inlineStr">
        <is>
          <t>G-I-0084</t>
        </is>
      </c>
      <c r="B1587" s="9" t="inlineStr">
        <is>
          <t>G</t>
        </is>
      </c>
      <c r="C1587" s="9" t="inlineStr">
        <is>
          <t>Carbon capture</t>
        </is>
      </c>
      <c r="D1587" s="9" t="inlineStr">
        <is>
          <t>Instrumentation</t>
        </is>
      </c>
      <c r="E1587" s="9" t="inlineStr"/>
      <c r="F1587" s="9" t="inlineStr">
        <is>
          <t>CCS F&amp;G / control</t>
        </is>
      </c>
      <c r="G1587" s="9" t="inlineStr"/>
      <c r="H1587" s="9" t="inlineStr">
        <is>
          <t>RB-B: reboiler (LP steam from ST extraction)</t>
        </is>
      </c>
      <c r="I1587" s="9" t="inlineStr">
        <is>
          <t>Instrumentation</t>
        </is>
      </c>
      <c r="J1587" s="9" t="inlineStr">
        <is>
          <t>Instrumentation PLTC / TC-ER 300 V, #18 twisted shielded pairs, overall shield</t>
        </is>
      </c>
      <c r="K1587" s="9" t="inlineStr">
        <is>
          <t>PLTC|12 pr|18</t>
        </is>
      </c>
      <c r="L1587" s="9" t="inlineStr">
        <is>
          <t>12 pr</t>
        </is>
      </c>
      <c r="M1587" s="9" t="inlineStr">
        <is>
          <t>18</t>
        </is>
      </c>
      <c r="N1587" s="9" t="n">
        <v>1</v>
      </c>
      <c r="O1587" s="9" t="n">
        <v>1</v>
      </c>
      <c r="P1587" s="9" t="n"/>
      <c r="Q1587" s="9" t="n"/>
      <c r="R1587" s="9" t="n"/>
      <c r="S1587" s="9" t="inlineStr">
        <is>
          <t>Duct bank</t>
        </is>
      </c>
      <c r="T1587" s="10" t="n">
        <v>216</v>
      </c>
      <c r="U1587" s="10" t="n">
        <v>111</v>
      </c>
      <c r="V1587" s="10">
        <f>ROUNDUP((T1587+U1587+2*'Read Me'!$B$13)*(1+'Read Me'!$B$12),-1)</f>
        <v/>
      </c>
      <c r="W1587" s="10">
        <f>V1587*N1587*O1587</f>
        <v/>
      </c>
      <c r="X1587" s="9">
        <f>IF(LEFT(I1587,2)="MV",2*N1587*IF(L1587="1/C",O1587,1),0)</f>
        <v/>
      </c>
      <c r="Y1587" s="9">
        <f>IF(OR(LEFT(K1587,4)="LVAX",LEFT(K1587,6)="MV15AX",LEFT(K1587,4)="CTAX",LEFT(K1587,2)="W|"),2*N1587*O1587,0)</f>
        <v/>
      </c>
      <c r="Z1587" s="9" t="inlineStr"/>
    </row>
    <row r="1588">
      <c r="A1588" s="9" t="inlineStr">
        <is>
          <t>G-I-0085</t>
        </is>
      </c>
      <c r="B1588" s="9" t="inlineStr">
        <is>
          <t>G</t>
        </is>
      </c>
      <c r="C1588" s="9" t="inlineStr">
        <is>
          <t>Carbon capture</t>
        </is>
      </c>
      <c r="D1588" s="9" t="inlineStr">
        <is>
          <t>Instrumentation</t>
        </is>
      </c>
      <c r="E1588" s="9" t="inlineStr"/>
      <c r="F1588" s="9" t="inlineStr">
        <is>
          <t>CCS F&amp;G / control</t>
        </is>
      </c>
      <c r="G1588" s="9" t="inlineStr"/>
      <c r="H1588" s="9" t="inlineStr">
        <is>
          <t>RB-C: reboiler (LP steam from ST extraction)</t>
        </is>
      </c>
      <c r="I1588" s="9" t="inlineStr">
        <is>
          <t>Instrumentation</t>
        </is>
      </c>
      <c r="J1588" s="9" t="inlineStr">
        <is>
          <t>Instrumentation PLTC / TC-ER 300 V, #18 twisted shielded pairs, overall shield</t>
        </is>
      </c>
      <c r="K1588" s="9" t="inlineStr">
        <is>
          <t>PLTC|4 pr|18</t>
        </is>
      </c>
      <c r="L1588" s="9" t="inlineStr">
        <is>
          <t>4 pr</t>
        </is>
      </c>
      <c r="M1588" s="9" t="inlineStr">
        <is>
          <t>18</t>
        </is>
      </c>
      <c r="N1588" s="9" t="n">
        <v>1</v>
      </c>
      <c r="O1588" s="9" t="n">
        <v>1</v>
      </c>
      <c r="P1588" s="9" t="n"/>
      <c r="Q1588" s="9" t="n"/>
      <c r="R1588" s="9" t="n"/>
      <c r="S1588" s="9" t="inlineStr">
        <is>
          <t>Duct bank</t>
        </is>
      </c>
      <c r="T1588" s="10" t="n">
        <v>161</v>
      </c>
      <c r="U1588" s="10" t="n">
        <v>116</v>
      </c>
      <c r="V1588" s="10">
        <f>ROUNDUP((T1588+U1588+2*'Read Me'!$B$13)*(1+'Read Me'!$B$12),-1)</f>
        <v/>
      </c>
      <c r="W1588" s="10">
        <f>V1588*N1588*O1588</f>
        <v/>
      </c>
      <c r="X1588" s="9">
        <f>IF(LEFT(I1588,2)="MV",2*N1588*IF(L1588="1/C",O1588,1),0)</f>
        <v/>
      </c>
      <c r="Y1588" s="9">
        <f>IF(OR(LEFT(K1588,4)="LVAX",LEFT(K1588,6)="MV15AX",LEFT(K1588,4)="CTAX",LEFT(K1588,2)="W|"),2*N1588*O1588,0)</f>
        <v/>
      </c>
      <c r="Z1588" s="9" t="inlineStr"/>
    </row>
    <row r="1589">
      <c r="A1589" s="9" t="inlineStr">
        <is>
          <t>G-I-0086</t>
        </is>
      </c>
      <c r="B1589" s="9" t="inlineStr">
        <is>
          <t>G</t>
        </is>
      </c>
      <c r="C1589" s="9" t="inlineStr">
        <is>
          <t>Carbon capture</t>
        </is>
      </c>
      <c r="D1589" s="9" t="inlineStr">
        <is>
          <t>Instrumentation</t>
        </is>
      </c>
      <c r="E1589" s="9" t="inlineStr"/>
      <c r="F1589" s="9" t="inlineStr">
        <is>
          <t>CCS F&amp;G / control</t>
        </is>
      </c>
      <c r="G1589" s="9" t="inlineStr"/>
      <c r="H1589" s="9" t="inlineStr">
        <is>
          <t>RB-C: reboiler (LP steam from ST extraction)</t>
        </is>
      </c>
      <c r="I1589" s="9" t="inlineStr">
        <is>
          <t>Instrumentation</t>
        </is>
      </c>
      <c r="J1589" s="9" t="inlineStr">
        <is>
          <t>Instrumentation PLTC / TC-ER 300 V, #18 twisted shielded pairs, overall shield</t>
        </is>
      </c>
      <c r="K1589" s="9" t="inlineStr">
        <is>
          <t>PLTC|12 pr|18</t>
        </is>
      </c>
      <c r="L1589" s="9" t="inlineStr">
        <is>
          <t>12 pr</t>
        </is>
      </c>
      <c r="M1589" s="9" t="inlineStr">
        <is>
          <t>18</t>
        </is>
      </c>
      <c r="N1589" s="9" t="n">
        <v>1</v>
      </c>
      <c r="O1589" s="9" t="n">
        <v>1</v>
      </c>
      <c r="P1589" s="9" t="n"/>
      <c r="Q1589" s="9" t="n"/>
      <c r="R1589" s="9" t="n"/>
      <c r="S1589" s="9" t="inlineStr">
        <is>
          <t>Duct bank</t>
        </is>
      </c>
      <c r="T1589" s="10" t="n">
        <v>161</v>
      </c>
      <c r="U1589" s="10" t="n">
        <v>116</v>
      </c>
      <c r="V1589" s="10">
        <f>ROUNDUP((T1589+U1589+2*'Read Me'!$B$13)*(1+'Read Me'!$B$12),-1)</f>
        <v/>
      </c>
      <c r="W1589" s="10">
        <f>V1589*N1589*O1589</f>
        <v/>
      </c>
      <c r="X1589" s="9">
        <f>IF(LEFT(I1589,2)="MV",2*N1589*IF(L1589="1/C",O1589,1),0)</f>
        <v/>
      </c>
      <c r="Y1589" s="9">
        <f>IF(OR(LEFT(K1589,4)="LVAX",LEFT(K1589,6)="MV15AX",LEFT(K1589,4)="CTAX",LEFT(K1589,2)="W|"),2*N1589*O1589,0)</f>
        <v/>
      </c>
      <c r="Z1589" s="9" t="inlineStr"/>
    </row>
    <row r="1590">
      <c r="A1590" s="9" t="inlineStr">
        <is>
          <t>G-I-0087</t>
        </is>
      </c>
      <c r="B1590" s="9" t="inlineStr">
        <is>
          <t>G</t>
        </is>
      </c>
      <c r="C1590" s="9" t="inlineStr">
        <is>
          <t>Carbon capture</t>
        </is>
      </c>
      <c r="D1590" s="9" t="inlineStr">
        <is>
          <t>Instrumentation</t>
        </is>
      </c>
      <c r="E1590" s="9" t="inlineStr"/>
      <c r="F1590" s="9" t="inlineStr">
        <is>
          <t>CCS F&amp;G / control</t>
        </is>
      </c>
      <c r="G1590" s="9" t="inlineStr"/>
      <c r="H1590" s="9" t="inlineStr">
        <is>
          <t>Reclaimer (thermal, intermittent)</t>
        </is>
      </c>
      <c r="I1590" s="9" t="inlineStr">
        <is>
          <t>Instrumentation</t>
        </is>
      </c>
      <c r="J1590" s="9" t="inlineStr">
        <is>
          <t>Instrumentation PLTC / TC-ER 300 V, #18 twisted shielded pairs, overall shield</t>
        </is>
      </c>
      <c r="K1590" s="9" t="inlineStr">
        <is>
          <t>PLTC|4 pr|18</t>
        </is>
      </c>
      <c r="L1590" s="9" t="inlineStr">
        <is>
          <t>4 pr</t>
        </is>
      </c>
      <c r="M1590" s="9" t="inlineStr">
        <is>
          <t>18</t>
        </is>
      </c>
      <c r="N1590" s="9" t="n">
        <v>1</v>
      </c>
      <c r="O1590" s="9" t="n">
        <v>1</v>
      </c>
      <c r="P1590" s="9" t="n"/>
      <c r="Q1590" s="9" t="n"/>
      <c r="R1590" s="9" t="n"/>
      <c r="S1590" s="9" t="inlineStr">
        <is>
          <t>Duct bank</t>
        </is>
      </c>
      <c r="T1590" s="10" t="n">
        <v>130</v>
      </c>
      <c r="U1590" s="10" t="n">
        <v>102</v>
      </c>
      <c r="V1590" s="10">
        <f>ROUNDUP((T1590+U1590+2*'Read Me'!$B$13)*(1+'Read Me'!$B$12),-1)</f>
        <v/>
      </c>
      <c r="W1590" s="10">
        <f>V1590*N1590*O1590</f>
        <v/>
      </c>
      <c r="X1590" s="9">
        <f>IF(LEFT(I1590,2)="MV",2*N1590*IF(L1590="1/C",O1590,1),0)</f>
        <v/>
      </c>
      <c r="Y1590" s="9">
        <f>IF(OR(LEFT(K1590,4)="LVAX",LEFT(K1590,6)="MV15AX",LEFT(K1590,4)="CTAX",LEFT(K1590,2)="W|"),2*N1590*O1590,0)</f>
        <v/>
      </c>
      <c r="Z1590" s="9" t="inlineStr"/>
    </row>
    <row r="1591">
      <c r="A1591" s="9" t="inlineStr">
        <is>
          <t>G-I-0088</t>
        </is>
      </c>
      <c r="B1591" s="9" t="inlineStr">
        <is>
          <t>G</t>
        </is>
      </c>
      <c r="C1591" s="9" t="inlineStr">
        <is>
          <t>Carbon capture</t>
        </is>
      </c>
      <c r="D1591" s="9" t="inlineStr">
        <is>
          <t>Instrumentation</t>
        </is>
      </c>
      <c r="E1591" s="9" t="inlineStr"/>
      <c r="F1591" s="9" t="inlineStr">
        <is>
          <t>CCS F&amp;G / control</t>
        </is>
      </c>
      <c r="G1591" s="9" t="inlineStr"/>
      <c r="H1591" s="9" t="inlineStr">
        <is>
          <t>Rich/lean pumps, cross exchanger, lean cooler A</t>
        </is>
      </c>
      <c r="I1591" s="9" t="inlineStr">
        <is>
          <t>Instrumentation</t>
        </is>
      </c>
      <c r="J1591" s="9" t="inlineStr">
        <is>
          <t>Instrumentation PLTC / TC-ER 300 V, #18 twisted shielded pairs, overall shield</t>
        </is>
      </c>
      <c r="K1591" s="9" t="inlineStr">
        <is>
          <t>PLTC|4 pr|18</t>
        </is>
      </c>
      <c r="L1591" s="9" t="inlineStr">
        <is>
          <t>4 pr</t>
        </is>
      </c>
      <c r="M1591" s="9" t="inlineStr">
        <is>
          <t>18</t>
        </is>
      </c>
      <c r="N1591" s="9" t="n">
        <v>1</v>
      </c>
      <c r="O1591" s="9" t="n">
        <v>1</v>
      </c>
      <c r="P1591" s="9" t="n"/>
      <c r="Q1591" s="9" t="n"/>
      <c r="R1591" s="9" t="n"/>
      <c r="S1591" s="9" t="inlineStr">
        <is>
          <t>Tray</t>
        </is>
      </c>
      <c r="T1591" s="10" t="n">
        <v>868</v>
      </c>
      <c r="U1591" s="10" t="n">
        <v>151</v>
      </c>
      <c r="V1591" s="10">
        <f>ROUNDUP((T1591+U1591+2*'Read Me'!$B$13)*(1+'Read Me'!$B$12),-1)</f>
        <v/>
      </c>
      <c r="W1591" s="10">
        <f>V1591*N1591*O1591</f>
        <v/>
      </c>
      <c r="X1591" s="9">
        <f>IF(LEFT(I1591,2)="MV",2*N1591*IF(L1591="1/C",O1591,1),0)</f>
        <v/>
      </c>
      <c r="Y1591" s="9">
        <f>IF(OR(LEFT(K1591,4)="LVAX",LEFT(K1591,6)="MV15AX",LEFT(K1591,4)="CTAX",LEFT(K1591,2)="W|"),2*N1591*O1591,0)</f>
        <v/>
      </c>
      <c r="Z1591" s="9" t="inlineStr"/>
    </row>
    <row r="1592">
      <c r="A1592" s="9" t="inlineStr">
        <is>
          <t>G-I-0089</t>
        </is>
      </c>
      <c r="B1592" s="9" t="inlineStr">
        <is>
          <t>G</t>
        </is>
      </c>
      <c r="C1592" s="9" t="inlineStr">
        <is>
          <t>Carbon capture</t>
        </is>
      </c>
      <c r="D1592" s="9" t="inlineStr">
        <is>
          <t>Instrumentation</t>
        </is>
      </c>
      <c r="E1592" s="9" t="inlineStr"/>
      <c r="F1592" s="9" t="inlineStr">
        <is>
          <t>CCS F&amp;G / control</t>
        </is>
      </c>
      <c r="G1592" s="9" t="inlineStr"/>
      <c r="H1592" s="9" t="inlineStr">
        <is>
          <t>Rich/lean pumps, cross exchanger, lean cooler A</t>
        </is>
      </c>
      <c r="I1592" s="9" t="inlineStr">
        <is>
          <t>Instrumentation</t>
        </is>
      </c>
      <c r="J1592" s="9" t="inlineStr">
        <is>
          <t>Instrumentation PLTC / TC-ER 300 V, #18 twisted shielded pairs, overall shield</t>
        </is>
      </c>
      <c r="K1592" s="9" t="inlineStr">
        <is>
          <t>PLTC|12 pr|18</t>
        </is>
      </c>
      <c r="L1592" s="9" t="inlineStr">
        <is>
          <t>12 pr</t>
        </is>
      </c>
      <c r="M1592" s="9" t="inlineStr">
        <is>
          <t>18</t>
        </is>
      </c>
      <c r="N1592" s="9" t="n">
        <v>1</v>
      </c>
      <c r="O1592" s="9" t="n">
        <v>1</v>
      </c>
      <c r="P1592" s="9" t="n"/>
      <c r="Q1592" s="9" t="n"/>
      <c r="R1592" s="9" t="n"/>
      <c r="S1592" s="9" t="inlineStr">
        <is>
          <t>Tray</t>
        </is>
      </c>
      <c r="T1592" s="10" t="n">
        <v>868</v>
      </c>
      <c r="U1592" s="10" t="n">
        <v>151</v>
      </c>
      <c r="V1592" s="10">
        <f>ROUNDUP((T1592+U1592+2*'Read Me'!$B$13)*(1+'Read Me'!$B$12),-1)</f>
        <v/>
      </c>
      <c r="W1592" s="10">
        <f>V1592*N1592*O1592</f>
        <v/>
      </c>
      <c r="X1592" s="9">
        <f>IF(LEFT(I1592,2)="MV",2*N1592*IF(L1592="1/C",O1592,1),0)</f>
        <v/>
      </c>
      <c r="Y1592" s="9">
        <f>IF(OR(LEFT(K1592,4)="LVAX",LEFT(K1592,6)="MV15AX",LEFT(K1592,4)="CTAX",LEFT(K1592,2)="W|"),2*N1592*O1592,0)</f>
        <v/>
      </c>
      <c r="Z1592" s="9" t="inlineStr"/>
    </row>
    <row r="1593">
      <c r="A1593" s="9" t="inlineStr">
        <is>
          <t>G-I-0090</t>
        </is>
      </c>
      <c r="B1593" s="9" t="inlineStr">
        <is>
          <t>G</t>
        </is>
      </c>
      <c r="C1593" s="9" t="inlineStr">
        <is>
          <t>Carbon capture</t>
        </is>
      </c>
      <c r="D1593" s="9" t="inlineStr">
        <is>
          <t>Instrumentation</t>
        </is>
      </c>
      <c r="E1593" s="9" t="inlineStr"/>
      <c r="F1593" s="9" t="inlineStr">
        <is>
          <t>CCS F&amp;G / control</t>
        </is>
      </c>
      <c r="G1593" s="9" t="inlineStr"/>
      <c r="H1593" s="9" t="inlineStr">
        <is>
          <t>Rich/lean pumps, cross exchanger, lean cooler B</t>
        </is>
      </c>
      <c r="I1593" s="9" t="inlineStr">
        <is>
          <t>Instrumentation</t>
        </is>
      </c>
      <c r="J1593" s="9" t="inlineStr">
        <is>
          <t>Instrumentation PLTC / TC-ER 300 V, #18 twisted shielded pairs, overall shield</t>
        </is>
      </c>
      <c r="K1593" s="9" t="inlineStr">
        <is>
          <t>PLTC|4 pr|18</t>
        </is>
      </c>
      <c r="L1593" s="9" t="inlineStr">
        <is>
          <t>4 pr</t>
        </is>
      </c>
      <c r="M1593" s="9" t="inlineStr">
        <is>
          <t>18</t>
        </is>
      </c>
      <c r="N1593" s="9" t="n">
        <v>1</v>
      </c>
      <c r="O1593" s="9" t="n">
        <v>1</v>
      </c>
      <c r="P1593" s="9" t="n"/>
      <c r="Q1593" s="9" t="n"/>
      <c r="R1593" s="9" t="n"/>
      <c r="S1593" s="9" t="inlineStr">
        <is>
          <t>Duct bank</t>
        </is>
      </c>
      <c r="T1593" s="10" t="n">
        <v>708</v>
      </c>
      <c r="U1593" s="10" t="n">
        <v>151</v>
      </c>
      <c r="V1593" s="10">
        <f>ROUNDUP((T1593+U1593+2*'Read Me'!$B$13)*(1+'Read Me'!$B$12),-1)</f>
        <v/>
      </c>
      <c r="W1593" s="10">
        <f>V1593*N1593*O1593</f>
        <v/>
      </c>
      <c r="X1593" s="9">
        <f>IF(LEFT(I1593,2)="MV",2*N1593*IF(L1593="1/C",O1593,1),0)</f>
        <v/>
      </c>
      <c r="Y1593" s="9">
        <f>IF(OR(LEFT(K1593,4)="LVAX",LEFT(K1593,6)="MV15AX",LEFT(K1593,4)="CTAX",LEFT(K1593,2)="W|"),2*N1593*O1593,0)</f>
        <v/>
      </c>
      <c r="Z1593" s="9" t="inlineStr"/>
    </row>
    <row r="1594">
      <c r="A1594" s="9" t="inlineStr">
        <is>
          <t>G-I-0091</t>
        </is>
      </c>
      <c r="B1594" s="9" t="inlineStr">
        <is>
          <t>G</t>
        </is>
      </c>
      <c r="C1594" s="9" t="inlineStr">
        <is>
          <t>Carbon capture</t>
        </is>
      </c>
      <c r="D1594" s="9" t="inlineStr">
        <is>
          <t>Instrumentation</t>
        </is>
      </c>
      <c r="E1594" s="9" t="inlineStr"/>
      <c r="F1594" s="9" t="inlineStr">
        <is>
          <t>CCS F&amp;G / control</t>
        </is>
      </c>
      <c r="G1594" s="9" t="inlineStr"/>
      <c r="H1594" s="9" t="inlineStr">
        <is>
          <t>Rich/lean pumps, cross exchanger, lean cooler B</t>
        </is>
      </c>
      <c r="I1594" s="9" t="inlineStr">
        <is>
          <t>Instrumentation</t>
        </is>
      </c>
      <c r="J1594" s="9" t="inlineStr">
        <is>
          <t>Instrumentation PLTC / TC-ER 300 V, #18 twisted shielded pairs, overall shield</t>
        </is>
      </c>
      <c r="K1594" s="9" t="inlineStr">
        <is>
          <t>PLTC|12 pr|18</t>
        </is>
      </c>
      <c r="L1594" s="9" t="inlineStr">
        <is>
          <t>12 pr</t>
        </is>
      </c>
      <c r="M1594" s="9" t="inlineStr">
        <is>
          <t>18</t>
        </is>
      </c>
      <c r="N1594" s="9" t="n">
        <v>1</v>
      </c>
      <c r="O1594" s="9" t="n">
        <v>1</v>
      </c>
      <c r="P1594" s="9" t="n"/>
      <c r="Q1594" s="9" t="n"/>
      <c r="R1594" s="9" t="n"/>
      <c r="S1594" s="9" t="inlineStr">
        <is>
          <t>Duct bank</t>
        </is>
      </c>
      <c r="T1594" s="10" t="n">
        <v>708</v>
      </c>
      <c r="U1594" s="10" t="n">
        <v>151</v>
      </c>
      <c r="V1594" s="10">
        <f>ROUNDUP((T1594+U1594+2*'Read Me'!$B$13)*(1+'Read Me'!$B$12),-1)</f>
        <v/>
      </c>
      <c r="W1594" s="10">
        <f>V1594*N1594*O1594</f>
        <v/>
      </c>
      <c r="X1594" s="9">
        <f>IF(LEFT(I1594,2)="MV",2*N1594*IF(L1594="1/C",O1594,1),0)</f>
        <v/>
      </c>
      <c r="Y1594" s="9">
        <f>IF(OR(LEFT(K1594,4)="LVAX",LEFT(K1594,6)="MV15AX",LEFT(K1594,4)="CTAX",LEFT(K1594,2)="W|"),2*N1594*O1594,0)</f>
        <v/>
      </c>
      <c r="Z1594" s="9" t="inlineStr"/>
    </row>
    <row r="1595">
      <c r="A1595" s="9" t="inlineStr">
        <is>
          <t>G-I-0092</t>
        </is>
      </c>
      <c r="B1595" s="9" t="inlineStr">
        <is>
          <t>G</t>
        </is>
      </c>
      <c r="C1595" s="9" t="inlineStr">
        <is>
          <t>Carbon capture</t>
        </is>
      </c>
      <c r="D1595" s="9" t="inlineStr">
        <is>
          <t>Instrumentation</t>
        </is>
      </c>
      <c r="E1595" s="9" t="inlineStr"/>
      <c r="F1595" s="9" t="inlineStr">
        <is>
          <t>CCS F&amp;G / control</t>
        </is>
      </c>
      <c r="G1595" s="9" t="inlineStr"/>
      <c r="H1595" s="9" t="inlineStr">
        <is>
          <t>Rich/lean pumps, cross exchanger, lean cooler C</t>
        </is>
      </c>
      <c r="I1595" s="9" t="inlineStr">
        <is>
          <t>Instrumentation</t>
        </is>
      </c>
      <c r="J1595" s="9" t="inlineStr">
        <is>
          <t>Instrumentation PLTC / TC-ER 300 V, #18 twisted shielded pairs, overall shield</t>
        </is>
      </c>
      <c r="K1595" s="9" t="inlineStr">
        <is>
          <t>PLTC|4 pr|18</t>
        </is>
      </c>
      <c r="L1595" s="9" t="inlineStr">
        <is>
          <t>4 pr</t>
        </is>
      </c>
      <c r="M1595" s="9" t="inlineStr">
        <is>
          <t>18</t>
        </is>
      </c>
      <c r="N1595" s="9" t="n">
        <v>1</v>
      </c>
      <c r="O1595" s="9" t="n">
        <v>1</v>
      </c>
      <c r="P1595" s="9" t="n"/>
      <c r="Q1595" s="9" t="n"/>
      <c r="R1595" s="9" t="n"/>
      <c r="S1595" s="9" t="inlineStr">
        <is>
          <t>Duct bank</t>
        </is>
      </c>
      <c r="T1595" s="10" t="n">
        <v>299</v>
      </c>
      <c r="U1595" s="10" t="n">
        <v>138</v>
      </c>
      <c r="V1595" s="10">
        <f>ROUNDUP((T1595+U1595+2*'Read Me'!$B$13)*(1+'Read Me'!$B$12),-1)</f>
        <v/>
      </c>
      <c r="W1595" s="10">
        <f>V1595*N1595*O1595</f>
        <v/>
      </c>
      <c r="X1595" s="9">
        <f>IF(LEFT(I1595,2)="MV",2*N1595*IF(L1595="1/C",O1595,1),0)</f>
        <v/>
      </c>
      <c r="Y1595" s="9">
        <f>IF(OR(LEFT(K1595,4)="LVAX",LEFT(K1595,6)="MV15AX",LEFT(K1595,4)="CTAX",LEFT(K1595,2)="W|"),2*N1595*O1595,0)</f>
        <v/>
      </c>
      <c r="Z1595" s="9" t="inlineStr"/>
    </row>
    <row r="1596">
      <c r="A1596" s="9" t="inlineStr">
        <is>
          <t>G-I-0093</t>
        </is>
      </c>
      <c r="B1596" s="9" t="inlineStr">
        <is>
          <t>G</t>
        </is>
      </c>
      <c r="C1596" s="9" t="inlineStr">
        <is>
          <t>Carbon capture</t>
        </is>
      </c>
      <c r="D1596" s="9" t="inlineStr">
        <is>
          <t>Instrumentation</t>
        </is>
      </c>
      <c r="E1596" s="9" t="inlineStr"/>
      <c r="F1596" s="9" t="inlineStr">
        <is>
          <t>CCS F&amp;G / control</t>
        </is>
      </c>
      <c r="G1596" s="9" t="inlineStr"/>
      <c r="H1596" s="9" t="inlineStr">
        <is>
          <t>Rich/lean pumps, cross exchanger, lean cooler C</t>
        </is>
      </c>
      <c r="I1596" s="9" t="inlineStr">
        <is>
          <t>Instrumentation</t>
        </is>
      </c>
      <c r="J1596" s="9" t="inlineStr">
        <is>
          <t>Instrumentation PLTC / TC-ER 300 V, #18 twisted shielded pairs, overall shield</t>
        </is>
      </c>
      <c r="K1596" s="9" t="inlineStr">
        <is>
          <t>PLTC|12 pr|18</t>
        </is>
      </c>
      <c r="L1596" s="9" t="inlineStr">
        <is>
          <t>12 pr</t>
        </is>
      </c>
      <c r="M1596" s="9" t="inlineStr">
        <is>
          <t>18</t>
        </is>
      </c>
      <c r="N1596" s="9" t="n">
        <v>1</v>
      </c>
      <c r="O1596" s="9" t="n">
        <v>1</v>
      </c>
      <c r="P1596" s="9" t="n"/>
      <c r="Q1596" s="9" t="n"/>
      <c r="R1596" s="9" t="n"/>
      <c r="S1596" s="9" t="inlineStr">
        <is>
          <t>Duct bank</t>
        </is>
      </c>
      <c r="T1596" s="10" t="n">
        <v>299</v>
      </c>
      <c r="U1596" s="10" t="n">
        <v>138</v>
      </c>
      <c r="V1596" s="10">
        <f>ROUNDUP((T1596+U1596+2*'Read Me'!$B$13)*(1+'Read Me'!$B$12),-1)</f>
        <v/>
      </c>
      <c r="W1596" s="10">
        <f>V1596*N1596*O1596</f>
        <v/>
      </c>
      <c r="X1596" s="9">
        <f>IF(LEFT(I1596,2)="MV",2*N1596*IF(L1596="1/C",O1596,1),0)</f>
        <v/>
      </c>
      <c r="Y1596" s="9">
        <f>IF(OR(LEFT(K1596,4)="LVAX",LEFT(K1596,6)="MV15AX",LEFT(K1596,4)="CTAX",LEFT(K1596,2)="W|"),2*N1596*O1596,0)</f>
        <v/>
      </c>
      <c r="Z1596" s="9" t="inlineStr"/>
    </row>
    <row r="1597">
      <c r="A1597" s="9" t="inlineStr">
        <is>
          <t>G-I-0094</t>
        </is>
      </c>
      <c r="B1597" s="9" t="inlineStr">
        <is>
          <t>G</t>
        </is>
      </c>
      <c r="C1597" s="9" t="inlineStr">
        <is>
          <t>Carbon capture</t>
        </is>
      </c>
      <c r="D1597" s="9" t="inlineStr">
        <is>
          <t>Instrumentation</t>
        </is>
      </c>
      <c r="E1597" s="9" t="inlineStr"/>
      <c r="F1597" s="9" t="inlineStr">
        <is>
          <t>CCS F&amp;G / control</t>
        </is>
      </c>
      <c r="G1597" s="9" t="inlineStr">
        <is>
          <t>STR-A</t>
        </is>
      </c>
      <c r="H1597" s="9" t="inlineStr">
        <is>
          <t>STR-A: stripper / regenerator (45 ft dia x 207 ft)</t>
        </is>
      </c>
      <c r="I1597" s="9" t="inlineStr">
        <is>
          <t>Instrumentation</t>
        </is>
      </c>
      <c r="J1597" s="9" t="inlineStr">
        <is>
          <t>Instrumentation PLTC / TC-ER 300 V, #18 twisted shielded pairs, overall shield</t>
        </is>
      </c>
      <c r="K1597" s="9" t="inlineStr">
        <is>
          <t>PLTC|4 pr|18</t>
        </is>
      </c>
      <c r="L1597" s="9" t="inlineStr">
        <is>
          <t>4 pr</t>
        </is>
      </c>
      <c r="M1597" s="9" t="inlineStr">
        <is>
          <t>18</t>
        </is>
      </c>
      <c r="N1597" s="9" t="n">
        <v>1</v>
      </c>
      <c r="O1597" s="9" t="n">
        <v>1</v>
      </c>
      <c r="P1597" s="9" t="n"/>
      <c r="Q1597" s="9" t="n"/>
      <c r="R1597" s="9" t="n"/>
      <c r="S1597" s="9" t="inlineStr">
        <is>
          <t>Duct bank</t>
        </is>
      </c>
      <c r="T1597" s="10" t="n">
        <v>329</v>
      </c>
      <c r="U1597" s="10" t="n">
        <v>106</v>
      </c>
      <c r="V1597" s="10">
        <f>ROUNDUP((T1597+U1597+2*'Read Me'!$B$13)*(1+'Read Me'!$B$12),-1)</f>
        <v/>
      </c>
      <c r="W1597" s="10">
        <f>V1597*N1597*O1597</f>
        <v/>
      </c>
      <c r="X1597" s="9">
        <f>IF(LEFT(I1597,2)="MV",2*N1597*IF(L1597="1/C",O1597,1),0)</f>
        <v/>
      </c>
      <c r="Y1597" s="9">
        <f>IF(OR(LEFT(K1597,4)="LVAX",LEFT(K1597,6)="MV15AX",LEFT(K1597,4)="CTAX",LEFT(K1597,2)="W|"),2*N1597*O1597,0)</f>
        <v/>
      </c>
      <c r="Z1597" s="9" t="inlineStr"/>
    </row>
    <row r="1598">
      <c r="A1598" s="9" t="inlineStr">
        <is>
          <t>G-I-0095</t>
        </is>
      </c>
      <c r="B1598" s="9" t="inlineStr">
        <is>
          <t>G</t>
        </is>
      </c>
      <c r="C1598" s="9" t="inlineStr">
        <is>
          <t>Carbon capture</t>
        </is>
      </c>
      <c r="D1598" s="9" t="inlineStr">
        <is>
          <t>Instrumentation</t>
        </is>
      </c>
      <c r="E1598" s="9" t="inlineStr"/>
      <c r="F1598" s="9" t="inlineStr">
        <is>
          <t>CCS F&amp;G / control</t>
        </is>
      </c>
      <c r="G1598" s="9" t="inlineStr">
        <is>
          <t>STR-A</t>
        </is>
      </c>
      <c r="H1598" s="9" t="inlineStr">
        <is>
          <t>STR-A: stripper / regenerator (45 ft dia x 207 ft)</t>
        </is>
      </c>
      <c r="I1598" s="9" t="inlineStr">
        <is>
          <t>Instrumentation</t>
        </is>
      </c>
      <c r="J1598" s="9" t="inlineStr">
        <is>
          <t>Instrumentation PLTC / TC-ER 300 V, #18 twisted shielded pairs, overall shield</t>
        </is>
      </c>
      <c r="K1598" s="9" t="inlineStr">
        <is>
          <t>PLTC|12 pr|18</t>
        </is>
      </c>
      <c r="L1598" s="9" t="inlineStr">
        <is>
          <t>12 pr</t>
        </is>
      </c>
      <c r="M1598" s="9" t="inlineStr">
        <is>
          <t>18</t>
        </is>
      </c>
      <c r="N1598" s="9" t="n">
        <v>1</v>
      </c>
      <c r="O1598" s="9" t="n">
        <v>1</v>
      </c>
      <c r="P1598" s="9" t="n"/>
      <c r="Q1598" s="9" t="n"/>
      <c r="R1598" s="9" t="n"/>
      <c r="S1598" s="9" t="inlineStr">
        <is>
          <t>Duct bank</t>
        </is>
      </c>
      <c r="T1598" s="10" t="n">
        <v>329</v>
      </c>
      <c r="U1598" s="10" t="n">
        <v>106</v>
      </c>
      <c r="V1598" s="10">
        <f>ROUNDUP((T1598+U1598+2*'Read Me'!$B$13)*(1+'Read Me'!$B$12),-1)</f>
        <v/>
      </c>
      <c r="W1598" s="10">
        <f>V1598*N1598*O1598</f>
        <v/>
      </c>
      <c r="X1598" s="9">
        <f>IF(LEFT(I1598,2)="MV",2*N1598*IF(L1598="1/C",O1598,1),0)</f>
        <v/>
      </c>
      <c r="Y1598" s="9">
        <f>IF(OR(LEFT(K1598,4)="LVAX",LEFT(K1598,6)="MV15AX",LEFT(K1598,4)="CTAX",LEFT(K1598,2)="W|"),2*N1598*O1598,0)</f>
        <v/>
      </c>
      <c r="Z1598" s="9" t="inlineStr"/>
    </row>
    <row r="1599">
      <c r="A1599" s="9" t="inlineStr">
        <is>
          <t>G-I-0096</t>
        </is>
      </c>
      <c r="B1599" s="9" t="inlineStr">
        <is>
          <t>G</t>
        </is>
      </c>
      <c r="C1599" s="9" t="inlineStr">
        <is>
          <t>Carbon capture</t>
        </is>
      </c>
      <c r="D1599" s="9" t="inlineStr">
        <is>
          <t>Instrumentation</t>
        </is>
      </c>
      <c r="E1599" s="9" t="inlineStr"/>
      <c r="F1599" s="9" t="inlineStr">
        <is>
          <t>CCS F&amp;G / control</t>
        </is>
      </c>
      <c r="G1599" s="9" t="inlineStr">
        <is>
          <t>STR-B</t>
        </is>
      </c>
      <c r="H1599" s="9" t="inlineStr">
        <is>
          <t>STR-B: stripper / regenerator (45 ft dia x 207 ft)</t>
        </is>
      </c>
      <c r="I1599" s="9" t="inlineStr">
        <is>
          <t>Instrumentation</t>
        </is>
      </c>
      <c r="J1599" s="9" t="inlineStr">
        <is>
          <t>Instrumentation PLTC / TC-ER 300 V, #18 twisted shielded pairs, overall shield</t>
        </is>
      </c>
      <c r="K1599" s="9" t="inlineStr">
        <is>
          <t>PLTC|4 pr|18</t>
        </is>
      </c>
      <c r="L1599" s="9" t="inlineStr">
        <is>
          <t>4 pr</t>
        </is>
      </c>
      <c r="M1599" s="9" t="inlineStr">
        <is>
          <t>18</t>
        </is>
      </c>
      <c r="N1599" s="9" t="n">
        <v>1</v>
      </c>
      <c r="O1599" s="9" t="n">
        <v>1</v>
      </c>
      <c r="P1599" s="9" t="n"/>
      <c r="Q1599" s="9" t="n"/>
      <c r="R1599" s="9" t="n"/>
      <c r="S1599" s="9" t="inlineStr">
        <is>
          <t>Duct bank</t>
        </is>
      </c>
      <c r="T1599" s="10" t="n">
        <v>279</v>
      </c>
      <c r="U1599" s="10" t="n">
        <v>106</v>
      </c>
      <c r="V1599" s="10">
        <f>ROUNDUP((T1599+U1599+2*'Read Me'!$B$13)*(1+'Read Me'!$B$12),-1)</f>
        <v/>
      </c>
      <c r="W1599" s="10">
        <f>V1599*N1599*O1599</f>
        <v/>
      </c>
      <c r="X1599" s="9">
        <f>IF(LEFT(I1599,2)="MV",2*N1599*IF(L1599="1/C",O1599,1),0)</f>
        <v/>
      </c>
      <c r="Y1599" s="9">
        <f>IF(OR(LEFT(K1599,4)="LVAX",LEFT(K1599,6)="MV15AX",LEFT(K1599,4)="CTAX",LEFT(K1599,2)="W|"),2*N1599*O1599,0)</f>
        <v/>
      </c>
      <c r="Z1599" s="9" t="inlineStr"/>
    </row>
    <row r="1600">
      <c r="A1600" s="9" t="inlineStr">
        <is>
          <t>G-I-0097</t>
        </is>
      </c>
      <c r="B1600" s="9" t="inlineStr">
        <is>
          <t>G</t>
        </is>
      </c>
      <c r="C1600" s="9" t="inlineStr">
        <is>
          <t>Carbon capture</t>
        </is>
      </c>
      <c r="D1600" s="9" t="inlineStr">
        <is>
          <t>Instrumentation</t>
        </is>
      </c>
      <c r="E1600" s="9" t="inlineStr"/>
      <c r="F1600" s="9" t="inlineStr">
        <is>
          <t>CCS F&amp;G / control</t>
        </is>
      </c>
      <c r="G1600" s="9" t="inlineStr">
        <is>
          <t>STR-B</t>
        </is>
      </c>
      <c r="H1600" s="9" t="inlineStr">
        <is>
          <t>STR-B: stripper / regenerator (45 ft dia x 207 ft)</t>
        </is>
      </c>
      <c r="I1600" s="9" t="inlineStr">
        <is>
          <t>Instrumentation</t>
        </is>
      </c>
      <c r="J1600" s="9" t="inlineStr">
        <is>
          <t>Instrumentation PLTC / TC-ER 300 V, #18 twisted shielded pairs, overall shield</t>
        </is>
      </c>
      <c r="K1600" s="9" t="inlineStr">
        <is>
          <t>PLTC|12 pr|18</t>
        </is>
      </c>
      <c r="L1600" s="9" t="inlineStr">
        <is>
          <t>12 pr</t>
        </is>
      </c>
      <c r="M1600" s="9" t="inlineStr">
        <is>
          <t>18</t>
        </is>
      </c>
      <c r="N1600" s="9" t="n">
        <v>1</v>
      </c>
      <c r="O1600" s="9" t="n">
        <v>1</v>
      </c>
      <c r="P1600" s="9" t="n"/>
      <c r="Q1600" s="9" t="n"/>
      <c r="R1600" s="9" t="n"/>
      <c r="S1600" s="9" t="inlineStr">
        <is>
          <t>Duct bank</t>
        </is>
      </c>
      <c r="T1600" s="10" t="n">
        <v>279</v>
      </c>
      <c r="U1600" s="10" t="n">
        <v>106</v>
      </c>
      <c r="V1600" s="10">
        <f>ROUNDUP((T1600+U1600+2*'Read Me'!$B$13)*(1+'Read Me'!$B$12),-1)</f>
        <v/>
      </c>
      <c r="W1600" s="10">
        <f>V1600*N1600*O1600</f>
        <v/>
      </c>
      <c r="X1600" s="9">
        <f>IF(LEFT(I1600,2)="MV",2*N1600*IF(L1600="1/C",O1600,1),0)</f>
        <v/>
      </c>
      <c r="Y1600" s="9">
        <f>IF(OR(LEFT(K1600,4)="LVAX",LEFT(K1600,6)="MV15AX",LEFT(K1600,4)="CTAX",LEFT(K1600,2)="W|"),2*N1600*O1600,0)</f>
        <v/>
      </c>
      <c r="Z1600" s="9" t="inlineStr"/>
    </row>
    <row r="1601">
      <c r="A1601" s="9" t="inlineStr">
        <is>
          <t>G-I-0098</t>
        </is>
      </c>
      <c r="B1601" s="9" t="inlineStr">
        <is>
          <t>G</t>
        </is>
      </c>
      <c r="C1601" s="9" t="inlineStr">
        <is>
          <t>Carbon capture</t>
        </is>
      </c>
      <c r="D1601" s="9" t="inlineStr">
        <is>
          <t>Instrumentation</t>
        </is>
      </c>
      <c r="E1601" s="9" t="inlineStr"/>
      <c r="F1601" s="9" t="inlineStr">
        <is>
          <t>CCS F&amp;G / control</t>
        </is>
      </c>
      <c r="G1601" s="9" t="inlineStr">
        <is>
          <t>STR-C</t>
        </is>
      </c>
      <c r="H1601" s="9" t="inlineStr">
        <is>
          <t>STR-C: stripper / regenerator (45 ft dia x 207 ft)</t>
        </is>
      </c>
      <c r="I1601" s="9" t="inlineStr">
        <is>
          <t>Instrumentation</t>
        </is>
      </c>
      <c r="J1601" s="9" t="inlineStr">
        <is>
          <t>Instrumentation PLTC / TC-ER 300 V, #18 twisted shielded pairs, overall shield</t>
        </is>
      </c>
      <c r="K1601" s="9" t="inlineStr">
        <is>
          <t>PLTC|4 pr|18</t>
        </is>
      </c>
      <c r="L1601" s="9" t="inlineStr">
        <is>
          <t>4 pr</t>
        </is>
      </c>
      <c r="M1601" s="9" t="inlineStr">
        <is>
          <t>18</t>
        </is>
      </c>
      <c r="N1601" s="9" t="n">
        <v>1</v>
      </c>
      <c r="O1601" s="9" t="n">
        <v>1</v>
      </c>
      <c r="P1601" s="9" t="n"/>
      <c r="Q1601" s="9" t="n"/>
      <c r="R1601" s="9" t="n"/>
      <c r="S1601" s="9" t="inlineStr">
        <is>
          <t>Duct bank</t>
        </is>
      </c>
      <c r="T1601" s="10" t="n">
        <v>195</v>
      </c>
      <c r="U1601" s="10" t="n">
        <v>162</v>
      </c>
      <c r="V1601" s="10">
        <f>ROUNDUP((T1601+U1601+2*'Read Me'!$B$13)*(1+'Read Me'!$B$12),-1)</f>
        <v/>
      </c>
      <c r="W1601" s="10">
        <f>V1601*N1601*O1601</f>
        <v/>
      </c>
      <c r="X1601" s="9">
        <f>IF(LEFT(I1601,2)="MV",2*N1601*IF(L1601="1/C",O1601,1),0)</f>
        <v/>
      </c>
      <c r="Y1601" s="9">
        <f>IF(OR(LEFT(K1601,4)="LVAX",LEFT(K1601,6)="MV15AX",LEFT(K1601,4)="CTAX",LEFT(K1601,2)="W|"),2*N1601*O1601,0)</f>
        <v/>
      </c>
      <c r="Z1601" s="9" t="inlineStr"/>
    </row>
    <row r="1602">
      <c r="A1602" s="9" t="inlineStr">
        <is>
          <t>G-I-0099</t>
        </is>
      </c>
      <c r="B1602" s="9" t="inlineStr">
        <is>
          <t>G</t>
        </is>
      </c>
      <c r="C1602" s="9" t="inlineStr">
        <is>
          <t>Carbon capture</t>
        </is>
      </c>
      <c r="D1602" s="9" t="inlineStr">
        <is>
          <t>Instrumentation</t>
        </is>
      </c>
      <c r="E1602" s="9" t="inlineStr"/>
      <c r="F1602" s="9" t="inlineStr">
        <is>
          <t>CCS F&amp;G / control</t>
        </is>
      </c>
      <c r="G1602" s="9" t="inlineStr">
        <is>
          <t>STR-C</t>
        </is>
      </c>
      <c r="H1602" s="9" t="inlineStr">
        <is>
          <t>STR-C: stripper / regenerator (45 ft dia x 207 ft)</t>
        </is>
      </c>
      <c r="I1602" s="9" t="inlineStr">
        <is>
          <t>Instrumentation</t>
        </is>
      </c>
      <c r="J1602" s="9" t="inlineStr">
        <is>
          <t>Instrumentation PLTC / TC-ER 300 V, #18 twisted shielded pairs, overall shield</t>
        </is>
      </c>
      <c r="K1602" s="9" t="inlineStr">
        <is>
          <t>PLTC|12 pr|18</t>
        </is>
      </c>
      <c r="L1602" s="9" t="inlineStr">
        <is>
          <t>12 pr</t>
        </is>
      </c>
      <c r="M1602" s="9" t="inlineStr">
        <is>
          <t>18</t>
        </is>
      </c>
      <c r="N1602" s="9" t="n">
        <v>1</v>
      </c>
      <c r="O1602" s="9" t="n">
        <v>1</v>
      </c>
      <c r="P1602" s="9" t="n"/>
      <c r="Q1602" s="9" t="n"/>
      <c r="R1602" s="9" t="n"/>
      <c r="S1602" s="9" t="inlineStr">
        <is>
          <t>Duct bank</t>
        </is>
      </c>
      <c r="T1602" s="10" t="n">
        <v>195</v>
      </c>
      <c r="U1602" s="10" t="n">
        <v>162</v>
      </c>
      <c r="V1602" s="10">
        <f>ROUNDUP((T1602+U1602+2*'Read Me'!$B$13)*(1+'Read Me'!$B$12),-1)</f>
        <v/>
      </c>
      <c r="W1602" s="10">
        <f>V1602*N1602*O1602</f>
        <v/>
      </c>
      <c r="X1602" s="9">
        <f>IF(LEFT(I1602,2)="MV",2*N1602*IF(L1602="1/C",O1602,1),0)</f>
        <v/>
      </c>
      <c r="Y1602" s="9">
        <f>IF(OR(LEFT(K1602,4)="LVAX",LEFT(K1602,6)="MV15AX",LEFT(K1602,4)="CTAX",LEFT(K1602,2)="W|"),2*N1602*O1602,0)</f>
        <v/>
      </c>
      <c r="Z1602" s="9" t="inlineStr"/>
    </row>
    <row r="1603">
      <c r="A1603" s="9" t="inlineStr">
        <is>
          <t>G-I-0100</t>
        </is>
      </c>
      <c r="B1603" s="9" t="inlineStr">
        <is>
          <t>G</t>
        </is>
      </c>
      <c r="C1603" s="9" t="inlineStr">
        <is>
          <t>Carbon capture</t>
        </is>
      </c>
      <c r="D1603" s="9" t="inlineStr">
        <is>
          <t>Instrumentation</t>
        </is>
      </c>
      <c r="E1603" s="9" t="inlineStr"/>
      <c r="F1603" s="9" t="inlineStr">
        <is>
          <t>CCS F&amp;G / control</t>
        </is>
      </c>
      <c r="G1603" s="9" t="inlineStr"/>
      <c r="H1603" s="9" t="inlineStr">
        <is>
          <t>Solvent + NaOH storage</t>
        </is>
      </c>
      <c r="I1603" s="9" t="inlineStr">
        <is>
          <t>Instrumentation</t>
        </is>
      </c>
      <c r="J1603" s="9" t="inlineStr">
        <is>
          <t>Instrumentation PLTC / TC-ER 300 V, #18 twisted shielded pairs, overall shield</t>
        </is>
      </c>
      <c r="K1603" s="9" t="inlineStr">
        <is>
          <t>PLTC|4 pr|18</t>
        </is>
      </c>
      <c r="L1603" s="9" t="inlineStr">
        <is>
          <t>4 pr</t>
        </is>
      </c>
      <c r="M1603" s="9" t="inlineStr">
        <is>
          <t>18</t>
        </is>
      </c>
      <c r="N1603" s="9" t="n">
        <v>1</v>
      </c>
      <c r="O1603" s="9" t="n">
        <v>1</v>
      </c>
      <c r="P1603" s="9" t="n"/>
      <c r="Q1603" s="9" t="n"/>
      <c r="R1603" s="9" t="n"/>
      <c r="S1603" s="9" t="inlineStr">
        <is>
          <t>Duct bank</t>
        </is>
      </c>
      <c r="T1603" s="10" t="n">
        <v>146</v>
      </c>
      <c r="U1603" s="10" t="n">
        <v>106</v>
      </c>
      <c r="V1603" s="10">
        <f>ROUNDUP((T1603+U1603+2*'Read Me'!$B$13)*(1+'Read Me'!$B$12),-1)</f>
        <v/>
      </c>
      <c r="W1603" s="10">
        <f>V1603*N1603*O1603</f>
        <v/>
      </c>
      <c r="X1603" s="9">
        <f>IF(LEFT(I1603,2)="MV",2*N1603*IF(L1603="1/C",O1603,1),0)</f>
        <v/>
      </c>
      <c r="Y1603" s="9">
        <f>IF(OR(LEFT(K1603,4)="LVAX",LEFT(K1603,6)="MV15AX",LEFT(K1603,4)="CTAX",LEFT(K1603,2)="W|"),2*N1603*O1603,0)</f>
        <v/>
      </c>
      <c r="Z1603" s="9" t="inlineStr"/>
    </row>
    <row r="1604">
      <c r="A1604" s="9" t="inlineStr">
        <is>
          <t>G-I-0101</t>
        </is>
      </c>
      <c r="B1604" s="9" t="inlineStr">
        <is>
          <t>G</t>
        </is>
      </c>
      <c r="C1604" s="9" t="inlineStr">
        <is>
          <t>Carbon capture</t>
        </is>
      </c>
      <c r="D1604" s="9" t="inlineStr">
        <is>
          <t>Instrumentation</t>
        </is>
      </c>
      <c r="E1604" s="9" t="inlineStr"/>
      <c r="F1604" s="9" t="inlineStr">
        <is>
          <t>CCS F&amp;G / control</t>
        </is>
      </c>
      <c r="G1604" s="9" t="inlineStr"/>
      <c r="H1604" s="9" t="inlineStr">
        <is>
          <t>Water-wash pumps A</t>
        </is>
      </c>
      <c r="I1604" s="9" t="inlineStr">
        <is>
          <t>Instrumentation</t>
        </is>
      </c>
      <c r="J1604" s="9" t="inlineStr">
        <is>
          <t>Instrumentation PLTC / TC-ER 300 V, #18 twisted shielded pairs, overall shield</t>
        </is>
      </c>
      <c r="K1604" s="9" t="inlineStr">
        <is>
          <t>PLTC|4 pr|18</t>
        </is>
      </c>
      <c r="L1604" s="9" t="inlineStr">
        <is>
          <t>4 pr</t>
        </is>
      </c>
      <c r="M1604" s="9" t="inlineStr">
        <is>
          <t>18</t>
        </is>
      </c>
      <c r="N1604" s="9" t="n">
        <v>1</v>
      </c>
      <c r="O1604" s="9" t="n">
        <v>1</v>
      </c>
      <c r="P1604" s="9" t="n"/>
      <c r="Q1604" s="9" t="n"/>
      <c r="R1604" s="9" t="n"/>
      <c r="S1604" s="9" t="inlineStr">
        <is>
          <t>Tray</t>
        </is>
      </c>
      <c r="T1604" s="10" t="n">
        <v>868</v>
      </c>
      <c r="U1604" s="10" t="n">
        <v>135</v>
      </c>
      <c r="V1604" s="10">
        <f>ROUNDUP((T1604+U1604+2*'Read Me'!$B$13)*(1+'Read Me'!$B$12),-1)</f>
        <v/>
      </c>
      <c r="W1604" s="10">
        <f>V1604*N1604*O1604</f>
        <v/>
      </c>
      <c r="X1604" s="9">
        <f>IF(LEFT(I1604,2)="MV",2*N1604*IF(L1604="1/C",O1604,1),0)</f>
        <v/>
      </c>
      <c r="Y1604" s="9">
        <f>IF(OR(LEFT(K1604,4)="LVAX",LEFT(K1604,6)="MV15AX",LEFT(K1604,4)="CTAX",LEFT(K1604,2)="W|"),2*N1604*O1604,0)</f>
        <v/>
      </c>
      <c r="Z1604" s="9" t="inlineStr"/>
    </row>
    <row r="1605">
      <c r="A1605" s="9" t="inlineStr">
        <is>
          <t>G-I-0102</t>
        </is>
      </c>
      <c r="B1605" s="9" t="inlineStr">
        <is>
          <t>G</t>
        </is>
      </c>
      <c r="C1605" s="9" t="inlineStr">
        <is>
          <t>Carbon capture</t>
        </is>
      </c>
      <c r="D1605" s="9" t="inlineStr">
        <is>
          <t>Instrumentation</t>
        </is>
      </c>
      <c r="E1605" s="9" t="inlineStr"/>
      <c r="F1605" s="9" t="inlineStr">
        <is>
          <t>CCS F&amp;G / control</t>
        </is>
      </c>
      <c r="G1605" s="9" t="inlineStr"/>
      <c r="H1605" s="9" t="inlineStr">
        <is>
          <t>Water-wash pumps A</t>
        </is>
      </c>
      <c r="I1605" s="9" t="inlineStr">
        <is>
          <t>Instrumentation</t>
        </is>
      </c>
      <c r="J1605" s="9" t="inlineStr">
        <is>
          <t>Instrumentation PLTC / TC-ER 300 V, #18 twisted shielded pairs, overall shield</t>
        </is>
      </c>
      <c r="K1605" s="9" t="inlineStr">
        <is>
          <t>PLTC|12 pr|18</t>
        </is>
      </c>
      <c r="L1605" s="9" t="inlineStr">
        <is>
          <t>12 pr</t>
        </is>
      </c>
      <c r="M1605" s="9" t="inlineStr">
        <is>
          <t>18</t>
        </is>
      </c>
      <c r="N1605" s="9" t="n">
        <v>1</v>
      </c>
      <c r="O1605" s="9" t="n">
        <v>1</v>
      </c>
      <c r="P1605" s="9" t="n"/>
      <c r="Q1605" s="9" t="n"/>
      <c r="R1605" s="9" t="n"/>
      <c r="S1605" s="9" t="inlineStr">
        <is>
          <t>Tray</t>
        </is>
      </c>
      <c r="T1605" s="10" t="n">
        <v>868</v>
      </c>
      <c r="U1605" s="10" t="n">
        <v>135</v>
      </c>
      <c r="V1605" s="10">
        <f>ROUNDUP((T1605+U1605+2*'Read Me'!$B$13)*(1+'Read Me'!$B$12),-1)</f>
        <v/>
      </c>
      <c r="W1605" s="10">
        <f>V1605*N1605*O1605</f>
        <v/>
      </c>
      <c r="X1605" s="9">
        <f>IF(LEFT(I1605,2)="MV",2*N1605*IF(L1605="1/C",O1605,1),0)</f>
        <v/>
      </c>
      <c r="Y1605" s="9">
        <f>IF(OR(LEFT(K1605,4)="LVAX",LEFT(K1605,6)="MV15AX",LEFT(K1605,4)="CTAX",LEFT(K1605,2)="W|"),2*N1605*O1605,0)</f>
        <v/>
      </c>
      <c r="Z1605" s="9" t="inlineStr"/>
    </row>
    <row r="1606">
      <c r="A1606" s="9" t="inlineStr">
        <is>
          <t>G-I-0103</t>
        </is>
      </c>
      <c r="B1606" s="9" t="inlineStr">
        <is>
          <t>G</t>
        </is>
      </c>
      <c r="C1606" s="9" t="inlineStr">
        <is>
          <t>Carbon capture</t>
        </is>
      </c>
      <c r="D1606" s="9" t="inlineStr">
        <is>
          <t>Instrumentation</t>
        </is>
      </c>
      <c r="E1606" s="9" t="inlineStr"/>
      <c r="F1606" s="9" t="inlineStr">
        <is>
          <t>CCS F&amp;G / control</t>
        </is>
      </c>
      <c r="G1606" s="9" t="inlineStr"/>
      <c r="H1606" s="9" t="inlineStr">
        <is>
          <t>Water-wash pumps B</t>
        </is>
      </c>
      <c r="I1606" s="9" t="inlineStr">
        <is>
          <t>Instrumentation</t>
        </is>
      </c>
      <c r="J1606" s="9" t="inlineStr">
        <is>
          <t>Instrumentation PLTC / TC-ER 300 V, #18 twisted shielded pairs, overall shield</t>
        </is>
      </c>
      <c r="K1606" s="9" t="inlineStr">
        <is>
          <t>PLTC|4 pr|18</t>
        </is>
      </c>
      <c r="L1606" s="9" t="inlineStr">
        <is>
          <t>4 pr</t>
        </is>
      </c>
      <c r="M1606" s="9" t="inlineStr">
        <is>
          <t>18</t>
        </is>
      </c>
      <c r="N1606" s="9" t="n">
        <v>1</v>
      </c>
      <c r="O1606" s="9" t="n">
        <v>1</v>
      </c>
      <c r="P1606" s="9" t="n"/>
      <c r="Q1606" s="9" t="n"/>
      <c r="R1606" s="9" t="n"/>
      <c r="S1606" s="9" t="inlineStr">
        <is>
          <t>Duct bank</t>
        </is>
      </c>
      <c r="T1606" s="10" t="n">
        <v>708</v>
      </c>
      <c r="U1606" s="10" t="n">
        <v>135</v>
      </c>
      <c r="V1606" s="10">
        <f>ROUNDUP((T1606+U1606+2*'Read Me'!$B$13)*(1+'Read Me'!$B$12),-1)</f>
        <v/>
      </c>
      <c r="W1606" s="10">
        <f>V1606*N1606*O1606</f>
        <v/>
      </c>
      <c r="X1606" s="9">
        <f>IF(LEFT(I1606,2)="MV",2*N1606*IF(L1606="1/C",O1606,1),0)</f>
        <v/>
      </c>
      <c r="Y1606" s="9">
        <f>IF(OR(LEFT(K1606,4)="LVAX",LEFT(K1606,6)="MV15AX",LEFT(K1606,4)="CTAX",LEFT(K1606,2)="W|"),2*N1606*O1606,0)</f>
        <v/>
      </c>
      <c r="Z1606" s="9" t="inlineStr"/>
    </row>
    <row r="1607">
      <c r="A1607" s="9" t="inlineStr">
        <is>
          <t>G-I-0104</t>
        </is>
      </c>
      <c r="B1607" s="9" t="inlineStr">
        <is>
          <t>G</t>
        </is>
      </c>
      <c r="C1607" s="9" t="inlineStr">
        <is>
          <t>Carbon capture</t>
        </is>
      </c>
      <c r="D1607" s="9" t="inlineStr">
        <is>
          <t>Instrumentation</t>
        </is>
      </c>
      <c r="E1607" s="9" t="inlineStr"/>
      <c r="F1607" s="9" t="inlineStr">
        <is>
          <t>CCS F&amp;G / control</t>
        </is>
      </c>
      <c r="G1607" s="9" t="inlineStr"/>
      <c r="H1607" s="9" t="inlineStr">
        <is>
          <t>Water-wash pumps B</t>
        </is>
      </c>
      <c r="I1607" s="9" t="inlineStr">
        <is>
          <t>Instrumentation</t>
        </is>
      </c>
      <c r="J1607" s="9" t="inlineStr">
        <is>
          <t>Instrumentation PLTC / TC-ER 300 V, #18 twisted shielded pairs, overall shield</t>
        </is>
      </c>
      <c r="K1607" s="9" t="inlineStr">
        <is>
          <t>PLTC|12 pr|18</t>
        </is>
      </c>
      <c r="L1607" s="9" t="inlineStr">
        <is>
          <t>12 pr</t>
        </is>
      </c>
      <c r="M1607" s="9" t="inlineStr">
        <is>
          <t>18</t>
        </is>
      </c>
      <c r="N1607" s="9" t="n">
        <v>1</v>
      </c>
      <c r="O1607" s="9" t="n">
        <v>1</v>
      </c>
      <c r="P1607" s="9" t="n"/>
      <c r="Q1607" s="9" t="n"/>
      <c r="R1607" s="9" t="n"/>
      <c r="S1607" s="9" t="inlineStr">
        <is>
          <t>Duct bank</t>
        </is>
      </c>
      <c r="T1607" s="10" t="n">
        <v>708</v>
      </c>
      <c r="U1607" s="10" t="n">
        <v>135</v>
      </c>
      <c r="V1607" s="10">
        <f>ROUNDUP((T1607+U1607+2*'Read Me'!$B$13)*(1+'Read Me'!$B$12),-1)</f>
        <v/>
      </c>
      <c r="W1607" s="10">
        <f>V1607*N1607*O1607</f>
        <v/>
      </c>
      <c r="X1607" s="9">
        <f>IF(LEFT(I1607,2)="MV",2*N1607*IF(L1607="1/C",O1607,1),0)</f>
        <v/>
      </c>
      <c r="Y1607" s="9">
        <f>IF(OR(LEFT(K1607,4)="LVAX",LEFT(K1607,6)="MV15AX",LEFT(K1607,4)="CTAX",LEFT(K1607,2)="W|"),2*N1607*O1607,0)</f>
        <v/>
      </c>
      <c r="Z1607" s="9" t="inlineStr"/>
    </row>
    <row r="1608">
      <c r="A1608" s="9" t="inlineStr">
        <is>
          <t>G-I-0105</t>
        </is>
      </c>
      <c r="B1608" s="9" t="inlineStr">
        <is>
          <t>G</t>
        </is>
      </c>
      <c r="C1608" s="9" t="inlineStr">
        <is>
          <t>Carbon capture</t>
        </is>
      </c>
      <c r="D1608" s="9" t="inlineStr">
        <is>
          <t>Instrumentation</t>
        </is>
      </c>
      <c r="E1608" s="9" t="inlineStr"/>
      <c r="F1608" s="9" t="inlineStr">
        <is>
          <t>CCS F&amp;G / control</t>
        </is>
      </c>
      <c r="G1608" s="9" t="inlineStr"/>
      <c r="H1608" s="9" t="inlineStr">
        <is>
          <t>Water-wash pumps C</t>
        </is>
      </c>
      <c r="I1608" s="9" t="inlineStr">
        <is>
          <t>Instrumentation</t>
        </is>
      </c>
      <c r="J1608" s="9" t="inlineStr">
        <is>
          <t>Instrumentation PLTC / TC-ER 300 V, #18 twisted shielded pairs, overall shield</t>
        </is>
      </c>
      <c r="K1608" s="9" t="inlineStr">
        <is>
          <t>PLTC|4 pr|18</t>
        </is>
      </c>
      <c r="L1608" s="9" t="inlineStr">
        <is>
          <t>4 pr</t>
        </is>
      </c>
      <c r="M1608" s="9" t="inlineStr">
        <is>
          <t>18</t>
        </is>
      </c>
      <c r="N1608" s="9" t="n">
        <v>1</v>
      </c>
      <c r="O1608" s="9" t="n">
        <v>1</v>
      </c>
      <c r="P1608" s="9" t="n"/>
      <c r="Q1608" s="9" t="n"/>
      <c r="R1608" s="9" t="n"/>
      <c r="S1608" s="9" t="inlineStr">
        <is>
          <t>Duct bank</t>
        </is>
      </c>
      <c r="T1608" s="10" t="n">
        <v>548</v>
      </c>
      <c r="U1608" s="10" t="n">
        <v>135</v>
      </c>
      <c r="V1608" s="10">
        <f>ROUNDUP((T1608+U1608+2*'Read Me'!$B$13)*(1+'Read Me'!$B$12),-1)</f>
        <v/>
      </c>
      <c r="W1608" s="10">
        <f>V1608*N1608*O1608</f>
        <v/>
      </c>
      <c r="X1608" s="9">
        <f>IF(LEFT(I1608,2)="MV",2*N1608*IF(L1608="1/C",O1608,1),0)</f>
        <v/>
      </c>
      <c r="Y1608" s="9">
        <f>IF(OR(LEFT(K1608,4)="LVAX",LEFT(K1608,6)="MV15AX",LEFT(K1608,4)="CTAX",LEFT(K1608,2)="W|"),2*N1608*O1608,0)</f>
        <v/>
      </c>
      <c r="Z1608" s="9" t="inlineStr"/>
    </row>
    <row r="1609">
      <c r="A1609" s="9" t="inlineStr">
        <is>
          <t>G-I-0106</t>
        </is>
      </c>
      <c r="B1609" s="9" t="inlineStr">
        <is>
          <t>G</t>
        </is>
      </c>
      <c r="C1609" s="9" t="inlineStr">
        <is>
          <t>Carbon capture</t>
        </is>
      </c>
      <c r="D1609" s="9" t="inlineStr">
        <is>
          <t>Instrumentation</t>
        </is>
      </c>
      <c r="E1609" s="9" t="inlineStr"/>
      <c r="F1609" s="9" t="inlineStr">
        <is>
          <t>CCS F&amp;G / control</t>
        </is>
      </c>
      <c r="G1609" s="9" t="inlineStr"/>
      <c r="H1609" s="9" t="inlineStr">
        <is>
          <t>Water-wash pumps C</t>
        </is>
      </c>
      <c r="I1609" s="9" t="inlineStr">
        <is>
          <t>Instrumentation</t>
        </is>
      </c>
      <c r="J1609" s="9" t="inlineStr">
        <is>
          <t>Instrumentation PLTC / TC-ER 300 V, #18 twisted shielded pairs, overall shield</t>
        </is>
      </c>
      <c r="K1609" s="9" t="inlineStr">
        <is>
          <t>PLTC|12 pr|18</t>
        </is>
      </c>
      <c r="L1609" s="9" t="inlineStr">
        <is>
          <t>12 pr</t>
        </is>
      </c>
      <c r="M1609" s="9" t="inlineStr">
        <is>
          <t>18</t>
        </is>
      </c>
      <c r="N1609" s="9" t="n">
        <v>1</v>
      </c>
      <c r="O1609" s="9" t="n">
        <v>1</v>
      </c>
      <c r="P1609" s="9" t="n"/>
      <c r="Q1609" s="9" t="n"/>
      <c r="R1609" s="9" t="n"/>
      <c r="S1609" s="9" t="inlineStr">
        <is>
          <t>Duct bank</t>
        </is>
      </c>
      <c r="T1609" s="10" t="n">
        <v>548</v>
      </c>
      <c r="U1609" s="10" t="n">
        <v>135</v>
      </c>
      <c r="V1609" s="10">
        <f>ROUNDUP((T1609+U1609+2*'Read Me'!$B$13)*(1+'Read Me'!$B$12),-1)</f>
        <v/>
      </c>
      <c r="W1609" s="10">
        <f>V1609*N1609*O1609</f>
        <v/>
      </c>
      <c r="X1609" s="9">
        <f>IF(LEFT(I1609,2)="MV",2*N1609*IF(L1609="1/C",O1609,1),0)</f>
        <v/>
      </c>
      <c r="Y1609" s="9">
        <f>IF(OR(LEFT(K1609,4)="LVAX",LEFT(K1609,6)="MV15AX",LEFT(K1609,4)="CTAX",LEFT(K1609,2)="W|"),2*N1609*O1609,0)</f>
        <v/>
      </c>
      <c r="Z1609" s="9" t="inlineStr"/>
    </row>
    <row r="1610">
      <c r="A1610" s="9" t="inlineStr">
        <is>
          <t>G-P-0001</t>
        </is>
      </c>
      <c r="B1610" s="9" t="inlineStr">
        <is>
          <t>G</t>
        </is>
      </c>
      <c r="C1610" s="9" t="inlineStr">
        <is>
          <t>Carbon capture</t>
        </is>
      </c>
      <c r="D1610" s="9" t="inlineStr">
        <is>
          <t>LV power feeder</t>
        </is>
      </c>
      <c r="E1610" s="9" t="inlineStr"/>
      <c r="F1610" s="9" t="inlineStr">
        <is>
          <t>CT MCC / VFD e-house</t>
        </is>
      </c>
      <c r="G1610" s="9" t="inlineStr">
        <is>
          <t>ABS-A</t>
        </is>
      </c>
      <c r="H1610" s="9" t="inlineStr">
        <is>
          <t>Absorber A (62 ft dia x 262 ft, stack to 313 ft)</t>
        </is>
      </c>
      <c r="I1610" s="9" t="inlineStr">
        <is>
          <t>LV 600 V</t>
        </is>
      </c>
      <c r="J1610" s="9" t="inlineStr">
        <is>
          <t>Type TC-ER 600 V 3/C Cu XHHW-2 + ground, PVC jacket</t>
        </is>
      </c>
      <c r="K1610" s="9" t="inlineStr">
        <is>
          <t>LV|3/C+G|3/0</t>
        </is>
      </c>
      <c r="L1610" s="9" t="inlineStr">
        <is>
          <t>3/C+G</t>
        </is>
      </c>
      <c r="M1610" s="9" t="inlineStr">
        <is>
          <t>3/0</t>
        </is>
      </c>
      <c r="N1610" s="9" t="n">
        <v>1</v>
      </c>
      <c r="O1610" s="9" t="n">
        <v>1</v>
      </c>
      <c r="P1610" s="9" t="n">
        <v>480</v>
      </c>
      <c r="Q1610" s="9" t="n">
        <v>40</v>
      </c>
      <c r="R1610" s="9" t="n">
        <v>57</v>
      </c>
      <c r="S1610" s="9" t="inlineStr">
        <is>
          <t>Duct bank</t>
        </is>
      </c>
      <c r="T1610" s="10" t="n">
        <v>1664</v>
      </c>
      <c r="U1610" s="10" t="n">
        <v>50</v>
      </c>
      <c r="V1610" s="10">
        <f>ROUNDUP((T1610+U1610+2*'Read Me'!$B$13)*(1+'Read Me'!$B$12),-1)</f>
        <v/>
      </c>
      <c r="W1610" s="10">
        <f>V1610*N1610*O1610</f>
        <v/>
      </c>
      <c r="X1610" s="9">
        <f>IF(LEFT(I1610,2)="MV",2*N1610*IF(L1610="1/C",O1610,1),0)</f>
        <v/>
      </c>
      <c r="Y1610" s="9">
        <f>IF(OR(LEFT(K1610,4)="LVAX",LEFT(K1610,6)="MV15AX",LEFT(K1610,4)="CTAX",LEFT(K1610,2)="W|"),2*N1610*O1610,0)</f>
        <v/>
      </c>
      <c r="Z1610" s="9" t="inlineStr">
        <is>
          <t>VD 3.0 %</t>
        </is>
      </c>
    </row>
    <row r="1611">
      <c r="A1611" s="9" t="inlineStr">
        <is>
          <t>G-P-0002</t>
        </is>
      </c>
      <c r="B1611" s="9" t="inlineStr">
        <is>
          <t>G</t>
        </is>
      </c>
      <c r="C1611" s="9" t="inlineStr">
        <is>
          <t>Carbon capture</t>
        </is>
      </c>
      <c r="D1611" s="9" t="inlineStr">
        <is>
          <t>LV power feeder</t>
        </is>
      </c>
      <c r="E1611" s="9" t="inlineStr"/>
      <c r="F1611" s="9" t="inlineStr">
        <is>
          <t>CT MCC / VFD e-house</t>
        </is>
      </c>
      <c r="G1611" s="9" t="inlineStr"/>
      <c r="H1611" s="9" t="inlineStr">
        <is>
          <t>Absorber A intercooler (pumps + plate exchanger)</t>
        </is>
      </c>
      <c r="I1611" s="9" t="inlineStr">
        <is>
          <t>LV 600 V</t>
        </is>
      </c>
      <c r="J1611" s="9" t="inlineStr">
        <is>
          <t>Type TC-ER 600 V 3/C Cu XHHW-2 + ground, PVC jacket</t>
        </is>
      </c>
      <c r="K1611" s="9" t="inlineStr">
        <is>
          <t>LV|3/C+G|500</t>
        </is>
      </c>
      <c r="L1611" s="9" t="inlineStr">
        <is>
          <t>3/C+G</t>
        </is>
      </c>
      <c r="M1611" s="9" t="inlineStr">
        <is>
          <t>500 kcmil</t>
        </is>
      </c>
      <c r="N1611" s="9" t="n">
        <v>3</v>
      </c>
      <c r="O1611" s="9" t="n">
        <v>1</v>
      </c>
      <c r="P1611" s="9" t="n">
        <v>480</v>
      </c>
      <c r="Q1611" s="9" t="n">
        <v>300</v>
      </c>
      <c r="R1611" s="9" t="n">
        <v>425</v>
      </c>
      <c r="S1611" s="9" t="inlineStr">
        <is>
          <t>Duct bank</t>
        </is>
      </c>
      <c r="T1611" s="10" t="n">
        <v>1646</v>
      </c>
      <c r="U1611" s="10" t="n">
        <v>51</v>
      </c>
      <c r="V1611" s="10">
        <f>ROUNDUP((T1611+U1611+2*'Read Me'!$B$13)*(1+'Read Me'!$B$12),-1)</f>
        <v/>
      </c>
      <c r="W1611" s="10">
        <f>V1611*N1611*O1611</f>
        <v/>
      </c>
      <c r="X1611" s="9">
        <f>IF(LEFT(I1611,2)="MV",2*N1611*IF(L1611="1/C",O1611,1),0)</f>
        <v/>
      </c>
      <c r="Y1611" s="9">
        <f>IF(OR(LEFT(K1611,4)="LVAX",LEFT(K1611,6)="MV15AX",LEFT(K1611,4)="CTAX",LEFT(K1611,2)="W|"),2*N1611*O1611,0)</f>
        <v/>
      </c>
      <c r="Z1611" s="9" t="inlineStr">
        <is>
          <t>VD 2.5 %</t>
        </is>
      </c>
    </row>
    <row r="1612">
      <c r="A1612" s="9" t="inlineStr">
        <is>
          <t>G-P-0003</t>
        </is>
      </c>
      <c r="B1612" s="9" t="inlineStr">
        <is>
          <t>G</t>
        </is>
      </c>
      <c r="C1612" s="9" t="inlineStr">
        <is>
          <t>Carbon capture</t>
        </is>
      </c>
      <c r="D1612" s="9" t="inlineStr">
        <is>
          <t>LV power feeder</t>
        </is>
      </c>
      <c r="E1612" s="9" t="inlineStr"/>
      <c r="F1612" s="9" t="inlineStr">
        <is>
          <t>CT MCC / VFD e-house</t>
        </is>
      </c>
      <c r="G1612" s="9" t="inlineStr">
        <is>
          <t>ABS-B</t>
        </is>
      </c>
      <c r="H1612" s="9" t="inlineStr">
        <is>
          <t>Absorber B (62 ft dia x 262 ft, stack to 313 ft)</t>
        </is>
      </c>
      <c r="I1612" s="9" t="inlineStr">
        <is>
          <t>LV 600 V</t>
        </is>
      </c>
      <c r="J1612" s="9" t="inlineStr">
        <is>
          <t>Type TC-ER 600 V 3/C Cu XHHW-2 + ground, PVC jacket</t>
        </is>
      </c>
      <c r="K1612" s="9" t="inlineStr">
        <is>
          <t>LV|3/C+G|3/0</t>
        </is>
      </c>
      <c r="L1612" s="9" t="inlineStr">
        <is>
          <t>3/C+G</t>
        </is>
      </c>
      <c r="M1612" s="9" t="inlineStr">
        <is>
          <t>3/0</t>
        </is>
      </c>
      <c r="N1612" s="9" t="n">
        <v>1</v>
      </c>
      <c r="O1612" s="9" t="n">
        <v>1</v>
      </c>
      <c r="P1612" s="9" t="n">
        <v>480</v>
      </c>
      <c r="Q1612" s="9" t="n">
        <v>40</v>
      </c>
      <c r="R1612" s="9" t="n">
        <v>57</v>
      </c>
      <c r="S1612" s="9" t="inlineStr">
        <is>
          <t>Duct bank</t>
        </is>
      </c>
      <c r="T1612" s="10" t="n">
        <v>1504</v>
      </c>
      <c r="U1612" s="10" t="n">
        <v>50</v>
      </c>
      <c r="V1612" s="10">
        <f>ROUNDUP((T1612+U1612+2*'Read Me'!$B$13)*(1+'Read Me'!$B$12),-1)</f>
        <v/>
      </c>
      <c r="W1612" s="10">
        <f>V1612*N1612*O1612</f>
        <v/>
      </c>
      <c r="X1612" s="9">
        <f>IF(LEFT(I1612,2)="MV",2*N1612*IF(L1612="1/C",O1612,1),0)</f>
        <v/>
      </c>
      <c r="Y1612" s="9">
        <f>IF(OR(LEFT(K1612,4)="LVAX",LEFT(K1612,6)="MV15AX",LEFT(K1612,4)="CTAX",LEFT(K1612,2)="W|"),2*N1612*O1612,0)</f>
        <v/>
      </c>
      <c r="Z1612" s="9" t="inlineStr">
        <is>
          <t>VD 2.7 %</t>
        </is>
      </c>
    </row>
    <row r="1613">
      <c r="A1613" s="9" t="inlineStr">
        <is>
          <t>G-P-0004</t>
        </is>
      </c>
      <c r="B1613" s="9" t="inlineStr">
        <is>
          <t>G</t>
        </is>
      </c>
      <c r="C1613" s="9" t="inlineStr">
        <is>
          <t>Carbon capture</t>
        </is>
      </c>
      <c r="D1613" s="9" t="inlineStr">
        <is>
          <t>LV power feeder</t>
        </is>
      </c>
      <c r="E1613" s="9" t="inlineStr"/>
      <c r="F1613" s="9" t="inlineStr">
        <is>
          <t>CT MCC / VFD e-house</t>
        </is>
      </c>
      <c r="G1613" s="9" t="inlineStr"/>
      <c r="H1613" s="9" t="inlineStr">
        <is>
          <t>Absorber B intercooler (pumps + plate exchanger)</t>
        </is>
      </c>
      <c r="I1613" s="9" t="inlineStr">
        <is>
          <t>LV 600 V</t>
        </is>
      </c>
      <c r="J1613" s="9" t="inlineStr">
        <is>
          <t>Type TC-ER 600 V 3/C Cu XHHW-2 + ground, PVC jacket</t>
        </is>
      </c>
      <c r="K1613" s="9" t="inlineStr">
        <is>
          <t>LV|3/C+G|500</t>
        </is>
      </c>
      <c r="L1613" s="9" t="inlineStr">
        <is>
          <t>3/C+G</t>
        </is>
      </c>
      <c r="M1613" s="9" t="inlineStr">
        <is>
          <t>500 kcmil</t>
        </is>
      </c>
      <c r="N1613" s="9" t="n">
        <v>3</v>
      </c>
      <c r="O1613" s="9" t="n">
        <v>1</v>
      </c>
      <c r="P1613" s="9" t="n">
        <v>480</v>
      </c>
      <c r="Q1613" s="9" t="n">
        <v>300</v>
      </c>
      <c r="R1613" s="9" t="n">
        <v>425</v>
      </c>
      <c r="S1613" s="9" t="inlineStr">
        <is>
          <t>Duct bank</t>
        </is>
      </c>
      <c r="T1613" s="10" t="n">
        <v>1486</v>
      </c>
      <c r="U1613" s="10" t="n">
        <v>51</v>
      </c>
      <c r="V1613" s="10">
        <f>ROUNDUP((T1613+U1613+2*'Read Me'!$B$13)*(1+'Read Me'!$B$12),-1)</f>
        <v/>
      </c>
      <c r="W1613" s="10">
        <f>V1613*N1613*O1613</f>
        <v/>
      </c>
      <c r="X1613" s="9">
        <f>IF(LEFT(I1613,2)="MV",2*N1613*IF(L1613="1/C",O1613,1),0)</f>
        <v/>
      </c>
      <c r="Y1613" s="9">
        <f>IF(OR(LEFT(K1613,4)="LVAX",LEFT(K1613,6)="MV15AX",LEFT(K1613,4)="CTAX",LEFT(K1613,2)="W|"),2*N1613*O1613,0)</f>
        <v/>
      </c>
      <c r="Z1613" s="9" t="inlineStr">
        <is>
          <t>VD 2.2 %</t>
        </is>
      </c>
    </row>
    <row r="1614">
      <c r="A1614" s="9" t="inlineStr">
        <is>
          <t>G-P-0005</t>
        </is>
      </c>
      <c r="B1614" s="9" t="inlineStr">
        <is>
          <t>G</t>
        </is>
      </c>
      <c r="C1614" s="9" t="inlineStr">
        <is>
          <t>Carbon capture</t>
        </is>
      </c>
      <c r="D1614" s="9" t="inlineStr">
        <is>
          <t>LV power feeder</t>
        </is>
      </c>
      <c r="E1614" s="9" t="inlineStr"/>
      <c r="F1614" s="9" t="inlineStr">
        <is>
          <t>CT MCC / VFD e-house</t>
        </is>
      </c>
      <c r="G1614" s="9" t="inlineStr">
        <is>
          <t>ABS-C</t>
        </is>
      </c>
      <c r="H1614" s="9" t="inlineStr">
        <is>
          <t>Absorber C (62 ft dia x 262 ft, stack to 313 ft)</t>
        </is>
      </c>
      <c r="I1614" s="9" t="inlineStr">
        <is>
          <t>LV 600 V</t>
        </is>
      </c>
      <c r="J1614" s="9" t="inlineStr">
        <is>
          <t>Type TC-ER 600 V 3/C Cu XHHW-2 + ground, PVC jacket</t>
        </is>
      </c>
      <c r="K1614" s="9" t="inlineStr">
        <is>
          <t>LV|3/C+G|3/0</t>
        </is>
      </c>
      <c r="L1614" s="9" t="inlineStr">
        <is>
          <t>3/C+G</t>
        </is>
      </c>
      <c r="M1614" s="9" t="inlineStr">
        <is>
          <t>3/0</t>
        </is>
      </c>
      <c r="N1614" s="9" t="n">
        <v>1</v>
      </c>
      <c r="O1614" s="9" t="n">
        <v>1</v>
      </c>
      <c r="P1614" s="9" t="n">
        <v>480</v>
      </c>
      <c r="Q1614" s="9" t="n">
        <v>40</v>
      </c>
      <c r="R1614" s="9" t="n">
        <v>57</v>
      </c>
      <c r="S1614" s="9" t="inlineStr">
        <is>
          <t>Duct bank</t>
        </is>
      </c>
      <c r="T1614" s="10" t="n">
        <v>1344</v>
      </c>
      <c r="U1614" s="10" t="n">
        <v>50</v>
      </c>
      <c r="V1614" s="10">
        <f>ROUNDUP((T1614+U1614+2*'Read Me'!$B$13)*(1+'Read Me'!$B$12),-1)</f>
        <v/>
      </c>
      <c r="W1614" s="10">
        <f>V1614*N1614*O1614</f>
        <v/>
      </c>
      <c r="X1614" s="9">
        <f>IF(LEFT(I1614,2)="MV",2*N1614*IF(L1614="1/C",O1614,1),0)</f>
        <v/>
      </c>
      <c r="Y1614" s="9">
        <f>IF(OR(LEFT(K1614,4)="LVAX",LEFT(K1614,6)="MV15AX",LEFT(K1614,4)="CTAX",LEFT(K1614,2)="W|"),2*N1614*O1614,0)</f>
        <v/>
      </c>
      <c r="Z1614" s="9" t="inlineStr">
        <is>
          <t>VD 2.4 %</t>
        </is>
      </c>
    </row>
    <row r="1615">
      <c r="A1615" s="9" t="inlineStr">
        <is>
          <t>G-P-0006</t>
        </is>
      </c>
      <c r="B1615" s="9" t="inlineStr">
        <is>
          <t>G</t>
        </is>
      </c>
      <c r="C1615" s="9" t="inlineStr">
        <is>
          <t>Carbon capture</t>
        </is>
      </c>
      <c r="D1615" s="9" t="inlineStr">
        <is>
          <t>LV power feeder</t>
        </is>
      </c>
      <c r="E1615" s="9" t="inlineStr"/>
      <c r="F1615" s="9" t="inlineStr">
        <is>
          <t>CT MCC / VFD e-house</t>
        </is>
      </c>
      <c r="G1615" s="9" t="inlineStr"/>
      <c r="H1615" s="9" t="inlineStr">
        <is>
          <t>Absorber C intercooler (pumps + plate exchanger)</t>
        </is>
      </c>
      <c r="I1615" s="9" t="inlineStr">
        <is>
          <t>LV 600 V</t>
        </is>
      </c>
      <c r="J1615" s="9" t="inlineStr">
        <is>
          <t>Type TC-ER 600 V 3/C Cu XHHW-2 + ground, PVC jacket</t>
        </is>
      </c>
      <c r="K1615" s="9" t="inlineStr">
        <is>
          <t>LV|3/C+G|500</t>
        </is>
      </c>
      <c r="L1615" s="9" t="inlineStr">
        <is>
          <t>3/C+G</t>
        </is>
      </c>
      <c r="M1615" s="9" t="inlineStr">
        <is>
          <t>500 kcmil</t>
        </is>
      </c>
      <c r="N1615" s="9" t="n">
        <v>2</v>
      </c>
      <c r="O1615" s="9" t="n">
        <v>1</v>
      </c>
      <c r="P1615" s="9" t="n">
        <v>480</v>
      </c>
      <c r="Q1615" s="9" t="n">
        <v>300</v>
      </c>
      <c r="R1615" s="9" t="n">
        <v>425</v>
      </c>
      <c r="S1615" s="9" t="inlineStr">
        <is>
          <t>Duct bank</t>
        </is>
      </c>
      <c r="T1615" s="10" t="n">
        <v>1326</v>
      </c>
      <c r="U1615" s="10" t="n">
        <v>51</v>
      </c>
      <c r="V1615" s="10">
        <f>ROUNDUP((T1615+U1615+2*'Read Me'!$B$13)*(1+'Read Me'!$B$12),-1)</f>
        <v/>
      </c>
      <c r="W1615" s="10">
        <f>V1615*N1615*O1615</f>
        <v/>
      </c>
      <c r="X1615" s="9">
        <f>IF(LEFT(I1615,2)="MV",2*N1615*IF(L1615="1/C",O1615,1),0)</f>
        <v/>
      </c>
      <c r="Y1615" s="9">
        <f>IF(OR(LEFT(K1615,4)="LVAX",LEFT(K1615,6)="MV15AX",LEFT(K1615,4)="CTAX",LEFT(K1615,2)="W|"),2*N1615*O1615,0)</f>
        <v/>
      </c>
      <c r="Z1615" s="9" t="inlineStr">
        <is>
          <t>VD 3.0 %</t>
        </is>
      </c>
    </row>
    <row r="1616">
      <c r="A1616" s="9" t="inlineStr">
        <is>
          <t>G-P-0007</t>
        </is>
      </c>
      <c r="B1616" s="9" t="inlineStr">
        <is>
          <t>G</t>
        </is>
      </c>
      <c r="C1616" s="9" t="inlineStr">
        <is>
          <t>Carbon capture</t>
        </is>
      </c>
      <c r="D1616" s="9" t="inlineStr">
        <is>
          <t>LV power feeder</t>
        </is>
      </c>
      <c r="E1616" s="9" t="inlineStr"/>
      <c r="F1616" s="9" t="inlineStr">
        <is>
          <t>CT MCC / VFD e-house</t>
        </is>
      </c>
      <c r="G1616" s="9" t="inlineStr"/>
      <c r="H1616" s="9" t="inlineStr">
        <is>
          <t>Activated-carbon filter</t>
        </is>
      </c>
      <c r="I1616" s="9" t="inlineStr">
        <is>
          <t>LV 600 V</t>
        </is>
      </c>
      <c r="J1616" s="9" t="inlineStr">
        <is>
          <t>Type TC-ER 600 V 3/C Cu XHHW-2 + ground, PVC jacket</t>
        </is>
      </c>
      <c r="K1616" s="9" t="inlineStr">
        <is>
          <t>LV|3/C+G|6</t>
        </is>
      </c>
      <c r="L1616" s="9" t="inlineStr">
        <is>
          <t>3/C+G</t>
        </is>
      </c>
      <c r="M1616" s="9" t="inlineStr">
        <is>
          <t>6</t>
        </is>
      </c>
      <c r="N1616" s="9" t="n">
        <v>1</v>
      </c>
      <c r="O1616" s="9" t="n">
        <v>1</v>
      </c>
      <c r="P1616" s="9" t="n">
        <v>480</v>
      </c>
      <c r="Q1616" s="9" t="n">
        <v>15</v>
      </c>
      <c r="R1616" s="9" t="n">
        <v>21</v>
      </c>
      <c r="S1616" s="9" t="inlineStr">
        <is>
          <t>Duct bank</t>
        </is>
      </c>
      <c r="T1616" s="10" t="n">
        <v>605</v>
      </c>
      <c r="U1616" s="10" t="n">
        <v>37</v>
      </c>
      <c r="V1616" s="10">
        <f>ROUNDUP((T1616+U1616+2*'Read Me'!$B$13)*(1+'Read Me'!$B$12),-1)</f>
        <v/>
      </c>
      <c r="W1616" s="10">
        <f>V1616*N1616*O1616</f>
        <v/>
      </c>
      <c r="X1616" s="9">
        <f>IF(LEFT(I1616,2)="MV",2*N1616*IF(L1616="1/C",O1616,1),0)</f>
        <v/>
      </c>
      <c r="Y1616" s="9">
        <f>IF(OR(LEFT(K1616,4)="LVAX",LEFT(K1616,6)="MV15AX",LEFT(K1616,4)="CTAX",LEFT(K1616,2)="W|"),2*N1616*O1616,0)</f>
        <v/>
      </c>
      <c r="Z1616" s="9" t="inlineStr">
        <is>
          <t>VD 2.7 %</t>
        </is>
      </c>
    </row>
    <row r="1617">
      <c r="A1617" s="9" t="inlineStr">
        <is>
          <t>G-P-0008</t>
        </is>
      </c>
      <c r="B1617" s="9" t="inlineStr">
        <is>
          <t>G</t>
        </is>
      </c>
      <c r="C1617" s="9" t="inlineStr">
        <is>
          <t>Carbon capture</t>
        </is>
      </c>
      <c r="D1617" s="9" t="inlineStr">
        <is>
          <t>LV panel / distribution feeder</t>
        </is>
      </c>
      <c r="E1617" s="9" t="inlineStr"/>
      <c r="F1617" s="9" t="inlineStr">
        <is>
          <t>CT MCC / VFD e-house</t>
        </is>
      </c>
      <c r="G1617" s="9" t="inlineStr"/>
      <c r="H1617" s="9" t="inlineStr">
        <is>
          <t>CCS F&amp;G / control</t>
        </is>
      </c>
      <c r="I1617" s="9" t="inlineStr">
        <is>
          <t>LV 600 V</t>
        </is>
      </c>
      <c r="J1617" s="9" t="inlineStr">
        <is>
          <t>Type TC-ER 600 V 3/C Cu XHHW-2 + ground, PVC jacket</t>
        </is>
      </c>
      <c r="K1617" s="9" t="inlineStr">
        <is>
          <t>LV|3/C+G|1/0</t>
        </is>
      </c>
      <c r="L1617" s="9" t="inlineStr">
        <is>
          <t>3/C+G</t>
        </is>
      </c>
      <c r="M1617" s="9" t="inlineStr">
        <is>
          <t>1/0</t>
        </is>
      </c>
      <c r="N1617" s="9" t="n">
        <v>1</v>
      </c>
      <c r="O1617" s="9" t="n">
        <v>1</v>
      </c>
      <c r="P1617" s="9" t="n">
        <v>480</v>
      </c>
      <c r="Q1617" s="9" t="n">
        <v>40</v>
      </c>
      <c r="R1617" s="9" t="n">
        <v>57</v>
      </c>
      <c r="S1617" s="9" t="inlineStr">
        <is>
          <t>Duct bank</t>
        </is>
      </c>
      <c r="T1617" s="10" t="n">
        <v>801</v>
      </c>
      <c r="U1617" s="10" t="n">
        <v>101</v>
      </c>
      <c r="V1617" s="10">
        <f>ROUNDUP((T1617+U1617+2*'Read Me'!$B$13)*(1+'Read Me'!$B$12),-1)</f>
        <v/>
      </c>
      <c r="W1617" s="10">
        <f>V1617*N1617*O1617</f>
        <v/>
      </c>
      <c r="X1617" s="9">
        <f>IF(LEFT(I1617,2)="MV",2*N1617*IF(L1617="1/C",O1617,1),0)</f>
        <v/>
      </c>
      <c r="Y1617" s="9">
        <f>IF(OR(LEFT(K1617,4)="LVAX",LEFT(K1617,6)="MV15AX",LEFT(K1617,4)="CTAX",LEFT(K1617,2)="W|"),2*N1617*O1617,0)</f>
        <v/>
      </c>
      <c r="Z1617" s="9" t="inlineStr">
        <is>
          <t>VD 2.5 %</t>
        </is>
      </c>
    </row>
    <row r="1618">
      <c r="A1618" s="9" t="inlineStr">
        <is>
          <t>G-P-0009</t>
        </is>
      </c>
      <c r="B1618" s="9" t="inlineStr">
        <is>
          <t>G</t>
        </is>
      </c>
      <c r="C1618" s="9" t="inlineStr">
        <is>
          <t>Carbon capture</t>
        </is>
      </c>
      <c r="D1618" s="9" t="inlineStr">
        <is>
          <t>LV panel / distribution feeder</t>
        </is>
      </c>
      <c r="E1618" s="9" t="inlineStr"/>
      <c r="F1618" s="9" t="inlineStr">
        <is>
          <t>CT MCC / VFD e-house</t>
        </is>
      </c>
      <c r="G1618" s="9" t="inlineStr"/>
      <c r="H1618" s="9" t="inlineStr">
        <is>
          <t>CCS MV switchgear building (VFDs)</t>
        </is>
      </c>
      <c r="I1618" s="9" t="inlineStr">
        <is>
          <t>LV 600 V</t>
        </is>
      </c>
      <c r="J1618" s="9" t="inlineStr">
        <is>
          <t>Type TC-ER 600 V 3/C Cu XHHW-2 + ground, PVC jacket</t>
        </is>
      </c>
      <c r="K1618" s="9" t="inlineStr">
        <is>
          <t>LV|3/C+G|250</t>
        </is>
      </c>
      <c r="L1618" s="9" t="inlineStr">
        <is>
          <t>3/C+G</t>
        </is>
      </c>
      <c r="M1618" s="9" t="inlineStr">
        <is>
          <t>250 kcmil</t>
        </is>
      </c>
      <c r="N1618" s="9" t="n">
        <v>1</v>
      </c>
      <c r="O1618" s="9" t="n">
        <v>1</v>
      </c>
      <c r="P1618" s="9" t="n">
        <v>480</v>
      </c>
      <c r="Q1618" s="9" t="n">
        <v>109</v>
      </c>
      <c r="R1618" s="9" t="n">
        <v>154</v>
      </c>
      <c r="S1618" s="9" t="inlineStr">
        <is>
          <t>Duct bank</t>
        </is>
      </c>
      <c r="T1618" s="10" t="n">
        <v>905</v>
      </c>
      <c r="U1618" s="10" t="n">
        <v>32</v>
      </c>
      <c r="V1618" s="10">
        <f>ROUNDUP((T1618+U1618+2*'Read Me'!$B$13)*(1+'Read Me'!$B$12),-1)</f>
        <v/>
      </c>
      <c r="W1618" s="10">
        <f>V1618*N1618*O1618</f>
        <v/>
      </c>
      <c r="X1618" s="9">
        <f>IF(LEFT(I1618,2)="MV",2*N1618*IF(L1618="1/C",O1618,1),0)</f>
        <v/>
      </c>
      <c r="Y1618" s="9">
        <f>IF(OR(LEFT(K1618,4)="LVAX",LEFT(K1618,6)="MV15AX",LEFT(K1618,4)="CTAX",LEFT(K1618,2)="W|"),2*N1618*O1618,0)</f>
        <v/>
      </c>
      <c r="Z1618" s="9" t="inlineStr">
        <is>
          <t>VD 3.0 %</t>
        </is>
      </c>
    </row>
    <row r="1619">
      <c r="A1619" s="9" t="inlineStr">
        <is>
          <t>G-P-0010</t>
        </is>
      </c>
      <c r="B1619" s="9" t="inlineStr">
        <is>
          <t>G</t>
        </is>
      </c>
      <c r="C1619" s="9" t="inlineStr">
        <is>
          <t>Carbon capture</t>
        </is>
      </c>
      <c r="D1619" s="9" t="inlineStr">
        <is>
          <t>LV power feeder</t>
        </is>
      </c>
      <c r="E1619" s="9" t="inlineStr"/>
      <c r="F1619" s="9" t="inlineStr">
        <is>
          <t>CT MCC / VFD e-house</t>
        </is>
      </c>
      <c r="G1619" s="9" t="inlineStr">
        <is>
          <t>CCS-CT</t>
        </is>
      </c>
      <c r="H1619" s="9" t="inlineStr">
        <is>
          <t>CCS cooling tower (~30 cells): CCS process cooling only</t>
        </is>
      </c>
      <c r="I1619" s="9" t="inlineStr">
        <is>
          <t>LV 600 V</t>
        </is>
      </c>
      <c r="J1619" s="9" t="inlineStr">
        <is>
          <t>Type TC-ER 600 V 3/C Cu XHHW-2 + ground, PVC jacket</t>
        </is>
      </c>
      <c r="K1619" s="9" t="inlineStr">
        <is>
          <t>LV|3/C+G|500</t>
        </is>
      </c>
      <c r="L1619" s="9" t="inlineStr">
        <is>
          <t>3/C+G</t>
        </is>
      </c>
      <c r="M1619" s="9" t="inlineStr">
        <is>
          <t>500 kcmil</t>
        </is>
      </c>
      <c r="N1619" s="9" t="n">
        <v>12</v>
      </c>
      <c r="O1619" s="9" t="n">
        <v>1</v>
      </c>
      <c r="P1619" s="9" t="n">
        <v>480</v>
      </c>
      <c r="Q1619" s="9" t="n">
        <v>3300</v>
      </c>
      <c r="R1619" s="9" t="n">
        <v>4670</v>
      </c>
      <c r="S1619" s="9" t="inlineStr">
        <is>
          <t>Tray</t>
        </is>
      </c>
      <c r="T1619" s="10" t="n">
        <v>0</v>
      </c>
      <c r="U1619" s="10" t="n">
        <v>48</v>
      </c>
      <c r="V1619" s="10">
        <f>ROUNDUP((T1619+U1619+2*'Read Me'!$B$13)*(1+'Read Me'!$B$12),-1)</f>
        <v/>
      </c>
      <c r="W1619" s="10">
        <f>V1619*N1619*O1619</f>
        <v/>
      </c>
      <c r="X1619" s="9">
        <f>IF(LEFT(I1619,2)="MV",2*N1619*IF(L1619="1/C",O1619,1),0)</f>
        <v/>
      </c>
      <c r="Y1619" s="9">
        <f>IF(OR(LEFT(K1619,4)="LVAX",LEFT(K1619,6)="MV15AX",LEFT(K1619,4)="CTAX",LEFT(K1619,2)="W|"),2*N1619*O1619,0)</f>
        <v/>
      </c>
      <c r="Z1619" s="9" t="inlineStr"/>
    </row>
    <row r="1620">
      <c r="A1620" s="9" t="inlineStr">
        <is>
          <t>G-P-0011</t>
        </is>
      </c>
      <c r="B1620" s="9" t="inlineStr">
        <is>
          <t>G</t>
        </is>
      </c>
      <c r="C1620" s="9" t="inlineStr">
        <is>
          <t>Carbon capture</t>
        </is>
      </c>
      <c r="D1620" s="9" t="inlineStr">
        <is>
          <t>LV power feeder</t>
        </is>
      </c>
      <c r="E1620" s="9" t="inlineStr"/>
      <c r="F1620" s="9" t="inlineStr">
        <is>
          <t>CT MCC / VFD e-house</t>
        </is>
      </c>
      <c r="G1620" s="9" t="inlineStr"/>
      <c r="H1620" s="9" t="inlineStr">
        <is>
          <t>CCS instrument air</t>
        </is>
      </c>
      <c r="I1620" s="9" t="inlineStr">
        <is>
          <t>LV 600 V</t>
        </is>
      </c>
      <c r="J1620" s="9" t="inlineStr">
        <is>
          <t>Type TC-ER 600 V 3/C Cu XHHW-2 + ground, PVC jacket</t>
        </is>
      </c>
      <c r="K1620" s="9" t="inlineStr">
        <is>
          <t>LV|3/C+G|350</t>
        </is>
      </c>
      <c r="L1620" s="9" t="inlineStr">
        <is>
          <t>3/C+G</t>
        </is>
      </c>
      <c r="M1620" s="9" t="inlineStr">
        <is>
          <t>350 kcmil</t>
        </is>
      </c>
      <c r="N1620" s="9" t="n">
        <v>3</v>
      </c>
      <c r="O1620" s="9" t="n">
        <v>1</v>
      </c>
      <c r="P1620" s="9" t="n">
        <v>480</v>
      </c>
      <c r="Q1620" s="9" t="n">
        <v>500</v>
      </c>
      <c r="R1620" s="9" t="n">
        <v>708</v>
      </c>
      <c r="S1620" s="9" t="inlineStr">
        <is>
          <t>Duct bank</t>
        </is>
      </c>
      <c r="T1620" s="10" t="n">
        <v>801</v>
      </c>
      <c r="U1620" s="10" t="n">
        <v>51</v>
      </c>
      <c r="V1620" s="10">
        <f>ROUNDUP((T1620+U1620+2*'Read Me'!$B$13)*(1+'Read Me'!$B$12),-1)</f>
        <v/>
      </c>
      <c r="W1620" s="10">
        <f>V1620*N1620*O1620</f>
        <v/>
      </c>
      <c r="X1620" s="9">
        <f>IF(LEFT(I1620,2)="MV",2*N1620*IF(L1620="1/C",O1620,1),0)</f>
        <v/>
      </c>
      <c r="Y1620" s="9">
        <f>IF(OR(LEFT(K1620,4)="LVAX",LEFT(K1620,6)="MV15AX",LEFT(K1620,4)="CTAX",LEFT(K1620,2)="W|"),2*N1620*O1620,0)</f>
        <v/>
      </c>
      <c r="Z1620" s="9" t="inlineStr">
        <is>
          <t>VD 2.9 %</t>
        </is>
      </c>
    </row>
    <row r="1621">
      <c r="A1621" s="9" t="inlineStr">
        <is>
          <t>G-P-0012</t>
        </is>
      </c>
      <c r="B1621" s="9" t="inlineStr">
        <is>
          <t>G</t>
        </is>
      </c>
      <c r="C1621" s="9" t="inlineStr">
        <is>
          <t>Carbon capture</t>
        </is>
      </c>
      <c r="D1621" s="9" t="inlineStr">
        <is>
          <t>LV power feeder</t>
        </is>
      </c>
      <c r="E1621" s="9" t="inlineStr"/>
      <c r="F1621" s="9" t="inlineStr">
        <is>
          <t>CT MCC / VFD e-house</t>
        </is>
      </c>
      <c r="G1621" s="9" t="inlineStr"/>
      <c r="H1621" s="9" t="inlineStr">
        <is>
          <t>CCS wastewater (DCC + tower blowdown)</t>
        </is>
      </c>
      <c r="I1621" s="9" t="inlineStr">
        <is>
          <t>LV 600 V</t>
        </is>
      </c>
      <c r="J1621" s="9" t="inlineStr">
        <is>
          <t>Type TC-ER 600 V 3/C Cu XHHW-2 + ground, PVC jacket</t>
        </is>
      </c>
      <c r="K1621" s="9" t="inlineStr">
        <is>
          <t>LV|3/C+G|2</t>
        </is>
      </c>
      <c r="L1621" s="9" t="inlineStr">
        <is>
          <t>3/C+G</t>
        </is>
      </c>
      <c r="M1621" s="9" t="inlineStr">
        <is>
          <t>2</t>
        </is>
      </c>
      <c r="N1621" s="9" t="n">
        <v>1</v>
      </c>
      <c r="O1621" s="9" t="n">
        <v>1</v>
      </c>
      <c r="P1621" s="9" t="n">
        <v>480</v>
      </c>
      <c r="Q1621" s="9" t="n">
        <v>60</v>
      </c>
      <c r="R1621" s="9" t="n">
        <v>85</v>
      </c>
      <c r="S1621" s="9" t="inlineStr">
        <is>
          <t>Duct bank</t>
        </is>
      </c>
      <c r="T1621" s="10" t="n">
        <v>5</v>
      </c>
      <c r="U1621" s="10" t="n">
        <v>87</v>
      </c>
      <c r="V1621" s="10">
        <f>ROUNDUP((T1621+U1621+2*'Read Me'!$B$13)*(1+'Read Me'!$B$12),-1)</f>
        <v/>
      </c>
      <c r="W1621" s="10">
        <f>V1621*N1621*O1621</f>
        <v/>
      </c>
      <c r="X1621" s="9">
        <f>IF(LEFT(I1621,2)="MV",2*N1621*IF(L1621="1/C",O1621,1),0)</f>
        <v/>
      </c>
      <c r="Y1621" s="9">
        <f>IF(OR(LEFT(K1621,4)="LVAX",LEFT(K1621,6)="MV15AX",LEFT(K1621,4)="CTAX",LEFT(K1621,2)="W|"),2*N1621*O1621,0)</f>
        <v/>
      </c>
      <c r="Z1621" s="9" t="inlineStr">
        <is>
          <t>VD 0.6 %</t>
        </is>
      </c>
    </row>
    <row r="1622">
      <c r="A1622" s="9" t="inlineStr">
        <is>
          <t>G-P-0013</t>
        </is>
      </c>
      <c r="B1622" s="9" t="inlineStr">
        <is>
          <t>G</t>
        </is>
      </c>
      <c r="C1622" s="9" t="inlineStr">
        <is>
          <t>Carbon capture</t>
        </is>
      </c>
      <c r="D1622" s="9" t="inlineStr">
        <is>
          <t>LV power feeder</t>
        </is>
      </c>
      <c r="E1622" s="9" t="inlineStr"/>
      <c r="F1622" s="9" t="inlineStr">
        <is>
          <t>CT MCC / VFD e-house</t>
        </is>
      </c>
      <c r="G1622" s="9" t="inlineStr"/>
      <c r="H1622" s="9" t="inlineStr">
        <is>
          <t>CO2 dehydration: molecular-sieve towers and regeneration heater</t>
        </is>
      </c>
      <c r="I1622" s="9" t="inlineStr">
        <is>
          <t>LV 600 V</t>
        </is>
      </c>
      <c r="J1622" s="9" t="inlineStr">
        <is>
          <t>Type TC-ER 600 V 3/C Cu XHHW-2 + ground, PVC jacket</t>
        </is>
      </c>
      <c r="K1622" s="9" t="inlineStr">
        <is>
          <t>LV|3/C+G|350</t>
        </is>
      </c>
      <c r="L1622" s="9" t="inlineStr">
        <is>
          <t>3/C+G</t>
        </is>
      </c>
      <c r="M1622" s="9" t="inlineStr">
        <is>
          <t>350 kcmil</t>
        </is>
      </c>
      <c r="N1622" s="9" t="n">
        <v>1</v>
      </c>
      <c r="O1622" s="9" t="n">
        <v>1</v>
      </c>
      <c r="P1622" s="9" t="n">
        <v>480</v>
      </c>
      <c r="Q1622" s="9" t="n">
        <v>150</v>
      </c>
      <c r="R1622" s="9" t="n">
        <v>212</v>
      </c>
      <c r="S1622" s="9" t="inlineStr">
        <is>
          <t>Duct bank</t>
        </is>
      </c>
      <c r="T1622" s="10" t="n">
        <v>610</v>
      </c>
      <c r="U1622" s="10" t="n">
        <v>160</v>
      </c>
      <c r="V1622" s="10">
        <f>ROUNDUP((T1622+U1622+2*'Read Me'!$B$13)*(1+'Read Me'!$B$12),-1)</f>
        <v/>
      </c>
      <c r="W1622" s="10">
        <f>V1622*N1622*O1622</f>
        <v/>
      </c>
      <c r="X1622" s="9">
        <f>IF(LEFT(I1622,2)="MV",2*N1622*IF(L1622="1/C",O1622,1),0)</f>
        <v/>
      </c>
      <c r="Y1622" s="9">
        <f>IF(OR(LEFT(K1622,4)="LVAX",LEFT(K1622,6)="MV15AX",LEFT(K1622,4)="CTAX",LEFT(K1622,2)="W|"),2*N1622*O1622,0)</f>
        <v/>
      </c>
      <c r="Z1622" s="9" t="inlineStr">
        <is>
          <t>VD 2.4 %</t>
        </is>
      </c>
    </row>
    <row r="1623">
      <c r="A1623" s="9" t="inlineStr">
        <is>
          <t>G-P-0014</t>
        </is>
      </c>
      <c r="B1623" s="9" t="inlineStr">
        <is>
          <t>G</t>
        </is>
      </c>
      <c r="C1623" s="9" t="inlineStr">
        <is>
          <t>Carbon capture</t>
        </is>
      </c>
      <c r="D1623" s="9" t="inlineStr">
        <is>
          <t>LV power feeder</t>
        </is>
      </c>
      <c r="E1623" s="9" t="inlineStr"/>
      <c r="F1623" s="9" t="inlineStr">
        <is>
          <t>CT MCC / VFD e-house</t>
        </is>
      </c>
      <c r="G1623" s="9" t="inlineStr"/>
      <c r="H1623" s="9" t="inlineStr">
        <is>
          <t>DCC-A pumps + water filter</t>
        </is>
      </c>
      <c r="I1623" s="9" t="inlineStr">
        <is>
          <t>LV 600 V</t>
        </is>
      </c>
      <c r="J1623" s="9" t="inlineStr">
        <is>
          <t>Type TC-ER 600 V 3/C Cu XHHW-2 + ground, PVC jacket</t>
        </is>
      </c>
      <c r="K1623" s="9" t="inlineStr">
        <is>
          <t>LV|3/C+G|500</t>
        </is>
      </c>
      <c r="L1623" s="9" t="inlineStr">
        <is>
          <t>3/C+G</t>
        </is>
      </c>
      <c r="M1623" s="9" t="inlineStr">
        <is>
          <t>500 kcmil</t>
        </is>
      </c>
      <c r="N1623" s="9" t="n">
        <v>4</v>
      </c>
      <c r="O1623" s="9" t="n">
        <v>1</v>
      </c>
      <c r="P1623" s="9" t="n">
        <v>480</v>
      </c>
      <c r="Q1623" s="9" t="n">
        <v>400</v>
      </c>
      <c r="R1623" s="9" t="n">
        <v>566</v>
      </c>
      <c r="S1623" s="9" t="inlineStr">
        <is>
          <t>Duct bank</t>
        </is>
      </c>
      <c r="T1623" s="10" t="n">
        <v>1609</v>
      </c>
      <c r="U1623" s="10" t="n">
        <v>134</v>
      </c>
      <c r="V1623" s="10">
        <f>ROUNDUP((T1623+U1623+2*'Read Me'!$B$13)*(1+'Read Me'!$B$12),-1)</f>
        <v/>
      </c>
      <c r="W1623" s="10">
        <f>V1623*N1623*O1623</f>
        <v/>
      </c>
      <c r="X1623" s="9">
        <f>IF(LEFT(I1623,2)="MV",2*N1623*IF(L1623="1/C",O1623,1),0)</f>
        <v/>
      </c>
      <c r="Y1623" s="9">
        <f>IF(OR(LEFT(K1623,4)="LVAX",LEFT(K1623,6)="MV15AX",LEFT(K1623,4)="CTAX",LEFT(K1623,2)="W|"),2*N1623*O1623,0)</f>
        <v/>
      </c>
      <c r="Z1623" s="9" t="inlineStr">
        <is>
          <t>VD 2.5 %</t>
        </is>
      </c>
    </row>
    <row r="1624">
      <c r="A1624" s="9" t="inlineStr">
        <is>
          <t>G-P-0015</t>
        </is>
      </c>
      <c r="B1624" s="9" t="inlineStr">
        <is>
          <t>G</t>
        </is>
      </c>
      <c r="C1624" s="9" t="inlineStr">
        <is>
          <t>Carbon capture</t>
        </is>
      </c>
      <c r="D1624" s="9" t="inlineStr">
        <is>
          <t>LV power feeder</t>
        </is>
      </c>
      <c r="E1624" s="9" t="inlineStr"/>
      <c r="F1624" s="9" t="inlineStr">
        <is>
          <t>CT MCC / VFD e-house</t>
        </is>
      </c>
      <c r="G1624" s="9" t="inlineStr">
        <is>
          <t>DCC-A</t>
        </is>
      </c>
      <c r="H1624" s="9" t="inlineStr">
        <is>
          <t>DCC-A: direct-contact cooler (quench)</t>
        </is>
      </c>
      <c r="I1624" s="9" t="inlineStr">
        <is>
          <t>LV 600 V</t>
        </is>
      </c>
      <c r="J1624" s="9" t="inlineStr">
        <is>
          <t>Type TC-ER 600 V 3/C Cu XHHW-2 + ground, PVC jacket</t>
        </is>
      </c>
      <c r="K1624" s="9" t="inlineStr">
        <is>
          <t>LV|3/C+G|2</t>
        </is>
      </c>
      <c r="L1624" s="9" t="inlineStr">
        <is>
          <t>3/C+G</t>
        </is>
      </c>
      <c r="M1624" s="9" t="inlineStr">
        <is>
          <t>2</t>
        </is>
      </c>
      <c r="N1624" s="9" t="n">
        <v>1</v>
      </c>
      <c r="O1624" s="9" t="n">
        <v>1</v>
      </c>
      <c r="P1624" s="9" t="n">
        <v>480</v>
      </c>
      <c r="Q1624" s="9" t="n">
        <v>15</v>
      </c>
      <c r="R1624" s="9" t="n">
        <v>21</v>
      </c>
      <c r="S1624" s="9" t="inlineStr">
        <is>
          <t>Duct bank</t>
        </is>
      </c>
      <c r="T1624" s="10" t="n">
        <v>1562</v>
      </c>
      <c r="U1624" s="10" t="n">
        <v>59</v>
      </c>
      <c r="V1624" s="10">
        <f>ROUNDUP((T1624+U1624+2*'Read Me'!$B$13)*(1+'Read Me'!$B$12),-1)</f>
        <v/>
      </c>
      <c r="W1624" s="10">
        <f>V1624*N1624*O1624</f>
        <v/>
      </c>
      <c r="X1624" s="9">
        <f>IF(LEFT(I1624,2)="MV",2*N1624*IF(L1624="1/C",O1624,1),0)</f>
        <v/>
      </c>
      <c r="Y1624" s="9">
        <f>IF(OR(LEFT(K1624,4)="LVAX",LEFT(K1624,6)="MV15AX",LEFT(K1624,4)="CTAX",LEFT(K1624,2)="W|"),2*N1624*O1624,0)</f>
        <v/>
      </c>
      <c r="Z1624" s="9" t="inlineStr">
        <is>
          <t>VD 2.7 %</t>
        </is>
      </c>
    </row>
    <row r="1625">
      <c r="A1625" s="9" t="inlineStr">
        <is>
          <t>G-P-0016</t>
        </is>
      </c>
      <c r="B1625" s="9" t="inlineStr">
        <is>
          <t>G</t>
        </is>
      </c>
      <c r="C1625" s="9" t="inlineStr">
        <is>
          <t>Carbon capture</t>
        </is>
      </c>
      <c r="D1625" s="9" t="inlineStr">
        <is>
          <t>LV power feeder</t>
        </is>
      </c>
      <c r="E1625" s="9" t="inlineStr"/>
      <c r="F1625" s="9" t="inlineStr">
        <is>
          <t>CT MCC / VFD e-house</t>
        </is>
      </c>
      <c r="G1625" s="9" t="inlineStr"/>
      <c r="H1625" s="9" t="inlineStr">
        <is>
          <t>DCC-B pumps + water filter</t>
        </is>
      </c>
      <c r="I1625" s="9" t="inlineStr">
        <is>
          <t>LV 600 V</t>
        </is>
      </c>
      <c r="J1625" s="9" t="inlineStr">
        <is>
          <t>Type TC-ER 600 V 3/C Cu XHHW-2 + ground, PVC jacket</t>
        </is>
      </c>
      <c r="K1625" s="9" t="inlineStr">
        <is>
          <t>LV|3/C+G|500</t>
        </is>
      </c>
      <c r="L1625" s="9" t="inlineStr">
        <is>
          <t>3/C+G</t>
        </is>
      </c>
      <c r="M1625" s="9" t="inlineStr">
        <is>
          <t>500 kcmil</t>
        </is>
      </c>
      <c r="N1625" s="9" t="n">
        <v>4</v>
      </c>
      <c r="O1625" s="9" t="n">
        <v>1</v>
      </c>
      <c r="P1625" s="9" t="n">
        <v>480</v>
      </c>
      <c r="Q1625" s="9" t="n">
        <v>400</v>
      </c>
      <c r="R1625" s="9" t="n">
        <v>566</v>
      </c>
      <c r="S1625" s="9" t="inlineStr">
        <is>
          <t>Duct bank</t>
        </is>
      </c>
      <c r="T1625" s="10" t="n">
        <v>1509</v>
      </c>
      <c r="U1625" s="10" t="n">
        <v>92</v>
      </c>
      <c r="V1625" s="10">
        <f>ROUNDUP((T1625+U1625+2*'Read Me'!$B$13)*(1+'Read Me'!$B$12),-1)</f>
        <v/>
      </c>
      <c r="W1625" s="10">
        <f>V1625*N1625*O1625</f>
        <v/>
      </c>
      <c r="X1625" s="9">
        <f>IF(LEFT(I1625,2)="MV",2*N1625*IF(L1625="1/C",O1625,1),0)</f>
        <v/>
      </c>
      <c r="Y1625" s="9">
        <f>IF(OR(LEFT(K1625,4)="LVAX",LEFT(K1625,6)="MV15AX",LEFT(K1625,4)="CTAX",LEFT(K1625,2)="W|"),2*N1625*O1625,0)</f>
        <v/>
      </c>
      <c r="Z1625" s="9" t="inlineStr">
        <is>
          <t>VD 2.3 %</t>
        </is>
      </c>
    </row>
    <row r="1626">
      <c r="A1626" s="9" t="inlineStr">
        <is>
          <t>G-P-0017</t>
        </is>
      </c>
      <c r="B1626" s="9" t="inlineStr">
        <is>
          <t>G</t>
        </is>
      </c>
      <c r="C1626" s="9" t="inlineStr">
        <is>
          <t>Carbon capture</t>
        </is>
      </c>
      <c r="D1626" s="9" t="inlineStr">
        <is>
          <t>LV power feeder</t>
        </is>
      </c>
      <c r="E1626" s="9" t="inlineStr"/>
      <c r="F1626" s="9" t="inlineStr">
        <is>
          <t>CT MCC / VFD e-house</t>
        </is>
      </c>
      <c r="G1626" s="9" t="inlineStr">
        <is>
          <t>DCC-B</t>
        </is>
      </c>
      <c r="H1626" s="9" t="inlineStr">
        <is>
          <t>DCC-B: direct-contact cooler (quench)</t>
        </is>
      </c>
      <c r="I1626" s="9" t="inlineStr">
        <is>
          <t>LV 600 V</t>
        </is>
      </c>
      <c r="J1626" s="9" t="inlineStr">
        <is>
          <t>Type TC-ER 600 V 3/C Cu XHHW-2 + ground, PVC jacket</t>
        </is>
      </c>
      <c r="K1626" s="9" t="inlineStr">
        <is>
          <t>LV|3/C+G|2</t>
        </is>
      </c>
      <c r="L1626" s="9" t="inlineStr">
        <is>
          <t>3/C+G</t>
        </is>
      </c>
      <c r="M1626" s="9" t="inlineStr">
        <is>
          <t>2</t>
        </is>
      </c>
      <c r="N1626" s="9" t="n">
        <v>1</v>
      </c>
      <c r="O1626" s="9" t="n">
        <v>1</v>
      </c>
      <c r="P1626" s="9" t="n">
        <v>480</v>
      </c>
      <c r="Q1626" s="9" t="n">
        <v>15</v>
      </c>
      <c r="R1626" s="9" t="n">
        <v>21</v>
      </c>
      <c r="S1626" s="9" t="inlineStr">
        <is>
          <t>Duct bank</t>
        </is>
      </c>
      <c r="T1626" s="10" t="n">
        <v>1402</v>
      </c>
      <c r="U1626" s="10" t="n">
        <v>59</v>
      </c>
      <c r="V1626" s="10">
        <f>ROUNDUP((T1626+U1626+2*'Read Me'!$B$13)*(1+'Read Me'!$B$12),-1)</f>
        <v/>
      </c>
      <c r="W1626" s="10">
        <f>V1626*N1626*O1626</f>
        <v/>
      </c>
      <c r="X1626" s="9">
        <f>IF(LEFT(I1626,2)="MV",2*N1626*IF(L1626="1/C",O1626,1),0)</f>
        <v/>
      </c>
      <c r="Y1626" s="9">
        <f>IF(OR(LEFT(K1626,4)="LVAX",LEFT(K1626,6)="MV15AX",LEFT(K1626,4)="CTAX",LEFT(K1626,2)="W|"),2*N1626*O1626,0)</f>
        <v/>
      </c>
      <c r="Z1626" s="9" t="inlineStr">
        <is>
          <t>VD 2.4 %</t>
        </is>
      </c>
    </row>
    <row r="1627">
      <c r="A1627" s="9" t="inlineStr">
        <is>
          <t>G-P-0018</t>
        </is>
      </c>
      <c r="B1627" s="9" t="inlineStr">
        <is>
          <t>G</t>
        </is>
      </c>
      <c r="C1627" s="9" t="inlineStr">
        <is>
          <t>Carbon capture</t>
        </is>
      </c>
      <c r="D1627" s="9" t="inlineStr">
        <is>
          <t>LV power feeder</t>
        </is>
      </c>
      <c r="E1627" s="9" t="inlineStr"/>
      <c r="F1627" s="9" t="inlineStr">
        <is>
          <t>CT MCC / VFD e-house</t>
        </is>
      </c>
      <c r="G1627" s="9" t="inlineStr"/>
      <c r="H1627" s="9" t="inlineStr">
        <is>
          <t>DCC-C pumps + water filter</t>
        </is>
      </c>
      <c r="I1627" s="9" t="inlineStr">
        <is>
          <t>LV 600 V</t>
        </is>
      </c>
      <c r="J1627" s="9" t="inlineStr">
        <is>
          <t>Type TC-ER 600 V 3/C Cu XHHW-2 + ground, PVC jacket</t>
        </is>
      </c>
      <c r="K1627" s="9" t="inlineStr">
        <is>
          <t>LV|3/C+G|500</t>
        </is>
      </c>
      <c r="L1627" s="9" t="inlineStr">
        <is>
          <t>3/C+G</t>
        </is>
      </c>
      <c r="M1627" s="9" t="inlineStr">
        <is>
          <t>500 kcmil</t>
        </is>
      </c>
      <c r="N1627" s="9" t="n">
        <v>3</v>
      </c>
      <c r="O1627" s="9" t="n">
        <v>1</v>
      </c>
      <c r="P1627" s="9" t="n">
        <v>480</v>
      </c>
      <c r="Q1627" s="9" t="n">
        <v>400</v>
      </c>
      <c r="R1627" s="9" t="n">
        <v>566</v>
      </c>
      <c r="S1627" s="9" t="inlineStr">
        <is>
          <t>Duct bank</t>
        </is>
      </c>
      <c r="T1627" s="10" t="n">
        <v>1289</v>
      </c>
      <c r="U1627" s="10" t="n">
        <v>134</v>
      </c>
      <c r="V1627" s="10">
        <f>ROUNDUP((T1627+U1627+2*'Read Me'!$B$13)*(1+'Read Me'!$B$12),-1)</f>
        <v/>
      </c>
      <c r="W1627" s="10">
        <f>V1627*N1627*O1627</f>
        <v/>
      </c>
      <c r="X1627" s="9">
        <f>IF(LEFT(I1627,2)="MV",2*N1627*IF(L1627="1/C",O1627,1),0)</f>
        <v/>
      </c>
      <c r="Y1627" s="9">
        <f>IF(OR(LEFT(K1627,4)="LVAX",LEFT(K1627,6)="MV15AX",LEFT(K1627,4)="CTAX",LEFT(K1627,2)="W|"),2*N1627*O1627,0)</f>
        <v/>
      </c>
      <c r="Z1627" s="9" t="inlineStr">
        <is>
          <t>VD 2.8 %</t>
        </is>
      </c>
    </row>
    <row r="1628">
      <c r="A1628" s="9" t="inlineStr">
        <is>
          <t>G-P-0019</t>
        </is>
      </c>
      <c r="B1628" s="9" t="inlineStr">
        <is>
          <t>G</t>
        </is>
      </c>
      <c r="C1628" s="9" t="inlineStr">
        <is>
          <t>Carbon capture</t>
        </is>
      </c>
      <c r="D1628" s="9" t="inlineStr">
        <is>
          <t>LV power feeder</t>
        </is>
      </c>
      <c r="E1628" s="9" t="inlineStr"/>
      <c r="F1628" s="9" t="inlineStr">
        <is>
          <t>CT MCC / VFD e-house</t>
        </is>
      </c>
      <c r="G1628" s="9" t="inlineStr">
        <is>
          <t>DCC-C</t>
        </is>
      </c>
      <c r="H1628" s="9" t="inlineStr">
        <is>
          <t>DCC-C: direct-contact cooler (quench)</t>
        </is>
      </c>
      <c r="I1628" s="9" t="inlineStr">
        <is>
          <t>LV 600 V</t>
        </is>
      </c>
      <c r="J1628" s="9" t="inlineStr">
        <is>
          <t>Type TC-ER 600 V 3/C Cu XHHW-2 + ground, PVC jacket</t>
        </is>
      </c>
      <c r="K1628" s="9" t="inlineStr">
        <is>
          <t>LV|3/C+G|2</t>
        </is>
      </c>
      <c r="L1628" s="9" t="inlineStr">
        <is>
          <t>3/C+G</t>
        </is>
      </c>
      <c r="M1628" s="9" t="inlineStr">
        <is>
          <t>2</t>
        </is>
      </c>
      <c r="N1628" s="9" t="n">
        <v>1</v>
      </c>
      <c r="O1628" s="9" t="n">
        <v>1</v>
      </c>
      <c r="P1628" s="9" t="n">
        <v>480</v>
      </c>
      <c r="Q1628" s="9" t="n">
        <v>15</v>
      </c>
      <c r="R1628" s="9" t="n">
        <v>21</v>
      </c>
      <c r="S1628" s="9" t="inlineStr">
        <is>
          <t>Duct bank</t>
        </is>
      </c>
      <c r="T1628" s="10" t="n">
        <v>1242</v>
      </c>
      <c r="U1628" s="10" t="n">
        <v>59</v>
      </c>
      <c r="V1628" s="10">
        <f>ROUNDUP((T1628+U1628+2*'Read Me'!$B$13)*(1+'Read Me'!$B$12),-1)</f>
        <v/>
      </c>
      <c r="W1628" s="10">
        <f>V1628*N1628*O1628</f>
        <v/>
      </c>
      <c r="X1628" s="9">
        <f>IF(LEFT(I1628,2)="MV",2*N1628*IF(L1628="1/C",O1628,1),0)</f>
        <v/>
      </c>
      <c r="Y1628" s="9">
        <f>IF(OR(LEFT(K1628,4)="LVAX",LEFT(K1628,6)="MV15AX",LEFT(K1628,4)="CTAX",LEFT(K1628,2)="W|"),2*N1628*O1628,0)</f>
        <v/>
      </c>
      <c r="Z1628" s="9" t="inlineStr">
        <is>
          <t>VD 2.1 %</t>
        </is>
      </c>
    </row>
    <row r="1629">
      <c r="A1629" s="9" t="inlineStr">
        <is>
          <t>G-P-0020</t>
        </is>
      </c>
      <c r="B1629" s="9" t="inlineStr">
        <is>
          <t>G</t>
        </is>
      </c>
      <c r="C1629" s="9" t="inlineStr">
        <is>
          <t>Carbon capture</t>
        </is>
      </c>
      <c r="D1629" s="9" t="inlineStr">
        <is>
          <t>LV power feeder</t>
        </is>
      </c>
      <c r="E1629" s="9" t="inlineStr"/>
      <c r="F1629" s="9" t="inlineStr">
        <is>
          <t>CT MCC / VFD e-house</t>
        </is>
      </c>
      <c r="G1629" s="9" t="inlineStr">
        <is>
          <t>DMP-A</t>
        </is>
      </c>
      <c r="H1629" s="9" t="inlineStr">
        <is>
          <t>DMP-A: diverter / bypass damper</t>
        </is>
      </c>
      <c r="I1629" s="9" t="inlineStr">
        <is>
          <t>LV 600 V</t>
        </is>
      </c>
      <c r="J1629" s="9" t="inlineStr">
        <is>
          <t>Type TC-ER 600 V 3/C Cu XHHW-2 + ground, PVC jacket</t>
        </is>
      </c>
      <c r="K1629" s="9" t="inlineStr">
        <is>
          <t>LV|3/C+G|1</t>
        </is>
      </c>
      <c r="L1629" s="9" t="inlineStr">
        <is>
          <t>3/C+G</t>
        </is>
      </c>
      <c r="M1629" s="9" t="inlineStr">
        <is>
          <t>1</t>
        </is>
      </c>
      <c r="N1629" s="9" t="n">
        <v>1</v>
      </c>
      <c r="O1629" s="9" t="n">
        <v>1</v>
      </c>
      <c r="P1629" s="9" t="n">
        <v>480</v>
      </c>
      <c r="Q1629" s="9" t="n">
        <v>20</v>
      </c>
      <c r="R1629" s="9" t="n">
        <v>28</v>
      </c>
      <c r="S1629" s="9" t="inlineStr">
        <is>
          <t>Estimated</t>
        </is>
      </c>
      <c r="T1629" s="10" t="n">
        <v>1658</v>
      </c>
      <c r="U1629" s="10" t="n">
        <v>40</v>
      </c>
      <c r="V1629" s="10">
        <f>ROUNDUP((T1629+U1629+2*'Read Me'!$B$13)*(1+'Read Me'!$B$12),-1)</f>
        <v/>
      </c>
      <c r="W1629" s="10">
        <f>V1629*N1629*O1629</f>
        <v/>
      </c>
      <c r="X1629" s="9">
        <f>IF(LEFT(I1629,2)="MV",2*N1629*IF(L1629="1/C",O1629,1),0)</f>
        <v/>
      </c>
      <c r="Y1629" s="9">
        <f>IF(OR(LEFT(K1629,4)="LVAX",LEFT(K1629,6)="MV15AX",LEFT(K1629,4)="CTAX",LEFT(K1629,2)="W|"),2*N1629*O1629,0)</f>
        <v/>
      </c>
      <c r="Z1629" s="9" t="inlineStr">
        <is>
          <t>VD 2.9 %</t>
        </is>
      </c>
    </row>
    <row r="1630">
      <c r="A1630" s="9" t="inlineStr">
        <is>
          <t>G-P-0021</t>
        </is>
      </c>
      <c r="B1630" s="9" t="inlineStr">
        <is>
          <t>G</t>
        </is>
      </c>
      <c r="C1630" s="9" t="inlineStr">
        <is>
          <t>Carbon capture</t>
        </is>
      </c>
      <c r="D1630" s="9" t="inlineStr">
        <is>
          <t>LV power feeder</t>
        </is>
      </c>
      <c r="E1630" s="9" t="inlineStr"/>
      <c r="F1630" s="9" t="inlineStr">
        <is>
          <t>CT MCC / VFD e-house</t>
        </is>
      </c>
      <c r="G1630" s="9" t="inlineStr">
        <is>
          <t>DMP-B</t>
        </is>
      </c>
      <c r="H1630" s="9" t="inlineStr">
        <is>
          <t>DMP-B: diverter / bypass damper</t>
        </is>
      </c>
      <c r="I1630" s="9" t="inlineStr">
        <is>
          <t>LV 600 V</t>
        </is>
      </c>
      <c r="J1630" s="9" t="inlineStr">
        <is>
          <t>Type TC-ER 600 V 3/C Cu XHHW-2 + ground, PVC jacket</t>
        </is>
      </c>
      <c r="K1630" s="9" t="inlineStr">
        <is>
          <t>LV|3/C+G|1</t>
        </is>
      </c>
      <c r="L1630" s="9" t="inlineStr">
        <is>
          <t>3/C+G</t>
        </is>
      </c>
      <c r="M1630" s="9" t="inlineStr">
        <is>
          <t>1</t>
        </is>
      </c>
      <c r="N1630" s="9" t="n">
        <v>1</v>
      </c>
      <c r="O1630" s="9" t="n">
        <v>1</v>
      </c>
      <c r="P1630" s="9" t="n">
        <v>480</v>
      </c>
      <c r="Q1630" s="9" t="n">
        <v>20</v>
      </c>
      <c r="R1630" s="9" t="n">
        <v>28</v>
      </c>
      <c r="S1630" s="9" t="inlineStr">
        <is>
          <t>Estimated</t>
        </is>
      </c>
      <c r="T1630" s="10" t="n">
        <v>1498</v>
      </c>
      <c r="U1630" s="10" t="n">
        <v>40</v>
      </c>
      <c r="V1630" s="10">
        <f>ROUNDUP((T1630+U1630+2*'Read Me'!$B$13)*(1+'Read Me'!$B$12),-1)</f>
        <v/>
      </c>
      <c r="W1630" s="10">
        <f>V1630*N1630*O1630</f>
        <v/>
      </c>
      <c r="X1630" s="9">
        <f>IF(LEFT(I1630,2)="MV",2*N1630*IF(L1630="1/C",O1630,1),0)</f>
        <v/>
      </c>
      <c r="Y1630" s="9">
        <f>IF(OR(LEFT(K1630,4)="LVAX",LEFT(K1630,6)="MV15AX",LEFT(K1630,4)="CTAX",LEFT(K1630,2)="W|"),2*N1630*O1630,0)</f>
        <v/>
      </c>
      <c r="Z1630" s="9" t="inlineStr">
        <is>
          <t>VD 2.7 %</t>
        </is>
      </c>
    </row>
    <row r="1631">
      <c r="A1631" s="9" t="inlineStr">
        <is>
          <t>G-P-0022</t>
        </is>
      </c>
      <c r="B1631" s="9" t="inlineStr">
        <is>
          <t>G</t>
        </is>
      </c>
      <c r="C1631" s="9" t="inlineStr">
        <is>
          <t>Carbon capture</t>
        </is>
      </c>
      <c r="D1631" s="9" t="inlineStr">
        <is>
          <t>LV power feeder</t>
        </is>
      </c>
      <c r="E1631" s="9" t="inlineStr"/>
      <c r="F1631" s="9" t="inlineStr">
        <is>
          <t>CT MCC / VFD e-house</t>
        </is>
      </c>
      <c r="G1631" s="9" t="inlineStr">
        <is>
          <t>DMP-C</t>
        </is>
      </c>
      <c r="H1631" s="9" t="inlineStr">
        <is>
          <t>DMP-C: diverter / bypass damper</t>
        </is>
      </c>
      <c r="I1631" s="9" t="inlineStr">
        <is>
          <t>LV 600 V</t>
        </is>
      </c>
      <c r="J1631" s="9" t="inlineStr">
        <is>
          <t>Type TC-ER 600 V 3/C Cu XHHW-2 + ground, PVC jacket</t>
        </is>
      </c>
      <c r="K1631" s="9" t="inlineStr">
        <is>
          <t>LV|3/C+G|1</t>
        </is>
      </c>
      <c r="L1631" s="9" t="inlineStr">
        <is>
          <t>3/C+G</t>
        </is>
      </c>
      <c r="M1631" s="9" t="inlineStr">
        <is>
          <t>1</t>
        </is>
      </c>
      <c r="N1631" s="9" t="n">
        <v>1</v>
      </c>
      <c r="O1631" s="9" t="n">
        <v>1</v>
      </c>
      <c r="P1631" s="9" t="n">
        <v>480</v>
      </c>
      <c r="Q1631" s="9" t="n">
        <v>20</v>
      </c>
      <c r="R1631" s="9" t="n">
        <v>28</v>
      </c>
      <c r="S1631" s="9" t="inlineStr">
        <is>
          <t>Estimated</t>
        </is>
      </c>
      <c r="T1631" s="10" t="n">
        <v>1338</v>
      </c>
      <c r="U1631" s="10" t="n">
        <v>40</v>
      </c>
      <c r="V1631" s="10">
        <f>ROUNDUP((T1631+U1631+2*'Read Me'!$B$13)*(1+'Read Me'!$B$12),-1)</f>
        <v/>
      </c>
      <c r="W1631" s="10">
        <f>V1631*N1631*O1631</f>
        <v/>
      </c>
      <c r="X1631" s="9">
        <f>IF(LEFT(I1631,2)="MV",2*N1631*IF(L1631="1/C",O1631,1),0)</f>
        <v/>
      </c>
      <c r="Y1631" s="9">
        <f>IF(OR(LEFT(K1631,4)="LVAX",LEFT(K1631,6)="MV15AX",LEFT(K1631,4)="CTAX",LEFT(K1631,2)="W|"),2*N1631*O1631,0)</f>
        <v/>
      </c>
      <c r="Z1631" s="9" t="inlineStr">
        <is>
          <t>VD 2.4 %</t>
        </is>
      </c>
    </row>
    <row r="1632">
      <c r="A1632" s="9" t="inlineStr">
        <is>
          <t>G-P-0023</t>
        </is>
      </c>
      <c r="B1632" s="9" t="inlineStr">
        <is>
          <t>G</t>
        </is>
      </c>
      <c r="C1632" s="9" t="inlineStr">
        <is>
          <t>Carbon capture</t>
        </is>
      </c>
      <c r="D1632" s="9" t="inlineStr">
        <is>
          <t>LV power feeder</t>
        </is>
      </c>
      <c r="E1632" s="9" t="inlineStr"/>
      <c r="F1632" s="9" t="inlineStr">
        <is>
          <t>CT MCC / VFD e-house</t>
        </is>
      </c>
      <c r="G1632" s="9" t="inlineStr"/>
      <c r="H1632" s="9" t="inlineStr">
        <is>
          <t>RB-A: reboiler (LP steam from ST extraction)</t>
        </is>
      </c>
      <c r="I1632" s="9" t="inlineStr">
        <is>
          <t>LV 600 V</t>
        </is>
      </c>
      <c r="J1632" s="9" t="inlineStr">
        <is>
          <t>Type TC-ER 600 V 3/C Cu XHHW-2 + ground, PVC jacket</t>
        </is>
      </c>
      <c r="K1632" s="9" t="inlineStr">
        <is>
          <t>LV|3/C+G|6</t>
        </is>
      </c>
      <c r="L1632" s="9" t="inlineStr">
        <is>
          <t>3/C+G</t>
        </is>
      </c>
      <c r="M1632" s="9" t="inlineStr">
        <is>
          <t>6</t>
        </is>
      </c>
      <c r="N1632" s="9" t="n">
        <v>1</v>
      </c>
      <c r="O1632" s="9" t="n">
        <v>1</v>
      </c>
      <c r="P1632" s="9" t="n">
        <v>480</v>
      </c>
      <c r="Q1632" s="9" t="n">
        <v>10</v>
      </c>
      <c r="R1632" s="9" t="n">
        <v>14</v>
      </c>
      <c r="S1632" s="9" t="inlineStr">
        <is>
          <t>Duct bank</t>
        </is>
      </c>
      <c r="T1632" s="10" t="n">
        <v>957</v>
      </c>
      <c r="U1632" s="10" t="n">
        <v>42</v>
      </c>
      <c r="V1632" s="10">
        <f>ROUNDUP((T1632+U1632+2*'Read Me'!$B$13)*(1+'Read Me'!$B$12),-1)</f>
        <v/>
      </c>
      <c r="W1632" s="10">
        <f>V1632*N1632*O1632</f>
        <v/>
      </c>
      <c r="X1632" s="9">
        <f>IF(LEFT(I1632,2)="MV",2*N1632*IF(L1632="1/C",O1632,1),0)</f>
        <v/>
      </c>
      <c r="Y1632" s="9">
        <f>IF(OR(LEFT(K1632,4)="LVAX",LEFT(K1632,6)="MV15AX",LEFT(K1632,4)="CTAX",LEFT(K1632,2)="W|"),2*N1632*O1632,0)</f>
        <v/>
      </c>
      <c r="Z1632" s="9" t="inlineStr">
        <is>
          <t>VD 2.8 %</t>
        </is>
      </c>
    </row>
    <row r="1633">
      <c r="A1633" s="9" t="inlineStr">
        <is>
          <t>G-P-0024</t>
        </is>
      </c>
      <c r="B1633" s="9" t="inlineStr">
        <is>
          <t>G</t>
        </is>
      </c>
      <c r="C1633" s="9" t="inlineStr">
        <is>
          <t>Carbon capture</t>
        </is>
      </c>
      <c r="D1633" s="9" t="inlineStr">
        <is>
          <t>LV power feeder</t>
        </is>
      </c>
      <c r="E1633" s="9" t="inlineStr"/>
      <c r="F1633" s="9" t="inlineStr">
        <is>
          <t>CT MCC / VFD e-house</t>
        </is>
      </c>
      <c r="G1633" s="9" t="inlineStr"/>
      <c r="H1633" s="9" t="inlineStr">
        <is>
          <t>RB-B: reboiler (LP steam from ST extraction)</t>
        </is>
      </c>
      <c r="I1633" s="9" t="inlineStr">
        <is>
          <t>LV 600 V</t>
        </is>
      </c>
      <c r="J1633" s="9" t="inlineStr">
        <is>
          <t>Type TC-ER 600 V 3/C Cu XHHW-2 + ground, PVC jacket</t>
        </is>
      </c>
      <c r="K1633" s="9" t="inlineStr">
        <is>
          <t>LV|3/C+G|6</t>
        </is>
      </c>
      <c r="L1633" s="9" t="inlineStr">
        <is>
          <t>3/C+G</t>
        </is>
      </c>
      <c r="M1633" s="9" t="inlineStr">
        <is>
          <t>6</t>
        </is>
      </c>
      <c r="N1633" s="9" t="n">
        <v>1</v>
      </c>
      <c r="O1633" s="9" t="n">
        <v>1</v>
      </c>
      <c r="P1633" s="9" t="n">
        <v>480</v>
      </c>
      <c r="Q1633" s="9" t="n">
        <v>10</v>
      </c>
      <c r="R1633" s="9" t="n">
        <v>14</v>
      </c>
      <c r="S1633" s="9" t="inlineStr">
        <is>
          <t>Duct bank</t>
        </is>
      </c>
      <c r="T1633" s="10" t="n">
        <v>907</v>
      </c>
      <c r="U1633" s="10" t="n">
        <v>42</v>
      </c>
      <c r="V1633" s="10">
        <f>ROUNDUP((T1633+U1633+2*'Read Me'!$B$13)*(1+'Read Me'!$B$12),-1)</f>
        <v/>
      </c>
      <c r="W1633" s="10">
        <f>V1633*N1633*O1633</f>
        <v/>
      </c>
      <c r="X1633" s="9">
        <f>IF(LEFT(I1633,2)="MV",2*N1633*IF(L1633="1/C",O1633,1),0)</f>
        <v/>
      </c>
      <c r="Y1633" s="9">
        <f>IF(OR(LEFT(K1633,4)="LVAX",LEFT(K1633,6)="MV15AX",LEFT(K1633,4)="CTAX",LEFT(K1633,2)="W|"),2*N1633*O1633,0)</f>
        <v/>
      </c>
      <c r="Z1633" s="9" t="inlineStr">
        <is>
          <t>VD 2.6 %</t>
        </is>
      </c>
    </row>
    <row r="1634">
      <c r="A1634" s="9" t="inlineStr">
        <is>
          <t>G-P-0025</t>
        </is>
      </c>
      <c r="B1634" s="9" t="inlineStr">
        <is>
          <t>G</t>
        </is>
      </c>
      <c r="C1634" s="9" t="inlineStr">
        <is>
          <t>Carbon capture</t>
        </is>
      </c>
      <c r="D1634" s="9" t="inlineStr">
        <is>
          <t>LV power feeder</t>
        </is>
      </c>
      <c r="E1634" s="9" t="inlineStr"/>
      <c r="F1634" s="9" t="inlineStr">
        <is>
          <t>CT MCC / VFD e-house</t>
        </is>
      </c>
      <c r="G1634" s="9" t="inlineStr"/>
      <c r="H1634" s="9" t="inlineStr">
        <is>
          <t>RB-C: reboiler (LP steam from ST extraction)</t>
        </is>
      </c>
      <c r="I1634" s="9" t="inlineStr">
        <is>
          <t>LV 600 V</t>
        </is>
      </c>
      <c r="J1634" s="9" t="inlineStr">
        <is>
          <t>Type TC-ER 600 V 3/C Cu XHHW-2 + ground, PVC jacket</t>
        </is>
      </c>
      <c r="K1634" s="9" t="inlineStr">
        <is>
          <t>LV|3/C+G|6</t>
        </is>
      </c>
      <c r="L1634" s="9" t="inlineStr">
        <is>
          <t>3/C+G</t>
        </is>
      </c>
      <c r="M1634" s="9" t="inlineStr">
        <is>
          <t>6</t>
        </is>
      </c>
      <c r="N1634" s="9" t="n">
        <v>1</v>
      </c>
      <c r="O1634" s="9" t="n">
        <v>1</v>
      </c>
      <c r="P1634" s="9" t="n">
        <v>480</v>
      </c>
      <c r="Q1634" s="9" t="n">
        <v>10</v>
      </c>
      <c r="R1634" s="9" t="n">
        <v>14</v>
      </c>
      <c r="S1634" s="9" t="inlineStr">
        <is>
          <t>Duct bank</t>
        </is>
      </c>
      <c r="T1634" s="10" t="n">
        <v>860</v>
      </c>
      <c r="U1634" s="10" t="n">
        <v>47</v>
      </c>
      <c r="V1634" s="10">
        <f>ROUNDUP((T1634+U1634+2*'Read Me'!$B$13)*(1+'Read Me'!$B$12),-1)</f>
        <v/>
      </c>
      <c r="W1634" s="10">
        <f>V1634*N1634*O1634</f>
        <v/>
      </c>
      <c r="X1634" s="9">
        <f>IF(LEFT(I1634,2)="MV",2*N1634*IF(L1634="1/C",O1634,1),0)</f>
        <v/>
      </c>
      <c r="Y1634" s="9">
        <f>IF(OR(LEFT(K1634,4)="LVAX",LEFT(K1634,6)="MV15AX",LEFT(K1634,4)="CTAX",LEFT(K1634,2)="W|"),2*N1634*O1634,0)</f>
        <v/>
      </c>
      <c r="Z1634" s="9" t="inlineStr">
        <is>
          <t>VD 2.5 %</t>
        </is>
      </c>
    </row>
    <row r="1635">
      <c r="A1635" s="9" t="inlineStr">
        <is>
          <t>G-P-0026</t>
        </is>
      </c>
      <c r="B1635" s="9" t="inlineStr">
        <is>
          <t>G</t>
        </is>
      </c>
      <c r="C1635" s="9" t="inlineStr">
        <is>
          <t>Carbon capture</t>
        </is>
      </c>
      <c r="D1635" s="9" t="inlineStr">
        <is>
          <t>LV power feeder</t>
        </is>
      </c>
      <c r="E1635" s="9" t="inlineStr"/>
      <c r="F1635" s="9" t="inlineStr">
        <is>
          <t>CT MCC / VFD e-house</t>
        </is>
      </c>
      <c r="G1635" s="9" t="inlineStr"/>
      <c r="H1635" s="9" t="inlineStr">
        <is>
          <t>Reclaimer (thermal, intermittent)</t>
        </is>
      </c>
      <c r="I1635" s="9" t="inlineStr">
        <is>
          <t>LV 600 V</t>
        </is>
      </c>
      <c r="J1635" s="9" t="inlineStr">
        <is>
          <t>Type TC-ER 600 V 3/C Cu XHHW-2 + ground, PVC jacket</t>
        </is>
      </c>
      <c r="K1635" s="9" t="inlineStr">
        <is>
          <t>LV|3/C+G|3/0</t>
        </is>
      </c>
      <c r="L1635" s="9" t="inlineStr">
        <is>
          <t>3/C+G</t>
        </is>
      </c>
      <c r="M1635" s="9" t="inlineStr">
        <is>
          <t>3/0</t>
        </is>
      </c>
      <c r="N1635" s="9" t="n">
        <v>1</v>
      </c>
      <c r="O1635" s="9" t="n">
        <v>1</v>
      </c>
      <c r="P1635" s="9" t="n">
        <v>480</v>
      </c>
      <c r="Q1635" s="9" t="n">
        <v>75</v>
      </c>
      <c r="R1635" s="9" t="n">
        <v>106</v>
      </c>
      <c r="S1635" s="9" t="inlineStr">
        <is>
          <t>Duct bank</t>
        </is>
      </c>
      <c r="T1635" s="10" t="n">
        <v>821</v>
      </c>
      <c r="U1635" s="10" t="n">
        <v>33</v>
      </c>
      <c r="V1635" s="10">
        <f>ROUNDUP((T1635+U1635+2*'Read Me'!$B$13)*(1+'Read Me'!$B$12),-1)</f>
        <v/>
      </c>
      <c r="W1635" s="10">
        <f>V1635*N1635*O1635</f>
        <v/>
      </c>
      <c r="X1635" s="9">
        <f>IF(LEFT(I1635,2)="MV",2*N1635*IF(L1635="1/C",O1635,1),0)</f>
        <v/>
      </c>
      <c r="Y1635" s="9">
        <f>IF(OR(LEFT(K1635,4)="LVAX",LEFT(K1635,6)="MV15AX",LEFT(K1635,4)="CTAX",LEFT(K1635,2)="W|"),2*N1635*O1635,0)</f>
        <v/>
      </c>
      <c r="Z1635" s="9" t="inlineStr">
        <is>
          <t>VD 2.8 %</t>
        </is>
      </c>
    </row>
    <row r="1636">
      <c r="A1636" s="9" t="inlineStr">
        <is>
          <t>G-P-0027</t>
        </is>
      </c>
      <c r="B1636" s="9" t="inlineStr">
        <is>
          <t>G</t>
        </is>
      </c>
      <c r="C1636" s="9" t="inlineStr">
        <is>
          <t>Carbon capture</t>
        </is>
      </c>
      <c r="D1636" s="9" t="inlineStr">
        <is>
          <t>LV power feeder</t>
        </is>
      </c>
      <c r="E1636" s="9" t="inlineStr"/>
      <c r="F1636" s="9" t="inlineStr">
        <is>
          <t>CT MCC / VFD e-house</t>
        </is>
      </c>
      <c r="G1636" s="9" t="inlineStr">
        <is>
          <t>STR-A</t>
        </is>
      </c>
      <c r="H1636" s="9" t="inlineStr">
        <is>
          <t>STR-A: stripper / regenerator (45 ft dia x 207 ft)</t>
        </is>
      </c>
      <c r="I1636" s="9" t="inlineStr">
        <is>
          <t>LV 600 V</t>
        </is>
      </c>
      <c r="J1636" s="9" t="inlineStr">
        <is>
          <t>Type TC-ER 600 V 3/C Cu XHHW-2 + ground, PVC jacket</t>
        </is>
      </c>
      <c r="K1636" s="9" t="inlineStr">
        <is>
          <t>LV|3/C+G|1</t>
        </is>
      </c>
      <c r="L1636" s="9" t="inlineStr">
        <is>
          <t>3/C+G</t>
        </is>
      </c>
      <c r="M1636" s="9" t="inlineStr">
        <is>
          <t>1</t>
        </is>
      </c>
      <c r="N1636" s="9" t="n">
        <v>1</v>
      </c>
      <c r="O1636" s="9" t="n">
        <v>1</v>
      </c>
      <c r="P1636" s="9" t="n">
        <v>480</v>
      </c>
      <c r="Q1636" s="9" t="n">
        <v>30</v>
      </c>
      <c r="R1636" s="9" t="n">
        <v>42</v>
      </c>
      <c r="S1636" s="9" t="inlineStr">
        <is>
          <t>Duct bank</t>
        </is>
      </c>
      <c r="T1636" s="10" t="n">
        <v>1020</v>
      </c>
      <c r="U1636" s="10" t="n">
        <v>36</v>
      </c>
      <c r="V1636" s="10">
        <f>ROUNDUP((T1636+U1636+2*'Read Me'!$B$13)*(1+'Read Me'!$B$12),-1)</f>
        <v/>
      </c>
      <c r="W1636" s="10">
        <f>V1636*N1636*O1636</f>
        <v/>
      </c>
      <c r="X1636" s="9">
        <f>IF(LEFT(I1636,2)="MV",2*N1636*IF(L1636="1/C",O1636,1),0)</f>
        <v/>
      </c>
      <c r="Y1636" s="9">
        <f>IF(OR(LEFT(K1636,4)="LVAX",LEFT(K1636,6)="MV15AX",LEFT(K1636,4)="CTAX",LEFT(K1636,2)="W|"),2*N1636*O1636,0)</f>
        <v/>
      </c>
      <c r="Z1636" s="9" t="inlineStr">
        <is>
          <t>VD 2.7 %</t>
        </is>
      </c>
    </row>
    <row r="1637">
      <c r="A1637" s="9" t="inlineStr">
        <is>
          <t>G-P-0028</t>
        </is>
      </c>
      <c r="B1637" s="9" t="inlineStr">
        <is>
          <t>G</t>
        </is>
      </c>
      <c r="C1637" s="9" t="inlineStr">
        <is>
          <t>Carbon capture</t>
        </is>
      </c>
      <c r="D1637" s="9" t="inlineStr">
        <is>
          <t>LV power feeder</t>
        </is>
      </c>
      <c r="E1637" s="9" t="inlineStr"/>
      <c r="F1637" s="9" t="inlineStr">
        <is>
          <t>CT MCC / VFD e-house</t>
        </is>
      </c>
      <c r="G1637" s="9" t="inlineStr">
        <is>
          <t>STR-B</t>
        </is>
      </c>
      <c r="H1637" s="9" t="inlineStr">
        <is>
          <t>STR-B: stripper / regenerator (45 ft dia x 207 ft)</t>
        </is>
      </c>
      <c r="I1637" s="9" t="inlineStr">
        <is>
          <t>LV 600 V</t>
        </is>
      </c>
      <c r="J1637" s="9" t="inlineStr">
        <is>
          <t>Type TC-ER 600 V 3/C Cu XHHW-2 + ground, PVC jacket</t>
        </is>
      </c>
      <c r="K1637" s="9" t="inlineStr">
        <is>
          <t>LV|3/C+G|1</t>
        </is>
      </c>
      <c r="L1637" s="9" t="inlineStr">
        <is>
          <t>3/C+G</t>
        </is>
      </c>
      <c r="M1637" s="9" t="inlineStr">
        <is>
          <t>1</t>
        </is>
      </c>
      <c r="N1637" s="9" t="n">
        <v>1</v>
      </c>
      <c r="O1637" s="9" t="n">
        <v>1</v>
      </c>
      <c r="P1637" s="9" t="n">
        <v>480</v>
      </c>
      <c r="Q1637" s="9" t="n">
        <v>30</v>
      </c>
      <c r="R1637" s="9" t="n">
        <v>42</v>
      </c>
      <c r="S1637" s="9" t="inlineStr">
        <is>
          <t>Duct bank</t>
        </is>
      </c>
      <c r="T1637" s="10" t="n">
        <v>970</v>
      </c>
      <c r="U1637" s="10" t="n">
        <v>36</v>
      </c>
      <c r="V1637" s="10">
        <f>ROUNDUP((T1637+U1637+2*'Read Me'!$B$13)*(1+'Read Me'!$B$12),-1)</f>
        <v/>
      </c>
      <c r="W1637" s="10">
        <f>V1637*N1637*O1637</f>
        <v/>
      </c>
      <c r="X1637" s="9">
        <f>IF(LEFT(I1637,2)="MV",2*N1637*IF(L1637="1/C",O1637,1),0)</f>
        <v/>
      </c>
      <c r="Y1637" s="9">
        <f>IF(OR(LEFT(K1637,4)="LVAX",LEFT(K1637,6)="MV15AX",LEFT(K1637,4)="CTAX",LEFT(K1637,2)="W|"),2*N1637*O1637,0)</f>
        <v/>
      </c>
      <c r="Z1637" s="9" t="inlineStr">
        <is>
          <t>VD 2.6 %</t>
        </is>
      </c>
    </row>
    <row r="1638">
      <c r="A1638" s="9" t="inlineStr">
        <is>
          <t>G-P-0029</t>
        </is>
      </c>
      <c r="B1638" s="9" t="inlineStr">
        <is>
          <t>G</t>
        </is>
      </c>
      <c r="C1638" s="9" t="inlineStr">
        <is>
          <t>Carbon capture</t>
        </is>
      </c>
      <c r="D1638" s="9" t="inlineStr">
        <is>
          <t>LV power feeder</t>
        </is>
      </c>
      <c r="E1638" s="9" t="inlineStr"/>
      <c r="F1638" s="9" t="inlineStr">
        <is>
          <t>CT MCC / VFD e-house</t>
        </is>
      </c>
      <c r="G1638" s="9" t="inlineStr">
        <is>
          <t>STR-C</t>
        </is>
      </c>
      <c r="H1638" s="9" t="inlineStr">
        <is>
          <t>STR-C: stripper / regenerator (45 ft dia x 207 ft)</t>
        </is>
      </c>
      <c r="I1638" s="9" t="inlineStr">
        <is>
          <t>LV 600 V</t>
        </is>
      </c>
      <c r="J1638" s="9" t="inlineStr">
        <is>
          <t>Type TC-ER 600 V 3/C Cu XHHW-2 + ground, PVC jacket</t>
        </is>
      </c>
      <c r="K1638" s="9" t="inlineStr">
        <is>
          <t>LV|3/C+G|1</t>
        </is>
      </c>
      <c r="L1638" s="9" t="inlineStr">
        <is>
          <t>3/C+G</t>
        </is>
      </c>
      <c r="M1638" s="9" t="inlineStr">
        <is>
          <t>1</t>
        </is>
      </c>
      <c r="N1638" s="9" t="n">
        <v>1</v>
      </c>
      <c r="O1638" s="9" t="n">
        <v>1</v>
      </c>
      <c r="P1638" s="9" t="n">
        <v>480</v>
      </c>
      <c r="Q1638" s="9" t="n">
        <v>30</v>
      </c>
      <c r="R1638" s="9" t="n">
        <v>42</v>
      </c>
      <c r="S1638" s="9" t="inlineStr">
        <is>
          <t>Duct bank</t>
        </is>
      </c>
      <c r="T1638" s="10" t="n">
        <v>886</v>
      </c>
      <c r="U1638" s="10" t="n">
        <v>93</v>
      </c>
      <c r="V1638" s="10">
        <f>ROUNDUP((T1638+U1638+2*'Read Me'!$B$13)*(1+'Read Me'!$B$12),-1)</f>
        <v/>
      </c>
      <c r="W1638" s="10">
        <f>V1638*N1638*O1638</f>
        <v/>
      </c>
      <c r="X1638" s="9">
        <f>IF(LEFT(I1638,2)="MV",2*N1638*IF(L1638="1/C",O1638,1),0)</f>
        <v/>
      </c>
      <c r="Y1638" s="9">
        <f>IF(OR(LEFT(K1638,4)="LVAX",LEFT(K1638,6)="MV15AX",LEFT(K1638,4)="CTAX",LEFT(K1638,2)="W|"),2*N1638*O1638,0)</f>
        <v/>
      </c>
      <c r="Z1638" s="9" t="inlineStr">
        <is>
          <t>VD 2.5 %</t>
        </is>
      </c>
    </row>
    <row r="1639">
      <c r="A1639" s="9" t="inlineStr">
        <is>
          <t>G-P-0030</t>
        </is>
      </c>
      <c r="B1639" s="9" t="inlineStr">
        <is>
          <t>G</t>
        </is>
      </c>
      <c r="C1639" s="9" t="inlineStr">
        <is>
          <t>Carbon capture</t>
        </is>
      </c>
      <c r="D1639" s="9" t="inlineStr">
        <is>
          <t>LV power feeder</t>
        </is>
      </c>
      <c r="E1639" s="9" t="inlineStr"/>
      <c r="F1639" s="9" t="inlineStr">
        <is>
          <t>CT MCC / VFD e-house</t>
        </is>
      </c>
      <c r="G1639" s="9" t="inlineStr"/>
      <c r="H1639" s="9" t="inlineStr">
        <is>
          <t>Solvent + NaOH storage</t>
        </is>
      </c>
      <c r="I1639" s="9" t="inlineStr">
        <is>
          <t>LV 600 V</t>
        </is>
      </c>
      <c r="J1639" s="9" t="inlineStr">
        <is>
          <t>Type TC-ER 600 V 3/C Cu XHHW-2 + ground, PVC jacket</t>
        </is>
      </c>
      <c r="K1639" s="9" t="inlineStr">
        <is>
          <t>LV|3/C+G|4</t>
        </is>
      </c>
      <c r="L1639" s="9" t="inlineStr">
        <is>
          <t>3/C+G</t>
        </is>
      </c>
      <c r="M1639" s="9" t="inlineStr">
        <is>
          <t>4</t>
        </is>
      </c>
      <c r="N1639" s="9" t="n">
        <v>1</v>
      </c>
      <c r="O1639" s="9" t="n">
        <v>1</v>
      </c>
      <c r="P1639" s="9" t="n">
        <v>480</v>
      </c>
      <c r="Q1639" s="9" t="n">
        <v>20</v>
      </c>
      <c r="R1639" s="9" t="n">
        <v>28</v>
      </c>
      <c r="S1639" s="9" t="inlineStr">
        <is>
          <t>Duct bank</t>
        </is>
      </c>
      <c r="T1639" s="10" t="n">
        <v>653</v>
      </c>
      <c r="U1639" s="10" t="n">
        <v>34</v>
      </c>
      <c r="V1639" s="10">
        <f>ROUNDUP((T1639+U1639+2*'Read Me'!$B$13)*(1+'Read Me'!$B$12),-1)</f>
        <v/>
      </c>
      <c r="W1639" s="10">
        <f>V1639*N1639*O1639</f>
        <v/>
      </c>
      <c r="X1639" s="9">
        <f>IF(LEFT(I1639,2)="MV",2*N1639*IF(L1639="1/C",O1639,1),0)</f>
        <v/>
      </c>
      <c r="Y1639" s="9">
        <f>IF(OR(LEFT(K1639,4)="LVAX",LEFT(K1639,6)="MV15AX",LEFT(K1639,4)="CTAX",LEFT(K1639,2)="W|"),2*N1639*O1639,0)</f>
        <v/>
      </c>
      <c r="Z1639" s="9" t="inlineStr">
        <is>
          <t>VD 2.4 %</t>
        </is>
      </c>
    </row>
    <row r="1640">
      <c r="A1640" s="9" t="inlineStr">
        <is>
          <t>G-P-0031</t>
        </is>
      </c>
      <c r="B1640" s="9" t="inlineStr">
        <is>
          <t>G</t>
        </is>
      </c>
      <c r="C1640" s="9" t="inlineStr">
        <is>
          <t>Carbon capture</t>
        </is>
      </c>
      <c r="D1640" s="9" t="inlineStr">
        <is>
          <t>LV power feeder</t>
        </is>
      </c>
      <c r="E1640" s="9" t="inlineStr"/>
      <c r="F1640" s="9" t="inlineStr">
        <is>
          <t>CT MCC / VFD e-house</t>
        </is>
      </c>
      <c r="G1640" s="9" t="inlineStr"/>
      <c r="H1640" s="9" t="inlineStr">
        <is>
          <t>Water-wash pumps A</t>
        </is>
      </c>
      <c r="I1640" s="9" t="inlineStr">
        <is>
          <t>LV 600 V</t>
        </is>
      </c>
      <c r="J1640" s="9" t="inlineStr">
        <is>
          <t>Type TC-ER 600 V 3/C Cu XHHW-2 + ground, PVC jacket</t>
        </is>
      </c>
      <c r="K1640" s="9" t="inlineStr">
        <is>
          <t>LV|3/C+G|500</t>
        </is>
      </c>
      <c r="L1640" s="9" t="inlineStr">
        <is>
          <t>3/C+G</t>
        </is>
      </c>
      <c r="M1640" s="9" t="inlineStr">
        <is>
          <t>500 kcmil</t>
        </is>
      </c>
      <c r="N1640" s="9" t="n">
        <v>2</v>
      </c>
      <c r="O1640" s="9" t="n">
        <v>1</v>
      </c>
      <c r="P1640" s="9" t="n">
        <v>480</v>
      </c>
      <c r="Q1640" s="9" t="n">
        <v>220</v>
      </c>
      <c r="R1640" s="9" t="n">
        <v>311</v>
      </c>
      <c r="S1640" s="9" t="inlineStr">
        <is>
          <t>Duct bank</t>
        </is>
      </c>
      <c r="T1640" s="10" t="n">
        <v>1559</v>
      </c>
      <c r="U1640" s="10" t="n">
        <v>66</v>
      </c>
      <c r="V1640" s="10">
        <f>ROUNDUP((T1640+U1640+2*'Read Me'!$B$13)*(1+'Read Me'!$B$12),-1)</f>
        <v/>
      </c>
      <c r="W1640" s="10">
        <f>V1640*N1640*O1640</f>
        <v/>
      </c>
      <c r="X1640" s="9">
        <f>IF(LEFT(I1640,2)="MV",2*N1640*IF(L1640="1/C",O1640,1),0)</f>
        <v/>
      </c>
      <c r="Y1640" s="9">
        <f>IF(OR(LEFT(K1640,4)="LVAX",LEFT(K1640,6)="MV15AX",LEFT(K1640,4)="CTAX",LEFT(K1640,2)="W|"),2*N1640*O1640,0)</f>
        <v/>
      </c>
      <c r="Z1640" s="9" t="inlineStr">
        <is>
          <t>VD 2.6 %</t>
        </is>
      </c>
    </row>
    <row r="1641">
      <c r="A1641" s="9" t="inlineStr">
        <is>
          <t>G-P-0032</t>
        </is>
      </c>
      <c r="B1641" s="9" t="inlineStr">
        <is>
          <t>G</t>
        </is>
      </c>
      <c r="C1641" s="9" t="inlineStr">
        <is>
          <t>Carbon capture</t>
        </is>
      </c>
      <c r="D1641" s="9" t="inlineStr">
        <is>
          <t>LV power feeder</t>
        </is>
      </c>
      <c r="E1641" s="9" t="inlineStr"/>
      <c r="F1641" s="9" t="inlineStr">
        <is>
          <t>CT MCC / VFD e-house</t>
        </is>
      </c>
      <c r="G1641" s="9" t="inlineStr"/>
      <c r="H1641" s="9" t="inlineStr">
        <is>
          <t>Water-wash pumps B</t>
        </is>
      </c>
      <c r="I1641" s="9" t="inlineStr">
        <is>
          <t>LV 600 V</t>
        </is>
      </c>
      <c r="J1641" s="9" t="inlineStr">
        <is>
          <t>Type TC-ER 600 V 3/C Cu XHHW-2 + ground, PVC jacket</t>
        </is>
      </c>
      <c r="K1641" s="9" t="inlineStr">
        <is>
          <t>LV|3/C+G|500</t>
        </is>
      </c>
      <c r="L1641" s="9" t="inlineStr">
        <is>
          <t>3/C+G</t>
        </is>
      </c>
      <c r="M1641" s="9" t="inlineStr">
        <is>
          <t>500 kcmil</t>
        </is>
      </c>
      <c r="N1641" s="9" t="n">
        <v>2</v>
      </c>
      <c r="O1641" s="9" t="n">
        <v>1</v>
      </c>
      <c r="P1641" s="9" t="n">
        <v>480</v>
      </c>
      <c r="Q1641" s="9" t="n">
        <v>220</v>
      </c>
      <c r="R1641" s="9" t="n">
        <v>311</v>
      </c>
      <c r="S1641" s="9" t="inlineStr">
        <is>
          <t>Duct bank</t>
        </is>
      </c>
      <c r="T1641" s="10" t="n">
        <v>1399</v>
      </c>
      <c r="U1641" s="10" t="n">
        <v>66</v>
      </c>
      <c r="V1641" s="10">
        <f>ROUNDUP((T1641+U1641+2*'Read Me'!$B$13)*(1+'Read Me'!$B$12),-1)</f>
        <v/>
      </c>
      <c r="W1641" s="10">
        <f>V1641*N1641*O1641</f>
        <v/>
      </c>
      <c r="X1641" s="9">
        <f>IF(LEFT(I1641,2)="MV",2*N1641*IF(L1641="1/C",O1641,1),0)</f>
        <v/>
      </c>
      <c r="Y1641" s="9">
        <f>IF(OR(LEFT(K1641,4)="LVAX",LEFT(K1641,6)="MV15AX",LEFT(K1641,4)="CTAX",LEFT(K1641,2)="W|"),2*N1641*O1641,0)</f>
        <v/>
      </c>
      <c r="Z1641" s="9" t="inlineStr">
        <is>
          <t>VD 2.3 %</t>
        </is>
      </c>
    </row>
    <row r="1642">
      <c r="A1642" s="9" t="inlineStr">
        <is>
          <t>G-P-0033</t>
        </is>
      </c>
      <c r="B1642" s="9" t="inlineStr">
        <is>
          <t>G</t>
        </is>
      </c>
      <c r="C1642" s="9" t="inlineStr">
        <is>
          <t>Carbon capture</t>
        </is>
      </c>
      <c r="D1642" s="9" t="inlineStr">
        <is>
          <t>LV power feeder</t>
        </is>
      </c>
      <c r="E1642" s="9" t="inlineStr"/>
      <c r="F1642" s="9" t="inlineStr">
        <is>
          <t>CT MCC / VFD e-house</t>
        </is>
      </c>
      <c r="G1642" s="9" t="inlineStr"/>
      <c r="H1642" s="9" t="inlineStr">
        <is>
          <t>Water-wash pumps C</t>
        </is>
      </c>
      <c r="I1642" s="9" t="inlineStr">
        <is>
          <t>LV 600 V</t>
        </is>
      </c>
      <c r="J1642" s="9" t="inlineStr">
        <is>
          <t>Type TC-ER 600 V 3/C Cu XHHW-2 + ground, PVC jacket</t>
        </is>
      </c>
      <c r="K1642" s="9" t="inlineStr">
        <is>
          <t>LV|3/C+G|350</t>
        </is>
      </c>
      <c r="L1642" s="9" t="inlineStr">
        <is>
          <t>3/C+G</t>
        </is>
      </c>
      <c r="M1642" s="9" t="inlineStr">
        <is>
          <t>350 kcmil</t>
        </is>
      </c>
      <c r="N1642" s="9" t="n">
        <v>2</v>
      </c>
      <c r="O1642" s="9" t="n">
        <v>1</v>
      </c>
      <c r="P1642" s="9" t="n">
        <v>480</v>
      </c>
      <c r="Q1642" s="9" t="n">
        <v>220</v>
      </c>
      <c r="R1642" s="9" t="n">
        <v>311</v>
      </c>
      <c r="S1642" s="9" t="inlineStr">
        <is>
          <t>Duct bank</t>
        </is>
      </c>
      <c r="T1642" s="10" t="n">
        <v>1239</v>
      </c>
      <c r="U1642" s="10" t="n">
        <v>66</v>
      </c>
      <c r="V1642" s="10">
        <f>ROUNDUP((T1642+U1642+2*'Read Me'!$B$13)*(1+'Read Me'!$B$12),-1)</f>
        <v/>
      </c>
      <c r="W1642" s="10">
        <f>V1642*N1642*O1642</f>
        <v/>
      </c>
      <c r="X1642" s="9">
        <f>IF(LEFT(I1642,2)="MV",2*N1642*IF(L1642="1/C",O1642,1),0)</f>
        <v/>
      </c>
      <c r="Y1642" s="9">
        <f>IF(OR(LEFT(K1642,4)="LVAX",LEFT(K1642,6)="MV15AX",LEFT(K1642,4)="CTAX",LEFT(K1642,2)="W|"),2*N1642*O1642,0)</f>
        <v/>
      </c>
      <c r="Z1642" s="9" t="inlineStr">
        <is>
          <t>VD 3.0 %</t>
        </is>
      </c>
    </row>
    <row r="1643">
      <c r="A1643" s="9" t="inlineStr">
        <is>
          <t>G-MV-0001</t>
        </is>
      </c>
      <c r="B1643" s="9" t="inlineStr">
        <is>
          <t>G</t>
        </is>
      </c>
      <c r="C1643" s="9" t="inlineStr">
        <is>
          <t>Carbon capture</t>
        </is>
      </c>
      <c r="D1643" s="9" t="inlineStr">
        <is>
          <t>Booster fan BF-A (MV VFD output)</t>
        </is>
      </c>
      <c r="E1643" s="9" t="inlineStr"/>
      <c r="F1643" s="9" t="inlineStr">
        <is>
          <t>CCS MV switchgear building (VFDs)</t>
        </is>
      </c>
      <c r="G1643" s="9" t="inlineStr">
        <is>
          <t>BF-A</t>
        </is>
      </c>
      <c r="H1643" s="9" t="inlineStr">
        <is>
          <t>BF-A: booster fan (~16 MW)</t>
        </is>
      </c>
      <c r="I1643" s="9" t="inlineStr">
        <is>
          <t>MV 15 kV</t>
        </is>
      </c>
      <c r="J1643" s="9" t="inlineStr">
        <is>
          <t>MV-105 15 kV 1/C Cu, EPR 133%, Cu tape shield, PVC jacket (triplexed)</t>
        </is>
      </c>
      <c r="K1643" s="9" t="inlineStr">
        <is>
          <t>MV15|1/C|750</t>
        </is>
      </c>
      <c r="L1643" s="9" t="inlineStr">
        <is>
          <t>1/C</t>
        </is>
      </c>
      <c r="M1643" s="9" t="inlineStr">
        <is>
          <t>750 kcmil</t>
        </is>
      </c>
      <c r="N1643" s="9" t="n">
        <v>2</v>
      </c>
      <c r="O1643" s="9" t="n">
        <v>3</v>
      </c>
      <c r="P1643" s="9" t="n">
        <v>13800</v>
      </c>
      <c r="Q1643" s="9" t="n">
        <v>16000</v>
      </c>
      <c r="R1643" s="9" t="n">
        <v>744</v>
      </c>
      <c r="S1643" s="9" t="inlineStr">
        <is>
          <t>Duct bank</t>
        </is>
      </c>
      <c r="T1643" s="10" t="n">
        <v>460</v>
      </c>
      <c r="U1643" s="10" t="n">
        <v>32</v>
      </c>
      <c r="V1643" s="10">
        <f>ROUNDUP((T1643+U1643+2*'Read Me'!$B$13)*(1+'Read Me'!$B$12),-1)</f>
        <v/>
      </c>
      <c r="W1643" s="10">
        <f>V1643*N1643*O1643</f>
        <v/>
      </c>
      <c r="X1643" s="9">
        <f>IF(LEFT(I1643,2)="MV",2*N1643*IF(L1643="1/C",O1643,1),0)</f>
        <v/>
      </c>
      <c r="Y1643" s="9">
        <f>IF(OR(LEFT(K1643,4)="LVAX",LEFT(K1643,6)="MV15AX",LEFT(K1643,4)="CTAX",LEFT(K1643,2)="W|"),2*N1643*O1643,0)</f>
        <v/>
      </c>
      <c r="Z1643" s="9" t="inlineStr">
        <is>
          <t>~16 MW per drawing</t>
        </is>
      </c>
    </row>
    <row r="1644">
      <c r="A1644" s="9" t="inlineStr">
        <is>
          <t>G-MV-0002</t>
        </is>
      </c>
      <c r="B1644" s="9" t="inlineStr">
        <is>
          <t>G</t>
        </is>
      </c>
      <c r="C1644" s="9" t="inlineStr">
        <is>
          <t>Carbon capture</t>
        </is>
      </c>
      <c r="D1644" s="9" t="inlineStr">
        <is>
          <t>Booster fan BF-B (MV VFD output)</t>
        </is>
      </c>
      <c r="E1644" s="9" t="inlineStr"/>
      <c r="F1644" s="9" t="inlineStr">
        <is>
          <t>CCS MV switchgear building (VFDs)</t>
        </is>
      </c>
      <c r="G1644" s="9" t="inlineStr">
        <is>
          <t>BF-B</t>
        </is>
      </c>
      <c r="H1644" s="9" t="inlineStr">
        <is>
          <t>BF-B: booster fan (~16 MW)</t>
        </is>
      </c>
      <c r="I1644" s="9" t="inlineStr">
        <is>
          <t>MV 15 kV</t>
        </is>
      </c>
      <c r="J1644" s="9" t="inlineStr">
        <is>
          <t>MV-105 15 kV 1/C Cu, EPR 133%, Cu tape shield, PVC jacket (triplexed)</t>
        </is>
      </c>
      <c r="K1644" s="9" t="inlineStr">
        <is>
          <t>MV15|1/C|750</t>
        </is>
      </c>
      <c r="L1644" s="9" t="inlineStr">
        <is>
          <t>1/C</t>
        </is>
      </c>
      <c r="M1644" s="9" t="inlineStr">
        <is>
          <t>750 kcmil</t>
        </is>
      </c>
      <c r="N1644" s="9" t="n">
        <v>2</v>
      </c>
      <c r="O1644" s="9" t="n">
        <v>3</v>
      </c>
      <c r="P1644" s="9" t="n">
        <v>13800</v>
      </c>
      <c r="Q1644" s="9" t="n">
        <v>16000</v>
      </c>
      <c r="R1644" s="9" t="n">
        <v>744</v>
      </c>
      <c r="S1644" s="9" t="inlineStr">
        <is>
          <t>Duct bank</t>
        </is>
      </c>
      <c r="T1644" s="10" t="n">
        <v>300</v>
      </c>
      <c r="U1644" s="10" t="n">
        <v>32</v>
      </c>
      <c r="V1644" s="10">
        <f>ROUNDUP((T1644+U1644+2*'Read Me'!$B$13)*(1+'Read Me'!$B$12),-1)</f>
        <v/>
      </c>
      <c r="W1644" s="10">
        <f>V1644*N1644*O1644</f>
        <v/>
      </c>
      <c r="X1644" s="9">
        <f>IF(LEFT(I1644,2)="MV",2*N1644*IF(L1644="1/C",O1644,1),0)</f>
        <v/>
      </c>
      <c r="Y1644" s="9">
        <f>IF(OR(LEFT(K1644,4)="LVAX",LEFT(K1644,6)="MV15AX",LEFT(K1644,4)="CTAX",LEFT(K1644,2)="W|"),2*N1644*O1644,0)</f>
        <v/>
      </c>
      <c r="Z1644" s="9" t="inlineStr">
        <is>
          <t>~16 MW per drawing</t>
        </is>
      </c>
    </row>
    <row r="1645">
      <c r="A1645" s="9" t="inlineStr">
        <is>
          <t>G-MV-0003</t>
        </is>
      </c>
      <c r="B1645" s="9" t="inlineStr">
        <is>
          <t>G</t>
        </is>
      </c>
      <c r="C1645" s="9" t="inlineStr">
        <is>
          <t>Carbon capture</t>
        </is>
      </c>
      <c r="D1645" s="9" t="inlineStr">
        <is>
          <t>Booster fan BF-C (MV VFD output)</t>
        </is>
      </c>
      <c r="E1645" s="9" t="inlineStr"/>
      <c r="F1645" s="9" t="inlineStr">
        <is>
          <t>CCS MV switchgear building (VFDs)</t>
        </is>
      </c>
      <c r="G1645" s="9" t="inlineStr">
        <is>
          <t>BF-C</t>
        </is>
      </c>
      <c r="H1645" s="9" t="inlineStr">
        <is>
          <t>BF-C: booster fan (~16 MW)</t>
        </is>
      </c>
      <c r="I1645" s="9" t="inlineStr">
        <is>
          <t>MV 15 kV</t>
        </is>
      </c>
      <c r="J1645" s="9" t="inlineStr">
        <is>
          <t>MV-105 15 kV 1/C Cu, EPR 133%, Cu tape shield, PVC jacket (triplexed)</t>
        </is>
      </c>
      <c r="K1645" s="9" t="inlineStr">
        <is>
          <t>MV15|1/C|750</t>
        </is>
      </c>
      <c r="L1645" s="9" t="inlineStr">
        <is>
          <t>1/C</t>
        </is>
      </c>
      <c r="M1645" s="9" t="inlineStr">
        <is>
          <t>750 kcmil</t>
        </is>
      </c>
      <c r="N1645" s="9" t="n">
        <v>2</v>
      </c>
      <c r="O1645" s="9" t="n">
        <v>3</v>
      </c>
      <c r="P1645" s="9" t="n">
        <v>13800</v>
      </c>
      <c r="Q1645" s="9" t="n">
        <v>16000</v>
      </c>
      <c r="R1645" s="9" t="n">
        <v>744</v>
      </c>
      <c r="S1645" s="9" t="inlineStr">
        <is>
          <t>Duct bank</t>
        </is>
      </c>
      <c r="T1645" s="10" t="n">
        <v>140</v>
      </c>
      <c r="U1645" s="10" t="n">
        <v>32</v>
      </c>
      <c r="V1645" s="10">
        <f>ROUNDUP((T1645+U1645+2*'Read Me'!$B$13)*(1+'Read Me'!$B$12),-1)</f>
        <v/>
      </c>
      <c r="W1645" s="10">
        <f>V1645*N1645*O1645</f>
        <v/>
      </c>
      <c r="X1645" s="9">
        <f>IF(LEFT(I1645,2)="MV",2*N1645*IF(L1645="1/C",O1645,1),0)</f>
        <v/>
      </c>
      <c r="Y1645" s="9">
        <f>IF(OR(LEFT(K1645,4)="LVAX",LEFT(K1645,6)="MV15AX",LEFT(K1645,4)="CTAX",LEFT(K1645,2)="W|"),2*N1645*O1645,0)</f>
        <v/>
      </c>
      <c r="Z1645" s="9" t="inlineStr">
        <is>
          <t>~16 MW per drawing</t>
        </is>
      </c>
    </row>
    <row r="1646">
      <c r="A1646" s="9" t="inlineStr">
        <is>
          <t>G-MV-0004</t>
        </is>
      </c>
      <c r="B1646" s="9" t="inlineStr">
        <is>
          <t>G</t>
        </is>
      </c>
      <c r="C1646" s="9" t="inlineStr">
        <is>
          <t>Carbon capture</t>
        </is>
      </c>
      <c r="D1646" s="9" t="inlineStr">
        <is>
          <t>CCS T-1 secondary to CCS 13.8 kV switchgear</t>
        </is>
      </c>
      <c r="E1646" s="9" t="inlineStr">
        <is>
          <t>CCS T-1</t>
        </is>
      </c>
      <c r="F1646" s="9" t="inlineStr">
        <is>
          <t>CCS T-1: 230/13.8 kV</t>
        </is>
      </c>
      <c r="G1646" s="9" t="inlineStr"/>
      <c r="H1646" s="9" t="inlineStr">
        <is>
          <t>CCS MV switchgear building (VFDs)</t>
        </is>
      </c>
      <c r="I1646" s="9" t="inlineStr">
        <is>
          <t>MV 15 kV</t>
        </is>
      </c>
      <c r="J1646" s="9" t="inlineStr">
        <is>
          <t>MV-105 15 kV 1/C Cu, EPR 133%, Cu tape shield, PVC jacket (triplexed)</t>
        </is>
      </c>
      <c r="K1646" s="9" t="inlineStr">
        <is>
          <t>MV15|1/C|1000</t>
        </is>
      </c>
      <c r="L1646" s="9" t="inlineStr">
        <is>
          <t>1/C</t>
        </is>
      </c>
      <c r="M1646" s="9" t="inlineStr">
        <is>
          <t>1000 kcmil</t>
        </is>
      </c>
      <c r="N1646" s="9" t="n">
        <v>5</v>
      </c>
      <c r="O1646" s="9" t="n">
        <v>3</v>
      </c>
      <c r="P1646" s="9" t="n">
        <v>13800</v>
      </c>
      <c r="Q1646" s="9" t="n">
        <v>60000</v>
      </c>
      <c r="R1646" s="9" t="n">
        <v>2510</v>
      </c>
      <c r="S1646" s="9" t="inlineStr">
        <is>
          <t>Duct bank</t>
        </is>
      </c>
      <c r="T1646" s="10" t="n">
        <v>361</v>
      </c>
      <c r="U1646" s="10" t="n">
        <v>33</v>
      </c>
      <c r="V1646" s="10">
        <f>ROUNDUP((T1646+U1646+2*'Read Me'!$B$13)*(1+'Read Me'!$B$12),-1)</f>
        <v/>
      </c>
      <c r="W1646" s="10">
        <f>V1646*N1646*O1646</f>
        <v/>
      </c>
      <c r="X1646" s="9">
        <f>IF(LEFT(I1646,2)="MV",2*N1646*IF(L1646="1/C",O1646,1),0)</f>
        <v/>
      </c>
      <c r="Y1646" s="9">
        <f>IF(OR(LEFT(K1646,4)="LVAX",LEFT(K1646,6)="MV15AX",LEFT(K1646,4)="CTAX",LEFT(K1646,2)="W|"),2*N1646*O1646,0)</f>
        <v/>
      </c>
      <c r="Z1646" s="9" t="inlineStr">
        <is>
          <t>60 MVA (typ.)</t>
        </is>
      </c>
    </row>
    <row r="1647">
      <c r="A1647" s="9" t="inlineStr">
        <is>
          <t>G-MV-0005</t>
        </is>
      </c>
      <c r="B1647" s="9" t="inlineStr">
        <is>
          <t>G</t>
        </is>
      </c>
      <c r="C1647" s="9" t="inlineStr">
        <is>
          <t>Carbon capture</t>
        </is>
      </c>
      <c r="D1647" s="9" t="inlineStr">
        <is>
          <t>CCS T-2 secondary to CCS 13.8 kV switchgear</t>
        </is>
      </c>
      <c r="E1647" s="9" t="inlineStr">
        <is>
          <t>CCS T-2</t>
        </is>
      </c>
      <c r="F1647" s="9" t="inlineStr">
        <is>
          <t>CCS T-2: 230/13.8 kV</t>
        </is>
      </c>
      <c r="G1647" s="9" t="inlineStr"/>
      <c r="H1647" s="9" t="inlineStr">
        <is>
          <t>CCS MV switchgear building (VFDs)</t>
        </is>
      </c>
      <c r="I1647" s="9" t="inlineStr">
        <is>
          <t>MV 15 kV</t>
        </is>
      </c>
      <c r="J1647" s="9" t="inlineStr">
        <is>
          <t>MV-105 15 kV 1/C Cu, EPR 133%, Cu tape shield, PVC jacket (triplexed)</t>
        </is>
      </c>
      <c r="K1647" s="9" t="inlineStr">
        <is>
          <t>MV15|1/C|1000</t>
        </is>
      </c>
      <c r="L1647" s="9" t="inlineStr">
        <is>
          <t>1/C</t>
        </is>
      </c>
      <c r="M1647" s="9" t="inlineStr">
        <is>
          <t>1000 kcmil</t>
        </is>
      </c>
      <c r="N1647" s="9" t="n">
        <v>5</v>
      </c>
      <c r="O1647" s="9" t="n">
        <v>3</v>
      </c>
      <c r="P1647" s="9" t="n">
        <v>13800</v>
      </c>
      <c r="Q1647" s="9" t="n">
        <v>60000</v>
      </c>
      <c r="R1647" s="9" t="n">
        <v>2510</v>
      </c>
      <c r="S1647" s="9" t="inlineStr">
        <is>
          <t>Duct bank</t>
        </is>
      </c>
      <c r="T1647" s="10" t="n">
        <v>410</v>
      </c>
      <c r="U1647" s="10" t="n">
        <v>32</v>
      </c>
      <c r="V1647" s="10">
        <f>ROUNDUP((T1647+U1647+2*'Read Me'!$B$13)*(1+'Read Me'!$B$12),-1)</f>
        <v/>
      </c>
      <c r="W1647" s="10">
        <f>V1647*N1647*O1647</f>
        <v/>
      </c>
      <c r="X1647" s="9">
        <f>IF(LEFT(I1647,2)="MV",2*N1647*IF(L1647="1/C",O1647,1),0)</f>
        <v/>
      </c>
      <c r="Y1647" s="9">
        <f>IF(OR(LEFT(K1647,4)="LVAX",LEFT(K1647,6)="MV15AX",LEFT(K1647,4)="CTAX",LEFT(K1647,2)="W|"),2*N1647*O1647,0)</f>
        <v/>
      </c>
      <c r="Z1647" s="9" t="inlineStr">
        <is>
          <t>60 MVA (typ.)</t>
        </is>
      </c>
    </row>
    <row r="1648">
      <c r="A1648" s="9" t="inlineStr">
        <is>
          <t>G-MV-0006</t>
        </is>
      </c>
      <c r="B1648" s="9" t="inlineStr">
        <is>
          <t>G</t>
        </is>
      </c>
      <c r="C1648" s="9" t="inlineStr">
        <is>
          <t>Carbon capture</t>
        </is>
      </c>
      <c r="D1648" s="9" t="inlineStr">
        <is>
          <t>CO2 compressor train 1</t>
        </is>
      </c>
      <c r="E1648" s="9" t="inlineStr"/>
      <c r="F1648" s="9" t="inlineStr">
        <is>
          <t>CCS MV switchgear building (VFDs)</t>
        </is>
      </c>
      <c r="G1648" s="9" t="inlineStr"/>
      <c r="H1648" s="9" t="inlineStr">
        <is>
          <t>CO2 compression 3 x ~19 MW + dehydration</t>
        </is>
      </c>
      <c r="I1648" s="9" t="inlineStr">
        <is>
          <t>MV 15 kV</t>
        </is>
      </c>
      <c r="J1648" s="9" t="inlineStr">
        <is>
          <t>MV-105 15 kV 1/C Cu, EPR 133%, Cu tape shield, PVC jacket (triplexed)</t>
        </is>
      </c>
      <c r="K1648" s="9" t="inlineStr">
        <is>
          <t>MV15|1/C|750</t>
        </is>
      </c>
      <c r="L1648" s="9" t="inlineStr">
        <is>
          <t>1/C</t>
        </is>
      </c>
      <c r="M1648" s="9" t="inlineStr">
        <is>
          <t>750 kcmil</t>
        </is>
      </c>
      <c r="N1648" s="9" t="n">
        <v>2</v>
      </c>
      <c r="O1648" s="9" t="n">
        <v>3</v>
      </c>
      <c r="P1648" s="9" t="n">
        <v>13800</v>
      </c>
      <c r="Q1648" s="9" t="n">
        <v>19000</v>
      </c>
      <c r="R1648" s="9" t="n">
        <v>883</v>
      </c>
      <c r="S1648" s="9" t="inlineStr">
        <is>
          <t>Duct bank</t>
        </is>
      </c>
      <c r="T1648" s="10" t="n">
        <v>291</v>
      </c>
      <c r="U1648" s="10" t="n">
        <v>36</v>
      </c>
      <c r="V1648" s="10">
        <f>ROUNDUP((T1648+U1648+2*'Read Me'!$B$13)*(1+'Read Me'!$B$12),-1)</f>
        <v/>
      </c>
      <c r="W1648" s="10">
        <f>V1648*N1648*O1648</f>
        <v/>
      </c>
      <c r="X1648" s="9">
        <f>IF(LEFT(I1648,2)="MV",2*N1648*IF(L1648="1/C",O1648,1),0)</f>
        <v/>
      </c>
      <c r="Y1648" s="9">
        <f>IF(OR(LEFT(K1648,4)="LVAX",LEFT(K1648,6)="MV15AX",LEFT(K1648,4)="CTAX",LEFT(K1648,2)="W|"),2*N1648*O1648,0)</f>
        <v/>
      </c>
      <c r="Z1648" s="9" t="inlineStr">
        <is>
          <t>~19 MW per drawing</t>
        </is>
      </c>
    </row>
    <row r="1649">
      <c r="A1649" s="9" t="inlineStr">
        <is>
          <t>G-MV-0007</t>
        </is>
      </c>
      <c r="B1649" s="9" t="inlineStr">
        <is>
          <t>G</t>
        </is>
      </c>
      <c r="C1649" s="9" t="inlineStr">
        <is>
          <t>Carbon capture</t>
        </is>
      </c>
      <c r="D1649" s="9" t="inlineStr">
        <is>
          <t>CO2 compressor train 2</t>
        </is>
      </c>
      <c r="E1649" s="9" t="inlineStr"/>
      <c r="F1649" s="9" t="inlineStr">
        <is>
          <t>CCS MV switchgear building (VFDs)</t>
        </is>
      </c>
      <c r="G1649" s="9" t="inlineStr"/>
      <c r="H1649" s="9" t="inlineStr">
        <is>
          <t>CO2 compression 3 x ~19 MW + dehydration</t>
        </is>
      </c>
      <c r="I1649" s="9" t="inlineStr">
        <is>
          <t>MV 15 kV</t>
        </is>
      </c>
      <c r="J1649" s="9" t="inlineStr">
        <is>
          <t>MV-105 15 kV 1/C Cu, EPR 133%, Cu tape shield, PVC jacket (triplexed)</t>
        </is>
      </c>
      <c r="K1649" s="9" t="inlineStr">
        <is>
          <t>MV15|1/C|750</t>
        </is>
      </c>
      <c r="L1649" s="9" t="inlineStr">
        <is>
          <t>1/C</t>
        </is>
      </c>
      <c r="M1649" s="9" t="inlineStr">
        <is>
          <t>750 kcmil</t>
        </is>
      </c>
      <c r="N1649" s="9" t="n">
        <v>2</v>
      </c>
      <c r="O1649" s="9" t="n">
        <v>3</v>
      </c>
      <c r="P1649" s="9" t="n">
        <v>13800</v>
      </c>
      <c r="Q1649" s="9" t="n">
        <v>19000</v>
      </c>
      <c r="R1649" s="9" t="n">
        <v>883</v>
      </c>
      <c r="S1649" s="9" t="inlineStr">
        <is>
          <t>Duct bank</t>
        </is>
      </c>
      <c r="T1649" s="10" t="n">
        <v>291</v>
      </c>
      <c r="U1649" s="10" t="n">
        <v>36</v>
      </c>
      <c r="V1649" s="10">
        <f>ROUNDUP((T1649+U1649+2*'Read Me'!$B$13)*(1+'Read Me'!$B$12),-1)</f>
        <v/>
      </c>
      <c r="W1649" s="10">
        <f>V1649*N1649*O1649</f>
        <v/>
      </c>
      <c r="X1649" s="9">
        <f>IF(LEFT(I1649,2)="MV",2*N1649*IF(L1649="1/C",O1649,1),0)</f>
        <v/>
      </c>
      <c r="Y1649" s="9">
        <f>IF(OR(LEFT(K1649,4)="LVAX",LEFT(K1649,6)="MV15AX",LEFT(K1649,4)="CTAX",LEFT(K1649,2)="W|"),2*N1649*O1649,0)</f>
        <v/>
      </c>
      <c r="Z1649" s="9" t="inlineStr">
        <is>
          <t>~19 MW per drawing</t>
        </is>
      </c>
    </row>
    <row r="1650">
      <c r="A1650" s="9" t="inlineStr">
        <is>
          <t>G-MV-0008</t>
        </is>
      </c>
      <c r="B1650" s="9" t="inlineStr">
        <is>
          <t>G</t>
        </is>
      </c>
      <c r="C1650" s="9" t="inlineStr">
        <is>
          <t>Carbon capture</t>
        </is>
      </c>
      <c r="D1650" s="9" t="inlineStr">
        <is>
          <t>CO2 compressor train 3</t>
        </is>
      </c>
      <c r="E1650" s="9" t="inlineStr"/>
      <c r="F1650" s="9" t="inlineStr">
        <is>
          <t>CCS MV switchgear building (VFDs)</t>
        </is>
      </c>
      <c r="G1650" s="9" t="inlineStr"/>
      <c r="H1650" s="9" t="inlineStr">
        <is>
          <t>CO2 compression 3 x ~19 MW + dehydration</t>
        </is>
      </c>
      <c r="I1650" s="9" t="inlineStr">
        <is>
          <t>MV 15 kV</t>
        </is>
      </c>
      <c r="J1650" s="9" t="inlineStr">
        <is>
          <t>MV-105 15 kV 1/C Cu, EPR 133%, Cu tape shield, PVC jacket (triplexed)</t>
        </is>
      </c>
      <c r="K1650" s="9" t="inlineStr">
        <is>
          <t>MV15|1/C|750</t>
        </is>
      </c>
      <c r="L1650" s="9" t="inlineStr">
        <is>
          <t>1/C</t>
        </is>
      </c>
      <c r="M1650" s="9" t="inlineStr">
        <is>
          <t>750 kcmil</t>
        </is>
      </c>
      <c r="N1650" s="9" t="n">
        <v>2</v>
      </c>
      <c r="O1650" s="9" t="n">
        <v>3</v>
      </c>
      <c r="P1650" s="9" t="n">
        <v>13800</v>
      </c>
      <c r="Q1650" s="9" t="n">
        <v>19000</v>
      </c>
      <c r="R1650" s="9" t="n">
        <v>883</v>
      </c>
      <c r="S1650" s="9" t="inlineStr">
        <is>
          <t>Duct bank</t>
        </is>
      </c>
      <c r="T1650" s="10" t="n">
        <v>291</v>
      </c>
      <c r="U1650" s="10" t="n">
        <v>36</v>
      </c>
      <c r="V1650" s="10">
        <f>ROUNDUP((T1650+U1650+2*'Read Me'!$B$13)*(1+'Read Me'!$B$12),-1)</f>
        <v/>
      </c>
      <c r="W1650" s="10">
        <f>V1650*N1650*O1650</f>
        <v/>
      </c>
      <c r="X1650" s="9">
        <f>IF(LEFT(I1650,2)="MV",2*N1650*IF(L1650="1/C",O1650,1),0)</f>
        <v/>
      </c>
      <c r="Y1650" s="9">
        <f>IF(OR(LEFT(K1650,4)="LVAX",LEFT(K1650,6)="MV15AX",LEFT(K1650,4)="CTAX",LEFT(K1650,2)="W|"),2*N1650*O1650,0)</f>
        <v/>
      </c>
      <c r="Z1650" s="9" t="inlineStr">
        <is>
          <t>~19 MW per drawing</t>
        </is>
      </c>
    </row>
    <row r="1651">
      <c r="A1651" s="9" t="inlineStr">
        <is>
          <t>G-MV-0009</t>
        </is>
      </c>
      <c r="B1651" s="9" t="inlineStr">
        <is>
          <t>G</t>
        </is>
      </c>
      <c r="C1651" s="9" t="inlineStr">
        <is>
          <t>Carbon capture</t>
        </is>
      </c>
      <c r="D1651" s="9" t="inlineStr">
        <is>
          <t>HP CO2 export compressor (conditional)</t>
        </is>
      </c>
      <c r="E1651" s="9" t="inlineStr"/>
      <c r="F1651" s="9" t="inlineStr">
        <is>
          <t>CCS MV switchgear building (VFDs)</t>
        </is>
      </c>
      <c r="G1651" s="9" t="inlineStr"/>
      <c r="H1651" s="9" t="inlineStr">
        <is>
          <t>CONDITIONAL: HP export compressor + metering</t>
        </is>
      </c>
      <c r="I1651" s="9" t="inlineStr">
        <is>
          <t>MV 15 kV</t>
        </is>
      </c>
      <c r="J1651" s="9" t="inlineStr">
        <is>
          <t>MV-105 15 kV 1/C Cu, EPR 133%, Cu tape shield, PVC jacket (triplexed)</t>
        </is>
      </c>
      <c r="K1651" s="9" t="inlineStr">
        <is>
          <t>MV15|1/C|750</t>
        </is>
      </c>
      <c r="L1651" s="9" t="inlineStr">
        <is>
          <t>1/C</t>
        </is>
      </c>
      <c r="M1651" s="9" t="inlineStr">
        <is>
          <t>750 kcmil</t>
        </is>
      </c>
      <c r="N1651" s="9" t="n">
        <v>1</v>
      </c>
      <c r="O1651" s="9" t="n">
        <v>3</v>
      </c>
      <c r="P1651" s="9" t="n">
        <v>13800</v>
      </c>
      <c r="Q1651" s="9" t="n">
        <v>8000</v>
      </c>
      <c r="R1651" s="9" t="n">
        <v>372</v>
      </c>
      <c r="S1651" s="9" t="inlineStr">
        <is>
          <t>Duct bank</t>
        </is>
      </c>
      <c r="T1651" s="10" t="n">
        <v>303</v>
      </c>
      <c r="U1651" s="10" t="n">
        <v>34</v>
      </c>
      <c r="V1651" s="10">
        <f>ROUNDUP((T1651+U1651+2*'Read Me'!$B$13)*(1+'Read Me'!$B$12),-1)</f>
        <v/>
      </c>
      <c r="W1651" s="10">
        <f>V1651*N1651*O1651</f>
        <v/>
      </c>
      <c r="X1651" s="9">
        <f>IF(LEFT(I1651,2)="MV",2*N1651*IF(L1651="1/C",O1651,1),0)</f>
        <v/>
      </c>
      <c r="Y1651" s="9">
        <f>IF(OR(LEFT(K1651,4)="LVAX",LEFT(K1651,6)="MV15AX",LEFT(K1651,4)="CTAX",LEFT(K1651,2)="W|"),2*N1651*O1651,0)</f>
        <v/>
      </c>
      <c r="Z1651" s="9" t="inlineStr"/>
    </row>
    <row r="1652">
      <c r="A1652" s="9" t="inlineStr">
        <is>
          <t>G-MV-0010</t>
        </is>
      </c>
      <c r="B1652" s="9" t="inlineStr">
        <is>
          <t>G</t>
        </is>
      </c>
      <c r="C1652" s="9" t="inlineStr">
        <is>
          <t>Carbon capture</t>
        </is>
      </c>
      <c r="D1652" s="9" t="inlineStr">
        <is>
          <t>CT MCC / VFD e-house transformer</t>
        </is>
      </c>
      <c r="E1652" s="9" t="inlineStr"/>
      <c r="F1652" s="9" t="inlineStr">
        <is>
          <t>CCS MV switchgear building (VFDs)</t>
        </is>
      </c>
      <c r="G1652" s="9" t="inlineStr"/>
      <c r="H1652" s="9" t="inlineStr">
        <is>
          <t>CT MCC / VFD e-house</t>
        </is>
      </c>
      <c r="I1652" s="9" t="inlineStr">
        <is>
          <t>MV 15 kV</t>
        </is>
      </c>
      <c r="J1652" s="9" t="inlineStr">
        <is>
          <t>MV-105 15 kV 1/C Cu, EPR 133%, Cu tape shield, PVC jacket (triplexed)</t>
        </is>
      </c>
      <c r="K1652" s="9" t="inlineStr">
        <is>
          <t>MV15|1/C|1/0</t>
        </is>
      </c>
      <c r="L1652" s="9" t="inlineStr">
        <is>
          <t>1/C</t>
        </is>
      </c>
      <c r="M1652" s="9" t="inlineStr">
        <is>
          <t>1/0</t>
        </is>
      </c>
      <c r="N1652" s="9" t="n">
        <v>1</v>
      </c>
      <c r="O1652" s="9" t="n">
        <v>3</v>
      </c>
      <c r="P1652" s="9" t="n">
        <v>13800</v>
      </c>
      <c r="Q1652" s="9" t="n">
        <v>3000</v>
      </c>
      <c r="R1652" s="9" t="n">
        <v>126</v>
      </c>
      <c r="S1652" s="9" t="inlineStr">
        <is>
          <t>Duct bank</t>
        </is>
      </c>
      <c r="T1652" s="10" t="n">
        <v>770</v>
      </c>
      <c r="U1652" s="10" t="n">
        <v>167</v>
      </c>
      <c r="V1652" s="10">
        <f>ROUNDUP((T1652+U1652+2*'Read Me'!$B$13)*(1+'Read Me'!$B$12),-1)</f>
        <v/>
      </c>
      <c r="W1652" s="10">
        <f>V1652*N1652*O1652</f>
        <v/>
      </c>
      <c r="X1652" s="9">
        <f>IF(LEFT(I1652,2)="MV",2*N1652*IF(L1652="1/C",O1652,1),0)</f>
        <v/>
      </c>
      <c r="Y1652" s="9">
        <f>IF(OR(LEFT(K1652,4)="LVAX",LEFT(K1652,6)="MV15AX",LEFT(K1652,4)="CTAX",LEFT(K1652,2)="W|"),2*N1652*O1652,0)</f>
        <v/>
      </c>
      <c r="Z1652" s="9" t="inlineStr"/>
    </row>
    <row r="1653">
      <c r="A1653" s="9" t="inlineStr">
        <is>
          <t>G-MV-0011</t>
        </is>
      </c>
      <c r="B1653" s="9" t="inlineStr">
        <is>
          <t>G</t>
        </is>
      </c>
      <c r="C1653" s="9" t="inlineStr">
        <is>
          <t>Carbon capture</t>
        </is>
      </c>
      <c r="D1653" s="9" t="inlineStr">
        <is>
          <t>CT MCC / VFD e-house transformer</t>
        </is>
      </c>
      <c r="E1653" s="9" t="inlineStr"/>
      <c r="F1653" s="9" t="inlineStr">
        <is>
          <t>CCS MV switchgear building (VFDs)</t>
        </is>
      </c>
      <c r="G1653" s="9" t="inlineStr"/>
      <c r="H1653" s="9" t="inlineStr">
        <is>
          <t>CT MCC / VFD e-house</t>
        </is>
      </c>
      <c r="I1653" s="9" t="inlineStr">
        <is>
          <t>MV 15 kV</t>
        </is>
      </c>
      <c r="J1653" s="9" t="inlineStr">
        <is>
          <t>MV-105 15 kV 1/C Cu, EPR 133%, Cu tape shield, PVC jacket (triplexed)</t>
        </is>
      </c>
      <c r="K1653" s="9" t="inlineStr">
        <is>
          <t>MV15|1/C|1/0</t>
        </is>
      </c>
      <c r="L1653" s="9" t="inlineStr">
        <is>
          <t>1/C</t>
        </is>
      </c>
      <c r="M1653" s="9" t="inlineStr">
        <is>
          <t>1/0</t>
        </is>
      </c>
      <c r="N1653" s="9" t="n">
        <v>1</v>
      </c>
      <c r="O1653" s="9" t="n">
        <v>3</v>
      </c>
      <c r="P1653" s="9" t="n">
        <v>13800</v>
      </c>
      <c r="Q1653" s="9" t="n">
        <v>3000</v>
      </c>
      <c r="R1653" s="9" t="n">
        <v>126</v>
      </c>
      <c r="S1653" s="9" t="inlineStr">
        <is>
          <t>Duct bank</t>
        </is>
      </c>
      <c r="T1653" s="10" t="n">
        <v>770</v>
      </c>
      <c r="U1653" s="10" t="n">
        <v>167</v>
      </c>
      <c r="V1653" s="10">
        <f>ROUNDUP((T1653+U1653+2*'Read Me'!$B$13)*(1+'Read Me'!$B$12),-1)</f>
        <v/>
      </c>
      <c r="W1653" s="10">
        <f>V1653*N1653*O1653</f>
        <v/>
      </c>
      <c r="X1653" s="9">
        <f>IF(LEFT(I1653,2)="MV",2*N1653*IF(L1653="1/C",O1653,1),0)</f>
        <v/>
      </c>
      <c r="Y1653" s="9">
        <f>IF(OR(LEFT(K1653,4)="LVAX",LEFT(K1653,6)="MV15AX",LEFT(K1653,4)="CTAX",LEFT(K1653,2)="W|"),2*N1653*O1653,0)</f>
        <v/>
      </c>
      <c r="Z1653" s="9" t="inlineStr"/>
    </row>
    <row r="1654">
      <c r="A1654" s="9" t="inlineStr">
        <is>
          <t>G-MV-0012</t>
        </is>
      </c>
      <c r="B1654" s="9" t="inlineStr">
        <is>
          <t>G</t>
        </is>
      </c>
      <c r="C1654" s="9" t="inlineStr">
        <is>
          <t>Carbon capture</t>
        </is>
      </c>
      <c r="D1654" s="9" t="inlineStr">
        <is>
          <t>CCS circulating-water pump 1</t>
        </is>
      </c>
      <c r="E1654" s="9" t="inlineStr"/>
      <c r="F1654" s="9" t="inlineStr">
        <is>
          <t>CCS MV switchgear building (VFDs)</t>
        </is>
      </c>
      <c r="G1654" s="9" t="inlineStr"/>
      <c r="H1654" s="9" t="inlineStr">
        <is>
          <t>CCS circulating-water pumps</t>
        </is>
      </c>
      <c r="I1654" s="9" t="inlineStr">
        <is>
          <t>MV 5 kV</t>
        </is>
      </c>
      <c r="J1654" s="9" t="inlineStr">
        <is>
          <t>MV-105 5 kV 3/C Cu, EPR 133%, tape shield, gnd, PVC jacket</t>
        </is>
      </c>
      <c r="K1654" s="9" t="inlineStr">
        <is>
          <t>MV5|3/C|4/0</t>
        </is>
      </c>
      <c r="L1654" s="9" t="inlineStr">
        <is>
          <t>3/C</t>
        </is>
      </c>
      <c r="M1654" s="9" t="inlineStr">
        <is>
          <t>4/0</t>
        </is>
      </c>
      <c r="N1654" s="9" t="n">
        <v>1</v>
      </c>
      <c r="O1654" s="9" t="n">
        <v>1</v>
      </c>
      <c r="P1654" s="9" t="n">
        <v>4160</v>
      </c>
      <c r="Q1654" s="9" t="n">
        <v>1200</v>
      </c>
      <c r="R1654" s="9" t="n">
        <v>185</v>
      </c>
      <c r="S1654" s="9" t="inlineStr">
        <is>
          <t>Duct bank</t>
        </is>
      </c>
      <c r="T1654" s="10" t="n">
        <v>770</v>
      </c>
      <c r="U1654" s="10" t="n">
        <v>107</v>
      </c>
      <c r="V1654" s="10">
        <f>ROUNDUP((T1654+U1654+2*'Read Me'!$B$13)*(1+'Read Me'!$B$12),-1)</f>
        <v/>
      </c>
      <c r="W1654" s="10">
        <f>V1654*N1654*O1654</f>
        <v/>
      </c>
      <c r="X1654" s="9">
        <f>IF(LEFT(I1654,2)="MV",2*N1654*IF(L1654="1/C",O1654,1),0)</f>
        <v/>
      </c>
      <c r="Y1654" s="9">
        <f>IF(OR(LEFT(K1654,4)="LVAX",LEFT(K1654,6)="MV15AX",LEFT(K1654,4)="CTAX",LEFT(K1654,2)="W|"),2*N1654*O1654,0)</f>
        <v/>
      </c>
      <c r="Z1654" s="9" t="inlineStr"/>
    </row>
    <row r="1655">
      <c r="A1655" s="9" t="inlineStr">
        <is>
          <t>G-MV-0013</t>
        </is>
      </c>
      <c r="B1655" s="9" t="inlineStr">
        <is>
          <t>G</t>
        </is>
      </c>
      <c r="C1655" s="9" t="inlineStr">
        <is>
          <t>Carbon capture</t>
        </is>
      </c>
      <c r="D1655" s="9" t="inlineStr">
        <is>
          <t>CCS circulating-water pump 2</t>
        </is>
      </c>
      <c r="E1655" s="9" t="inlineStr"/>
      <c r="F1655" s="9" t="inlineStr">
        <is>
          <t>CCS MV switchgear building (VFDs)</t>
        </is>
      </c>
      <c r="G1655" s="9" t="inlineStr"/>
      <c r="H1655" s="9" t="inlineStr">
        <is>
          <t>CCS circulating-water pumps</t>
        </is>
      </c>
      <c r="I1655" s="9" t="inlineStr">
        <is>
          <t>MV 5 kV</t>
        </is>
      </c>
      <c r="J1655" s="9" t="inlineStr">
        <is>
          <t>MV-105 5 kV 3/C Cu, EPR 133%, tape shield, gnd, PVC jacket</t>
        </is>
      </c>
      <c r="K1655" s="9" t="inlineStr">
        <is>
          <t>MV5|3/C|4/0</t>
        </is>
      </c>
      <c r="L1655" s="9" t="inlineStr">
        <is>
          <t>3/C</t>
        </is>
      </c>
      <c r="M1655" s="9" t="inlineStr">
        <is>
          <t>4/0</t>
        </is>
      </c>
      <c r="N1655" s="9" t="n">
        <v>1</v>
      </c>
      <c r="O1655" s="9" t="n">
        <v>1</v>
      </c>
      <c r="P1655" s="9" t="n">
        <v>4160</v>
      </c>
      <c r="Q1655" s="9" t="n">
        <v>1200</v>
      </c>
      <c r="R1655" s="9" t="n">
        <v>185</v>
      </c>
      <c r="S1655" s="9" t="inlineStr">
        <is>
          <t>Duct bank</t>
        </is>
      </c>
      <c r="T1655" s="10" t="n">
        <v>770</v>
      </c>
      <c r="U1655" s="10" t="n">
        <v>107</v>
      </c>
      <c r="V1655" s="10">
        <f>ROUNDUP((T1655+U1655+2*'Read Me'!$B$13)*(1+'Read Me'!$B$12),-1)</f>
        <v/>
      </c>
      <c r="W1655" s="10">
        <f>V1655*N1655*O1655</f>
        <v/>
      </c>
      <c r="X1655" s="9">
        <f>IF(LEFT(I1655,2)="MV",2*N1655*IF(L1655="1/C",O1655,1),0)</f>
        <v/>
      </c>
      <c r="Y1655" s="9">
        <f>IF(OR(LEFT(K1655,4)="LVAX",LEFT(K1655,6)="MV15AX",LEFT(K1655,4)="CTAX",LEFT(K1655,2)="W|"),2*N1655*O1655,0)</f>
        <v/>
      </c>
      <c r="Z1655" s="9" t="inlineStr"/>
    </row>
    <row r="1656">
      <c r="A1656" s="9" t="inlineStr">
        <is>
          <t>G-MV-0014</t>
        </is>
      </c>
      <c r="B1656" s="9" t="inlineStr">
        <is>
          <t>G</t>
        </is>
      </c>
      <c r="C1656" s="9" t="inlineStr">
        <is>
          <t>Carbon capture</t>
        </is>
      </c>
      <c r="D1656" s="9" t="inlineStr">
        <is>
          <t>CCS circulating-water pump 3</t>
        </is>
      </c>
      <c r="E1656" s="9" t="inlineStr"/>
      <c r="F1656" s="9" t="inlineStr">
        <is>
          <t>CCS MV switchgear building (VFDs)</t>
        </is>
      </c>
      <c r="G1656" s="9" t="inlineStr"/>
      <c r="H1656" s="9" t="inlineStr">
        <is>
          <t>CCS circulating-water pumps</t>
        </is>
      </c>
      <c r="I1656" s="9" t="inlineStr">
        <is>
          <t>MV 5 kV</t>
        </is>
      </c>
      <c r="J1656" s="9" t="inlineStr">
        <is>
          <t>MV-105 5 kV 3/C Cu, EPR 133%, tape shield, gnd, PVC jacket</t>
        </is>
      </c>
      <c r="K1656" s="9" t="inlineStr">
        <is>
          <t>MV5|3/C|4/0</t>
        </is>
      </c>
      <c r="L1656" s="9" t="inlineStr">
        <is>
          <t>3/C</t>
        </is>
      </c>
      <c r="M1656" s="9" t="inlineStr">
        <is>
          <t>4/0</t>
        </is>
      </c>
      <c r="N1656" s="9" t="n">
        <v>1</v>
      </c>
      <c r="O1656" s="9" t="n">
        <v>1</v>
      </c>
      <c r="P1656" s="9" t="n">
        <v>4160</v>
      </c>
      <c r="Q1656" s="9" t="n">
        <v>1200</v>
      </c>
      <c r="R1656" s="9" t="n">
        <v>185</v>
      </c>
      <c r="S1656" s="9" t="inlineStr">
        <is>
          <t>Duct bank</t>
        </is>
      </c>
      <c r="T1656" s="10" t="n">
        <v>770</v>
      </c>
      <c r="U1656" s="10" t="n">
        <v>107</v>
      </c>
      <c r="V1656" s="10">
        <f>ROUNDUP((T1656+U1656+2*'Read Me'!$B$13)*(1+'Read Me'!$B$12),-1)</f>
        <v/>
      </c>
      <c r="W1656" s="10">
        <f>V1656*N1656*O1656</f>
        <v/>
      </c>
      <c r="X1656" s="9">
        <f>IF(LEFT(I1656,2)="MV",2*N1656*IF(L1656="1/C",O1656,1),0)</f>
        <v/>
      </c>
      <c r="Y1656" s="9">
        <f>IF(OR(LEFT(K1656,4)="LVAX",LEFT(K1656,6)="MV15AX",LEFT(K1656,4)="CTAX",LEFT(K1656,2)="W|"),2*N1656*O1656,0)</f>
        <v/>
      </c>
      <c r="Z1656" s="9" t="inlineStr"/>
    </row>
    <row r="1657">
      <c r="A1657" s="9" t="inlineStr">
        <is>
          <t>G-MV-0015</t>
        </is>
      </c>
      <c r="B1657" s="9" t="inlineStr">
        <is>
          <t>G</t>
        </is>
      </c>
      <c r="C1657" s="9" t="inlineStr">
        <is>
          <t>Carbon capture</t>
        </is>
      </c>
      <c r="D1657" s="9" t="inlineStr">
        <is>
          <t>CCS circulating-water pump 4</t>
        </is>
      </c>
      <c r="E1657" s="9" t="inlineStr"/>
      <c r="F1657" s="9" t="inlineStr">
        <is>
          <t>CCS MV switchgear building (VFDs)</t>
        </is>
      </c>
      <c r="G1657" s="9" t="inlineStr"/>
      <c r="H1657" s="9" t="inlineStr">
        <is>
          <t>CCS circulating-water pumps</t>
        </is>
      </c>
      <c r="I1657" s="9" t="inlineStr">
        <is>
          <t>MV 5 kV</t>
        </is>
      </c>
      <c r="J1657" s="9" t="inlineStr">
        <is>
          <t>MV-105 5 kV 3/C Cu, EPR 133%, tape shield, gnd, PVC jacket</t>
        </is>
      </c>
      <c r="K1657" s="9" t="inlineStr">
        <is>
          <t>MV5|3/C|4/0</t>
        </is>
      </c>
      <c r="L1657" s="9" t="inlineStr">
        <is>
          <t>3/C</t>
        </is>
      </c>
      <c r="M1657" s="9" t="inlineStr">
        <is>
          <t>4/0</t>
        </is>
      </c>
      <c r="N1657" s="9" t="n">
        <v>1</v>
      </c>
      <c r="O1657" s="9" t="n">
        <v>1</v>
      </c>
      <c r="P1657" s="9" t="n">
        <v>4160</v>
      </c>
      <c r="Q1657" s="9" t="n">
        <v>1200</v>
      </c>
      <c r="R1657" s="9" t="n">
        <v>185</v>
      </c>
      <c r="S1657" s="9" t="inlineStr">
        <is>
          <t>Duct bank</t>
        </is>
      </c>
      <c r="T1657" s="10" t="n">
        <v>770</v>
      </c>
      <c r="U1657" s="10" t="n">
        <v>107</v>
      </c>
      <c r="V1657" s="10">
        <f>ROUNDUP((T1657+U1657+2*'Read Me'!$B$13)*(1+'Read Me'!$B$12),-1)</f>
        <v/>
      </c>
      <c r="W1657" s="10">
        <f>V1657*N1657*O1657</f>
        <v/>
      </c>
      <c r="X1657" s="9">
        <f>IF(LEFT(I1657,2)="MV",2*N1657*IF(L1657="1/C",O1657,1),0)</f>
        <v/>
      </c>
      <c r="Y1657" s="9">
        <f>IF(OR(LEFT(K1657,4)="LVAX",LEFT(K1657,6)="MV15AX",LEFT(K1657,4)="CTAX",LEFT(K1657,2)="W|"),2*N1657*O1657,0)</f>
        <v/>
      </c>
      <c r="Z1657" s="9" t="inlineStr"/>
    </row>
    <row r="1658">
      <c r="A1658" s="9" t="inlineStr">
        <is>
          <t>G-MV-0016</t>
        </is>
      </c>
      <c r="B1658" s="9" t="inlineStr">
        <is>
          <t>G</t>
        </is>
      </c>
      <c r="C1658" s="9" t="inlineStr">
        <is>
          <t>Carbon capture</t>
        </is>
      </c>
      <c r="D1658" s="9" t="inlineStr">
        <is>
          <t>Rich / lean amine pumps (A)</t>
        </is>
      </c>
      <c r="E1658" s="9" t="inlineStr"/>
      <c r="F1658" s="9" t="inlineStr">
        <is>
          <t>CCS MV switchgear building (VFDs)</t>
        </is>
      </c>
      <c r="G1658" s="9" t="inlineStr"/>
      <c r="H1658" s="9" t="inlineStr">
        <is>
          <t>Rich/lean pumps, cross exchanger, lean cooler A</t>
        </is>
      </c>
      <c r="I1658" s="9" t="inlineStr">
        <is>
          <t>MV 5 kV</t>
        </is>
      </c>
      <c r="J1658" s="9" t="inlineStr">
        <is>
          <t>MV-105 5 kV 3/C Cu, EPR 133%, tape shield, gnd, PVC jacket</t>
        </is>
      </c>
      <c r="K1658" s="9" t="inlineStr">
        <is>
          <t>MV5|3/C|2</t>
        </is>
      </c>
      <c r="L1658" s="9" t="inlineStr">
        <is>
          <t>3/C</t>
        </is>
      </c>
      <c r="M1658" s="9" t="inlineStr">
        <is>
          <t>2</t>
        </is>
      </c>
      <c r="N1658" s="9" t="n">
        <v>1</v>
      </c>
      <c r="O1658" s="9" t="n">
        <v>1</v>
      </c>
      <c r="P1658" s="9" t="n">
        <v>4160</v>
      </c>
      <c r="Q1658" s="9" t="n">
        <v>450</v>
      </c>
      <c r="R1658" s="9" t="n">
        <v>69</v>
      </c>
      <c r="S1658" s="9" t="inlineStr">
        <is>
          <t>Tray</t>
        </is>
      </c>
      <c r="T1658" s="10" t="n">
        <v>519</v>
      </c>
      <c r="U1658" s="10" t="n">
        <v>82</v>
      </c>
      <c r="V1658" s="10">
        <f>ROUNDUP((T1658+U1658+2*'Read Me'!$B$13)*(1+'Read Me'!$B$12),-1)</f>
        <v/>
      </c>
      <c r="W1658" s="10">
        <f>V1658*N1658*O1658</f>
        <v/>
      </c>
      <c r="X1658" s="9">
        <f>IF(LEFT(I1658,2)="MV",2*N1658*IF(L1658="1/C",O1658,1),0)</f>
        <v/>
      </c>
      <c r="Y1658" s="9">
        <f>IF(OR(LEFT(K1658,4)="LVAX",LEFT(K1658,6)="MV15AX",LEFT(K1658,4)="CTAX",LEFT(K1658,2)="W|"),2*N1658*O1658,0)</f>
        <v/>
      </c>
      <c r="Z1658" s="9" t="inlineStr"/>
    </row>
    <row r="1659">
      <c r="A1659" s="9" t="inlineStr">
        <is>
          <t>G-MV-0017</t>
        </is>
      </c>
      <c r="B1659" s="9" t="inlineStr">
        <is>
          <t>G</t>
        </is>
      </c>
      <c r="C1659" s="9" t="inlineStr">
        <is>
          <t>Carbon capture</t>
        </is>
      </c>
      <c r="D1659" s="9" t="inlineStr">
        <is>
          <t>Rich / lean amine pumps (A)</t>
        </is>
      </c>
      <c r="E1659" s="9" t="inlineStr"/>
      <c r="F1659" s="9" t="inlineStr">
        <is>
          <t>CCS MV switchgear building (VFDs)</t>
        </is>
      </c>
      <c r="G1659" s="9" t="inlineStr"/>
      <c r="H1659" s="9" t="inlineStr">
        <is>
          <t>Rich/lean pumps, cross exchanger, lean cooler A</t>
        </is>
      </c>
      <c r="I1659" s="9" t="inlineStr">
        <is>
          <t>MV 5 kV</t>
        </is>
      </c>
      <c r="J1659" s="9" t="inlineStr">
        <is>
          <t>MV-105 5 kV 3/C Cu, EPR 133%, tape shield, gnd, PVC jacket</t>
        </is>
      </c>
      <c r="K1659" s="9" t="inlineStr">
        <is>
          <t>MV5|3/C|2</t>
        </is>
      </c>
      <c r="L1659" s="9" t="inlineStr">
        <is>
          <t>3/C</t>
        </is>
      </c>
      <c r="M1659" s="9" t="inlineStr">
        <is>
          <t>2</t>
        </is>
      </c>
      <c r="N1659" s="9" t="n">
        <v>1</v>
      </c>
      <c r="O1659" s="9" t="n">
        <v>1</v>
      </c>
      <c r="P1659" s="9" t="n">
        <v>4160</v>
      </c>
      <c r="Q1659" s="9" t="n">
        <v>450</v>
      </c>
      <c r="R1659" s="9" t="n">
        <v>69</v>
      </c>
      <c r="S1659" s="9" t="inlineStr">
        <is>
          <t>Tray</t>
        </is>
      </c>
      <c r="T1659" s="10" t="n">
        <v>519</v>
      </c>
      <c r="U1659" s="10" t="n">
        <v>82</v>
      </c>
      <c r="V1659" s="10">
        <f>ROUNDUP((T1659+U1659+2*'Read Me'!$B$13)*(1+'Read Me'!$B$12),-1)</f>
        <v/>
      </c>
      <c r="W1659" s="10">
        <f>V1659*N1659*O1659</f>
        <v/>
      </c>
      <c r="X1659" s="9">
        <f>IF(LEFT(I1659,2)="MV",2*N1659*IF(L1659="1/C",O1659,1),0)</f>
        <v/>
      </c>
      <c r="Y1659" s="9">
        <f>IF(OR(LEFT(K1659,4)="LVAX",LEFT(K1659,6)="MV15AX",LEFT(K1659,4)="CTAX",LEFT(K1659,2)="W|"),2*N1659*O1659,0)</f>
        <v/>
      </c>
      <c r="Z1659" s="9" t="inlineStr"/>
    </row>
    <row r="1660">
      <c r="A1660" s="9" t="inlineStr">
        <is>
          <t>G-MV-0018</t>
        </is>
      </c>
      <c r="B1660" s="9" t="inlineStr">
        <is>
          <t>G</t>
        </is>
      </c>
      <c r="C1660" s="9" t="inlineStr">
        <is>
          <t>Carbon capture</t>
        </is>
      </c>
      <c r="D1660" s="9" t="inlineStr">
        <is>
          <t>Rich / lean amine pumps (B)</t>
        </is>
      </c>
      <c r="E1660" s="9" t="inlineStr"/>
      <c r="F1660" s="9" t="inlineStr">
        <is>
          <t>CCS MV switchgear building (VFDs)</t>
        </is>
      </c>
      <c r="G1660" s="9" t="inlineStr"/>
      <c r="H1660" s="9" t="inlineStr">
        <is>
          <t>Rich/lean pumps, cross exchanger, lean cooler B</t>
        </is>
      </c>
      <c r="I1660" s="9" t="inlineStr">
        <is>
          <t>MV 5 kV</t>
        </is>
      </c>
      <c r="J1660" s="9" t="inlineStr">
        <is>
          <t>MV-105 5 kV 3/C Cu, EPR 133%, tape shield, gnd, PVC jacket</t>
        </is>
      </c>
      <c r="K1660" s="9" t="inlineStr">
        <is>
          <t>MV5|3/C|2</t>
        </is>
      </c>
      <c r="L1660" s="9" t="inlineStr">
        <is>
          <t>3/C</t>
        </is>
      </c>
      <c r="M1660" s="9" t="inlineStr">
        <is>
          <t>2</t>
        </is>
      </c>
      <c r="N1660" s="9" t="n">
        <v>1</v>
      </c>
      <c r="O1660" s="9" t="n">
        <v>1</v>
      </c>
      <c r="P1660" s="9" t="n">
        <v>4160</v>
      </c>
      <c r="Q1660" s="9" t="n">
        <v>450</v>
      </c>
      <c r="R1660" s="9" t="n">
        <v>69</v>
      </c>
      <c r="S1660" s="9" t="inlineStr">
        <is>
          <t>Tray</t>
        </is>
      </c>
      <c r="T1660" s="10" t="n">
        <v>359</v>
      </c>
      <c r="U1660" s="10" t="n">
        <v>82</v>
      </c>
      <c r="V1660" s="10">
        <f>ROUNDUP((T1660+U1660+2*'Read Me'!$B$13)*(1+'Read Me'!$B$12),-1)</f>
        <v/>
      </c>
      <c r="W1660" s="10">
        <f>V1660*N1660*O1660</f>
        <v/>
      </c>
      <c r="X1660" s="9">
        <f>IF(LEFT(I1660,2)="MV",2*N1660*IF(L1660="1/C",O1660,1),0)</f>
        <v/>
      </c>
      <c r="Y1660" s="9">
        <f>IF(OR(LEFT(K1660,4)="LVAX",LEFT(K1660,6)="MV15AX",LEFT(K1660,4)="CTAX",LEFT(K1660,2)="W|"),2*N1660*O1660,0)</f>
        <v/>
      </c>
      <c r="Z1660" s="9" t="inlineStr"/>
    </row>
    <row r="1661">
      <c r="A1661" s="9" t="inlineStr">
        <is>
          <t>G-MV-0019</t>
        </is>
      </c>
      <c r="B1661" s="9" t="inlineStr">
        <is>
          <t>G</t>
        </is>
      </c>
      <c r="C1661" s="9" t="inlineStr">
        <is>
          <t>Carbon capture</t>
        </is>
      </c>
      <c r="D1661" s="9" t="inlineStr">
        <is>
          <t>Rich / lean amine pumps (B)</t>
        </is>
      </c>
      <c r="E1661" s="9" t="inlineStr"/>
      <c r="F1661" s="9" t="inlineStr">
        <is>
          <t>CCS MV switchgear building (VFDs)</t>
        </is>
      </c>
      <c r="G1661" s="9" t="inlineStr"/>
      <c r="H1661" s="9" t="inlineStr">
        <is>
          <t>Rich/lean pumps, cross exchanger, lean cooler B</t>
        </is>
      </c>
      <c r="I1661" s="9" t="inlineStr">
        <is>
          <t>MV 5 kV</t>
        </is>
      </c>
      <c r="J1661" s="9" t="inlineStr">
        <is>
          <t>MV-105 5 kV 3/C Cu, EPR 133%, tape shield, gnd, PVC jacket</t>
        </is>
      </c>
      <c r="K1661" s="9" t="inlineStr">
        <is>
          <t>MV5|3/C|2</t>
        </is>
      </c>
      <c r="L1661" s="9" t="inlineStr">
        <is>
          <t>3/C</t>
        </is>
      </c>
      <c r="M1661" s="9" t="inlineStr">
        <is>
          <t>2</t>
        </is>
      </c>
      <c r="N1661" s="9" t="n">
        <v>1</v>
      </c>
      <c r="O1661" s="9" t="n">
        <v>1</v>
      </c>
      <c r="P1661" s="9" t="n">
        <v>4160</v>
      </c>
      <c r="Q1661" s="9" t="n">
        <v>450</v>
      </c>
      <c r="R1661" s="9" t="n">
        <v>69</v>
      </c>
      <c r="S1661" s="9" t="inlineStr">
        <is>
          <t>Tray</t>
        </is>
      </c>
      <c r="T1661" s="10" t="n">
        <v>359</v>
      </c>
      <c r="U1661" s="10" t="n">
        <v>82</v>
      </c>
      <c r="V1661" s="10">
        <f>ROUNDUP((T1661+U1661+2*'Read Me'!$B$13)*(1+'Read Me'!$B$12),-1)</f>
        <v/>
      </c>
      <c r="W1661" s="10">
        <f>V1661*N1661*O1661</f>
        <v/>
      </c>
      <c r="X1661" s="9">
        <f>IF(LEFT(I1661,2)="MV",2*N1661*IF(L1661="1/C",O1661,1),0)</f>
        <v/>
      </c>
      <c r="Y1661" s="9">
        <f>IF(OR(LEFT(K1661,4)="LVAX",LEFT(K1661,6)="MV15AX",LEFT(K1661,4)="CTAX",LEFT(K1661,2)="W|"),2*N1661*O1661,0)</f>
        <v/>
      </c>
      <c r="Z1661" s="9" t="inlineStr"/>
    </row>
    <row r="1662">
      <c r="A1662" s="9" t="inlineStr">
        <is>
          <t>G-MV-0020</t>
        </is>
      </c>
      <c r="B1662" s="9" t="inlineStr">
        <is>
          <t>G</t>
        </is>
      </c>
      <c r="C1662" s="9" t="inlineStr">
        <is>
          <t>Carbon capture</t>
        </is>
      </c>
      <c r="D1662" s="9" t="inlineStr">
        <is>
          <t>Rich / lean amine pumps (C)</t>
        </is>
      </c>
      <c r="E1662" s="9" t="inlineStr"/>
      <c r="F1662" s="9" t="inlineStr">
        <is>
          <t>CCS MV switchgear building (VFDs)</t>
        </is>
      </c>
      <c r="G1662" s="9" t="inlineStr"/>
      <c r="H1662" s="9" t="inlineStr">
        <is>
          <t>Rich/lean pumps, cross exchanger, lean cooler C</t>
        </is>
      </c>
      <c r="I1662" s="9" t="inlineStr">
        <is>
          <t>MV 5 kV</t>
        </is>
      </c>
      <c r="J1662" s="9" t="inlineStr">
        <is>
          <t>MV-105 5 kV 3/C Cu, EPR 133%, tape shield, gnd, PVC jacket</t>
        </is>
      </c>
      <c r="K1662" s="9" t="inlineStr">
        <is>
          <t>MV5|3/C|2</t>
        </is>
      </c>
      <c r="L1662" s="9" t="inlineStr">
        <is>
          <t>3/C</t>
        </is>
      </c>
      <c r="M1662" s="9" t="inlineStr">
        <is>
          <t>2</t>
        </is>
      </c>
      <c r="N1662" s="9" t="n">
        <v>1</v>
      </c>
      <c r="O1662" s="9" t="n">
        <v>1</v>
      </c>
      <c r="P1662" s="9" t="n">
        <v>4160</v>
      </c>
      <c r="Q1662" s="9" t="n">
        <v>450</v>
      </c>
      <c r="R1662" s="9" t="n">
        <v>69</v>
      </c>
      <c r="S1662" s="9" t="inlineStr">
        <is>
          <t>Conduit link</t>
        </is>
      </c>
      <c r="T1662" s="10" t="n">
        <v>0</v>
      </c>
      <c r="U1662" s="10" t="n">
        <v>69</v>
      </c>
      <c r="V1662" s="10">
        <f>ROUNDUP((T1662+U1662+2*'Read Me'!$B$13)*(1+'Read Me'!$B$12),-1)</f>
        <v/>
      </c>
      <c r="W1662" s="10">
        <f>V1662*N1662*O1662</f>
        <v/>
      </c>
      <c r="X1662" s="9">
        <f>IF(LEFT(I1662,2)="MV",2*N1662*IF(L1662="1/C",O1662,1),0)</f>
        <v/>
      </c>
      <c r="Y1662" s="9">
        <f>IF(OR(LEFT(K1662,4)="LVAX",LEFT(K1662,6)="MV15AX",LEFT(K1662,4)="CTAX",LEFT(K1662,2)="W|"),2*N1662*O1662,0)</f>
        <v/>
      </c>
      <c r="Z1662" s="9" t="inlineStr"/>
    </row>
    <row r="1663">
      <c r="A1663" s="9" t="inlineStr">
        <is>
          <t>G-MV-0021</t>
        </is>
      </c>
      <c r="B1663" s="9" t="inlineStr">
        <is>
          <t>G</t>
        </is>
      </c>
      <c r="C1663" s="9" t="inlineStr">
        <is>
          <t>Carbon capture</t>
        </is>
      </c>
      <c r="D1663" s="9" t="inlineStr">
        <is>
          <t>Rich / lean amine pumps (C)</t>
        </is>
      </c>
      <c r="E1663" s="9" t="inlineStr"/>
      <c r="F1663" s="9" t="inlineStr">
        <is>
          <t>CCS MV switchgear building (VFDs)</t>
        </is>
      </c>
      <c r="G1663" s="9" t="inlineStr"/>
      <c r="H1663" s="9" t="inlineStr">
        <is>
          <t>Rich/lean pumps, cross exchanger, lean cooler C</t>
        </is>
      </c>
      <c r="I1663" s="9" t="inlineStr">
        <is>
          <t>MV 5 kV</t>
        </is>
      </c>
      <c r="J1663" s="9" t="inlineStr">
        <is>
          <t>MV-105 5 kV 3/C Cu, EPR 133%, tape shield, gnd, PVC jacket</t>
        </is>
      </c>
      <c r="K1663" s="9" t="inlineStr">
        <is>
          <t>MV5|3/C|2</t>
        </is>
      </c>
      <c r="L1663" s="9" t="inlineStr">
        <is>
          <t>3/C</t>
        </is>
      </c>
      <c r="M1663" s="9" t="inlineStr">
        <is>
          <t>2</t>
        </is>
      </c>
      <c r="N1663" s="9" t="n">
        <v>1</v>
      </c>
      <c r="O1663" s="9" t="n">
        <v>1</v>
      </c>
      <c r="P1663" s="9" t="n">
        <v>4160</v>
      </c>
      <c r="Q1663" s="9" t="n">
        <v>450</v>
      </c>
      <c r="R1663" s="9" t="n">
        <v>69</v>
      </c>
      <c r="S1663" s="9" t="inlineStr">
        <is>
          <t>Conduit link</t>
        </is>
      </c>
      <c r="T1663" s="10" t="n">
        <v>0</v>
      </c>
      <c r="U1663" s="10" t="n">
        <v>69</v>
      </c>
      <c r="V1663" s="10">
        <f>ROUNDUP((T1663+U1663+2*'Read Me'!$B$13)*(1+'Read Me'!$B$12),-1)</f>
        <v/>
      </c>
      <c r="W1663" s="10">
        <f>V1663*N1663*O1663</f>
        <v/>
      </c>
      <c r="X1663" s="9">
        <f>IF(LEFT(I1663,2)="MV",2*N1663*IF(L1663="1/C",O1663,1),0)</f>
        <v/>
      </c>
      <c r="Y1663" s="9">
        <f>IF(OR(LEFT(K1663,4)="LVAX",LEFT(K1663,6)="MV15AX",LEFT(K1663,4)="CTAX",LEFT(K1663,2)="W|"),2*N1663*O1663,0)</f>
        <v/>
      </c>
      <c r="Z1663" s="9" t="inlineStr"/>
    </row>
    <row r="1664">
      <c r="A1664" s="9" t="inlineStr">
        <is>
          <t>H-L-0001</t>
        </is>
      </c>
      <c r="B1664" s="9" t="inlineStr">
        <is>
          <t>H</t>
        </is>
      </c>
      <c r="C1664" s="9" t="inlineStr">
        <is>
          <t>BESS</t>
        </is>
      </c>
      <c r="D1664" s="9" t="inlineStr">
        <is>
          <t>Lighting, receptacles and small power branch circuits (allowance)</t>
        </is>
      </c>
      <c r="E1664" s="9" t="inlineStr"/>
      <c r="F1664" s="9" t="inlineStr">
        <is>
          <t>34.5 kV collector e-house (arc-resistant)</t>
        </is>
      </c>
      <c r="G1664" s="9" t="inlineStr"/>
      <c r="H1664" s="9" t="inlineStr">
        <is>
          <t>34.5 kV collector e-house (arc-resistant)</t>
        </is>
      </c>
      <c r="I1664" s="9" t="inlineStr">
        <is>
          <t>Building wire</t>
        </is>
      </c>
      <c r="J1664" s="9" t="inlineStr">
        <is>
          <t>SIMpull THHN/THWN-2 600 V 1/C Cu (lighting, receptacles, small power)</t>
        </is>
      </c>
      <c r="K1664" s="9" t="inlineStr">
        <is>
          <t>THHN|1/C|12</t>
        </is>
      </c>
      <c r="L1664" s="9" t="inlineStr">
        <is>
          <t>1/C</t>
        </is>
      </c>
      <c r="M1664" s="9" t="inlineStr">
        <is>
          <t>12</t>
        </is>
      </c>
      <c r="N1664" s="9" t="n">
        <v>1</v>
      </c>
      <c r="O1664" s="9" t="n">
        <v>1</v>
      </c>
      <c r="P1664" s="9" t="n">
        <v>277</v>
      </c>
      <c r="Q1664" s="9" t="n"/>
      <c r="R1664" s="9" t="n"/>
      <c r="S1664" s="9" t="inlineStr">
        <is>
          <t>Conduit</t>
        </is>
      </c>
      <c r="T1664" s="10" t="n">
        <v>1280</v>
      </c>
      <c r="U1664" s="10" t="n">
        <v>0</v>
      </c>
      <c r="V1664" s="10">
        <f>ROUNDUP((T1664+U1664+2*'Read Me'!$B$13)*(1+'Read Me'!$B$12),-1)</f>
        <v/>
      </c>
      <c r="W1664" s="10">
        <f>V1664*N1664*O1664</f>
        <v/>
      </c>
      <c r="X1664" s="9">
        <f>IF(LEFT(I1664,2)="MV",2*N1664*IF(L1664="1/C",O1664,1),0)</f>
        <v/>
      </c>
      <c r="Y1664" s="9">
        <f>IF(OR(LEFT(K1664,4)="LVAX",LEFT(K1664,6)="MV15AX",LEFT(K1664,4)="CTAX",LEFT(K1664,2)="W|"),2*N1664*O1664,0)</f>
        <v/>
      </c>
      <c r="Z1664" s="9" t="inlineStr">
        <is>
          <t>allowance: 1.6 ft of conductor per ft2 of floor</t>
        </is>
      </c>
    </row>
    <row r="1665">
      <c r="A1665" s="9" t="inlineStr">
        <is>
          <t>H-L-0002</t>
        </is>
      </c>
      <c r="B1665" s="9" t="inlineStr">
        <is>
          <t>H</t>
        </is>
      </c>
      <c r="C1665" s="9" t="inlineStr">
        <is>
          <t>BESS</t>
        </is>
      </c>
      <c r="D1665" s="9" t="inlineStr">
        <is>
          <t>Lighting, receptacles and small power branch circuits (allowance)</t>
        </is>
      </c>
      <c r="E1665" s="9" t="inlineStr"/>
      <c r="F1665" s="9" t="inlineStr">
        <is>
          <t>BESS EMS / SCADA and revenue metering</t>
        </is>
      </c>
      <c r="G1665" s="9" t="inlineStr"/>
      <c r="H1665" s="9" t="inlineStr">
        <is>
          <t>BESS EMS / SCADA and revenue metering</t>
        </is>
      </c>
      <c r="I1665" s="9" t="inlineStr">
        <is>
          <t>Building wire</t>
        </is>
      </c>
      <c r="J1665" s="9" t="inlineStr">
        <is>
          <t>SIMpull THHN/THWN-2 600 V 1/C Cu (lighting, receptacles, small power)</t>
        </is>
      </c>
      <c r="K1665" s="9" t="inlineStr">
        <is>
          <t>THHN|1/C|12</t>
        </is>
      </c>
      <c r="L1665" s="9" t="inlineStr">
        <is>
          <t>1/C</t>
        </is>
      </c>
      <c r="M1665" s="9" t="inlineStr">
        <is>
          <t>12</t>
        </is>
      </c>
      <c r="N1665" s="9" t="n">
        <v>1</v>
      </c>
      <c r="O1665" s="9" t="n">
        <v>1</v>
      </c>
      <c r="P1665" s="9" t="n">
        <v>277</v>
      </c>
      <c r="Q1665" s="9" t="n"/>
      <c r="R1665" s="9" t="n"/>
      <c r="S1665" s="9" t="inlineStr">
        <is>
          <t>Conduit</t>
        </is>
      </c>
      <c r="T1665" s="10" t="n">
        <v>384</v>
      </c>
      <c r="U1665" s="10" t="n">
        <v>0</v>
      </c>
      <c r="V1665" s="10">
        <f>ROUNDUP((T1665+U1665+2*'Read Me'!$B$13)*(1+'Read Me'!$B$12),-1)</f>
        <v/>
      </c>
      <c r="W1665" s="10">
        <f>V1665*N1665*O1665</f>
        <v/>
      </c>
      <c r="X1665" s="9">
        <f>IF(LEFT(I1665,2)="MV",2*N1665*IF(L1665="1/C",O1665,1),0)</f>
        <v/>
      </c>
      <c r="Y1665" s="9">
        <f>IF(OR(LEFT(K1665,4)="LVAX",LEFT(K1665,6)="MV15AX",LEFT(K1665,4)="CTAX",LEFT(K1665,2)="W|"),2*N1665*O1665,0)</f>
        <v/>
      </c>
      <c r="Z1665" s="9" t="inlineStr">
        <is>
          <t>allowance: 1.6 ft of conductor per ft2 of floor</t>
        </is>
      </c>
    </row>
    <row r="1666">
      <c r="A1666" s="9" t="inlineStr">
        <is>
          <t>H-C-0001</t>
        </is>
      </c>
      <c r="B1666" s="9" t="inlineStr">
        <is>
          <t>H</t>
        </is>
      </c>
      <c r="C1666" s="9" t="inlineStr">
        <is>
          <t>BESS</t>
        </is>
      </c>
      <c r="D1666" s="9" t="inlineStr">
        <is>
          <t>Control</t>
        </is>
      </c>
      <c r="E1666" s="9" t="inlineStr"/>
      <c r="F1666" s="9" t="inlineStr">
        <is>
          <t>BESS EMS / SCADA and revenue metering</t>
        </is>
      </c>
      <c r="G1666" s="9" t="inlineStr"/>
      <c r="H1666" s="9" t="inlineStr">
        <is>
          <t>34.5 kV collector e-house (arc-resistant)</t>
        </is>
      </c>
      <c r="I1666" s="9" t="inlineStr">
        <is>
          <t>Control</t>
        </is>
      </c>
      <c r="J1666" s="9" t="inlineStr">
        <is>
          <t>Control cable 600 V Type TC-ER, Cu #14 AWG, PVC jacket</t>
        </is>
      </c>
      <c r="K1666" s="9" t="inlineStr">
        <is>
          <t>CT|7/C|14</t>
        </is>
      </c>
      <c r="L1666" s="9" t="inlineStr">
        <is>
          <t>7/C</t>
        </is>
      </c>
      <c r="M1666" s="9" t="inlineStr">
        <is>
          <t>14</t>
        </is>
      </c>
      <c r="N1666" s="9" t="n">
        <v>1</v>
      </c>
      <c r="O1666" s="9" t="n">
        <v>1</v>
      </c>
      <c r="P1666" s="9" t="n"/>
      <c r="Q1666" s="9" t="n"/>
      <c r="R1666" s="9" t="n"/>
      <c r="S1666" s="9" t="inlineStr">
        <is>
          <t>Duct bank</t>
        </is>
      </c>
      <c r="T1666" s="10" t="n">
        <v>68</v>
      </c>
      <c r="U1666" s="10" t="n">
        <v>37</v>
      </c>
      <c r="V1666" s="10">
        <f>ROUNDUP((T1666+U1666+2*'Read Me'!$B$13)*(1+'Read Me'!$B$12),-1)</f>
        <v/>
      </c>
      <c r="W1666" s="10">
        <f>V1666*N1666*O1666</f>
        <v/>
      </c>
      <c r="X1666" s="9">
        <f>IF(LEFT(I1666,2)="MV",2*N1666*IF(L1666="1/C",O1666,1),0)</f>
        <v/>
      </c>
      <c r="Y1666" s="9">
        <f>IF(OR(LEFT(K1666,4)="LVAX",LEFT(K1666,6)="MV15AX",LEFT(K1666,4)="CTAX",LEFT(K1666,2)="W|"),2*N1666*O1666,0)</f>
        <v/>
      </c>
      <c r="Z1666" s="9" t="inlineStr"/>
    </row>
    <row r="1667">
      <c r="A1667" s="9" t="inlineStr">
        <is>
          <t>H-C-0002</t>
        </is>
      </c>
      <c r="B1667" s="9" t="inlineStr">
        <is>
          <t>H</t>
        </is>
      </c>
      <c r="C1667" s="9" t="inlineStr">
        <is>
          <t>BESS</t>
        </is>
      </c>
      <c r="D1667" s="9" t="inlineStr">
        <is>
          <t>Control</t>
        </is>
      </c>
      <c r="E1667" s="9" t="inlineStr"/>
      <c r="F1667" s="9" t="inlineStr">
        <is>
          <t>BESS EMS / SCADA and revenue metering</t>
        </is>
      </c>
      <c r="G1667" s="9" t="inlineStr"/>
      <c r="H1667" s="9" t="inlineStr">
        <is>
          <t>BESS EMS / SCADA and revenue metering</t>
        </is>
      </c>
      <c r="I1667" s="9" t="inlineStr">
        <is>
          <t>Control</t>
        </is>
      </c>
      <c r="J1667" s="9" t="inlineStr">
        <is>
          <t>ARMOR-X MC-HL 600 V control, Cu #14 AWG (Class I Div 2)</t>
        </is>
      </c>
      <c r="K1667" s="9" t="inlineStr">
        <is>
          <t>CTAX|7/C|14</t>
        </is>
      </c>
      <c r="L1667" s="9" t="inlineStr">
        <is>
          <t>7/C</t>
        </is>
      </c>
      <c r="M1667" s="9" t="inlineStr">
        <is>
          <t>14</t>
        </is>
      </c>
      <c r="N1667" s="9" t="n">
        <v>1</v>
      </c>
      <c r="O1667" s="9" t="n">
        <v>1</v>
      </c>
      <c r="P1667" s="9" t="n"/>
      <c r="Q1667" s="9" t="n"/>
      <c r="R1667" s="9" t="n"/>
      <c r="S1667" s="9" t="inlineStr">
        <is>
          <t>Tray</t>
        </is>
      </c>
      <c r="T1667" s="10" t="n">
        <v>0</v>
      </c>
      <c r="U1667" s="10" t="n">
        <v>32</v>
      </c>
      <c r="V1667" s="10">
        <f>ROUNDUP((T1667+U1667+2*'Read Me'!$B$13)*(1+'Read Me'!$B$12),-1)</f>
        <v/>
      </c>
      <c r="W1667" s="10">
        <f>V1667*N1667*O1667</f>
        <v/>
      </c>
      <c r="X1667" s="9">
        <f>IF(LEFT(I1667,2)="MV",2*N1667*IF(L1667="1/C",O1667,1),0)</f>
        <v/>
      </c>
      <c r="Y1667" s="9">
        <f>IF(OR(LEFT(K1667,4)="LVAX",LEFT(K1667,6)="MV15AX",LEFT(K1667,4)="CTAX",LEFT(K1667,2)="W|"),2*N1667*O1667,0)</f>
        <v/>
      </c>
      <c r="Z1667" s="9" t="inlineStr"/>
    </row>
    <row r="1668">
      <c r="A1668" s="9" t="inlineStr">
        <is>
          <t>H-C-0003</t>
        </is>
      </c>
      <c r="B1668" s="9" t="inlineStr">
        <is>
          <t>H</t>
        </is>
      </c>
      <c r="C1668" s="9" t="inlineStr">
        <is>
          <t>BESS</t>
        </is>
      </c>
      <c r="D1668" s="9" t="inlineStr">
        <is>
          <t>Control</t>
        </is>
      </c>
      <c r="E1668" s="9" t="inlineStr"/>
      <c r="F1668" s="9" t="inlineStr">
        <is>
          <t>BESS EMS / SCADA and revenue metering</t>
        </is>
      </c>
      <c r="G1668" s="9" t="inlineStr"/>
      <c r="H1668" s="9" t="inlineStr">
        <is>
          <t>BESS PCS / MV skid</t>
        </is>
      </c>
      <c r="I1668" s="9" t="inlineStr">
        <is>
          <t>Control</t>
        </is>
      </c>
      <c r="J1668" s="9" t="inlineStr">
        <is>
          <t>Control cable 600 V Type TC-ER, Cu #14 AWG, PVC jacket</t>
        </is>
      </c>
      <c r="K1668" s="9" t="inlineStr">
        <is>
          <t>CT|7/C|14</t>
        </is>
      </c>
      <c r="L1668" s="9" t="inlineStr">
        <is>
          <t>7/C</t>
        </is>
      </c>
      <c r="M1668" s="9" t="inlineStr">
        <is>
          <t>14</t>
        </is>
      </c>
      <c r="N1668" s="9" t="n">
        <v>1</v>
      </c>
      <c r="O1668" s="9" t="n">
        <v>1</v>
      </c>
      <c r="P1668" s="9" t="n"/>
      <c r="Q1668" s="9" t="n"/>
      <c r="R1668" s="9" t="n"/>
      <c r="S1668" s="9" t="inlineStr">
        <is>
          <t>Duct bank</t>
        </is>
      </c>
      <c r="T1668" s="10" t="n">
        <v>300</v>
      </c>
      <c r="U1668" s="10" t="n">
        <v>103</v>
      </c>
      <c r="V1668" s="10">
        <f>ROUNDUP((T1668+U1668+2*'Read Me'!$B$13)*(1+'Read Me'!$B$12),-1)</f>
        <v/>
      </c>
      <c r="W1668" s="10">
        <f>V1668*N1668*O1668</f>
        <v/>
      </c>
      <c r="X1668" s="9">
        <f>IF(LEFT(I1668,2)="MV",2*N1668*IF(L1668="1/C",O1668,1),0)</f>
        <v/>
      </c>
      <c r="Y1668" s="9">
        <f>IF(OR(LEFT(K1668,4)="LVAX",LEFT(K1668,6)="MV15AX",LEFT(K1668,4)="CTAX",LEFT(K1668,2)="W|"),2*N1668*O1668,0)</f>
        <v/>
      </c>
      <c r="Z1668" s="9" t="inlineStr"/>
    </row>
    <row r="1669">
      <c r="A1669" s="9" t="inlineStr">
        <is>
          <t>H-C-0004</t>
        </is>
      </c>
      <c r="B1669" s="9" t="inlineStr">
        <is>
          <t>H</t>
        </is>
      </c>
      <c r="C1669" s="9" t="inlineStr">
        <is>
          <t>BESS</t>
        </is>
      </c>
      <c r="D1669" s="9" t="inlineStr">
        <is>
          <t>Control</t>
        </is>
      </c>
      <c r="E1669" s="9" t="inlineStr"/>
      <c r="F1669" s="9" t="inlineStr">
        <is>
          <t>BESS EMS / SCADA and revenue metering</t>
        </is>
      </c>
      <c r="G1669" s="9" t="inlineStr"/>
      <c r="H1669" s="9" t="inlineStr">
        <is>
          <t>BESS PCS / MV skid</t>
        </is>
      </c>
      <c r="I1669" s="9" t="inlineStr">
        <is>
          <t>Control</t>
        </is>
      </c>
      <c r="J1669" s="9" t="inlineStr">
        <is>
          <t>Control cable 600 V Type TC-ER, Cu #14 AWG, PVC jacket</t>
        </is>
      </c>
      <c r="K1669" s="9" t="inlineStr">
        <is>
          <t>CT|7/C|14</t>
        </is>
      </c>
      <c r="L1669" s="9" t="inlineStr">
        <is>
          <t>7/C</t>
        </is>
      </c>
      <c r="M1669" s="9" t="inlineStr">
        <is>
          <t>14</t>
        </is>
      </c>
      <c r="N1669" s="9" t="n">
        <v>1</v>
      </c>
      <c r="O1669" s="9" t="n">
        <v>1</v>
      </c>
      <c r="P1669" s="9" t="n"/>
      <c r="Q1669" s="9" t="n"/>
      <c r="R1669" s="9" t="n"/>
      <c r="S1669" s="9" t="inlineStr">
        <is>
          <t>Duct bank</t>
        </is>
      </c>
      <c r="T1669" s="10" t="n">
        <v>160</v>
      </c>
      <c r="U1669" s="10" t="n">
        <v>123</v>
      </c>
      <c r="V1669" s="10">
        <f>ROUNDUP((T1669+U1669+2*'Read Me'!$B$13)*(1+'Read Me'!$B$12),-1)</f>
        <v/>
      </c>
      <c r="W1669" s="10">
        <f>V1669*N1669*O1669</f>
        <v/>
      </c>
      <c r="X1669" s="9">
        <f>IF(LEFT(I1669,2)="MV",2*N1669*IF(L1669="1/C",O1669,1),0)</f>
        <v/>
      </c>
      <c r="Y1669" s="9">
        <f>IF(OR(LEFT(K1669,4)="LVAX",LEFT(K1669,6)="MV15AX",LEFT(K1669,4)="CTAX",LEFT(K1669,2)="W|"),2*N1669*O1669,0)</f>
        <v/>
      </c>
      <c r="Z1669" s="9" t="inlineStr"/>
    </row>
    <row r="1670">
      <c r="A1670" s="9" t="inlineStr">
        <is>
          <t>H-C-0005</t>
        </is>
      </c>
      <c r="B1670" s="9" t="inlineStr">
        <is>
          <t>H</t>
        </is>
      </c>
      <c r="C1670" s="9" t="inlineStr">
        <is>
          <t>BESS</t>
        </is>
      </c>
      <c r="D1670" s="9" t="inlineStr">
        <is>
          <t>Control</t>
        </is>
      </c>
      <c r="E1670" s="9" t="inlineStr"/>
      <c r="F1670" s="9" t="inlineStr">
        <is>
          <t>BESS EMS / SCADA and revenue metering</t>
        </is>
      </c>
      <c r="G1670" s="9" t="inlineStr"/>
      <c r="H1670" s="9" t="inlineStr">
        <is>
          <t>BESS PCS / MV skid</t>
        </is>
      </c>
      <c r="I1670" s="9" t="inlineStr">
        <is>
          <t>Control</t>
        </is>
      </c>
      <c r="J1670" s="9" t="inlineStr">
        <is>
          <t>Control cable 600 V Type TC-ER, Cu #14 AWG, PVC jacket</t>
        </is>
      </c>
      <c r="K1670" s="9" t="inlineStr">
        <is>
          <t>CT|7/C|14</t>
        </is>
      </c>
      <c r="L1670" s="9" t="inlineStr">
        <is>
          <t>7/C</t>
        </is>
      </c>
      <c r="M1670" s="9" t="inlineStr">
        <is>
          <t>14</t>
        </is>
      </c>
      <c r="N1670" s="9" t="n">
        <v>1</v>
      </c>
      <c r="O1670" s="9" t="n">
        <v>1</v>
      </c>
      <c r="P1670" s="9" t="n"/>
      <c r="Q1670" s="9" t="n"/>
      <c r="R1670" s="9" t="n"/>
      <c r="S1670" s="9" t="inlineStr">
        <is>
          <t>Duct bank</t>
        </is>
      </c>
      <c r="T1670" s="10" t="n">
        <v>30</v>
      </c>
      <c r="U1670" s="10" t="n">
        <v>107</v>
      </c>
      <c r="V1670" s="10">
        <f>ROUNDUP((T1670+U1670+2*'Read Me'!$B$13)*(1+'Read Me'!$B$12),-1)</f>
        <v/>
      </c>
      <c r="W1670" s="10">
        <f>V1670*N1670*O1670</f>
        <v/>
      </c>
      <c r="X1670" s="9">
        <f>IF(LEFT(I1670,2)="MV",2*N1670*IF(L1670="1/C",O1670,1),0)</f>
        <v/>
      </c>
      <c r="Y1670" s="9">
        <f>IF(OR(LEFT(K1670,4)="LVAX",LEFT(K1670,6)="MV15AX",LEFT(K1670,4)="CTAX",LEFT(K1670,2)="W|"),2*N1670*O1670,0)</f>
        <v/>
      </c>
      <c r="Z1670" s="9" t="inlineStr"/>
    </row>
    <row r="1671">
      <c r="A1671" s="9" t="inlineStr">
        <is>
          <t>H-C-0006</t>
        </is>
      </c>
      <c r="B1671" s="9" t="inlineStr">
        <is>
          <t>H</t>
        </is>
      </c>
      <c r="C1671" s="9" t="inlineStr">
        <is>
          <t>BESS</t>
        </is>
      </c>
      <c r="D1671" s="9" t="inlineStr">
        <is>
          <t>Control</t>
        </is>
      </c>
      <c r="E1671" s="9" t="inlineStr"/>
      <c r="F1671" s="9" t="inlineStr">
        <is>
          <t>BESS EMS / SCADA and revenue metering</t>
        </is>
      </c>
      <c r="G1671" s="9" t="inlineStr"/>
      <c r="H1671" s="9" t="inlineStr">
        <is>
          <t>BESS PCS / MV skid</t>
        </is>
      </c>
      <c r="I1671" s="9" t="inlineStr">
        <is>
          <t>Control</t>
        </is>
      </c>
      <c r="J1671" s="9" t="inlineStr">
        <is>
          <t>Control cable 600 V Type TC-ER, Cu #14 AWG, PVC jacket</t>
        </is>
      </c>
      <c r="K1671" s="9" t="inlineStr">
        <is>
          <t>CT|7/C|14</t>
        </is>
      </c>
      <c r="L1671" s="9" t="inlineStr">
        <is>
          <t>7/C</t>
        </is>
      </c>
      <c r="M1671" s="9" t="inlineStr">
        <is>
          <t>14</t>
        </is>
      </c>
      <c r="N1671" s="9" t="n">
        <v>1</v>
      </c>
      <c r="O1671" s="9" t="n">
        <v>1</v>
      </c>
      <c r="P1671" s="9" t="n"/>
      <c r="Q1671" s="9" t="n"/>
      <c r="R1671" s="9" t="n"/>
      <c r="S1671" s="9" t="inlineStr">
        <is>
          <t>Duct bank</t>
        </is>
      </c>
      <c r="T1671" s="10" t="n">
        <v>300</v>
      </c>
      <c r="U1671" s="10" t="n">
        <v>161</v>
      </c>
      <c r="V1671" s="10">
        <f>ROUNDUP((T1671+U1671+2*'Read Me'!$B$13)*(1+'Read Me'!$B$12),-1)</f>
        <v/>
      </c>
      <c r="W1671" s="10">
        <f>V1671*N1671*O1671</f>
        <v/>
      </c>
      <c r="X1671" s="9">
        <f>IF(LEFT(I1671,2)="MV",2*N1671*IF(L1671="1/C",O1671,1),0)</f>
        <v/>
      </c>
      <c r="Y1671" s="9">
        <f>IF(OR(LEFT(K1671,4)="LVAX",LEFT(K1671,6)="MV15AX",LEFT(K1671,4)="CTAX",LEFT(K1671,2)="W|"),2*N1671*O1671,0)</f>
        <v/>
      </c>
      <c r="Z1671" s="9" t="inlineStr"/>
    </row>
    <row r="1672">
      <c r="A1672" s="9" t="inlineStr">
        <is>
          <t>H-C-0007</t>
        </is>
      </c>
      <c r="B1672" s="9" t="inlineStr">
        <is>
          <t>H</t>
        </is>
      </c>
      <c r="C1672" s="9" t="inlineStr">
        <is>
          <t>BESS</t>
        </is>
      </c>
      <c r="D1672" s="9" t="inlineStr">
        <is>
          <t>Control</t>
        </is>
      </c>
      <c r="E1672" s="9" t="inlineStr"/>
      <c r="F1672" s="9" t="inlineStr">
        <is>
          <t>BESS EMS / SCADA and revenue metering</t>
        </is>
      </c>
      <c r="G1672" s="9" t="inlineStr"/>
      <c r="H1672" s="9" t="inlineStr">
        <is>
          <t>BESS PCS / MV skid</t>
        </is>
      </c>
      <c r="I1672" s="9" t="inlineStr">
        <is>
          <t>Control</t>
        </is>
      </c>
      <c r="J1672" s="9" t="inlineStr">
        <is>
          <t>Control cable 600 V Type TC-ER, Cu #14 AWG, PVC jacket</t>
        </is>
      </c>
      <c r="K1672" s="9" t="inlineStr">
        <is>
          <t>CT|7/C|14</t>
        </is>
      </c>
      <c r="L1672" s="9" t="inlineStr">
        <is>
          <t>7/C</t>
        </is>
      </c>
      <c r="M1672" s="9" t="inlineStr">
        <is>
          <t>14</t>
        </is>
      </c>
      <c r="N1672" s="9" t="n">
        <v>1</v>
      </c>
      <c r="O1672" s="9" t="n">
        <v>1</v>
      </c>
      <c r="P1672" s="9" t="n"/>
      <c r="Q1672" s="9" t="n"/>
      <c r="R1672" s="9" t="n"/>
      <c r="S1672" s="9" t="inlineStr">
        <is>
          <t>Duct bank</t>
        </is>
      </c>
      <c r="T1672" s="10" t="n">
        <v>160</v>
      </c>
      <c r="U1672" s="10" t="n">
        <v>181</v>
      </c>
      <c r="V1672" s="10">
        <f>ROUNDUP((T1672+U1672+2*'Read Me'!$B$13)*(1+'Read Me'!$B$12),-1)</f>
        <v/>
      </c>
      <c r="W1672" s="10">
        <f>V1672*N1672*O1672</f>
        <v/>
      </c>
      <c r="X1672" s="9">
        <f>IF(LEFT(I1672,2)="MV",2*N1672*IF(L1672="1/C",O1672,1),0)</f>
        <v/>
      </c>
      <c r="Y1672" s="9">
        <f>IF(OR(LEFT(K1672,4)="LVAX",LEFT(K1672,6)="MV15AX",LEFT(K1672,4)="CTAX",LEFT(K1672,2)="W|"),2*N1672*O1672,0)</f>
        <v/>
      </c>
      <c r="Z1672" s="9" t="inlineStr"/>
    </row>
    <row r="1673">
      <c r="A1673" s="9" t="inlineStr">
        <is>
          <t>H-C-0008</t>
        </is>
      </c>
      <c r="B1673" s="9" t="inlineStr">
        <is>
          <t>H</t>
        </is>
      </c>
      <c r="C1673" s="9" t="inlineStr">
        <is>
          <t>BESS</t>
        </is>
      </c>
      <c r="D1673" s="9" t="inlineStr">
        <is>
          <t>Control</t>
        </is>
      </c>
      <c r="E1673" s="9" t="inlineStr"/>
      <c r="F1673" s="9" t="inlineStr">
        <is>
          <t>BESS EMS / SCADA and revenue metering</t>
        </is>
      </c>
      <c r="G1673" s="9" t="inlineStr"/>
      <c r="H1673" s="9" t="inlineStr">
        <is>
          <t>BESS PCS / MV skid</t>
        </is>
      </c>
      <c r="I1673" s="9" t="inlineStr">
        <is>
          <t>Control</t>
        </is>
      </c>
      <c r="J1673" s="9" t="inlineStr">
        <is>
          <t>Control cable 600 V Type TC-ER, Cu #14 AWG, PVC jacket</t>
        </is>
      </c>
      <c r="K1673" s="9" t="inlineStr">
        <is>
          <t>CT|7/C|14</t>
        </is>
      </c>
      <c r="L1673" s="9" t="inlineStr">
        <is>
          <t>7/C</t>
        </is>
      </c>
      <c r="M1673" s="9" t="inlineStr">
        <is>
          <t>14</t>
        </is>
      </c>
      <c r="N1673" s="9" t="n">
        <v>1</v>
      </c>
      <c r="O1673" s="9" t="n">
        <v>1</v>
      </c>
      <c r="P1673" s="9" t="n"/>
      <c r="Q1673" s="9" t="n"/>
      <c r="R1673" s="9" t="n"/>
      <c r="S1673" s="9" t="inlineStr">
        <is>
          <t>Duct bank</t>
        </is>
      </c>
      <c r="T1673" s="10" t="n">
        <v>30</v>
      </c>
      <c r="U1673" s="10" t="n">
        <v>165</v>
      </c>
      <c r="V1673" s="10">
        <f>ROUNDUP((T1673+U1673+2*'Read Me'!$B$13)*(1+'Read Me'!$B$12),-1)</f>
        <v/>
      </c>
      <c r="W1673" s="10">
        <f>V1673*N1673*O1673</f>
        <v/>
      </c>
      <c r="X1673" s="9">
        <f>IF(LEFT(I1673,2)="MV",2*N1673*IF(L1673="1/C",O1673,1),0)</f>
        <v/>
      </c>
      <c r="Y1673" s="9">
        <f>IF(OR(LEFT(K1673,4)="LVAX",LEFT(K1673,6)="MV15AX",LEFT(K1673,4)="CTAX",LEFT(K1673,2)="W|"),2*N1673*O1673,0)</f>
        <v/>
      </c>
      <c r="Z1673" s="9" t="inlineStr"/>
    </row>
    <row r="1674">
      <c r="A1674" s="9" t="inlineStr">
        <is>
          <t>H-C-0009</t>
        </is>
      </c>
      <c r="B1674" s="9" t="inlineStr">
        <is>
          <t>H</t>
        </is>
      </c>
      <c r="C1674" s="9" t="inlineStr">
        <is>
          <t>BESS</t>
        </is>
      </c>
      <c r="D1674" s="9" t="inlineStr">
        <is>
          <t>Control</t>
        </is>
      </c>
      <c r="E1674" s="9" t="inlineStr"/>
      <c r="F1674" s="9" t="inlineStr">
        <is>
          <t>BESS EMS / SCADA and revenue metering</t>
        </is>
      </c>
      <c r="G1674" s="9" t="inlineStr"/>
      <c r="H1674" s="9" t="inlineStr">
        <is>
          <t>BESS PCS / MV skid</t>
        </is>
      </c>
      <c r="I1674" s="9" t="inlineStr">
        <is>
          <t>Control</t>
        </is>
      </c>
      <c r="J1674" s="9" t="inlineStr">
        <is>
          <t>Control cable 600 V Type TC-ER, Cu #14 AWG, PVC jacket</t>
        </is>
      </c>
      <c r="K1674" s="9" t="inlineStr">
        <is>
          <t>CT|7/C|14</t>
        </is>
      </c>
      <c r="L1674" s="9" t="inlineStr">
        <is>
          <t>7/C</t>
        </is>
      </c>
      <c r="M1674" s="9" t="inlineStr">
        <is>
          <t>14</t>
        </is>
      </c>
      <c r="N1674" s="9" t="n">
        <v>1</v>
      </c>
      <c r="O1674" s="9" t="n">
        <v>1</v>
      </c>
      <c r="P1674" s="9" t="n"/>
      <c r="Q1674" s="9" t="n"/>
      <c r="R1674" s="9" t="n"/>
      <c r="S1674" s="9" t="inlineStr">
        <is>
          <t>Duct bank</t>
        </is>
      </c>
      <c r="T1674" s="10" t="n">
        <v>300</v>
      </c>
      <c r="U1674" s="10" t="n">
        <v>219</v>
      </c>
      <c r="V1674" s="10">
        <f>ROUNDUP((T1674+U1674+2*'Read Me'!$B$13)*(1+'Read Me'!$B$12),-1)</f>
        <v/>
      </c>
      <c r="W1674" s="10">
        <f>V1674*N1674*O1674</f>
        <v/>
      </c>
      <c r="X1674" s="9">
        <f>IF(LEFT(I1674,2)="MV",2*N1674*IF(L1674="1/C",O1674,1),0)</f>
        <v/>
      </c>
      <c r="Y1674" s="9">
        <f>IF(OR(LEFT(K1674,4)="LVAX",LEFT(K1674,6)="MV15AX",LEFT(K1674,4)="CTAX",LEFT(K1674,2)="W|"),2*N1674*O1674,0)</f>
        <v/>
      </c>
      <c r="Z1674" s="9" t="inlineStr"/>
    </row>
    <row r="1675">
      <c r="A1675" s="9" t="inlineStr">
        <is>
          <t>H-C-0010</t>
        </is>
      </c>
      <c r="B1675" s="9" t="inlineStr">
        <is>
          <t>H</t>
        </is>
      </c>
      <c r="C1675" s="9" t="inlineStr">
        <is>
          <t>BESS</t>
        </is>
      </c>
      <c r="D1675" s="9" t="inlineStr">
        <is>
          <t>Control</t>
        </is>
      </c>
      <c r="E1675" s="9" t="inlineStr"/>
      <c r="F1675" s="9" t="inlineStr">
        <is>
          <t>BESS EMS / SCADA and revenue metering</t>
        </is>
      </c>
      <c r="G1675" s="9" t="inlineStr"/>
      <c r="H1675" s="9" t="inlineStr">
        <is>
          <t>BESS PCS / MV skid</t>
        </is>
      </c>
      <c r="I1675" s="9" t="inlineStr">
        <is>
          <t>Control</t>
        </is>
      </c>
      <c r="J1675" s="9" t="inlineStr">
        <is>
          <t>Control cable 600 V Type TC-ER, Cu #14 AWG, PVC jacket</t>
        </is>
      </c>
      <c r="K1675" s="9" t="inlineStr">
        <is>
          <t>CT|7/C|14</t>
        </is>
      </c>
      <c r="L1675" s="9" t="inlineStr">
        <is>
          <t>7/C</t>
        </is>
      </c>
      <c r="M1675" s="9" t="inlineStr">
        <is>
          <t>14</t>
        </is>
      </c>
      <c r="N1675" s="9" t="n">
        <v>1</v>
      </c>
      <c r="O1675" s="9" t="n">
        <v>1</v>
      </c>
      <c r="P1675" s="9" t="n"/>
      <c r="Q1675" s="9" t="n"/>
      <c r="R1675" s="9" t="n"/>
      <c r="S1675" s="9" t="inlineStr">
        <is>
          <t>Duct bank</t>
        </is>
      </c>
      <c r="T1675" s="10" t="n">
        <v>160</v>
      </c>
      <c r="U1675" s="10" t="n">
        <v>239</v>
      </c>
      <c r="V1675" s="10">
        <f>ROUNDUP((T1675+U1675+2*'Read Me'!$B$13)*(1+'Read Me'!$B$12),-1)</f>
        <v/>
      </c>
      <c r="W1675" s="10">
        <f>V1675*N1675*O1675</f>
        <v/>
      </c>
      <c r="X1675" s="9">
        <f>IF(LEFT(I1675,2)="MV",2*N1675*IF(L1675="1/C",O1675,1),0)</f>
        <v/>
      </c>
      <c r="Y1675" s="9">
        <f>IF(OR(LEFT(K1675,4)="LVAX",LEFT(K1675,6)="MV15AX",LEFT(K1675,4)="CTAX",LEFT(K1675,2)="W|"),2*N1675*O1675,0)</f>
        <v/>
      </c>
      <c r="Z1675" s="9" t="inlineStr"/>
    </row>
    <row r="1676">
      <c r="A1676" s="9" t="inlineStr">
        <is>
          <t>H-C-0011</t>
        </is>
      </c>
      <c r="B1676" s="9" t="inlineStr">
        <is>
          <t>H</t>
        </is>
      </c>
      <c r="C1676" s="9" t="inlineStr">
        <is>
          <t>BESS</t>
        </is>
      </c>
      <c r="D1676" s="9" t="inlineStr">
        <is>
          <t>Control</t>
        </is>
      </c>
      <c r="E1676" s="9" t="inlineStr"/>
      <c r="F1676" s="9" t="inlineStr">
        <is>
          <t>BESS EMS / SCADA and revenue metering</t>
        </is>
      </c>
      <c r="G1676" s="9" t="inlineStr"/>
      <c r="H1676" s="9" t="inlineStr">
        <is>
          <t>BESS PCS / MV skid</t>
        </is>
      </c>
      <c r="I1676" s="9" t="inlineStr">
        <is>
          <t>Control</t>
        </is>
      </c>
      <c r="J1676" s="9" t="inlineStr">
        <is>
          <t>Control cable 600 V Type TC-ER, Cu #14 AWG, PVC jacket</t>
        </is>
      </c>
      <c r="K1676" s="9" t="inlineStr">
        <is>
          <t>CT|7/C|14</t>
        </is>
      </c>
      <c r="L1676" s="9" t="inlineStr">
        <is>
          <t>7/C</t>
        </is>
      </c>
      <c r="M1676" s="9" t="inlineStr">
        <is>
          <t>14</t>
        </is>
      </c>
      <c r="N1676" s="9" t="n">
        <v>1</v>
      </c>
      <c r="O1676" s="9" t="n">
        <v>1</v>
      </c>
      <c r="P1676" s="9" t="n"/>
      <c r="Q1676" s="9" t="n"/>
      <c r="R1676" s="9" t="n"/>
      <c r="S1676" s="9" t="inlineStr">
        <is>
          <t>Duct bank</t>
        </is>
      </c>
      <c r="T1676" s="10" t="n">
        <v>336</v>
      </c>
      <c r="U1676" s="10" t="n">
        <v>149</v>
      </c>
      <c r="V1676" s="10">
        <f>ROUNDUP((T1676+U1676+2*'Read Me'!$B$13)*(1+'Read Me'!$B$12),-1)</f>
        <v/>
      </c>
      <c r="W1676" s="10">
        <f>V1676*N1676*O1676</f>
        <v/>
      </c>
      <c r="X1676" s="9">
        <f>IF(LEFT(I1676,2)="MV",2*N1676*IF(L1676="1/C",O1676,1),0)</f>
        <v/>
      </c>
      <c r="Y1676" s="9">
        <f>IF(OR(LEFT(K1676,4)="LVAX",LEFT(K1676,6)="MV15AX",LEFT(K1676,4)="CTAX",LEFT(K1676,2)="W|"),2*N1676*O1676,0)</f>
        <v/>
      </c>
      <c r="Z1676" s="9" t="inlineStr"/>
    </row>
    <row r="1677">
      <c r="A1677" s="9" t="inlineStr">
        <is>
          <t>H-C-0012</t>
        </is>
      </c>
      <c r="B1677" s="9" t="inlineStr">
        <is>
          <t>H</t>
        </is>
      </c>
      <c r="C1677" s="9" t="inlineStr">
        <is>
          <t>BESS</t>
        </is>
      </c>
      <c r="D1677" s="9" t="inlineStr">
        <is>
          <t>Control</t>
        </is>
      </c>
      <c r="E1677" s="9" t="inlineStr"/>
      <c r="F1677" s="9" t="inlineStr">
        <is>
          <t>BESS EMS / SCADA and revenue metering</t>
        </is>
      </c>
      <c r="G1677" s="9" t="inlineStr"/>
      <c r="H1677" s="9" t="inlineStr">
        <is>
          <t>BESS PCS / MV skid</t>
        </is>
      </c>
      <c r="I1677" s="9" t="inlineStr">
        <is>
          <t>Control</t>
        </is>
      </c>
      <c r="J1677" s="9" t="inlineStr">
        <is>
          <t>Control cable 600 V Type TC-ER, Cu #14 AWG, PVC jacket</t>
        </is>
      </c>
      <c r="K1677" s="9" t="inlineStr">
        <is>
          <t>CT|7/C|14</t>
        </is>
      </c>
      <c r="L1677" s="9" t="inlineStr">
        <is>
          <t>7/C</t>
        </is>
      </c>
      <c r="M1677" s="9" t="inlineStr">
        <is>
          <t>14</t>
        </is>
      </c>
      <c r="N1677" s="9" t="n">
        <v>1</v>
      </c>
      <c r="O1677" s="9" t="n">
        <v>1</v>
      </c>
      <c r="P1677" s="9" t="n"/>
      <c r="Q1677" s="9" t="n"/>
      <c r="R1677" s="9" t="n"/>
      <c r="S1677" s="9" t="inlineStr">
        <is>
          <t>Duct bank</t>
        </is>
      </c>
      <c r="T1677" s="10" t="n">
        <v>602</v>
      </c>
      <c r="U1677" s="10" t="n">
        <v>91</v>
      </c>
      <c r="V1677" s="10">
        <f>ROUNDUP((T1677+U1677+2*'Read Me'!$B$13)*(1+'Read Me'!$B$12),-1)</f>
        <v/>
      </c>
      <c r="W1677" s="10">
        <f>V1677*N1677*O1677</f>
        <v/>
      </c>
      <c r="X1677" s="9">
        <f>IF(LEFT(I1677,2)="MV",2*N1677*IF(L1677="1/C",O1677,1),0)</f>
        <v/>
      </c>
      <c r="Y1677" s="9">
        <f>IF(OR(LEFT(K1677,4)="LVAX",LEFT(K1677,6)="MV15AX",LEFT(K1677,4)="CTAX",LEFT(K1677,2)="W|"),2*N1677*O1677,0)</f>
        <v/>
      </c>
      <c r="Z1677" s="9" t="inlineStr"/>
    </row>
    <row r="1678">
      <c r="A1678" s="9" t="inlineStr">
        <is>
          <t>H-C-0013</t>
        </is>
      </c>
      <c r="B1678" s="9" t="inlineStr">
        <is>
          <t>H</t>
        </is>
      </c>
      <c r="C1678" s="9" t="inlineStr">
        <is>
          <t>BESS</t>
        </is>
      </c>
      <c r="D1678" s="9" t="inlineStr">
        <is>
          <t>Control</t>
        </is>
      </c>
      <c r="E1678" s="9" t="inlineStr"/>
      <c r="F1678" s="9" t="inlineStr">
        <is>
          <t>BESS EMS / SCADA and revenue metering</t>
        </is>
      </c>
      <c r="G1678" s="9" t="inlineStr"/>
      <c r="H1678" s="9" t="inlineStr">
        <is>
          <t>BESS PCS / MV skid</t>
        </is>
      </c>
      <c r="I1678" s="9" t="inlineStr">
        <is>
          <t>Control</t>
        </is>
      </c>
      <c r="J1678" s="9" t="inlineStr">
        <is>
          <t>Control cable 600 V Type TC-ER, Cu #14 AWG, PVC jacket</t>
        </is>
      </c>
      <c r="K1678" s="9" t="inlineStr">
        <is>
          <t>CT|7/C|14</t>
        </is>
      </c>
      <c r="L1678" s="9" t="inlineStr">
        <is>
          <t>7/C</t>
        </is>
      </c>
      <c r="M1678" s="9" t="inlineStr">
        <is>
          <t>14</t>
        </is>
      </c>
      <c r="N1678" s="9" t="n">
        <v>1</v>
      </c>
      <c r="O1678" s="9" t="n">
        <v>1</v>
      </c>
      <c r="P1678" s="9" t="n"/>
      <c r="Q1678" s="9" t="n"/>
      <c r="R1678" s="9" t="n"/>
      <c r="S1678" s="9" t="inlineStr">
        <is>
          <t>Duct bank</t>
        </is>
      </c>
      <c r="T1678" s="10" t="n">
        <v>336</v>
      </c>
      <c r="U1678" s="10" t="n">
        <v>211</v>
      </c>
      <c r="V1678" s="10">
        <f>ROUNDUP((T1678+U1678+2*'Read Me'!$B$13)*(1+'Read Me'!$B$12),-1)</f>
        <v/>
      </c>
      <c r="W1678" s="10">
        <f>V1678*N1678*O1678</f>
        <v/>
      </c>
      <c r="X1678" s="9">
        <f>IF(LEFT(I1678,2)="MV",2*N1678*IF(L1678="1/C",O1678,1),0)</f>
        <v/>
      </c>
      <c r="Y1678" s="9">
        <f>IF(OR(LEFT(K1678,4)="LVAX",LEFT(K1678,6)="MV15AX",LEFT(K1678,4)="CTAX",LEFT(K1678,2)="W|"),2*N1678*O1678,0)</f>
        <v/>
      </c>
      <c r="Z1678" s="9" t="inlineStr"/>
    </row>
    <row r="1679">
      <c r="A1679" s="9" t="inlineStr">
        <is>
          <t>H-C-0014</t>
        </is>
      </c>
      <c r="B1679" s="9" t="inlineStr">
        <is>
          <t>H</t>
        </is>
      </c>
      <c r="C1679" s="9" t="inlineStr">
        <is>
          <t>BESS</t>
        </is>
      </c>
      <c r="D1679" s="9" t="inlineStr">
        <is>
          <t>Control</t>
        </is>
      </c>
      <c r="E1679" s="9" t="inlineStr"/>
      <c r="F1679" s="9" t="inlineStr">
        <is>
          <t>BESS EMS / SCADA and revenue metering</t>
        </is>
      </c>
      <c r="G1679" s="9" t="inlineStr"/>
      <c r="H1679" s="9" t="inlineStr">
        <is>
          <t>BESS PCS / MV skid</t>
        </is>
      </c>
      <c r="I1679" s="9" t="inlineStr">
        <is>
          <t>Control</t>
        </is>
      </c>
      <c r="J1679" s="9" t="inlineStr">
        <is>
          <t>Control cable 600 V Type TC-ER, Cu #14 AWG, PVC jacket</t>
        </is>
      </c>
      <c r="K1679" s="9" t="inlineStr">
        <is>
          <t>CT|7/C|14</t>
        </is>
      </c>
      <c r="L1679" s="9" t="inlineStr">
        <is>
          <t>7/C</t>
        </is>
      </c>
      <c r="M1679" s="9" t="inlineStr">
        <is>
          <t>14</t>
        </is>
      </c>
      <c r="N1679" s="9" t="n">
        <v>1</v>
      </c>
      <c r="O1679" s="9" t="n">
        <v>1</v>
      </c>
      <c r="P1679" s="9" t="n"/>
      <c r="Q1679" s="9" t="n"/>
      <c r="R1679" s="9" t="n"/>
      <c r="S1679" s="9" t="inlineStr">
        <is>
          <t>Duct bank</t>
        </is>
      </c>
      <c r="T1679" s="10" t="n">
        <v>336</v>
      </c>
      <c r="U1679" s="10" t="n">
        <v>91</v>
      </c>
      <c r="V1679" s="10">
        <f>ROUNDUP((T1679+U1679+2*'Read Me'!$B$13)*(1+'Read Me'!$B$12),-1)</f>
        <v/>
      </c>
      <c r="W1679" s="10">
        <f>V1679*N1679*O1679</f>
        <v/>
      </c>
      <c r="X1679" s="9">
        <f>IF(LEFT(I1679,2)="MV",2*N1679*IF(L1679="1/C",O1679,1),0)</f>
        <v/>
      </c>
      <c r="Y1679" s="9">
        <f>IF(OR(LEFT(K1679,4)="LVAX",LEFT(K1679,6)="MV15AX",LEFT(K1679,4)="CTAX",LEFT(K1679,2)="W|"),2*N1679*O1679,0)</f>
        <v/>
      </c>
      <c r="Z1679" s="9" t="inlineStr"/>
    </row>
    <row r="1680">
      <c r="A1680" s="9" t="inlineStr">
        <is>
          <t>H-C-0015</t>
        </is>
      </c>
      <c r="B1680" s="9" t="inlineStr">
        <is>
          <t>H</t>
        </is>
      </c>
      <c r="C1680" s="9" t="inlineStr">
        <is>
          <t>BESS</t>
        </is>
      </c>
      <c r="D1680" s="9" t="inlineStr">
        <is>
          <t>Control</t>
        </is>
      </c>
      <c r="E1680" s="9" t="inlineStr"/>
      <c r="F1680" s="9" t="inlineStr">
        <is>
          <t>BESS EMS / SCADA and revenue metering</t>
        </is>
      </c>
      <c r="G1680" s="9" t="inlineStr"/>
      <c r="H1680" s="9" t="inlineStr">
        <is>
          <t>BESS PCS / MV skid</t>
        </is>
      </c>
      <c r="I1680" s="9" t="inlineStr">
        <is>
          <t>Control</t>
        </is>
      </c>
      <c r="J1680" s="9" t="inlineStr">
        <is>
          <t>Control cable 600 V Type TC-ER, Cu #14 AWG, PVC jacket</t>
        </is>
      </c>
      <c r="K1680" s="9" t="inlineStr">
        <is>
          <t>CT|7/C|14</t>
        </is>
      </c>
      <c r="L1680" s="9" t="inlineStr">
        <is>
          <t>7/C</t>
        </is>
      </c>
      <c r="M1680" s="9" t="inlineStr">
        <is>
          <t>14</t>
        </is>
      </c>
      <c r="N1680" s="9" t="n">
        <v>1</v>
      </c>
      <c r="O1680" s="9" t="n">
        <v>1</v>
      </c>
      <c r="P1680" s="9" t="n"/>
      <c r="Q1680" s="9" t="n"/>
      <c r="R1680" s="9" t="n"/>
      <c r="S1680" s="9" t="inlineStr">
        <is>
          <t>Duct bank</t>
        </is>
      </c>
      <c r="T1680" s="10" t="n">
        <v>602</v>
      </c>
      <c r="U1680" s="10" t="n">
        <v>37</v>
      </c>
      <c r="V1680" s="10">
        <f>ROUNDUP((T1680+U1680+2*'Read Me'!$B$13)*(1+'Read Me'!$B$12),-1)</f>
        <v/>
      </c>
      <c r="W1680" s="10">
        <f>V1680*N1680*O1680</f>
        <v/>
      </c>
      <c r="X1680" s="9">
        <f>IF(LEFT(I1680,2)="MV",2*N1680*IF(L1680="1/C",O1680,1),0)</f>
        <v/>
      </c>
      <c r="Y1680" s="9">
        <f>IF(OR(LEFT(K1680,4)="LVAX",LEFT(K1680,6)="MV15AX",LEFT(K1680,4)="CTAX",LEFT(K1680,2)="W|"),2*N1680*O1680,0)</f>
        <v/>
      </c>
      <c r="Z1680" s="9" t="inlineStr"/>
    </row>
    <row r="1681">
      <c r="A1681" s="9" t="inlineStr">
        <is>
          <t>H-C-0016</t>
        </is>
      </c>
      <c r="B1681" s="9" t="inlineStr">
        <is>
          <t>H</t>
        </is>
      </c>
      <c r="C1681" s="9" t="inlineStr">
        <is>
          <t>BESS</t>
        </is>
      </c>
      <c r="D1681" s="9" t="inlineStr">
        <is>
          <t>Control</t>
        </is>
      </c>
      <c r="E1681" s="9" t="inlineStr"/>
      <c r="F1681" s="9" t="inlineStr">
        <is>
          <t>BESS EMS / SCADA and revenue metering</t>
        </is>
      </c>
      <c r="G1681" s="9" t="inlineStr"/>
      <c r="H1681" s="9" t="inlineStr">
        <is>
          <t>BESS PCS / MV skid</t>
        </is>
      </c>
      <c r="I1681" s="9" t="inlineStr">
        <is>
          <t>Control</t>
        </is>
      </c>
      <c r="J1681" s="9" t="inlineStr">
        <is>
          <t>Control cable 600 V Type TC-ER, Cu #14 AWG, PVC jacket</t>
        </is>
      </c>
      <c r="K1681" s="9" t="inlineStr">
        <is>
          <t>CT|7/C|14</t>
        </is>
      </c>
      <c r="L1681" s="9" t="inlineStr">
        <is>
          <t>7/C</t>
        </is>
      </c>
      <c r="M1681" s="9" t="inlineStr">
        <is>
          <t>14</t>
        </is>
      </c>
      <c r="N1681" s="9" t="n">
        <v>1</v>
      </c>
      <c r="O1681" s="9" t="n">
        <v>1</v>
      </c>
      <c r="P1681" s="9" t="n"/>
      <c r="Q1681" s="9" t="n"/>
      <c r="R1681" s="9" t="n"/>
      <c r="S1681" s="9" t="inlineStr">
        <is>
          <t>Duct bank</t>
        </is>
      </c>
      <c r="T1681" s="10" t="n">
        <v>336</v>
      </c>
      <c r="U1681" s="10" t="n">
        <v>157</v>
      </c>
      <c r="V1681" s="10">
        <f>ROUNDUP((T1681+U1681+2*'Read Me'!$B$13)*(1+'Read Me'!$B$12),-1)</f>
        <v/>
      </c>
      <c r="W1681" s="10">
        <f>V1681*N1681*O1681</f>
        <v/>
      </c>
      <c r="X1681" s="9">
        <f>IF(LEFT(I1681,2)="MV",2*N1681*IF(L1681="1/C",O1681,1),0)</f>
        <v/>
      </c>
      <c r="Y1681" s="9">
        <f>IF(OR(LEFT(K1681,4)="LVAX",LEFT(K1681,6)="MV15AX",LEFT(K1681,4)="CTAX",LEFT(K1681,2)="W|"),2*N1681*O1681,0)</f>
        <v/>
      </c>
      <c r="Z1681" s="9" t="inlineStr"/>
    </row>
    <row r="1682">
      <c r="A1682" s="9" t="inlineStr">
        <is>
          <t>H-C-0017</t>
        </is>
      </c>
      <c r="B1682" s="9" t="inlineStr">
        <is>
          <t>H</t>
        </is>
      </c>
      <c r="C1682" s="9" t="inlineStr">
        <is>
          <t>BESS</t>
        </is>
      </c>
      <c r="D1682" s="9" t="inlineStr">
        <is>
          <t>Control</t>
        </is>
      </c>
      <c r="E1682" s="9" t="inlineStr"/>
      <c r="F1682" s="9" t="inlineStr">
        <is>
          <t>BESS EMS / SCADA and revenue metering</t>
        </is>
      </c>
      <c r="G1682" s="9" t="inlineStr"/>
      <c r="H1682" s="9" t="inlineStr">
        <is>
          <t>BESS PCS / MV skid</t>
        </is>
      </c>
      <c r="I1682" s="9" t="inlineStr">
        <is>
          <t>Control</t>
        </is>
      </c>
      <c r="J1682" s="9" t="inlineStr">
        <is>
          <t>Control cable 600 V Type TC-ER, Cu #14 AWG, PVC jacket</t>
        </is>
      </c>
      <c r="K1682" s="9" t="inlineStr">
        <is>
          <t>CT|7/C|14</t>
        </is>
      </c>
      <c r="L1682" s="9" t="inlineStr">
        <is>
          <t>7/C</t>
        </is>
      </c>
      <c r="M1682" s="9" t="inlineStr">
        <is>
          <t>14</t>
        </is>
      </c>
      <c r="N1682" s="9" t="n">
        <v>1</v>
      </c>
      <c r="O1682" s="9" t="n">
        <v>1</v>
      </c>
      <c r="P1682" s="9" t="n"/>
      <c r="Q1682" s="9" t="n"/>
      <c r="R1682" s="9" t="n"/>
      <c r="S1682" s="9" t="inlineStr">
        <is>
          <t>Duct bank</t>
        </is>
      </c>
      <c r="T1682" s="10" t="n">
        <v>336</v>
      </c>
      <c r="U1682" s="10" t="n">
        <v>37</v>
      </c>
      <c r="V1682" s="10">
        <f>ROUNDUP((T1682+U1682+2*'Read Me'!$B$13)*(1+'Read Me'!$B$12),-1)</f>
        <v/>
      </c>
      <c r="W1682" s="10">
        <f>V1682*N1682*O1682</f>
        <v/>
      </c>
      <c r="X1682" s="9">
        <f>IF(LEFT(I1682,2)="MV",2*N1682*IF(L1682="1/C",O1682,1),0)</f>
        <v/>
      </c>
      <c r="Y1682" s="9">
        <f>IF(OR(LEFT(K1682,4)="LVAX",LEFT(K1682,6)="MV15AX",LEFT(K1682,4)="CTAX",LEFT(K1682,2)="W|"),2*N1682*O1682,0)</f>
        <v/>
      </c>
      <c r="Z1682" s="9" t="inlineStr"/>
    </row>
    <row r="1683">
      <c r="A1683" s="9" t="inlineStr">
        <is>
          <t>H-C-0018</t>
        </is>
      </c>
      <c r="B1683" s="9" t="inlineStr">
        <is>
          <t>H</t>
        </is>
      </c>
      <c r="C1683" s="9" t="inlineStr">
        <is>
          <t>BESS</t>
        </is>
      </c>
      <c r="D1683" s="9" t="inlineStr">
        <is>
          <t>Control</t>
        </is>
      </c>
      <c r="E1683" s="9" t="inlineStr"/>
      <c r="F1683" s="9" t="inlineStr">
        <is>
          <t>BESS EMS / SCADA and revenue metering</t>
        </is>
      </c>
      <c r="G1683" s="9" t="inlineStr"/>
      <c r="H1683" s="9" t="inlineStr">
        <is>
          <t>BESS auxiliary transformer</t>
        </is>
      </c>
      <c r="I1683" s="9" t="inlineStr">
        <is>
          <t>Control</t>
        </is>
      </c>
      <c r="J1683" s="9" t="inlineStr">
        <is>
          <t>Control cable 600 V Type TC-ER, Cu #14 AWG, PVC jacket</t>
        </is>
      </c>
      <c r="K1683" s="9" t="inlineStr">
        <is>
          <t>CT|7/C|14</t>
        </is>
      </c>
      <c r="L1683" s="9" t="inlineStr">
        <is>
          <t>7/C</t>
        </is>
      </c>
      <c r="M1683" s="9" t="inlineStr">
        <is>
          <t>14</t>
        </is>
      </c>
      <c r="N1683" s="9" t="n">
        <v>1</v>
      </c>
      <c r="O1683" s="9" t="n">
        <v>1</v>
      </c>
      <c r="P1683" s="9" t="n"/>
      <c r="Q1683" s="9" t="n"/>
      <c r="R1683" s="9" t="n"/>
      <c r="S1683" s="9" t="inlineStr">
        <is>
          <t>Tray</t>
        </is>
      </c>
      <c r="T1683" s="10" t="n">
        <v>38</v>
      </c>
      <c r="U1683" s="10" t="n">
        <v>32</v>
      </c>
      <c r="V1683" s="10">
        <f>ROUNDUP((T1683+U1683+2*'Read Me'!$B$13)*(1+'Read Me'!$B$12),-1)</f>
        <v/>
      </c>
      <c r="W1683" s="10">
        <f>V1683*N1683*O1683</f>
        <v/>
      </c>
      <c r="X1683" s="9">
        <f>IF(LEFT(I1683,2)="MV",2*N1683*IF(L1683="1/C",O1683,1),0)</f>
        <v/>
      </c>
      <c r="Y1683" s="9">
        <f>IF(OR(LEFT(K1683,4)="LVAX",LEFT(K1683,6)="MV15AX",LEFT(K1683,4)="CTAX",LEFT(K1683,2)="W|"),2*N1683*O1683,0)</f>
        <v/>
      </c>
      <c r="Z1683" s="9" t="inlineStr"/>
    </row>
    <row r="1684">
      <c r="A1684" s="9" t="inlineStr">
        <is>
          <t>H-C-0019</t>
        </is>
      </c>
      <c r="B1684" s="9" t="inlineStr">
        <is>
          <t>H</t>
        </is>
      </c>
      <c r="C1684" s="9" t="inlineStr">
        <is>
          <t>BESS</t>
        </is>
      </c>
      <c r="D1684" s="9" t="inlineStr">
        <is>
          <t>Control</t>
        </is>
      </c>
      <c r="E1684" s="9" t="inlineStr"/>
      <c r="F1684" s="9" t="inlineStr">
        <is>
          <t>BESS EMS / SCADA and revenue metering</t>
        </is>
      </c>
      <c r="G1684" s="9" t="inlineStr"/>
      <c r="H1684" s="9" t="inlineStr">
        <is>
          <t>BESS auxiliary transformer</t>
        </is>
      </c>
      <c r="I1684" s="9" t="inlineStr">
        <is>
          <t>Control</t>
        </is>
      </c>
      <c r="J1684" s="9" t="inlineStr">
        <is>
          <t>Control cable 600 V Type TC-ER, Cu #14 AWG, PVC jacket</t>
        </is>
      </c>
      <c r="K1684" s="9" t="inlineStr">
        <is>
          <t>CT|12/C|14</t>
        </is>
      </c>
      <c r="L1684" s="9" t="inlineStr">
        <is>
          <t>12/C</t>
        </is>
      </c>
      <c r="M1684" s="9" t="inlineStr">
        <is>
          <t>14</t>
        </is>
      </c>
      <c r="N1684" s="9" t="n">
        <v>1</v>
      </c>
      <c r="O1684" s="9" t="n">
        <v>1</v>
      </c>
      <c r="P1684" s="9" t="n"/>
      <c r="Q1684" s="9" t="n"/>
      <c r="R1684" s="9" t="n"/>
      <c r="S1684" s="9" t="inlineStr">
        <is>
          <t>Tray</t>
        </is>
      </c>
      <c r="T1684" s="10" t="n">
        <v>38</v>
      </c>
      <c r="U1684" s="10" t="n">
        <v>32</v>
      </c>
      <c r="V1684" s="10">
        <f>ROUNDUP((T1684+U1684+2*'Read Me'!$B$13)*(1+'Read Me'!$B$12),-1)</f>
        <v/>
      </c>
      <c r="W1684" s="10">
        <f>V1684*N1684*O1684</f>
        <v/>
      </c>
      <c r="X1684" s="9">
        <f>IF(LEFT(I1684,2)="MV",2*N1684*IF(L1684="1/C",O1684,1),0)</f>
        <v/>
      </c>
      <c r="Y1684" s="9">
        <f>IF(OR(LEFT(K1684,4)="LVAX",LEFT(K1684,6)="MV15AX",LEFT(K1684,4)="CTAX",LEFT(K1684,2)="W|"),2*N1684*O1684,0)</f>
        <v/>
      </c>
      <c r="Z1684" s="9" t="inlineStr"/>
    </row>
    <row r="1685">
      <c r="A1685" s="9" t="inlineStr">
        <is>
          <t>H-C-0020</t>
        </is>
      </c>
      <c r="B1685" s="9" t="inlineStr">
        <is>
          <t>H</t>
        </is>
      </c>
      <c r="C1685" s="9" t="inlineStr">
        <is>
          <t>BESS</t>
        </is>
      </c>
      <c r="D1685" s="9" t="inlineStr">
        <is>
          <t>CT / VT</t>
        </is>
      </c>
      <c r="E1685" s="9" t="inlineStr"/>
      <c r="F1685" s="9" t="inlineStr">
        <is>
          <t>BESS EMS / SCADA and revenue metering</t>
        </is>
      </c>
      <c r="G1685" s="9" t="inlineStr"/>
      <c r="H1685" s="9" t="inlineStr">
        <is>
          <t>BESS auxiliary transformer</t>
        </is>
      </c>
      <c r="I1685" s="9" t="inlineStr">
        <is>
          <t>Control</t>
        </is>
      </c>
      <c r="J1685" s="9" t="inlineStr">
        <is>
          <t>Control cable 600 V Type TC-ER, Cu #10 AWG (CT / VT circuits)</t>
        </is>
      </c>
      <c r="K1685" s="9" t="inlineStr">
        <is>
          <t>CTCT|4/C|10</t>
        </is>
      </c>
      <c r="L1685" s="9" t="inlineStr">
        <is>
          <t>4/C</t>
        </is>
      </c>
      <c r="M1685" s="9" t="inlineStr">
        <is>
          <t>10</t>
        </is>
      </c>
      <c r="N1685" s="9" t="n">
        <v>1</v>
      </c>
      <c r="O1685" s="9" t="n">
        <v>1</v>
      </c>
      <c r="P1685" s="9" t="n"/>
      <c r="Q1685" s="9" t="n"/>
      <c r="R1685" s="9" t="n"/>
      <c r="S1685" s="9" t="inlineStr">
        <is>
          <t>Tray</t>
        </is>
      </c>
      <c r="T1685" s="10" t="n">
        <v>38</v>
      </c>
      <c r="U1685" s="10" t="n">
        <v>32</v>
      </c>
      <c r="V1685" s="10">
        <f>ROUNDUP((T1685+U1685+2*'Read Me'!$B$13)*(1+'Read Me'!$B$12),-1)</f>
        <v/>
      </c>
      <c r="W1685" s="10">
        <f>V1685*N1685*O1685</f>
        <v/>
      </c>
      <c r="X1685" s="9">
        <f>IF(LEFT(I1685,2)="MV",2*N1685*IF(L1685="1/C",O1685,1),0)</f>
        <v/>
      </c>
      <c r="Y1685" s="9">
        <f>IF(OR(LEFT(K1685,4)="LVAX",LEFT(K1685,6)="MV15AX",LEFT(K1685,4)="CTAX",LEFT(K1685,2)="W|"),2*N1685*O1685,0)</f>
        <v/>
      </c>
      <c r="Z1685" s="9" t="inlineStr"/>
    </row>
    <row r="1686">
      <c r="A1686" s="9" t="inlineStr">
        <is>
          <t>H-C-0021</t>
        </is>
      </c>
      <c r="B1686" s="9" t="inlineStr">
        <is>
          <t>H</t>
        </is>
      </c>
      <c r="C1686" s="9" t="inlineStr">
        <is>
          <t>BESS</t>
        </is>
      </c>
      <c r="D1686" s="9" t="inlineStr">
        <is>
          <t>CT / VT</t>
        </is>
      </c>
      <c r="E1686" s="9" t="inlineStr"/>
      <c r="F1686" s="9" t="inlineStr">
        <is>
          <t>BESS EMS / SCADA and revenue metering</t>
        </is>
      </c>
      <c r="G1686" s="9" t="inlineStr"/>
      <c r="H1686" s="9" t="inlineStr">
        <is>
          <t>BESS auxiliary transformer</t>
        </is>
      </c>
      <c r="I1686" s="9" t="inlineStr">
        <is>
          <t>Control</t>
        </is>
      </c>
      <c r="J1686" s="9" t="inlineStr">
        <is>
          <t>Control cable 600 V Type TC-ER, Cu #10 AWG (CT / VT circuits)</t>
        </is>
      </c>
      <c r="K1686" s="9" t="inlineStr">
        <is>
          <t>CTCT|4/C|10</t>
        </is>
      </c>
      <c r="L1686" s="9" t="inlineStr">
        <is>
          <t>4/C</t>
        </is>
      </c>
      <c r="M1686" s="9" t="inlineStr">
        <is>
          <t>10</t>
        </is>
      </c>
      <c r="N1686" s="9" t="n">
        <v>1</v>
      </c>
      <c r="O1686" s="9" t="n">
        <v>1</v>
      </c>
      <c r="P1686" s="9" t="n"/>
      <c r="Q1686" s="9" t="n"/>
      <c r="R1686" s="9" t="n"/>
      <c r="S1686" s="9" t="inlineStr">
        <is>
          <t>Tray</t>
        </is>
      </c>
      <c r="T1686" s="10" t="n">
        <v>38</v>
      </c>
      <c r="U1686" s="10" t="n">
        <v>32</v>
      </c>
      <c r="V1686" s="10">
        <f>ROUNDUP((T1686+U1686+2*'Read Me'!$B$13)*(1+'Read Me'!$B$12),-1)</f>
        <v/>
      </c>
      <c r="W1686" s="10">
        <f>V1686*N1686*O1686</f>
        <v/>
      </c>
      <c r="X1686" s="9">
        <f>IF(LEFT(I1686,2)="MV",2*N1686*IF(L1686="1/C",O1686,1),0)</f>
        <v/>
      </c>
      <c r="Y1686" s="9">
        <f>IF(OR(LEFT(K1686,4)="LVAX",LEFT(K1686,6)="MV15AX",LEFT(K1686,4)="CTAX",LEFT(K1686,2)="W|"),2*N1686*O1686,0)</f>
        <v/>
      </c>
      <c r="Z1686" s="9" t="inlineStr"/>
    </row>
    <row r="1687">
      <c r="A1687" s="9" t="inlineStr">
        <is>
          <t>H-C-0022</t>
        </is>
      </c>
      <c r="B1687" s="9" t="inlineStr">
        <is>
          <t>H</t>
        </is>
      </c>
      <c r="C1687" s="9" t="inlineStr">
        <is>
          <t>BESS</t>
        </is>
      </c>
      <c r="D1687" s="9" t="inlineStr">
        <is>
          <t>Control</t>
        </is>
      </c>
      <c r="E1687" s="9" t="inlineStr"/>
      <c r="F1687" s="9" t="inlineStr">
        <is>
          <t>BESS EMS / SCADA and revenue metering</t>
        </is>
      </c>
      <c r="G1687" s="9" t="inlineStr">
        <is>
          <t>BESS</t>
        </is>
      </c>
      <c r="H1687" s="9" t="inlineStr">
        <is>
          <t>BESS blocks: 30 containers + 15 PCS / MV skids</t>
        </is>
      </c>
      <c r="I1687" s="9" t="inlineStr">
        <is>
          <t>Control</t>
        </is>
      </c>
      <c r="J1687" s="9" t="inlineStr">
        <is>
          <t>Control cable 600 V Type TC-ER, Cu #14 AWG, PVC jacket</t>
        </is>
      </c>
      <c r="K1687" s="9" t="inlineStr">
        <is>
          <t>CT|7/C|14</t>
        </is>
      </c>
      <c r="L1687" s="9" t="inlineStr">
        <is>
          <t>7/C</t>
        </is>
      </c>
      <c r="M1687" s="9" t="inlineStr">
        <is>
          <t>14</t>
        </is>
      </c>
      <c r="N1687" s="9" t="n">
        <v>1</v>
      </c>
      <c r="O1687" s="9" t="n">
        <v>1</v>
      </c>
      <c r="P1687" s="9" t="n"/>
      <c r="Q1687" s="9" t="n"/>
      <c r="R1687" s="9" t="n"/>
      <c r="S1687" s="9" t="inlineStr">
        <is>
          <t>Duct bank</t>
        </is>
      </c>
      <c r="T1687" s="10" t="n">
        <v>336</v>
      </c>
      <c r="U1687" s="10" t="n">
        <v>32</v>
      </c>
      <c r="V1687" s="10">
        <f>ROUNDUP((T1687+U1687+2*'Read Me'!$B$13)*(1+'Read Me'!$B$12),-1)</f>
        <v/>
      </c>
      <c r="W1687" s="10">
        <f>V1687*N1687*O1687</f>
        <v/>
      </c>
      <c r="X1687" s="9">
        <f>IF(LEFT(I1687,2)="MV",2*N1687*IF(L1687="1/C",O1687,1),0)</f>
        <v/>
      </c>
      <c r="Y1687" s="9">
        <f>IF(OR(LEFT(K1687,4)="LVAX",LEFT(K1687,6)="MV15AX",LEFT(K1687,4)="CTAX",LEFT(K1687,2)="W|"),2*N1687*O1687,0)</f>
        <v/>
      </c>
      <c r="Z1687" s="9" t="inlineStr"/>
    </row>
    <row r="1688">
      <c r="A1688" s="9" t="inlineStr">
        <is>
          <t>H-C-0023</t>
        </is>
      </c>
      <c r="B1688" s="9" t="inlineStr">
        <is>
          <t>H</t>
        </is>
      </c>
      <c r="C1688" s="9" t="inlineStr">
        <is>
          <t>BESS</t>
        </is>
      </c>
      <c r="D1688" s="9" t="inlineStr">
        <is>
          <t>Control</t>
        </is>
      </c>
      <c r="E1688" s="9" t="inlineStr"/>
      <c r="F1688" s="9" t="inlineStr">
        <is>
          <t>BESS PCS / MV skid</t>
        </is>
      </c>
      <c r="G1688" s="9" t="inlineStr"/>
      <c r="H1688" s="9" t="inlineStr">
        <is>
          <t>BESS container (ISO 40 ft high cube)</t>
        </is>
      </c>
      <c r="I1688" s="9" t="inlineStr">
        <is>
          <t>Control</t>
        </is>
      </c>
      <c r="J1688" s="9" t="inlineStr">
        <is>
          <t>Control cable 600 V Type TC-ER, Cu #14 AWG, PVC jacket</t>
        </is>
      </c>
      <c r="K1688" s="9" t="inlineStr">
        <is>
          <t>CT|7/C|14</t>
        </is>
      </c>
      <c r="L1688" s="9" t="inlineStr">
        <is>
          <t>7/C</t>
        </is>
      </c>
      <c r="M1688" s="9" t="inlineStr">
        <is>
          <t>14</t>
        </is>
      </c>
      <c r="N1688" s="9" t="n">
        <v>1</v>
      </c>
      <c r="O1688" s="9" t="n">
        <v>1</v>
      </c>
      <c r="P1688" s="9" t="n"/>
      <c r="Q1688" s="9" t="n"/>
      <c r="R1688" s="9" t="n"/>
      <c r="S1688" s="9" t="inlineStr">
        <is>
          <t>Duct bank</t>
        </is>
      </c>
      <c r="T1688" s="10" t="n">
        <v>10</v>
      </c>
      <c r="U1688" s="10" t="n">
        <v>150</v>
      </c>
      <c r="V1688" s="10">
        <f>ROUNDUP((T1688+U1688+2*'Read Me'!$B$13)*(1+'Read Me'!$B$12),-1)</f>
        <v/>
      </c>
      <c r="W1688" s="10">
        <f>V1688*N1688*O1688</f>
        <v/>
      </c>
      <c r="X1688" s="9">
        <f>IF(LEFT(I1688,2)="MV",2*N1688*IF(L1688="1/C",O1688,1),0)</f>
        <v/>
      </c>
      <c r="Y1688" s="9">
        <f>IF(OR(LEFT(K1688,4)="LVAX",LEFT(K1688,6)="MV15AX",LEFT(K1688,4)="CTAX",LEFT(K1688,2)="W|"),2*N1688*O1688,0)</f>
        <v/>
      </c>
      <c r="Z1688" s="9" t="inlineStr"/>
    </row>
    <row r="1689">
      <c r="A1689" s="9" t="inlineStr">
        <is>
          <t>H-C-0024</t>
        </is>
      </c>
      <c r="B1689" s="9" t="inlineStr">
        <is>
          <t>H</t>
        </is>
      </c>
      <c r="C1689" s="9" t="inlineStr">
        <is>
          <t>BESS</t>
        </is>
      </c>
      <c r="D1689" s="9" t="inlineStr">
        <is>
          <t>Control</t>
        </is>
      </c>
      <c r="E1689" s="9" t="inlineStr"/>
      <c r="F1689" s="9" t="inlineStr">
        <is>
          <t>BESS PCS / MV skid</t>
        </is>
      </c>
      <c r="G1689" s="9" t="inlineStr"/>
      <c r="H1689" s="9" t="inlineStr">
        <is>
          <t>BESS container (ISO 40 ft high cube)</t>
        </is>
      </c>
      <c r="I1689" s="9" t="inlineStr">
        <is>
          <t>Control</t>
        </is>
      </c>
      <c r="J1689" s="9" t="inlineStr">
        <is>
          <t>Control cable 600 V Type TC-ER, Cu #14 AWG, PVC jacket</t>
        </is>
      </c>
      <c r="K1689" s="9" t="inlineStr">
        <is>
          <t>CT|7/C|14</t>
        </is>
      </c>
      <c r="L1689" s="9" t="inlineStr">
        <is>
          <t>7/C</t>
        </is>
      </c>
      <c r="M1689" s="9" t="inlineStr">
        <is>
          <t>14</t>
        </is>
      </c>
      <c r="N1689" s="9" t="n">
        <v>1</v>
      </c>
      <c r="O1689" s="9" t="n">
        <v>1</v>
      </c>
      <c r="P1689" s="9" t="n"/>
      <c r="Q1689" s="9" t="n"/>
      <c r="R1689" s="9" t="n"/>
      <c r="S1689" s="9" t="inlineStr">
        <is>
          <t>Tray</t>
        </is>
      </c>
      <c r="T1689" s="10" t="n">
        <v>0</v>
      </c>
      <c r="U1689" s="10" t="n">
        <v>160</v>
      </c>
      <c r="V1689" s="10">
        <f>ROUNDUP((T1689+U1689+2*'Read Me'!$B$13)*(1+'Read Me'!$B$12),-1)</f>
        <v/>
      </c>
      <c r="W1689" s="10">
        <f>V1689*N1689*O1689</f>
        <v/>
      </c>
      <c r="X1689" s="9">
        <f>IF(LEFT(I1689,2)="MV",2*N1689*IF(L1689="1/C",O1689,1),0)</f>
        <v/>
      </c>
      <c r="Y1689" s="9">
        <f>IF(OR(LEFT(K1689,4)="LVAX",LEFT(K1689,6)="MV15AX",LEFT(K1689,4)="CTAX",LEFT(K1689,2)="W|"),2*N1689*O1689,0)</f>
        <v/>
      </c>
      <c r="Z1689" s="9" t="inlineStr"/>
    </row>
    <row r="1690">
      <c r="A1690" s="9" t="inlineStr">
        <is>
          <t>H-C-0025</t>
        </is>
      </c>
      <c r="B1690" s="9" t="inlineStr">
        <is>
          <t>H</t>
        </is>
      </c>
      <c r="C1690" s="9" t="inlineStr">
        <is>
          <t>BESS</t>
        </is>
      </c>
      <c r="D1690" s="9" t="inlineStr">
        <is>
          <t>Control</t>
        </is>
      </c>
      <c r="E1690" s="9" t="inlineStr"/>
      <c r="F1690" s="9" t="inlineStr">
        <is>
          <t>BESS PCS / MV skid</t>
        </is>
      </c>
      <c r="G1690" s="9" t="inlineStr"/>
      <c r="H1690" s="9" t="inlineStr">
        <is>
          <t>BESS container (ISO 40 ft high cube)</t>
        </is>
      </c>
      <c r="I1690" s="9" t="inlineStr">
        <is>
          <t>Control</t>
        </is>
      </c>
      <c r="J1690" s="9" t="inlineStr">
        <is>
          <t>Control cable 600 V Type TC-ER, Cu #14 AWG, PVC jacket</t>
        </is>
      </c>
      <c r="K1690" s="9" t="inlineStr">
        <is>
          <t>CT|7/C|14</t>
        </is>
      </c>
      <c r="L1690" s="9" t="inlineStr">
        <is>
          <t>7/C</t>
        </is>
      </c>
      <c r="M1690" s="9" t="inlineStr">
        <is>
          <t>14</t>
        </is>
      </c>
      <c r="N1690" s="9" t="n">
        <v>1</v>
      </c>
      <c r="O1690" s="9" t="n">
        <v>1</v>
      </c>
      <c r="P1690" s="9" t="n"/>
      <c r="Q1690" s="9" t="n"/>
      <c r="R1690" s="9" t="n"/>
      <c r="S1690" s="9" t="inlineStr">
        <is>
          <t>Tray</t>
        </is>
      </c>
      <c r="T1690" s="10" t="n">
        <v>0</v>
      </c>
      <c r="U1690" s="10" t="n">
        <v>200</v>
      </c>
      <c r="V1690" s="10">
        <f>ROUNDUP((T1690+U1690+2*'Read Me'!$B$13)*(1+'Read Me'!$B$12),-1)</f>
        <v/>
      </c>
      <c r="W1690" s="10">
        <f>V1690*N1690*O1690</f>
        <v/>
      </c>
      <c r="X1690" s="9">
        <f>IF(LEFT(I1690,2)="MV",2*N1690*IF(L1690="1/C",O1690,1),0)</f>
        <v/>
      </c>
      <c r="Y1690" s="9">
        <f>IF(OR(LEFT(K1690,4)="LVAX",LEFT(K1690,6)="MV15AX",LEFT(K1690,4)="CTAX",LEFT(K1690,2)="W|"),2*N1690*O1690,0)</f>
        <v/>
      </c>
      <c r="Z1690" s="9" t="inlineStr"/>
    </row>
    <row r="1691">
      <c r="A1691" s="9" t="inlineStr">
        <is>
          <t>H-C-0026</t>
        </is>
      </c>
      <c r="B1691" s="9" t="inlineStr">
        <is>
          <t>H</t>
        </is>
      </c>
      <c r="C1691" s="9" t="inlineStr">
        <is>
          <t>BESS</t>
        </is>
      </c>
      <c r="D1691" s="9" t="inlineStr">
        <is>
          <t>Control</t>
        </is>
      </c>
      <c r="E1691" s="9" t="inlineStr"/>
      <c r="F1691" s="9" t="inlineStr">
        <is>
          <t>BESS PCS / MV skid</t>
        </is>
      </c>
      <c r="G1691" s="9" t="inlineStr"/>
      <c r="H1691" s="9" t="inlineStr">
        <is>
          <t>BESS container (ISO 40 ft high cube)</t>
        </is>
      </c>
      <c r="I1691" s="9" t="inlineStr">
        <is>
          <t>Control</t>
        </is>
      </c>
      <c r="J1691" s="9" t="inlineStr">
        <is>
          <t>Control cable 600 V Type TC-ER, Cu #14 AWG, PVC jacket</t>
        </is>
      </c>
      <c r="K1691" s="9" t="inlineStr">
        <is>
          <t>CT|7/C|14</t>
        </is>
      </c>
      <c r="L1691" s="9" t="inlineStr">
        <is>
          <t>7/C</t>
        </is>
      </c>
      <c r="M1691" s="9" t="inlineStr">
        <is>
          <t>14</t>
        </is>
      </c>
      <c r="N1691" s="9" t="n">
        <v>1</v>
      </c>
      <c r="O1691" s="9" t="n">
        <v>1</v>
      </c>
      <c r="P1691" s="9" t="n"/>
      <c r="Q1691" s="9" t="n"/>
      <c r="R1691" s="9" t="n"/>
      <c r="S1691" s="9" t="inlineStr">
        <is>
          <t>Tray</t>
        </is>
      </c>
      <c r="T1691" s="10" t="n">
        <v>0</v>
      </c>
      <c r="U1691" s="10" t="n">
        <v>200</v>
      </c>
      <c r="V1691" s="10">
        <f>ROUNDUP((T1691+U1691+2*'Read Me'!$B$13)*(1+'Read Me'!$B$12),-1)</f>
        <v/>
      </c>
      <c r="W1691" s="10">
        <f>V1691*N1691*O1691</f>
        <v/>
      </c>
      <c r="X1691" s="9">
        <f>IF(LEFT(I1691,2)="MV",2*N1691*IF(L1691="1/C",O1691,1),0)</f>
        <v/>
      </c>
      <c r="Y1691" s="9">
        <f>IF(OR(LEFT(K1691,4)="LVAX",LEFT(K1691,6)="MV15AX",LEFT(K1691,4)="CTAX",LEFT(K1691,2)="W|"),2*N1691*O1691,0)</f>
        <v/>
      </c>
      <c r="Z1691" s="9" t="inlineStr"/>
    </row>
    <row r="1692">
      <c r="A1692" s="9" t="inlineStr">
        <is>
          <t>H-C-0027</t>
        </is>
      </c>
      <c r="B1692" s="9" t="inlineStr">
        <is>
          <t>H</t>
        </is>
      </c>
      <c r="C1692" s="9" t="inlineStr">
        <is>
          <t>BESS</t>
        </is>
      </c>
      <c r="D1692" s="9" t="inlineStr">
        <is>
          <t>Control</t>
        </is>
      </c>
      <c r="E1692" s="9" t="inlineStr"/>
      <c r="F1692" s="9" t="inlineStr">
        <is>
          <t>BESS PCS / MV skid</t>
        </is>
      </c>
      <c r="G1692" s="9" t="inlineStr"/>
      <c r="H1692" s="9" t="inlineStr">
        <is>
          <t>BESS container (ISO 40 ft high cube)</t>
        </is>
      </c>
      <c r="I1692" s="9" t="inlineStr">
        <is>
          <t>Control</t>
        </is>
      </c>
      <c r="J1692" s="9" t="inlineStr">
        <is>
          <t>Control cable 600 V Type TC-ER, Cu #14 AWG, PVC jacket</t>
        </is>
      </c>
      <c r="K1692" s="9" t="inlineStr">
        <is>
          <t>CT|7/C|14</t>
        </is>
      </c>
      <c r="L1692" s="9" t="inlineStr">
        <is>
          <t>7/C</t>
        </is>
      </c>
      <c r="M1692" s="9" t="inlineStr">
        <is>
          <t>14</t>
        </is>
      </c>
      <c r="N1692" s="9" t="n">
        <v>1</v>
      </c>
      <c r="O1692" s="9" t="n">
        <v>1</v>
      </c>
      <c r="P1692" s="9" t="n"/>
      <c r="Q1692" s="9" t="n"/>
      <c r="R1692" s="9" t="n"/>
      <c r="S1692" s="9" t="inlineStr">
        <is>
          <t>Tray</t>
        </is>
      </c>
      <c r="T1692" s="10" t="n">
        <v>0</v>
      </c>
      <c r="U1692" s="10" t="n">
        <v>168</v>
      </c>
      <c r="V1692" s="10">
        <f>ROUNDUP((T1692+U1692+2*'Read Me'!$B$13)*(1+'Read Me'!$B$12),-1)</f>
        <v/>
      </c>
      <c r="W1692" s="10">
        <f>V1692*N1692*O1692</f>
        <v/>
      </c>
      <c r="X1692" s="9">
        <f>IF(LEFT(I1692,2)="MV",2*N1692*IF(L1692="1/C",O1692,1),0)</f>
        <v/>
      </c>
      <c r="Y1692" s="9">
        <f>IF(OR(LEFT(K1692,4)="LVAX",LEFT(K1692,6)="MV15AX",LEFT(K1692,4)="CTAX",LEFT(K1692,2)="W|"),2*N1692*O1692,0)</f>
        <v/>
      </c>
      <c r="Z1692" s="9" t="inlineStr"/>
    </row>
    <row r="1693">
      <c r="A1693" s="9" t="inlineStr">
        <is>
          <t>H-C-0028</t>
        </is>
      </c>
      <c r="B1693" s="9" t="inlineStr">
        <is>
          <t>H</t>
        </is>
      </c>
      <c r="C1693" s="9" t="inlineStr">
        <is>
          <t>BESS</t>
        </is>
      </c>
      <c r="D1693" s="9" t="inlineStr">
        <is>
          <t>Control</t>
        </is>
      </c>
      <c r="E1693" s="9" t="inlineStr"/>
      <c r="F1693" s="9" t="inlineStr">
        <is>
          <t>BESS PCS / MV skid</t>
        </is>
      </c>
      <c r="G1693" s="9" t="inlineStr"/>
      <c r="H1693" s="9" t="inlineStr">
        <is>
          <t>BESS container (ISO 40 ft high cube)</t>
        </is>
      </c>
      <c r="I1693" s="9" t="inlineStr">
        <is>
          <t>Control</t>
        </is>
      </c>
      <c r="J1693" s="9" t="inlineStr">
        <is>
          <t>Control cable 600 V Type TC-ER, Cu #14 AWG, PVC jacket</t>
        </is>
      </c>
      <c r="K1693" s="9" t="inlineStr">
        <is>
          <t>CT|7/C|14</t>
        </is>
      </c>
      <c r="L1693" s="9" t="inlineStr">
        <is>
          <t>7/C</t>
        </is>
      </c>
      <c r="M1693" s="9" t="inlineStr">
        <is>
          <t>14</t>
        </is>
      </c>
      <c r="N1693" s="9" t="n">
        <v>1</v>
      </c>
      <c r="O1693" s="9" t="n">
        <v>1</v>
      </c>
      <c r="P1693" s="9" t="n"/>
      <c r="Q1693" s="9" t="n"/>
      <c r="R1693" s="9" t="n"/>
      <c r="S1693" s="9" t="inlineStr">
        <is>
          <t>Tray</t>
        </is>
      </c>
      <c r="T1693" s="10" t="n">
        <v>0</v>
      </c>
      <c r="U1693" s="10" t="n">
        <v>168</v>
      </c>
      <c r="V1693" s="10">
        <f>ROUNDUP((T1693+U1693+2*'Read Me'!$B$13)*(1+'Read Me'!$B$12),-1)</f>
        <v/>
      </c>
      <c r="W1693" s="10">
        <f>V1693*N1693*O1693</f>
        <v/>
      </c>
      <c r="X1693" s="9">
        <f>IF(LEFT(I1693,2)="MV",2*N1693*IF(L1693="1/C",O1693,1),0)</f>
        <v/>
      </c>
      <c r="Y1693" s="9">
        <f>IF(OR(LEFT(K1693,4)="LVAX",LEFT(K1693,6)="MV15AX",LEFT(K1693,4)="CTAX",LEFT(K1693,2)="W|"),2*N1693*O1693,0)</f>
        <v/>
      </c>
      <c r="Z1693" s="9" t="inlineStr"/>
    </row>
    <row r="1694">
      <c r="A1694" s="9" t="inlineStr">
        <is>
          <t>H-C-0029</t>
        </is>
      </c>
      <c r="B1694" s="9" t="inlineStr">
        <is>
          <t>H</t>
        </is>
      </c>
      <c r="C1694" s="9" t="inlineStr">
        <is>
          <t>BESS</t>
        </is>
      </c>
      <c r="D1694" s="9" t="inlineStr">
        <is>
          <t>Control</t>
        </is>
      </c>
      <c r="E1694" s="9" t="inlineStr"/>
      <c r="F1694" s="9" t="inlineStr">
        <is>
          <t>BESS PCS / MV skid</t>
        </is>
      </c>
      <c r="G1694" s="9" t="inlineStr"/>
      <c r="H1694" s="9" t="inlineStr">
        <is>
          <t>BESS container (ISO 40 ft high cube)</t>
        </is>
      </c>
      <c r="I1694" s="9" t="inlineStr">
        <is>
          <t>Control</t>
        </is>
      </c>
      <c r="J1694" s="9" t="inlineStr">
        <is>
          <t>Control cable 600 V Type TC-ER, Cu #14 AWG, PVC jacket</t>
        </is>
      </c>
      <c r="K1694" s="9" t="inlineStr">
        <is>
          <t>CT|7/C|14</t>
        </is>
      </c>
      <c r="L1694" s="9" t="inlineStr">
        <is>
          <t>7/C</t>
        </is>
      </c>
      <c r="M1694" s="9" t="inlineStr">
        <is>
          <t>14</t>
        </is>
      </c>
      <c r="N1694" s="9" t="n">
        <v>1</v>
      </c>
      <c r="O1694" s="9" t="n">
        <v>1</v>
      </c>
      <c r="P1694" s="9" t="n"/>
      <c r="Q1694" s="9" t="n"/>
      <c r="R1694" s="9" t="n"/>
      <c r="S1694" s="9" t="inlineStr">
        <is>
          <t>Duct bank</t>
        </is>
      </c>
      <c r="T1694" s="10" t="n">
        <v>10</v>
      </c>
      <c r="U1694" s="10" t="n">
        <v>266</v>
      </c>
      <c r="V1694" s="10">
        <f>ROUNDUP((T1694+U1694+2*'Read Me'!$B$13)*(1+'Read Me'!$B$12),-1)</f>
        <v/>
      </c>
      <c r="W1694" s="10">
        <f>V1694*N1694*O1694</f>
        <v/>
      </c>
      <c r="X1694" s="9">
        <f>IF(LEFT(I1694,2)="MV",2*N1694*IF(L1694="1/C",O1694,1),0)</f>
        <v/>
      </c>
      <c r="Y1694" s="9">
        <f>IF(OR(LEFT(K1694,4)="LVAX",LEFT(K1694,6)="MV15AX",LEFT(K1694,4)="CTAX",LEFT(K1694,2)="W|"),2*N1694*O1694,0)</f>
        <v/>
      </c>
      <c r="Z1694" s="9" t="inlineStr"/>
    </row>
    <row r="1695">
      <c r="A1695" s="9" t="inlineStr">
        <is>
          <t>H-C-0030</t>
        </is>
      </c>
      <c r="B1695" s="9" t="inlineStr">
        <is>
          <t>H</t>
        </is>
      </c>
      <c r="C1695" s="9" t="inlineStr">
        <is>
          <t>BESS</t>
        </is>
      </c>
      <c r="D1695" s="9" t="inlineStr">
        <is>
          <t>Control</t>
        </is>
      </c>
      <c r="E1695" s="9" t="inlineStr"/>
      <c r="F1695" s="9" t="inlineStr">
        <is>
          <t>BESS PCS / MV skid</t>
        </is>
      </c>
      <c r="G1695" s="9" t="inlineStr"/>
      <c r="H1695" s="9" t="inlineStr">
        <is>
          <t>BESS container (ISO 40 ft high cube)</t>
        </is>
      </c>
      <c r="I1695" s="9" t="inlineStr">
        <is>
          <t>Control</t>
        </is>
      </c>
      <c r="J1695" s="9" t="inlineStr">
        <is>
          <t>Control cable 600 V Type TC-ER, Cu #14 AWG, PVC jacket</t>
        </is>
      </c>
      <c r="K1695" s="9" t="inlineStr">
        <is>
          <t>CT|7/C|14</t>
        </is>
      </c>
      <c r="L1695" s="9" t="inlineStr">
        <is>
          <t>7/C</t>
        </is>
      </c>
      <c r="M1695" s="9" t="inlineStr">
        <is>
          <t>14</t>
        </is>
      </c>
      <c r="N1695" s="9" t="n">
        <v>1</v>
      </c>
      <c r="O1695" s="9" t="n">
        <v>1</v>
      </c>
      <c r="P1695" s="9" t="n"/>
      <c r="Q1695" s="9" t="n"/>
      <c r="R1695" s="9" t="n"/>
      <c r="S1695" s="9" t="inlineStr">
        <is>
          <t>Tray</t>
        </is>
      </c>
      <c r="T1695" s="10" t="n">
        <v>0</v>
      </c>
      <c r="U1695" s="10" t="n">
        <v>276</v>
      </c>
      <c r="V1695" s="10">
        <f>ROUNDUP((T1695+U1695+2*'Read Me'!$B$13)*(1+'Read Me'!$B$12),-1)</f>
        <v/>
      </c>
      <c r="W1695" s="10">
        <f>V1695*N1695*O1695</f>
        <v/>
      </c>
      <c r="X1695" s="9">
        <f>IF(LEFT(I1695,2)="MV",2*N1695*IF(L1695="1/C",O1695,1),0)</f>
        <v/>
      </c>
      <c r="Y1695" s="9">
        <f>IF(OR(LEFT(K1695,4)="LVAX",LEFT(K1695,6)="MV15AX",LEFT(K1695,4)="CTAX",LEFT(K1695,2)="W|"),2*N1695*O1695,0)</f>
        <v/>
      </c>
      <c r="Z1695" s="9" t="inlineStr"/>
    </row>
    <row r="1696">
      <c r="A1696" s="9" t="inlineStr">
        <is>
          <t>H-C-0031</t>
        </is>
      </c>
      <c r="B1696" s="9" t="inlineStr">
        <is>
          <t>H</t>
        </is>
      </c>
      <c r="C1696" s="9" t="inlineStr">
        <is>
          <t>BESS</t>
        </is>
      </c>
      <c r="D1696" s="9" t="inlineStr">
        <is>
          <t>Control</t>
        </is>
      </c>
      <c r="E1696" s="9" t="inlineStr"/>
      <c r="F1696" s="9" t="inlineStr">
        <is>
          <t>BESS PCS / MV skid</t>
        </is>
      </c>
      <c r="G1696" s="9" t="inlineStr"/>
      <c r="H1696" s="9" t="inlineStr">
        <is>
          <t>BESS container (ISO 40 ft high cube)</t>
        </is>
      </c>
      <c r="I1696" s="9" t="inlineStr">
        <is>
          <t>Control</t>
        </is>
      </c>
      <c r="J1696" s="9" t="inlineStr">
        <is>
          <t>Control cable 600 V Type TC-ER, Cu #14 AWG, PVC jacket</t>
        </is>
      </c>
      <c r="K1696" s="9" t="inlineStr">
        <is>
          <t>CT|7/C|14</t>
        </is>
      </c>
      <c r="L1696" s="9" t="inlineStr">
        <is>
          <t>7/C</t>
        </is>
      </c>
      <c r="M1696" s="9" t="inlineStr">
        <is>
          <t>14</t>
        </is>
      </c>
      <c r="N1696" s="9" t="n">
        <v>1</v>
      </c>
      <c r="O1696" s="9" t="n">
        <v>1</v>
      </c>
      <c r="P1696" s="9" t="n"/>
      <c r="Q1696" s="9" t="n"/>
      <c r="R1696" s="9" t="n"/>
      <c r="S1696" s="9" t="inlineStr">
        <is>
          <t>Tray</t>
        </is>
      </c>
      <c r="T1696" s="10" t="n">
        <v>0</v>
      </c>
      <c r="U1696" s="10" t="n">
        <v>316</v>
      </c>
      <c r="V1696" s="10">
        <f>ROUNDUP((T1696+U1696+2*'Read Me'!$B$13)*(1+'Read Me'!$B$12),-1)</f>
        <v/>
      </c>
      <c r="W1696" s="10">
        <f>V1696*N1696*O1696</f>
        <v/>
      </c>
      <c r="X1696" s="9">
        <f>IF(LEFT(I1696,2)="MV",2*N1696*IF(L1696="1/C",O1696,1),0)</f>
        <v/>
      </c>
      <c r="Y1696" s="9">
        <f>IF(OR(LEFT(K1696,4)="LVAX",LEFT(K1696,6)="MV15AX",LEFT(K1696,4)="CTAX",LEFT(K1696,2)="W|"),2*N1696*O1696,0)</f>
        <v/>
      </c>
      <c r="Z1696" s="9" t="inlineStr"/>
    </row>
    <row r="1697">
      <c r="A1697" s="9" t="inlineStr">
        <is>
          <t>H-C-0032</t>
        </is>
      </c>
      <c r="B1697" s="9" t="inlineStr">
        <is>
          <t>H</t>
        </is>
      </c>
      <c r="C1697" s="9" t="inlineStr">
        <is>
          <t>BESS</t>
        </is>
      </c>
      <c r="D1697" s="9" t="inlineStr">
        <is>
          <t>Control</t>
        </is>
      </c>
      <c r="E1697" s="9" t="inlineStr"/>
      <c r="F1697" s="9" t="inlineStr">
        <is>
          <t>BESS PCS / MV skid</t>
        </is>
      </c>
      <c r="G1697" s="9" t="inlineStr"/>
      <c r="H1697" s="9" t="inlineStr">
        <is>
          <t>BESS container (ISO 40 ft high cube)</t>
        </is>
      </c>
      <c r="I1697" s="9" t="inlineStr">
        <is>
          <t>Control</t>
        </is>
      </c>
      <c r="J1697" s="9" t="inlineStr">
        <is>
          <t>Control cable 600 V Type TC-ER, Cu #14 AWG, PVC jacket</t>
        </is>
      </c>
      <c r="K1697" s="9" t="inlineStr">
        <is>
          <t>CT|7/C|14</t>
        </is>
      </c>
      <c r="L1697" s="9" t="inlineStr">
        <is>
          <t>7/C</t>
        </is>
      </c>
      <c r="M1697" s="9" t="inlineStr">
        <is>
          <t>14</t>
        </is>
      </c>
      <c r="N1697" s="9" t="n">
        <v>1</v>
      </c>
      <c r="O1697" s="9" t="n">
        <v>1</v>
      </c>
      <c r="P1697" s="9" t="n"/>
      <c r="Q1697" s="9" t="n"/>
      <c r="R1697" s="9" t="n"/>
      <c r="S1697" s="9" t="inlineStr">
        <is>
          <t>Tray</t>
        </is>
      </c>
      <c r="T1697" s="10" t="n">
        <v>0</v>
      </c>
      <c r="U1697" s="10" t="n">
        <v>316</v>
      </c>
      <c r="V1697" s="10">
        <f>ROUNDUP((T1697+U1697+2*'Read Me'!$B$13)*(1+'Read Me'!$B$12),-1)</f>
        <v/>
      </c>
      <c r="W1697" s="10">
        <f>V1697*N1697*O1697</f>
        <v/>
      </c>
      <c r="X1697" s="9">
        <f>IF(LEFT(I1697,2)="MV",2*N1697*IF(L1697="1/C",O1697,1),0)</f>
        <v/>
      </c>
      <c r="Y1697" s="9">
        <f>IF(OR(LEFT(K1697,4)="LVAX",LEFT(K1697,6)="MV15AX",LEFT(K1697,4)="CTAX",LEFT(K1697,2)="W|"),2*N1697*O1697,0)</f>
        <v/>
      </c>
      <c r="Z1697" s="9" t="inlineStr"/>
    </row>
    <row r="1698">
      <c r="A1698" s="9" t="inlineStr">
        <is>
          <t>H-C-0033</t>
        </is>
      </c>
      <c r="B1698" s="9" t="inlineStr">
        <is>
          <t>H</t>
        </is>
      </c>
      <c r="C1698" s="9" t="inlineStr">
        <is>
          <t>BESS</t>
        </is>
      </c>
      <c r="D1698" s="9" t="inlineStr">
        <is>
          <t>Control</t>
        </is>
      </c>
      <c r="E1698" s="9" t="inlineStr"/>
      <c r="F1698" s="9" t="inlineStr">
        <is>
          <t>BESS PCS / MV skid</t>
        </is>
      </c>
      <c r="G1698" s="9" t="inlineStr"/>
      <c r="H1698" s="9" t="inlineStr">
        <is>
          <t>BESS container (ISO 40 ft high cube)</t>
        </is>
      </c>
      <c r="I1698" s="9" t="inlineStr">
        <is>
          <t>Control</t>
        </is>
      </c>
      <c r="J1698" s="9" t="inlineStr">
        <is>
          <t>Control cable 600 V Type TC-ER, Cu #14 AWG, PVC jacket</t>
        </is>
      </c>
      <c r="K1698" s="9" t="inlineStr">
        <is>
          <t>CT|7/C|14</t>
        </is>
      </c>
      <c r="L1698" s="9" t="inlineStr">
        <is>
          <t>7/C</t>
        </is>
      </c>
      <c r="M1698" s="9" t="inlineStr">
        <is>
          <t>14</t>
        </is>
      </c>
      <c r="N1698" s="9" t="n">
        <v>1</v>
      </c>
      <c r="O1698" s="9" t="n">
        <v>1</v>
      </c>
      <c r="P1698" s="9" t="n"/>
      <c r="Q1698" s="9" t="n"/>
      <c r="R1698" s="9" t="n"/>
      <c r="S1698" s="9" t="inlineStr">
        <is>
          <t>Tray</t>
        </is>
      </c>
      <c r="T1698" s="10" t="n">
        <v>0</v>
      </c>
      <c r="U1698" s="10" t="n">
        <v>284</v>
      </c>
      <c r="V1698" s="10">
        <f>ROUNDUP((T1698+U1698+2*'Read Me'!$B$13)*(1+'Read Me'!$B$12),-1)</f>
        <v/>
      </c>
      <c r="W1698" s="10">
        <f>V1698*N1698*O1698</f>
        <v/>
      </c>
      <c r="X1698" s="9">
        <f>IF(LEFT(I1698,2)="MV",2*N1698*IF(L1698="1/C",O1698,1),0)</f>
        <v/>
      </c>
      <c r="Y1698" s="9">
        <f>IF(OR(LEFT(K1698,4)="LVAX",LEFT(K1698,6)="MV15AX",LEFT(K1698,4)="CTAX",LEFT(K1698,2)="W|"),2*N1698*O1698,0)</f>
        <v/>
      </c>
      <c r="Z1698" s="9" t="inlineStr"/>
    </row>
    <row r="1699">
      <c r="A1699" s="9" t="inlineStr">
        <is>
          <t>H-C-0034</t>
        </is>
      </c>
      <c r="B1699" s="9" t="inlineStr">
        <is>
          <t>H</t>
        </is>
      </c>
      <c r="C1699" s="9" t="inlineStr">
        <is>
          <t>BESS</t>
        </is>
      </c>
      <c r="D1699" s="9" t="inlineStr">
        <is>
          <t>Control</t>
        </is>
      </c>
      <c r="E1699" s="9" t="inlineStr"/>
      <c r="F1699" s="9" t="inlineStr">
        <is>
          <t>BESS PCS / MV skid</t>
        </is>
      </c>
      <c r="G1699" s="9" t="inlineStr"/>
      <c r="H1699" s="9" t="inlineStr">
        <is>
          <t>BESS container (ISO 40 ft high cube)</t>
        </is>
      </c>
      <c r="I1699" s="9" t="inlineStr">
        <is>
          <t>Control</t>
        </is>
      </c>
      <c r="J1699" s="9" t="inlineStr">
        <is>
          <t>Control cable 600 V Type TC-ER, Cu #14 AWG, PVC jacket</t>
        </is>
      </c>
      <c r="K1699" s="9" t="inlineStr">
        <is>
          <t>CT|7/C|14</t>
        </is>
      </c>
      <c r="L1699" s="9" t="inlineStr">
        <is>
          <t>7/C</t>
        </is>
      </c>
      <c r="M1699" s="9" t="inlineStr">
        <is>
          <t>14</t>
        </is>
      </c>
      <c r="N1699" s="9" t="n">
        <v>1</v>
      </c>
      <c r="O1699" s="9" t="n">
        <v>1</v>
      </c>
      <c r="P1699" s="9" t="n"/>
      <c r="Q1699" s="9" t="n"/>
      <c r="R1699" s="9" t="n"/>
      <c r="S1699" s="9" t="inlineStr">
        <is>
          <t>Tray</t>
        </is>
      </c>
      <c r="T1699" s="10" t="n">
        <v>0</v>
      </c>
      <c r="U1699" s="10" t="n">
        <v>284</v>
      </c>
      <c r="V1699" s="10">
        <f>ROUNDUP((T1699+U1699+2*'Read Me'!$B$13)*(1+'Read Me'!$B$12),-1)</f>
        <v/>
      </c>
      <c r="W1699" s="10">
        <f>V1699*N1699*O1699</f>
        <v/>
      </c>
      <c r="X1699" s="9">
        <f>IF(LEFT(I1699,2)="MV",2*N1699*IF(L1699="1/C",O1699,1),0)</f>
        <v/>
      </c>
      <c r="Y1699" s="9">
        <f>IF(OR(LEFT(K1699,4)="LVAX",LEFT(K1699,6)="MV15AX",LEFT(K1699,4)="CTAX",LEFT(K1699,2)="W|"),2*N1699*O1699,0)</f>
        <v/>
      </c>
      <c r="Z1699" s="9" t="inlineStr"/>
    </row>
    <row r="1700">
      <c r="A1700" s="9" t="inlineStr">
        <is>
          <t>H-C-0035</t>
        </is>
      </c>
      <c r="B1700" s="9" t="inlineStr">
        <is>
          <t>H</t>
        </is>
      </c>
      <c r="C1700" s="9" t="inlineStr">
        <is>
          <t>BESS</t>
        </is>
      </c>
      <c r="D1700" s="9" t="inlineStr">
        <is>
          <t>Control</t>
        </is>
      </c>
      <c r="E1700" s="9" t="inlineStr"/>
      <c r="F1700" s="9" t="inlineStr">
        <is>
          <t>BESS PCS / MV skid</t>
        </is>
      </c>
      <c r="G1700" s="9" t="inlineStr"/>
      <c r="H1700" s="9" t="inlineStr">
        <is>
          <t>BESS container (ISO 40 ft high cube)</t>
        </is>
      </c>
      <c r="I1700" s="9" t="inlineStr">
        <is>
          <t>Control</t>
        </is>
      </c>
      <c r="J1700" s="9" t="inlineStr">
        <is>
          <t>Control cable 600 V Type TC-ER, Cu #14 AWG, PVC jacket</t>
        </is>
      </c>
      <c r="K1700" s="9" t="inlineStr">
        <is>
          <t>CT|7/C|14</t>
        </is>
      </c>
      <c r="L1700" s="9" t="inlineStr">
        <is>
          <t>7/C</t>
        </is>
      </c>
      <c r="M1700" s="9" t="inlineStr">
        <is>
          <t>14</t>
        </is>
      </c>
      <c r="N1700" s="9" t="n">
        <v>1</v>
      </c>
      <c r="O1700" s="9" t="n">
        <v>1</v>
      </c>
      <c r="P1700" s="9" t="n"/>
      <c r="Q1700" s="9" t="n"/>
      <c r="R1700" s="9" t="n"/>
      <c r="S1700" s="9" t="inlineStr">
        <is>
          <t>Tray</t>
        </is>
      </c>
      <c r="T1700" s="10" t="n">
        <v>0</v>
      </c>
      <c r="U1700" s="10" t="n">
        <v>290</v>
      </c>
      <c r="V1700" s="10">
        <f>ROUNDUP((T1700+U1700+2*'Read Me'!$B$13)*(1+'Read Me'!$B$12),-1)</f>
        <v/>
      </c>
      <c r="W1700" s="10">
        <f>V1700*N1700*O1700</f>
        <v/>
      </c>
      <c r="X1700" s="9">
        <f>IF(LEFT(I1700,2)="MV",2*N1700*IF(L1700="1/C",O1700,1),0)</f>
        <v/>
      </c>
      <c r="Y1700" s="9">
        <f>IF(OR(LEFT(K1700,4)="LVAX",LEFT(K1700,6)="MV15AX",LEFT(K1700,4)="CTAX",LEFT(K1700,2)="W|"),2*N1700*O1700,0)</f>
        <v/>
      </c>
      <c r="Z1700" s="9" t="inlineStr"/>
    </row>
    <row r="1701">
      <c r="A1701" s="9" t="inlineStr">
        <is>
          <t>H-C-0036</t>
        </is>
      </c>
      <c r="B1701" s="9" t="inlineStr">
        <is>
          <t>H</t>
        </is>
      </c>
      <c r="C1701" s="9" t="inlineStr">
        <is>
          <t>BESS</t>
        </is>
      </c>
      <c r="D1701" s="9" t="inlineStr">
        <is>
          <t>Control</t>
        </is>
      </c>
      <c r="E1701" s="9" t="inlineStr"/>
      <c r="F1701" s="9" t="inlineStr">
        <is>
          <t>BESS PCS / MV skid</t>
        </is>
      </c>
      <c r="G1701" s="9" t="inlineStr"/>
      <c r="H1701" s="9" t="inlineStr">
        <is>
          <t>BESS container (ISO 40 ft high cube)</t>
        </is>
      </c>
      <c r="I1701" s="9" t="inlineStr">
        <is>
          <t>Control</t>
        </is>
      </c>
      <c r="J1701" s="9" t="inlineStr">
        <is>
          <t>Control cable 600 V Type TC-ER, Cu #14 AWG, PVC jacket</t>
        </is>
      </c>
      <c r="K1701" s="9" t="inlineStr">
        <is>
          <t>CT|7/C|14</t>
        </is>
      </c>
      <c r="L1701" s="9" t="inlineStr">
        <is>
          <t>7/C</t>
        </is>
      </c>
      <c r="M1701" s="9" t="inlineStr">
        <is>
          <t>14</t>
        </is>
      </c>
      <c r="N1701" s="9" t="n">
        <v>1</v>
      </c>
      <c r="O1701" s="9" t="n">
        <v>1</v>
      </c>
      <c r="P1701" s="9" t="n"/>
      <c r="Q1701" s="9" t="n"/>
      <c r="R1701" s="9" t="n"/>
      <c r="S1701" s="9" t="inlineStr">
        <is>
          <t>Tray</t>
        </is>
      </c>
      <c r="T1701" s="10" t="n">
        <v>0</v>
      </c>
      <c r="U1701" s="10" t="n">
        <v>290</v>
      </c>
      <c r="V1701" s="10">
        <f>ROUNDUP((T1701+U1701+2*'Read Me'!$B$13)*(1+'Read Me'!$B$12),-1)</f>
        <v/>
      </c>
      <c r="W1701" s="10">
        <f>V1701*N1701*O1701</f>
        <v/>
      </c>
      <c r="X1701" s="9">
        <f>IF(LEFT(I1701,2)="MV",2*N1701*IF(L1701="1/C",O1701,1),0)</f>
        <v/>
      </c>
      <c r="Y1701" s="9">
        <f>IF(OR(LEFT(K1701,4)="LVAX",LEFT(K1701,6)="MV15AX",LEFT(K1701,4)="CTAX",LEFT(K1701,2)="W|"),2*N1701*O1701,0)</f>
        <v/>
      </c>
      <c r="Z1701" s="9" t="inlineStr"/>
    </row>
    <row r="1702">
      <c r="A1702" s="9" t="inlineStr">
        <is>
          <t>H-C-0037</t>
        </is>
      </c>
      <c r="B1702" s="9" t="inlineStr">
        <is>
          <t>H</t>
        </is>
      </c>
      <c r="C1702" s="9" t="inlineStr">
        <is>
          <t>BESS</t>
        </is>
      </c>
      <c r="D1702" s="9" t="inlineStr">
        <is>
          <t>Control</t>
        </is>
      </c>
      <c r="E1702" s="9" t="inlineStr"/>
      <c r="F1702" s="9" t="inlineStr">
        <is>
          <t>BESS PCS / MV skid</t>
        </is>
      </c>
      <c r="G1702" s="9" t="inlineStr"/>
      <c r="H1702" s="9" t="inlineStr">
        <is>
          <t>BESS container (ISO 40 ft high cube)</t>
        </is>
      </c>
      <c r="I1702" s="9" t="inlineStr">
        <is>
          <t>Control</t>
        </is>
      </c>
      <c r="J1702" s="9" t="inlineStr">
        <is>
          <t>Control cable 600 V Type TC-ER, Cu #14 AWG, PVC jacket</t>
        </is>
      </c>
      <c r="K1702" s="9" t="inlineStr">
        <is>
          <t>CT|7/C|14</t>
        </is>
      </c>
      <c r="L1702" s="9" t="inlineStr">
        <is>
          <t>7/C</t>
        </is>
      </c>
      <c r="M1702" s="9" t="inlineStr">
        <is>
          <t>14</t>
        </is>
      </c>
      <c r="N1702" s="9" t="n">
        <v>1</v>
      </c>
      <c r="O1702" s="9" t="n">
        <v>1</v>
      </c>
      <c r="P1702" s="9" t="n"/>
      <c r="Q1702" s="9" t="n"/>
      <c r="R1702" s="9" t="n"/>
      <c r="S1702" s="9" t="inlineStr">
        <is>
          <t>Tray</t>
        </is>
      </c>
      <c r="T1702" s="10" t="n">
        <v>0</v>
      </c>
      <c r="U1702" s="10" t="n">
        <v>290</v>
      </c>
      <c r="V1702" s="10">
        <f>ROUNDUP((T1702+U1702+2*'Read Me'!$B$13)*(1+'Read Me'!$B$12),-1)</f>
        <v/>
      </c>
      <c r="W1702" s="10">
        <f>V1702*N1702*O1702</f>
        <v/>
      </c>
      <c r="X1702" s="9">
        <f>IF(LEFT(I1702,2)="MV",2*N1702*IF(L1702="1/C",O1702,1),0)</f>
        <v/>
      </c>
      <c r="Y1702" s="9">
        <f>IF(OR(LEFT(K1702,4)="LVAX",LEFT(K1702,6)="MV15AX",LEFT(K1702,4)="CTAX",LEFT(K1702,2)="W|"),2*N1702*O1702,0)</f>
        <v/>
      </c>
      <c r="Z1702" s="9" t="inlineStr"/>
    </row>
    <row r="1703">
      <c r="A1703" s="9" t="inlineStr">
        <is>
          <t>H-C-0038</t>
        </is>
      </c>
      <c r="B1703" s="9" t="inlineStr">
        <is>
          <t>H</t>
        </is>
      </c>
      <c r="C1703" s="9" t="inlineStr">
        <is>
          <t>BESS</t>
        </is>
      </c>
      <c r="D1703" s="9" t="inlineStr">
        <is>
          <t>Control</t>
        </is>
      </c>
      <c r="E1703" s="9" t="inlineStr"/>
      <c r="F1703" s="9" t="inlineStr">
        <is>
          <t>BESS PCS / MV skid</t>
        </is>
      </c>
      <c r="G1703" s="9" t="inlineStr"/>
      <c r="H1703" s="9" t="inlineStr">
        <is>
          <t>BESS container (ISO 40 ft high cube)</t>
        </is>
      </c>
      <c r="I1703" s="9" t="inlineStr">
        <is>
          <t>Control</t>
        </is>
      </c>
      <c r="J1703" s="9" t="inlineStr">
        <is>
          <t>Control cable 600 V Type TC-ER, Cu #14 AWG, PVC jacket</t>
        </is>
      </c>
      <c r="K1703" s="9" t="inlineStr">
        <is>
          <t>CT|7/C|14</t>
        </is>
      </c>
      <c r="L1703" s="9" t="inlineStr">
        <is>
          <t>7/C</t>
        </is>
      </c>
      <c r="M1703" s="9" t="inlineStr">
        <is>
          <t>14</t>
        </is>
      </c>
      <c r="N1703" s="9" t="n">
        <v>1</v>
      </c>
      <c r="O1703" s="9" t="n">
        <v>1</v>
      </c>
      <c r="P1703" s="9" t="n"/>
      <c r="Q1703" s="9" t="n"/>
      <c r="R1703" s="9" t="n"/>
      <c r="S1703" s="9" t="inlineStr">
        <is>
          <t>Tray</t>
        </is>
      </c>
      <c r="T1703" s="10" t="n">
        <v>0</v>
      </c>
      <c r="U1703" s="10" t="n">
        <v>290</v>
      </c>
      <c r="V1703" s="10">
        <f>ROUNDUP((T1703+U1703+2*'Read Me'!$B$13)*(1+'Read Me'!$B$12),-1)</f>
        <v/>
      </c>
      <c r="W1703" s="10">
        <f>V1703*N1703*O1703</f>
        <v/>
      </c>
      <c r="X1703" s="9">
        <f>IF(LEFT(I1703,2)="MV",2*N1703*IF(L1703="1/C",O1703,1),0)</f>
        <v/>
      </c>
      <c r="Y1703" s="9">
        <f>IF(OR(LEFT(K1703,4)="LVAX",LEFT(K1703,6)="MV15AX",LEFT(K1703,4)="CTAX",LEFT(K1703,2)="W|"),2*N1703*O1703,0)</f>
        <v/>
      </c>
      <c r="Z1703" s="9" t="inlineStr"/>
    </row>
    <row r="1704">
      <c r="A1704" s="9" t="inlineStr">
        <is>
          <t>H-C-0039</t>
        </is>
      </c>
      <c r="B1704" s="9" t="inlineStr">
        <is>
          <t>H</t>
        </is>
      </c>
      <c r="C1704" s="9" t="inlineStr">
        <is>
          <t>BESS</t>
        </is>
      </c>
      <c r="D1704" s="9" t="inlineStr">
        <is>
          <t>Control</t>
        </is>
      </c>
      <c r="E1704" s="9" t="inlineStr"/>
      <c r="F1704" s="9" t="inlineStr">
        <is>
          <t>BESS PCS / MV skid</t>
        </is>
      </c>
      <c r="G1704" s="9" t="inlineStr"/>
      <c r="H1704" s="9" t="inlineStr">
        <is>
          <t>BESS container (ISO 40 ft high cube)</t>
        </is>
      </c>
      <c r="I1704" s="9" t="inlineStr">
        <is>
          <t>Control</t>
        </is>
      </c>
      <c r="J1704" s="9" t="inlineStr">
        <is>
          <t>Control cable 600 V Type TC-ER, Cu #14 AWG, PVC jacket</t>
        </is>
      </c>
      <c r="K1704" s="9" t="inlineStr">
        <is>
          <t>CT|7/C|14</t>
        </is>
      </c>
      <c r="L1704" s="9" t="inlineStr">
        <is>
          <t>7/C</t>
        </is>
      </c>
      <c r="M1704" s="9" t="inlineStr">
        <is>
          <t>14</t>
        </is>
      </c>
      <c r="N1704" s="9" t="n">
        <v>1</v>
      </c>
      <c r="O1704" s="9" t="n">
        <v>1</v>
      </c>
      <c r="P1704" s="9" t="n"/>
      <c r="Q1704" s="9" t="n"/>
      <c r="R1704" s="9" t="n"/>
      <c r="S1704" s="9" t="inlineStr">
        <is>
          <t>Tray</t>
        </is>
      </c>
      <c r="T1704" s="10" t="n">
        <v>0</v>
      </c>
      <c r="U1704" s="10" t="n">
        <v>290</v>
      </c>
      <c r="V1704" s="10">
        <f>ROUNDUP((T1704+U1704+2*'Read Me'!$B$13)*(1+'Read Me'!$B$12),-1)</f>
        <v/>
      </c>
      <c r="W1704" s="10">
        <f>V1704*N1704*O1704</f>
        <v/>
      </c>
      <c r="X1704" s="9">
        <f>IF(LEFT(I1704,2)="MV",2*N1704*IF(L1704="1/C",O1704,1),0)</f>
        <v/>
      </c>
      <c r="Y1704" s="9">
        <f>IF(OR(LEFT(K1704,4)="LVAX",LEFT(K1704,6)="MV15AX",LEFT(K1704,4)="CTAX",LEFT(K1704,2)="W|"),2*N1704*O1704,0)</f>
        <v/>
      </c>
      <c r="Z1704" s="9" t="inlineStr"/>
    </row>
    <row r="1705">
      <c r="A1705" s="9" t="inlineStr">
        <is>
          <t>H-C-0040</t>
        </is>
      </c>
      <c r="B1705" s="9" t="inlineStr">
        <is>
          <t>H</t>
        </is>
      </c>
      <c r="C1705" s="9" t="inlineStr">
        <is>
          <t>BESS</t>
        </is>
      </c>
      <c r="D1705" s="9" t="inlineStr">
        <is>
          <t>Control</t>
        </is>
      </c>
      <c r="E1705" s="9" t="inlineStr"/>
      <c r="F1705" s="9" t="inlineStr">
        <is>
          <t>BESS PCS / MV skid</t>
        </is>
      </c>
      <c r="G1705" s="9" t="inlineStr"/>
      <c r="H1705" s="9" t="inlineStr">
        <is>
          <t>BESS container (ISO 40 ft high cube)</t>
        </is>
      </c>
      <c r="I1705" s="9" t="inlineStr">
        <is>
          <t>Control</t>
        </is>
      </c>
      <c r="J1705" s="9" t="inlineStr">
        <is>
          <t>Control cable 600 V Type TC-ER, Cu #14 AWG, PVC jacket</t>
        </is>
      </c>
      <c r="K1705" s="9" t="inlineStr">
        <is>
          <t>CT|7/C|14</t>
        </is>
      </c>
      <c r="L1705" s="9" t="inlineStr">
        <is>
          <t>7/C</t>
        </is>
      </c>
      <c r="M1705" s="9" t="inlineStr">
        <is>
          <t>14</t>
        </is>
      </c>
      <c r="N1705" s="9" t="n">
        <v>1</v>
      </c>
      <c r="O1705" s="9" t="n">
        <v>1</v>
      </c>
      <c r="P1705" s="9" t="n"/>
      <c r="Q1705" s="9" t="n"/>
      <c r="R1705" s="9" t="n"/>
      <c r="S1705" s="9" t="inlineStr">
        <is>
          <t>Tray</t>
        </is>
      </c>
      <c r="T1705" s="10" t="n">
        <v>0</v>
      </c>
      <c r="U1705" s="10" t="n">
        <v>290</v>
      </c>
      <c r="V1705" s="10">
        <f>ROUNDUP((T1705+U1705+2*'Read Me'!$B$13)*(1+'Read Me'!$B$12),-1)</f>
        <v/>
      </c>
      <c r="W1705" s="10">
        <f>V1705*N1705*O1705</f>
        <v/>
      </c>
      <c r="X1705" s="9">
        <f>IF(LEFT(I1705,2)="MV",2*N1705*IF(L1705="1/C",O1705,1),0)</f>
        <v/>
      </c>
      <c r="Y1705" s="9">
        <f>IF(OR(LEFT(K1705,4)="LVAX",LEFT(K1705,6)="MV15AX",LEFT(K1705,4)="CTAX",LEFT(K1705,2)="W|"),2*N1705*O1705,0)</f>
        <v/>
      </c>
      <c r="Z1705" s="9" t="inlineStr"/>
    </row>
    <row r="1706">
      <c r="A1706" s="9" t="inlineStr">
        <is>
          <t>H-C-0041</t>
        </is>
      </c>
      <c r="B1706" s="9" t="inlineStr">
        <is>
          <t>H</t>
        </is>
      </c>
      <c r="C1706" s="9" t="inlineStr">
        <is>
          <t>BESS</t>
        </is>
      </c>
      <c r="D1706" s="9" t="inlineStr">
        <is>
          <t>Control</t>
        </is>
      </c>
      <c r="E1706" s="9" t="inlineStr"/>
      <c r="F1706" s="9" t="inlineStr">
        <is>
          <t>BESS PCS / MV skid</t>
        </is>
      </c>
      <c r="G1706" s="9" t="inlineStr"/>
      <c r="H1706" s="9" t="inlineStr">
        <is>
          <t>BESS container (ISO 40 ft high cube)</t>
        </is>
      </c>
      <c r="I1706" s="9" t="inlineStr">
        <is>
          <t>Control</t>
        </is>
      </c>
      <c r="J1706" s="9" t="inlineStr">
        <is>
          <t>Control cable 600 V Type TC-ER, Cu #14 AWG, PVC jacket</t>
        </is>
      </c>
      <c r="K1706" s="9" t="inlineStr">
        <is>
          <t>CT|7/C|14</t>
        </is>
      </c>
      <c r="L1706" s="9" t="inlineStr">
        <is>
          <t>7/C</t>
        </is>
      </c>
      <c r="M1706" s="9" t="inlineStr">
        <is>
          <t>14</t>
        </is>
      </c>
      <c r="N1706" s="9" t="n">
        <v>1</v>
      </c>
      <c r="O1706" s="9" t="n">
        <v>1</v>
      </c>
      <c r="P1706" s="9" t="n"/>
      <c r="Q1706" s="9" t="n"/>
      <c r="R1706" s="9" t="n"/>
      <c r="S1706" s="9" t="inlineStr">
        <is>
          <t>Tray</t>
        </is>
      </c>
      <c r="T1706" s="10" t="n">
        <v>0</v>
      </c>
      <c r="U1706" s="10" t="n">
        <v>174</v>
      </c>
      <c r="V1706" s="10">
        <f>ROUNDUP((T1706+U1706+2*'Read Me'!$B$13)*(1+'Read Me'!$B$12),-1)</f>
        <v/>
      </c>
      <c r="W1706" s="10">
        <f>V1706*N1706*O1706</f>
        <v/>
      </c>
      <c r="X1706" s="9">
        <f>IF(LEFT(I1706,2)="MV",2*N1706*IF(L1706="1/C",O1706,1),0)</f>
        <v/>
      </c>
      <c r="Y1706" s="9">
        <f>IF(OR(LEFT(K1706,4)="LVAX",LEFT(K1706,6)="MV15AX",LEFT(K1706,4)="CTAX",LEFT(K1706,2)="W|"),2*N1706*O1706,0)</f>
        <v/>
      </c>
      <c r="Z1706" s="9" t="inlineStr"/>
    </row>
    <row r="1707">
      <c r="A1707" s="9" t="inlineStr">
        <is>
          <t>H-C-0042</t>
        </is>
      </c>
      <c r="B1707" s="9" t="inlineStr">
        <is>
          <t>H</t>
        </is>
      </c>
      <c r="C1707" s="9" t="inlineStr">
        <is>
          <t>BESS</t>
        </is>
      </c>
      <c r="D1707" s="9" t="inlineStr">
        <is>
          <t>Control</t>
        </is>
      </c>
      <c r="E1707" s="9" t="inlineStr"/>
      <c r="F1707" s="9" t="inlineStr">
        <is>
          <t>BESS PCS / MV skid</t>
        </is>
      </c>
      <c r="G1707" s="9" t="inlineStr"/>
      <c r="H1707" s="9" t="inlineStr">
        <is>
          <t>BESS container (ISO 40 ft high cube)</t>
        </is>
      </c>
      <c r="I1707" s="9" t="inlineStr">
        <is>
          <t>Control</t>
        </is>
      </c>
      <c r="J1707" s="9" t="inlineStr">
        <is>
          <t>Control cable 600 V Type TC-ER, Cu #14 AWG, PVC jacket</t>
        </is>
      </c>
      <c r="K1707" s="9" t="inlineStr">
        <is>
          <t>CT|7/C|14</t>
        </is>
      </c>
      <c r="L1707" s="9" t="inlineStr">
        <is>
          <t>7/C</t>
        </is>
      </c>
      <c r="M1707" s="9" t="inlineStr">
        <is>
          <t>14</t>
        </is>
      </c>
      <c r="N1707" s="9" t="n">
        <v>1</v>
      </c>
      <c r="O1707" s="9" t="n">
        <v>1</v>
      </c>
      <c r="P1707" s="9" t="n"/>
      <c r="Q1707" s="9" t="n"/>
      <c r="R1707" s="9" t="n"/>
      <c r="S1707" s="9" t="inlineStr">
        <is>
          <t>Tray</t>
        </is>
      </c>
      <c r="T1707" s="10" t="n">
        <v>0</v>
      </c>
      <c r="U1707" s="10" t="n">
        <v>174</v>
      </c>
      <c r="V1707" s="10">
        <f>ROUNDUP((T1707+U1707+2*'Read Me'!$B$13)*(1+'Read Me'!$B$12),-1)</f>
        <v/>
      </c>
      <c r="W1707" s="10">
        <f>V1707*N1707*O1707</f>
        <v/>
      </c>
      <c r="X1707" s="9">
        <f>IF(LEFT(I1707,2)="MV",2*N1707*IF(L1707="1/C",O1707,1),0)</f>
        <v/>
      </c>
      <c r="Y1707" s="9">
        <f>IF(OR(LEFT(K1707,4)="LVAX",LEFT(K1707,6)="MV15AX",LEFT(K1707,4)="CTAX",LEFT(K1707,2)="W|"),2*N1707*O1707,0)</f>
        <v/>
      </c>
      <c r="Z1707" s="9" t="inlineStr"/>
    </row>
    <row r="1708">
      <c r="A1708" s="9" t="inlineStr">
        <is>
          <t>H-C-0043</t>
        </is>
      </c>
      <c r="B1708" s="9" t="inlineStr">
        <is>
          <t>H</t>
        </is>
      </c>
      <c r="C1708" s="9" t="inlineStr">
        <is>
          <t>BESS</t>
        </is>
      </c>
      <c r="D1708" s="9" t="inlineStr">
        <is>
          <t>Control</t>
        </is>
      </c>
      <c r="E1708" s="9" t="inlineStr"/>
      <c r="F1708" s="9" t="inlineStr">
        <is>
          <t>BESS PCS / MV skid</t>
        </is>
      </c>
      <c r="G1708" s="9" t="inlineStr"/>
      <c r="H1708" s="9" t="inlineStr">
        <is>
          <t>BESS container (ISO 40 ft high cube)</t>
        </is>
      </c>
      <c r="I1708" s="9" t="inlineStr">
        <is>
          <t>Control</t>
        </is>
      </c>
      <c r="J1708" s="9" t="inlineStr">
        <is>
          <t>Control cable 600 V Type TC-ER, Cu #14 AWG, PVC jacket</t>
        </is>
      </c>
      <c r="K1708" s="9" t="inlineStr">
        <is>
          <t>CT|7/C|14</t>
        </is>
      </c>
      <c r="L1708" s="9" t="inlineStr">
        <is>
          <t>7/C</t>
        </is>
      </c>
      <c r="M1708" s="9" t="inlineStr">
        <is>
          <t>14</t>
        </is>
      </c>
      <c r="N1708" s="9" t="n">
        <v>1</v>
      </c>
      <c r="O1708" s="9" t="n">
        <v>1</v>
      </c>
      <c r="P1708" s="9" t="n"/>
      <c r="Q1708" s="9" t="n"/>
      <c r="R1708" s="9" t="n"/>
      <c r="S1708" s="9" t="inlineStr">
        <is>
          <t>Tray</t>
        </is>
      </c>
      <c r="T1708" s="10" t="n">
        <v>0</v>
      </c>
      <c r="U1708" s="10" t="n">
        <v>174</v>
      </c>
      <c r="V1708" s="10">
        <f>ROUNDUP((T1708+U1708+2*'Read Me'!$B$13)*(1+'Read Me'!$B$12),-1)</f>
        <v/>
      </c>
      <c r="W1708" s="10">
        <f>V1708*N1708*O1708</f>
        <v/>
      </c>
      <c r="X1708" s="9">
        <f>IF(LEFT(I1708,2)="MV",2*N1708*IF(L1708="1/C",O1708,1),0)</f>
        <v/>
      </c>
      <c r="Y1708" s="9">
        <f>IF(OR(LEFT(K1708,4)="LVAX",LEFT(K1708,6)="MV15AX",LEFT(K1708,4)="CTAX",LEFT(K1708,2)="W|"),2*N1708*O1708,0)</f>
        <v/>
      </c>
      <c r="Z1708" s="9" t="inlineStr"/>
    </row>
    <row r="1709">
      <c r="A1709" s="9" t="inlineStr">
        <is>
          <t>H-C-0044</t>
        </is>
      </c>
      <c r="B1709" s="9" t="inlineStr">
        <is>
          <t>H</t>
        </is>
      </c>
      <c r="C1709" s="9" t="inlineStr">
        <is>
          <t>BESS</t>
        </is>
      </c>
      <c r="D1709" s="9" t="inlineStr">
        <is>
          <t>Control</t>
        </is>
      </c>
      <c r="E1709" s="9" t="inlineStr"/>
      <c r="F1709" s="9" t="inlineStr">
        <is>
          <t>BESS PCS / MV skid</t>
        </is>
      </c>
      <c r="G1709" s="9" t="inlineStr"/>
      <c r="H1709" s="9" t="inlineStr">
        <is>
          <t>BESS container (ISO 40 ft high cube)</t>
        </is>
      </c>
      <c r="I1709" s="9" t="inlineStr">
        <is>
          <t>Control</t>
        </is>
      </c>
      <c r="J1709" s="9" t="inlineStr">
        <is>
          <t>Control cable 600 V Type TC-ER, Cu #14 AWG, PVC jacket</t>
        </is>
      </c>
      <c r="K1709" s="9" t="inlineStr">
        <is>
          <t>CT|7/C|14</t>
        </is>
      </c>
      <c r="L1709" s="9" t="inlineStr">
        <is>
          <t>7/C</t>
        </is>
      </c>
      <c r="M1709" s="9" t="inlineStr">
        <is>
          <t>14</t>
        </is>
      </c>
      <c r="N1709" s="9" t="n">
        <v>1</v>
      </c>
      <c r="O1709" s="9" t="n">
        <v>1</v>
      </c>
      <c r="P1709" s="9" t="n"/>
      <c r="Q1709" s="9" t="n"/>
      <c r="R1709" s="9" t="n"/>
      <c r="S1709" s="9" t="inlineStr">
        <is>
          <t>Tray</t>
        </is>
      </c>
      <c r="T1709" s="10" t="n">
        <v>0</v>
      </c>
      <c r="U1709" s="10" t="n">
        <v>174</v>
      </c>
      <c r="V1709" s="10">
        <f>ROUNDUP((T1709+U1709+2*'Read Me'!$B$13)*(1+'Read Me'!$B$12),-1)</f>
        <v/>
      </c>
      <c r="W1709" s="10">
        <f>V1709*N1709*O1709</f>
        <v/>
      </c>
      <c r="X1709" s="9">
        <f>IF(LEFT(I1709,2)="MV",2*N1709*IF(L1709="1/C",O1709,1),0)</f>
        <v/>
      </c>
      <c r="Y1709" s="9">
        <f>IF(OR(LEFT(K1709,4)="LVAX",LEFT(K1709,6)="MV15AX",LEFT(K1709,4)="CTAX",LEFT(K1709,2)="W|"),2*N1709*O1709,0)</f>
        <v/>
      </c>
      <c r="Z1709" s="9" t="inlineStr"/>
    </row>
    <row r="1710">
      <c r="A1710" s="9" t="inlineStr">
        <is>
          <t>H-C-0045</t>
        </is>
      </c>
      <c r="B1710" s="9" t="inlineStr">
        <is>
          <t>H</t>
        </is>
      </c>
      <c r="C1710" s="9" t="inlineStr">
        <is>
          <t>BESS</t>
        </is>
      </c>
      <c r="D1710" s="9" t="inlineStr">
        <is>
          <t>Control</t>
        </is>
      </c>
      <c r="E1710" s="9" t="inlineStr"/>
      <c r="F1710" s="9" t="inlineStr">
        <is>
          <t>BESS PCS / MV skid</t>
        </is>
      </c>
      <c r="G1710" s="9" t="inlineStr"/>
      <c r="H1710" s="9" t="inlineStr">
        <is>
          <t>BESS container (ISO 40 ft high cube)</t>
        </is>
      </c>
      <c r="I1710" s="9" t="inlineStr">
        <is>
          <t>Control</t>
        </is>
      </c>
      <c r="J1710" s="9" t="inlineStr">
        <is>
          <t>Control cable 600 V Type TC-ER, Cu #14 AWG, PVC jacket</t>
        </is>
      </c>
      <c r="K1710" s="9" t="inlineStr">
        <is>
          <t>CT|7/C|14</t>
        </is>
      </c>
      <c r="L1710" s="9" t="inlineStr">
        <is>
          <t>7/C</t>
        </is>
      </c>
      <c r="M1710" s="9" t="inlineStr">
        <is>
          <t>14</t>
        </is>
      </c>
      <c r="N1710" s="9" t="n">
        <v>1</v>
      </c>
      <c r="O1710" s="9" t="n">
        <v>1</v>
      </c>
      <c r="P1710" s="9" t="n"/>
      <c r="Q1710" s="9" t="n"/>
      <c r="R1710" s="9" t="n"/>
      <c r="S1710" s="9" t="inlineStr">
        <is>
          <t>Tray</t>
        </is>
      </c>
      <c r="T1710" s="10" t="n">
        <v>0</v>
      </c>
      <c r="U1710" s="10" t="n">
        <v>174</v>
      </c>
      <c r="V1710" s="10">
        <f>ROUNDUP((T1710+U1710+2*'Read Me'!$B$13)*(1+'Read Me'!$B$12),-1)</f>
        <v/>
      </c>
      <c r="W1710" s="10">
        <f>V1710*N1710*O1710</f>
        <v/>
      </c>
      <c r="X1710" s="9">
        <f>IF(LEFT(I1710,2)="MV",2*N1710*IF(L1710="1/C",O1710,1),0)</f>
        <v/>
      </c>
      <c r="Y1710" s="9">
        <f>IF(OR(LEFT(K1710,4)="LVAX",LEFT(K1710,6)="MV15AX",LEFT(K1710,4)="CTAX",LEFT(K1710,2)="W|"),2*N1710*O1710,0)</f>
        <v/>
      </c>
      <c r="Z1710" s="9" t="inlineStr"/>
    </row>
    <row r="1711">
      <c r="A1711" s="9" t="inlineStr">
        <is>
          <t>H-C-0046</t>
        </is>
      </c>
      <c r="B1711" s="9" t="inlineStr">
        <is>
          <t>H</t>
        </is>
      </c>
      <c r="C1711" s="9" t="inlineStr">
        <is>
          <t>BESS</t>
        </is>
      </c>
      <c r="D1711" s="9" t="inlineStr">
        <is>
          <t>Control</t>
        </is>
      </c>
      <c r="E1711" s="9" t="inlineStr"/>
      <c r="F1711" s="9" t="inlineStr">
        <is>
          <t>BESS PCS / MV skid</t>
        </is>
      </c>
      <c r="G1711" s="9" t="inlineStr"/>
      <c r="H1711" s="9" t="inlineStr">
        <is>
          <t>BESS container (ISO 40 ft high cube)</t>
        </is>
      </c>
      <c r="I1711" s="9" t="inlineStr">
        <is>
          <t>Control</t>
        </is>
      </c>
      <c r="J1711" s="9" t="inlineStr">
        <is>
          <t>Control cable 600 V Type TC-ER, Cu #14 AWG, PVC jacket</t>
        </is>
      </c>
      <c r="K1711" s="9" t="inlineStr">
        <is>
          <t>CT|7/C|14</t>
        </is>
      </c>
      <c r="L1711" s="9" t="inlineStr">
        <is>
          <t>7/C</t>
        </is>
      </c>
      <c r="M1711" s="9" t="inlineStr">
        <is>
          <t>14</t>
        </is>
      </c>
      <c r="N1711" s="9" t="n">
        <v>1</v>
      </c>
      <c r="O1711" s="9" t="n">
        <v>1</v>
      </c>
      <c r="P1711" s="9" t="n"/>
      <c r="Q1711" s="9" t="n"/>
      <c r="R1711" s="9" t="n"/>
      <c r="S1711" s="9" t="inlineStr">
        <is>
          <t>Tray</t>
        </is>
      </c>
      <c r="T1711" s="10" t="n">
        <v>0</v>
      </c>
      <c r="U1711" s="10" t="n">
        <v>174</v>
      </c>
      <c r="V1711" s="10">
        <f>ROUNDUP((T1711+U1711+2*'Read Me'!$B$13)*(1+'Read Me'!$B$12),-1)</f>
        <v/>
      </c>
      <c r="W1711" s="10">
        <f>V1711*N1711*O1711</f>
        <v/>
      </c>
      <c r="X1711" s="9">
        <f>IF(LEFT(I1711,2)="MV",2*N1711*IF(L1711="1/C",O1711,1),0)</f>
        <v/>
      </c>
      <c r="Y1711" s="9">
        <f>IF(OR(LEFT(K1711,4)="LVAX",LEFT(K1711,6)="MV15AX",LEFT(K1711,4)="CTAX",LEFT(K1711,2)="W|"),2*N1711*O1711,0)</f>
        <v/>
      </c>
      <c r="Z1711" s="9" t="inlineStr"/>
    </row>
    <row r="1712">
      <c r="A1712" s="9" t="inlineStr">
        <is>
          <t>H-C-0047</t>
        </is>
      </c>
      <c r="B1712" s="9" t="inlineStr">
        <is>
          <t>H</t>
        </is>
      </c>
      <c r="C1712" s="9" t="inlineStr">
        <is>
          <t>BESS</t>
        </is>
      </c>
      <c r="D1712" s="9" t="inlineStr">
        <is>
          <t>Control</t>
        </is>
      </c>
      <c r="E1712" s="9" t="inlineStr"/>
      <c r="F1712" s="9" t="inlineStr">
        <is>
          <t>BESS PCS / MV skid</t>
        </is>
      </c>
      <c r="G1712" s="9" t="inlineStr"/>
      <c r="H1712" s="9" t="inlineStr">
        <is>
          <t>BESS container (ISO 40 ft high cube)</t>
        </is>
      </c>
      <c r="I1712" s="9" t="inlineStr">
        <is>
          <t>Control</t>
        </is>
      </c>
      <c r="J1712" s="9" t="inlineStr">
        <is>
          <t>Control cable 600 V Type TC-ER, Cu #14 AWG, PVC jacket</t>
        </is>
      </c>
      <c r="K1712" s="9" t="inlineStr">
        <is>
          <t>CT|7/C|14</t>
        </is>
      </c>
      <c r="L1712" s="9" t="inlineStr">
        <is>
          <t>7/C</t>
        </is>
      </c>
      <c r="M1712" s="9" t="inlineStr">
        <is>
          <t>14</t>
        </is>
      </c>
      <c r="N1712" s="9" t="n">
        <v>1</v>
      </c>
      <c r="O1712" s="9" t="n">
        <v>1</v>
      </c>
      <c r="P1712" s="9" t="n"/>
      <c r="Q1712" s="9" t="n"/>
      <c r="R1712" s="9" t="n"/>
      <c r="S1712" s="9" t="inlineStr">
        <is>
          <t>Tray</t>
        </is>
      </c>
      <c r="T1712" s="10" t="n">
        <v>0</v>
      </c>
      <c r="U1712" s="10" t="n">
        <v>62</v>
      </c>
      <c r="V1712" s="10">
        <f>ROUNDUP((T1712+U1712+2*'Read Me'!$B$13)*(1+'Read Me'!$B$12),-1)</f>
        <v/>
      </c>
      <c r="W1712" s="10">
        <f>V1712*N1712*O1712</f>
        <v/>
      </c>
      <c r="X1712" s="9">
        <f>IF(LEFT(I1712,2)="MV",2*N1712*IF(L1712="1/C",O1712,1),0)</f>
        <v/>
      </c>
      <c r="Y1712" s="9">
        <f>IF(OR(LEFT(K1712,4)="LVAX",LEFT(K1712,6)="MV15AX",LEFT(K1712,4)="CTAX",LEFT(K1712,2)="W|"),2*N1712*O1712,0)</f>
        <v/>
      </c>
      <c r="Z1712" s="9" t="inlineStr"/>
    </row>
    <row r="1713">
      <c r="A1713" s="9" t="inlineStr">
        <is>
          <t>H-C-0048</t>
        </is>
      </c>
      <c r="B1713" s="9" t="inlineStr">
        <is>
          <t>H</t>
        </is>
      </c>
      <c r="C1713" s="9" t="inlineStr">
        <is>
          <t>BESS</t>
        </is>
      </c>
      <c r="D1713" s="9" t="inlineStr">
        <is>
          <t>Control</t>
        </is>
      </c>
      <c r="E1713" s="9" t="inlineStr"/>
      <c r="F1713" s="9" t="inlineStr">
        <is>
          <t>BESS PCS / MV skid</t>
        </is>
      </c>
      <c r="G1713" s="9" t="inlineStr"/>
      <c r="H1713" s="9" t="inlineStr">
        <is>
          <t>BESS container (ISO 40 ft high cube)</t>
        </is>
      </c>
      <c r="I1713" s="9" t="inlineStr">
        <is>
          <t>Control</t>
        </is>
      </c>
      <c r="J1713" s="9" t="inlineStr">
        <is>
          <t>Control cable 600 V Type TC-ER, Cu #14 AWG, PVC jacket</t>
        </is>
      </c>
      <c r="K1713" s="9" t="inlineStr">
        <is>
          <t>CT|7/C|14</t>
        </is>
      </c>
      <c r="L1713" s="9" t="inlineStr">
        <is>
          <t>7/C</t>
        </is>
      </c>
      <c r="M1713" s="9" t="inlineStr">
        <is>
          <t>14</t>
        </is>
      </c>
      <c r="N1713" s="9" t="n">
        <v>1</v>
      </c>
      <c r="O1713" s="9" t="n">
        <v>1</v>
      </c>
      <c r="P1713" s="9" t="n"/>
      <c r="Q1713" s="9" t="n"/>
      <c r="R1713" s="9" t="n"/>
      <c r="S1713" s="9" t="inlineStr">
        <is>
          <t>Tray</t>
        </is>
      </c>
      <c r="T1713" s="10" t="n">
        <v>0</v>
      </c>
      <c r="U1713" s="10" t="n">
        <v>62</v>
      </c>
      <c r="V1713" s="10">
        <f>ROUNDUP((T1713+U1713+2*'Read Me'!$B$13)*(1+'Read Me'!$B$12),-1)</f>
        <v/>
      </c>
      <c r="W1713" s="10">
        <f>V1713*N1713*O1713</f>
        <v/>
      </c>
      <c r="X1713" s="9">
        <f>IF(LEFT(I1713,2)="MV",2*N1713*IF(L1713="1/C",O1713,1),0)</f>
        <v/>
      </c>
      <c r="Y1713" s="9">
        <f>IF(OR(LEFT(K1713,4)="LVAX",LEFT(K1713,6)="MV15AX",LEFT(K1713,4)="CTAX",LEFT(K1713,2)="W|"),2*N1713*O1713,0)</f>
        <v/>
      </c>
      <c r="Z1713" s="9" t="inlineStr"/>
    </row>
    <row r="1714">
      <c r="A1714" s="9" t="inlineStr">
        <is>
          <t>H-C-0049</t>
        </is>
      </c>
      <c r="B1714" s="9" t="inlineStr">
        <is>
          <t>H</t>
        </is>
      </c>
      <c r="C1714" s="9" t="inlineStr">
        <is>
          <t>BESS</t>
        </is>
      </c>
      <c r="D1714" s="9" t="inlineStr">
        <is>
          <t>Control</t>
        </is>
      </c>
      <c r="E1714" s="9" t="inlineStr"/>
      <c r="F1714" s="9" t="inlineStr">
        <is>
          <t>BESS PCS / MV skid</t>
        </is>
      </c>
      <c r="G1714" s="9" t="inlineStr"/>
      <c r="H1714" s="9" t="inlineStr">
        <is>
          <t>BESS container (ISO 40 ft high cube)</t>
        </is>
      </c>
      <c r="I1714" s="9" t="inlineStr">
        <is>
          <t>Control</t>
        </is>
      </c>
      <c r="J1714" s="9" t="inlineStr">
        <is>
          <t>Control cable 600 V Type TC-ER, Cu #14 AWG, PVC jacket</t>
        </is>
      </c>
      <c r="K1714" s="9" t="inlineStr">
        <is>
          <t>CT|7/C|14</t>
        </is>
      </c>
      <c r="L1714" s="9" t="inlineStr">
        <is>
          <t>7/C</t>
        </is>
      </c>
      <c r="M1714" s="9" t="inlineStr">
        <is>
          <t>14</t>
        </is>
      </c>
      <c r="N1714" s="9" t="n">
        <v>1</v>
      </c>
      <c r="O1714" s="9" t="n">
        <v>1</v>
      </c>
      <c r="P1714" s="9" t="n"/>
      <c r="Q1714" s="9" t="n"/>
      <c r="R1714" s="9" t="n"/>
      <c r="S1714" s="9" t="inlineStr">
        <is>
          <t>Tray</t>
        </is>
      </c>
      <c r="T1714" s="10" t="n">
        <v>0</v>
      </c>
      <c r="U1714" s="10" t="n">
        <v>62</v>
      </c>
      <c r="V1714" s="10">
        <f>ROUNDUP((T1714+U1714+2*'Read Me'!$B$13)*(1+'Read Me'!$B$12),-1)</f>
        <v/>
      </c>
      <c r="W1714" s="10">
        <f>V1714*N1714*O1714</f>
        <v/>
      </c>
      <c r="X1714" s="9">
        <f>IF(LEFT(I1714,2)="MV",2*N1714*IF(L1714="1/C",O1714,1),0)</f>
        <v/>
      </c>
      <c r="Y1714" s="9">
        <f>IF(OR(LEFT(K1714,4)="LVAX",LEFT(K1714,6)="MV15AX",LEFT(K1714,4)="CTAX",LEFT(K1714,2)="W|"),2*N1714*O1714,0)</f>
        <v/>
      </c>
      <c r="Z1714" s="9" t="inlineStr"/>
    </row>
    <row r="1715">
      <c r="A1715" s="9" t="inlineStr">
        <is>
          <t>H-C-0050</t>
        </is>
      </c>
      <c r="B1715" s="9" t="inlineStr">
        <is>
          <t>H</t>
        </is>
      </c>
      <c r="C1715" s="9" t="inlineStr">
        <is>
          <t>BESS</t>
        </is>
      </c>
      <c r="D1715" s="9" t="inlineStr">
        <is>
          <t>Control</t>
        </is>
      </c>
      <c r="E1715" s="9" t="inlineStr"/>
      <c r="F1715" s="9" t="inlineStr">
        <is>
          <t>BESS PCS / MV skid</t>
        </is>
      </c>
      <c r="G1715" s="9" t="inlineStr"/>
      <c r="H1715" s="9" t="inlineStr">
        <is>
          <t>BESS container (ISO 40 ft high cube)</t>
        </is>
      </c>
      <c r="I1715" s="9" t="inlineStr">
        <is>
          <t>Control</t>
        </is>
      </c>
      <c r="J1715" s="9" t="inlineStr">
        <is>
          <t>Control cable 600 V Type TC-ER, Cu #14 AWG, PVC jacket</t>
        </is>
      </c>
      <c r="K1715" s="9" t="inlineStr">
        <is>
          <t>CT|7/C|14</t>
        </is>
      </c>
      <c r="L1715" s="9" t="inlineStr">
        <is>
          <t>7/C</t>
        </is>
      </c>
      <c r="M1715" s="9" t="inlineStr">
        <is>
          <t>14</t>
        </is>
      </c>
      <c r="N1715" s="9" t="n">
        <v>1</v>
      </c>
      <c r="O1715" s="9" t="n">
        <v>1</v>
      </c>
      <c r="P1715" s="9" t="n"/>
      <c r="Q1715" s="9" t="n"/>
      <c r="R1715" s="9" t="n"/>
      <c r="S1715" s="9" t="inlineStr">
        <is>
          <t>Tray</t>
        </is>
      </c>
      <c r="T1715" s="10" t="n">
        <v>0</v>
      </c>
      <c r="U1715" s="10" t="n">
        <v>62</v>
      </c>
      <c r="V1715" s="10">
        <f>ROUNDUP((T1715+U1715+2*'Read Me'!$B$13)*(1+'Read Me'!$B$12),-1)</f>
        <v/>
      </c>
      <c r="W1715" s="10">
        <f>V1715*N1715*O1715</f>
        <v/>
      </c>
      <c r="X1715" s="9">
        <f>IF(LEFT(I1715,2)="MV",2*N1715*IF(L1715="1/C",O1715,1),0)</f>
        <v/>
      </c>
      <c r="Y1715" s="9">
        <f>IF(OR(LEFT(K1715,4)="LVAX",LEFT(K1715,6)="MV15AX",LEFT(K1715,4)="CTAX",LEFT(K1715,2)="W|"),2*N1715*O1715,0)</f>
        <v/>
      </c>
      <c r="Z1715" s="9" t="inlineStr"/>
    </row>
    <row r="1716">
      <c r="A1716" s="9" t="inlineStr">
        <is>
          <t>H-C-0051</t>
        </is>
      </c>
      <c r="B1716" s="9" t="inlineStr">
        <is>
          <t>H</t>
        </is>
      </c>
      <c r="C1716" s="9" t="inlineStr">
        <is>
          <t>BESS</t>
        </is>
      </c>
      <c r="D1716" s="9" t="inlineStr">
        <is>
          <t>Control</t>
        </is>
      </c>
      <c r="E1716" s="9" t="inlineStr"/>
      <c r="F1716" s="9" t="inlineStr">
        <is>
          <t>BESS PCS / MV skid</t>
        </is>
      </c>
      <c r="G1716" s="9" t="inlineStr"/>
      <c r="H1716" s="9" t="inlineStr">
        <is>
          <t>BESS container (ISO 40 ft high cube)</t>
        </is>
      </c>
      <c r="I1716" s="9" t="inlineStr">
        <is>
          <t>Control</t>
        </is>
      </c>
      <c r="J1716" s="9" t="inlineStr">
        <is>
          <t>Control cable 600 V Type TC-ER, Cu #14 AWG, PVC jacket</t>
        </is>
      </c>
      <c r="K1716" s="9" t="inlineStr">
        <is>
          <t>CT|7/C|14</t>
        </is>
      </c>
      <c r="L1716" s="9" t="inlineStr">
        <is>
          <t>7/C</t>
        </is>
      </c>
      <c r="M1716" s="9" t="inlineStr">
        <is>
          <t>14</t>
        </is>
      </c>
      <c r="N1716" s="9" t="n">
        <v>1</v>
      </c>
      <c r="O1716" s="9" t="n">
        <v>1</v>
      </c>
      <c r="P1716" s="9" t="n"/>
      <c r="Q1716" s="9" t="n"/>
      <c r="R1716" s="9" t="n"/>
      <c r="S1716" s="9" t="inlineStr">
        <is>
          <t>Tray</t>
        </is>
      </c>
      <c r="T1716" s="10" t="n">
        <v>0</v>
      </c>
      <c r="U1716" s="10" t="n">
        <v>62</v>
      </c>
      <c r="V1716" s="10">
        <f>ROUNDUP((T1716+U1716+2*'Read Me'!$B$13)*(1+'Read Me'!$B$12),-1)</f>
        <v/>
      </c>
      <c r="W1716" s="10">
        <f>V1716*N1716*O1716</f>
        <v/>
      </c>
      <c r="X1716" s="9">
        <f>IF(LEFT(I1716,2)="MV",2*N1716*IF(L1716="1/C",O1716,1),0)</f>
        <v/>
      </c>
      <c r="Y1716" s="9">
        <f>IF(OR(LEFT(K1716,4)="LVAX",LEFT(K1716,6)="MV15AX",LEFT(K1716,4)="CTAX",LEFT(K1716,2)="W|"),2*N1716*O1716,0)</f>
        <v/>
      </c>
      <c r="Z1716" s="9" t="inlineStr"/>
    </row>
    <row r="1717">
      <c r="A1717" s="9" t="inlineStr">
        <is>
          <t>H-C-0052</t>
        </is>
      </c>
      <c r="B1717" s="9" t="inlineStr">
        <is>
          <t>H</t>
        </is>
      </c>
      <c r="C1717" s="9" t="inlineStr">
        <is>
          <t>BESS</t>
        </is>
      </c>
      <c r="D1717" s="9" t="inlineStr">
        <is>
          <t>Control</t>
        </is>
      </c>
      <c r="E1717" s="9" t="inlineStr"/>
      <c r="F1717" s="9" t="inlineStr">
        <is>
          <t>BESS PCS / MV skid</t>
        </is>
      </c>
      <c r="G1717" s="9" t="inlineStr"/>
      <c r="H1717" s="9" t="inlineStr">
        <is>
          <t>BESS container (ISO 40 ft high cube)</t>
        </is>
      </c>
      <c r="I1717" s="9" t="inlineStr">
        <is>
          <t>Control</t>
        </is>
      </c>
      <c r="J1717" s="9" t="inlineStr">
        <is>
          <t>Control cable 600 V Type TC-ER, Cu #14 AWG, PVC jacket</t>
        </is>
      </c>
      <c r="K1717" s="9" t="inlineStr">
        <is>
          <t>CT|7/C|14</t>
        </is>
      </c>
      <c r="L1717" s="9" t="inlineStr">
        <is>
          <t>7/C</t>
        </is>
      </c>
      <c r="M1717" s="9" t="inlineStr">
        <is>
          <t>14</t>
        </is>
      </c>
      <c r="N1717" s="9" t="n">
        <v>1</v>
      </c>
      <c r="O1717" s="9" t="n">
        <v>1</v>
      </c>
      <c r="P1717" s="9" t="n"/>
      <c r="Q1717" s="9" t="n"/>
      <c r="R1717" s="9" t="n"/>
      <c r="S1717" s="9" t="inlineStr">
        <is>
          <t>Tray</t>
        </is>
      </c>
      <c r="T1717" s="10" t="n">
        <v>0</v>
      </c>
      <c r="U1717" s="10" t="n">
        <v>62</v>
      </c>
      <c r="V1717" s="10">
        <f>ROUNDUP((T1717+U1717+2*'Read Me'!$B$13)*(1+'Read Me'!$B$12),-1)</f>
        <v/>
      </c>
      <c r="W1717" s="10">
        <f>V1717*N1717*O1717</f>
        <v/>
      </c>
      <c r="X1717" s="9">
        <f>IF(LEFT(I1717,2)="MV",2*N1717*IF(L1717="1/C",O1717,1),0)</f>
        <v/>
      </c>
      <c r="Y1717" s="9">
        <f>IF(OR(LEFT(K1717,4)="LVAX",LEFT(K1717,6)="MV15AX",LEFT(K1717,4)="CTAX",LEFT(K1717,2)="W|"),2*N1717*O1717,0)</f>
        <v/>
      </c>
      <c r="Z1717" s="9" t="inlineStr"/>
    </row>
    <row r="1718">
      <c r="A1718" s="9" t="inlineStr">
        <is>
          <t>H-C-0053</t>
        </is>
      </c>
      <c r="B1718" s="9" t="inlineStr">
        <is>
          <t>H</t>
        </is>
      </c>
      <c r="C1718" s="9" t="inlineStr">
        <is>
          <t>BESS</t>
        </is>
      </c>
      <c r="D1718" s="9" t="inlineStr">
        <is>
          <t>Control</t>
        </is>
      </c>
      <c r="E1718" s="9" t="inlineStr"/>
      <c r="F1718" s="9" t="inlineStr">
        <is>
          <t>BESS EMS / SCADA and revenue metering</t>
        </is>
      </c>
      <c r="G1718" s="9" t="inlineStr">
        <is>
          <t>BESS MPT</t>
        </is>
      </c>
      <c r="H1718" s="9" t="inlineStr">
        <is>
          <t>BESS main power transformer 34.5/230 kV (to D4 upper)</t>
        </is>
      </c>
      <c r="I1718" s="9" t="inlineStr">
        <is>
          <t>Control</t>
        </is>
      </c>
      <c r="J1718" s="9" t="inlineStr">
        <is>
          <t>Control cable 600 V Type TC-ER, Cu #14 AWG, PVC jacket</t>
        </is>
      </c>
      <c r="K1718" s="9" t="inlineStr">
        <is>
          <t>CT|7/C|14</t>
        </is>
      </c>
      <c r="L1718" s="9" t="inlineStr">
        <is>
          <t>7/C</t>
        </is>
      </c>
      <c r="M1718" s="9" t="inlineStr">
        <is>
          <t>14</t>
        </is>
      </c>
      <c r="N1718" s="9" t="n">
        <v>1</v>
      </c>
      <c r="O1718" s="9" t="n">
        <v>1</v>
      </c>
      <c r="P1718" s="9" t="n"/>
      <c r="Q1718" s="9" t="n"/>
      <c r="R1718" s="9" t="n"/>
      <c r="S1718" s="9" t="inlineStr">
        <is>
          <t>Duct bank</t>
        </is>
      </c>
      <c r="T1718" s="10" t="n">
        <v>169</v>
      </c>
      <c r="U1718" s="10" t="n">
        <v>32</v>
      </c>
      <c r="V1718" s="10">
        <f>ROUNDUP((T1718+U1718+2*'Read Me'!$B$13)*(1+'Read Me'!$B$12),-1)</f>
        <v/>
      </c>
      <c r="W1718" s="10">
        <f>V1718*N1718*O1718</f>
        <v/>
      </c>
      <c r="X1718" s="9">
        <f>IF(LEFT(I1718,2)="MV",2*N1718*IF(L1718="1/C",O1718,1),0)</f>
        <v/>
      </c>
      <c r="Y1718" s="9">
        <f>IF(OR(LEFT(K1718,4)="LVAX",LEFT(K1718,6)="MV15AX",LEFT(K1718,4)="CTAX",LEFT(K1718,2)="W|"),2*N1718*O1718,0)</f>
        <v/>
      </c>
      <c r="Z1718" s="9" t="inlineStr"/>
    </row>
    <row r="1719">
      <c r="A1719" s="9" t="inlineStr">
        <is>
          <t>H-C-0054</t>
        </is>
      </c>
      <c r="B1719" s="9" t="inlineStr">
        <is>
          <t>H</t>
        </is>
      </c>
      <c r="C1719" s="9" t="inlineStr">
        <is>
          <t>BESS</t>
        </is>
      </c>
      <c r="D1719" s="9" t="inlineStr">
        <is>
          <t>Control</t>
        </is>
      </c>
      <c r="E1719" s="9" t="inlineStr"/>
      <c r="F1719" s="9" t="inlineStr">
        <is>
          <t>BESS EMS / SCADA and revenue metering</t>
        </is>
      </c>
      <c r="G1719" s="9" t="inlineStr">
        <is>
          <t>BESS MPT</t>
        </is>
      </c>
      <c r="H1719" s="9" t="inlineStr">
        <is>
          <t>BESS main power transformer 34.5/230 kV (to D4 upper)</t>
        </is>
      </c>
      <c r="I1719" s="9" t="inlineStr">
        <is>
          <t>Control</t>
        </is>
      </c>
      <c r="J1719" s="9" t="inlineStr">
        <is>
          <t>Control cable 600 V Type TC-ER, Cu #14 AWG, PVC jacket</t>
        </is>
      </c>
      <c r="K1719" s="9" t="inlineStr">
        <is>
          <t>CT|12/C|14</t>
        </is>
      </c>
      <c r="L1719" s="9" t="inlineStr">
        <is>
          <t>12/C</t>
        </is>
      </c>
      <c r="M1719" s="9" t="inlineStr">
        <is>
          <t>14</t>
        </is>
      </c>
      <c r="N1719" s="9" t="n">
        <v>1</v>
      </c>
      <c r="O1719" s="9" t="n">
        <v>1</v>
      </c>
      <c r="P1719" s="9" t="n"/>
      <c r="Q1719" s="9" t="n"/>
      <c r="R1719" s="9" t="n"/>
      <c r="S1719" s="9" t="inlineStr">
        <is>
          <t>Duct bank</t>
        </is>
      </c>
      <c r="T1719" s="10" t="n">
        <v>169</v>
      </c>
      <c r="U1719" s="10" t="n">
        <v>32</v>
      </c>
      <c r="V1719" s="10">
        <f>ROUNDUP((T1719+U1719+2*'Read Me'!$B$13)*(1+'Read Me'!$B$12),-1)</f>
        <v/>
      </c>
      <c r="W1719" s="10">
        <f>V1719*N1719*O1719</f>
        <v/>
      </c>
      <c r="X1719" s="9">
        <f>IF(LEFT(I1719,2)="MV",2*N1719*IF(L1719="1/C",O1719,1),0)</f>
        <v/>
      </c>
      <c r="Y1719" s="9">
        <f>IF(OR(LEFT(K1719,4)="LVAX",LEFT(K1719,6)="MV15AX",LEFT(K1719,4)="CTAX",LEFT(K1719,2)="W|"),2*N1719*O1719,0)</f>
        <v/>
      </c>
      <c r="Z1719" s="9" t="inlineStr"/>
    </row>
    <row r="1720">
      <c r="A1720" s="9" t="inlineStr">
        <is>
          <t>H-C-0055</t>
        </is>
      </c>
      <c r="B1720" s="9" t="inlineStr">
        <is>
          <t>H</t>
        </is>
      </c>
      <c r="C1720" s="9" t="inlineStr">
        <is>
          <t>BESS</t>
        </is>
      </c>
      <c r="D1720" s="9" t="inlineStr">
        <is>
          <t>CT / VT</t>
        </is>
      </c>
      <c r="E1720" s="9" t="inlineStr"/>
      <c r="F1720" s="9" t="inlineStr">
        <is>
          <t>BESS EMS / SCADA and revenue metering</t>
        </is>
      </c>
      <c r="G1720" s="9" t="inlineStr">
        <is>
          <t>BESS MPT</t>
        </is>
      </c>
      <c r="H1720" s="9" t="inlineStr">
        <is>
          <t>BESS main power transformer 34.5/230 kV (to D4 upper)</t>
        </is>
      </c>
      <c r="I1720" s="9" t="inlineStr">
        <is>
          <t>Control</t>
        </is>
      </c>
      <c r="J1720" s="9" t="inlineStr">
        <is>
          <t>Control cable 600 V Type TC-ER, Cu #10 AWG (CT / VT circuits)</t>
        </is>
      </c>
      <c r="K1720" s="9" t="inlineStr">
        <is>
          <t>CTCT|4/C|10</t>
        </is>
      </c>
      <c r="L1720" s="9" t="inlineStr">
        <is>
          <t>4/C</t>
        </is>
      </c>
      <c r="M1720" s="9" t="inlineStr">
        <is>
          <t>10</t>
        </is>
      </c>
      <c r="N1720" s="9" t="n">
        <v>1</v>
      </c>
      <c r="O1720" s="9" t="n">
        <v>1</v>
      </c>
      <c r="P1720" s="9" t="n"/>
      <c r="Q1720" s="9" t="n"/>
      <c r="R1720" s="9" t="n"/>
      <c r="S1720" s="9" t="inlineStr">
        <is>
          <t>Duct bank</t>
        </is>
      </c>
      <c r="T1720" s="10" t="n">
        <v>169</v>
      </c>
      <c r="U1720" s="10" t="n">
        <v>32</v>
      </c>
      <c r="V1720" s="10">
        <f>ROUNDUP((T1720+U1720+2*'Read Me'!$B$13)*(1+'Read Me'!$B$12),-1)</f>
        <v/>
      </c>
      <c r="W1720" s="10">
        <f>V1720*N1720*O1720</f>
        <v/>
      </c>
      <c r="X1720" s="9">
        <f>IF(LEFT(I1720,2)="MV",2*N1720*IF(L1720="1/C",O1720,1),0)</f>
        <v/>
      </c>
      <c r="Y1720" s="9">
        <f>IF(OR(LEFT(K1720,4)="LVAX",LEFT(K1720,6)="MV15AX",LEFT(K1720,4)="CTAX",LEFT(K1720,2)="W|"),2*N1720*O1720,0)</f>
        <v/>
      </c>
      <c r="Z1720" s="9" t="inlineStr"/>
    </row>
    <row r="1721">
      <c r="A1721" s="9" t="inlineStr">
        <is>
          <t>H-C-0056</t>
        </is>
      </c>
      <c r="B1721" s="9" t="inlineStr">
        <is>
          <t>H</t>
        </is>
      </c>
      <c r="C1721" s="9" t="inlineStr">
        <is>
          <t>BESS</t>
        </is>
      </c>
      <c r="D1721" s="9" t="inlineStr">
        <is>
          <t>CT / VT</t>
        </is>
      </c>
      <c r="E1721" s="9" t="inlineStr"/>
      <c r="F1721" s="9" t="inlineStr">
        <is>
          <t>BESS EMS / SCADA and revenue metering</t>
        </is>
      </c>
      <c r="G1721" s="9" t="inlineStr">
        <is>
          <t>BESS MPT</t>
        </is>
      </c>
      <c r="H1721" s="9" t="inlineStr">
        <is>
          <t>BESS main power transformer 34.5/230 kV (to D4 upper)</t>
        </is>
      </c>
      <c r="I1721" s="9" t="inlineStr">
        <is>
          <t>Control</t>
        </is>
      </c>
      <c r="J1721" s="9" t="inlineStr">
        <is>
          <t>Control cable 600 V Type TC-ER, Cu #10 AWG (CT / VT circuits)</t>
        </is>
      </c>
      <c r="K1721" s="9" t="inlineStr">
        <is>
          <t>CTCT|4/C|10</t>
        </is>
      </c>
      <c r="L1721" s="9" t="inlineStr">
        <is>
          <t>4/C</t>
        </is>
      </c>
      <c r="M1721" s="9" t="inlineStr">
        <is>
          <t>10</t>
        </is>
      </c>
      <c r="N1721" s="9" t="n">
        <v>1</v>
      </c>
      <c r="O1721" s="9" t="n">
        <v>1</v>
      </c>
      <c r="P1721" s="9" t="n"/>
      <c r="Q1721" s="9" t="n"/>
      <c r="R1721" s="9" t="n"/>
      <c r="S1721" s="9" t="inlineStr">
        <is>
          <t>Duct bank</t>
        </is>
      </c>
      <c r="T1721" s="10" t="n">
        <v>169</v>
      </c>
      <c r="U1721" s="10" t="n">
        <v>32</v>
      </c>
      <c r="V1721" s="10">
        <f>ROUNDUP((T1721+U1721+2*'Read Me'!$B$13)*(1+'Read Me'!$B$12),-1)</f>
        <v/>
      </c>
      <c r="W1721" s="10">
        <f>V1721*N1721*O1721</f>
        <v/>
      </c>
      <c r="X1721" s="9">
        <f>IF(LEFT(I1721,2)="MV",2*N1721*IF(L1721="1/C",O1721,1),0)</f>
        <v/>
      </c>
      <c r="Y1721" s="9">
        <f>IF(OR(LEFT(K1721,4)="LVAX",LEFT(K1721,6)="MV15AX",LEFT(K1721,4)="CTAX",LEFT(K1721,2)="W|"),2*N1721*O1721,0)</f>
        <v/>
      </c>
      <c r="Z1721" s="9" t="inlineStr"/>
    </row>
    <row r="1722">
      <c r="A1722" s="9" t="inlineStr">
        <is>
          <t>H-C-0057</t>
        </is>
      </c>
      <c r="B1722" s="9" t="inlineStr">
        <is>
          <t>H</t>
        </is>
      </c>
      <c r="C1722" s="9" t="inlineStr">
        <is>
          <t>BESS</t>
        </is>
      </c>
      <c r="D1722" s="9" t="inlineStr">
        <is>
          <t>Control</t>
        </is>
      </c>
      <c r="E1722" s="9" t="inlineStr"/>
      <c r="F1722" s="9" t="inlineStr">
        <is>
          <t>BESS EMS / SCADA and revenue metering</t>
        </is>
      </c>
      <c r="G1722" s="9" t="inlineStr"/>
      <c r="H1722" s="9" t="inlineStr">
        <is>
          <t>CONDITIONAL: grounding transformer</t>
        </is>
      </c>
      <c r="I1722" s="9" t="inlineStr">
        <is>
          <t>Control</t>
        </is>
      </c>
      <c r="J1722" s="9" t="inlineStr">
        <is>
          <t>Control cable 600 V Type TC-ER, Cu #14 AWG, PVC jacket</t>
        </is>
      </c>
      <c r="K1722" s="9" t="inlineStr">
        <is>
          <t>CT|7/C|14</t>
        </is>
      </c>
      <c r="L1722" s="9" t="inlineStr">
        <is>
          <t>7/C</t>
        </is>
      </c>
      <c r="M1722" s="9" t="inlineStr">
        <is>
          <t>14</t>
        </is>
      </c>
      <c r="N1722" s="9" t="n">
        <v>1</v>
      </c>
      <c r="O1722" s="9" t="n">
        <v>1</v>
      </c>
      <c r="P1722" s="9" t="n"/>
      <c r="Q1722" s="9" t="n"/>
      <c r="R1722" s="9" t="n"/>
      <c r="S1722" s="9" t="inlineStr">
        <is>
          <t>Duct bank</t>
        </is>
      </c>
      <c r="T1722" s="10" t="n">
        <v>280</v>
      </c>
      <c r="U1722" s="10" t="n">
        <v>87</v>
      </c>
      <c r="V1722" s="10">
        <f>ROUNDUP((T1722+U1722+2*'Read Me'!$B$13)*(1+'Read Me'!$B$12),-1)</f>
        <v/>
      </c>
      <c r="W1722" s="10">
        <f>V1722*N1722*O1722</f>
        <v/>
      </c>
      <c r="X1722" s="9">
        <f>IF(LEFT(I1722,2)="MV",2*N1722*IF(L1722="1/C",O1722,1),0)</f>
        <v/>
      </c>
      <c r="Y1722" s="9">
        <f>IF(OR(LEFT(K1722,4)="LVAX",LEFT(K1722,6)="MV15AX",LEFT(K1722,4)="CTAX",LEFT(K1722,2)="W|"),2*N1722*O1722,0)</f>
        <v/>
      </c>
      <c r="Z1722" s="9" t="inlineStr"/>
    </row>
    <row r="1723">
      <c r="A1723" s="9" t="inlineStr">
        <is>
          <t>H-C-0058</t>
        </is>
      </c>
      <c r="B1723" s="9" t="inlineStr">
        <is>
          <t>H</t>
        </is>
      </c>
      <c r="C1723" s="9" t="inlineStr">
        <is>
          <t>BESS</t>
        </is>
      </c>
      <c r="D1723" s="9" t="inlineStr">
        <is>
          <t>Control</t>
        </is>
      </c>
      <c r="E1723" s="9" t="inlineStr"/>
      <c r="F1723" s="9" t="inlineStr">
        <is>
          <t>BESS EMS / SCADA and revenue metering</t>
        </is>
      </c>
      <c r="G1723" s="9" t="inlineStr"/>
      <c r="H1723" s="9" t="inlineStr">
        <is>
          <t>CONDITIONAL: grounding transformer</t>
        </is>
      </c>
      <c r="I1723" s="9" t="inlineStr">
        <is>
          <t>Control</t>
        </is>
      </c>
      <c r="J1723" s="9" t="inlineStr">
        <is>
          <t>Control cable 600 V Type TC-ER, Cu #14 AWG, PVC jacket</t>
        </is>
      </c>
      <c r="K1723" s="9" t="inlineStr">
        <is>
          <t>CT|12/C|14</t>
        </is>
      </c>
      <c r="L1723" s="9" t="inlineStr">
        <is>
          <t>12/C</t>
        </is>
      </c>
      <c r="M1723" s="9" t="inlineStr">
        <is>
          <t>14</t>
        </is>
      </c>
      <c r="N1723" s="9" t="n">
        <v>1</v>
      </c>
      <c r="O1723" s="9" t="n">
        <v>1</v>
      </c>
      <c r="P1723" s="9" t="n"/>
      <c r="Q1723" s="9" t="n"/>
      <c r="R1723" s="9" t="n"/>
      <c r="S1723" s="9" t="inlineStr">
        <is>
          <t>Duct bank</t>
        </is>
      </c>
      <c r="T1723" s="10" t="n">
        <v>280</v>
      </c>
      <c r="U1723" s="10" t="n">
        <v>87</v>
      </c>
      <c r="V1723" s="10">
        <f>ROUNDUP((T1723+U1723+2*'Read Me'!$B$13)*(1+'Read Me'!$B$12),-1)</f>
        <v/>
      </c>
      <c r="W1723" s="10">
        <f>V1723*N1723*O1723</f>
        <v/>
      </c>
      <c r="X1723" s="9">
        <f>IF(LEFT(I1723,2)="MV",2*N1723*IF(L1723="1/C",O1723,1),0)</f>
        <v/>
      </c>
      <c r="Y1723" s="9">
        <f>IF(OR(LEFT(K1723,4)="LVAX",LEFT(K1723,6)="MV15AX",LEFT(K1723,4)="CTAX",LEFT(K1723,2)="W|"),2*N1723*O1723,0)</f>
        <v/>
      </c>
      <c r="Z1723" s="9" t="inlineStr"/>
    </row>
    <row r="1724">
      <c r="A1724" s="9" t="inlineStr">
        <is>
          <t>H-C-0059</t>
        </is>
      </c>
      <c r="B1724" s="9" t="inlineStr">
        <is>
          <t>H</t>
        </is>
      </c>
      <c r="C1724" s="9" t="inlineStr">
        <is>
          <t>BESS</t>
        </is>
      </c>
      <c r="D1724" s="9" t="inlineStr">
        <is>
          <t>CT / VT</t>
        </is>
      </c>
      <c r="E1724" s="9" t="inlineStr"/>
      <c r="F1724" s="9" t="inlineStr">
        <is>
          <t>BESS EMS / SCADA and revenue metering</t>
        </is>
      </c>
      <c r="G1724" s="9" t="inlineStr"/>
      <c r="H1724" s="9" t="inlineStr">
        <is>
          <t>CONDITIONAL: grounding transformer</t>
        </is>
      </c>
      <c r="I1724" s="9" t="inlineStr">
        <is>
          <t>Control</t>
        </is>
      </c>
      <c r="J1724" s="9" t="inlineStr">
        <is>
          <t>Control cable 600 V Type TC-ER, Cu #10 AWG (CT / VT circuits)</t>
        </is>
      </c>
      <c r="K1724" s="9" t="inlineStr">
        <is>
          <t>CTCT|4/C|10</t>
        </is>
      </c>
      <c r="L1724" s="9" t="inlineStr">
        <is>
          <t>4/C</t>
        </is>
      </c>
      <c r="M1724" s="9" t="inlineStr">
        <is>
          <t>10</t>
        </is>
      </c>
      <c r="N1724" s="9" t="n">
        <v>1</v>
      </c>
      <c r="O1724" s="9" t="n">
        <v>1</v>
      </c>
      <c r="P1724" s="9" t="n"/>
      <c r="Q1724" s="9" t="n"/>
      <c r="R1724" s="9" t="n"/>
      <c r="S1724" s="9" t="inlineStr">
        <is>
          <t>Duct bank</t>
        </is>
      </c>
      <c r="T1724" s="10" t="n">
        <v>280</v>
      </c>
      <c r="U1724" s="10" t="n">
        <v>87</v>
      </c>
      <c r="V1724" s="10">
        <f>ROUNDUP((T1724+U1724+2*'Read Me'!$B$13)*(1+'Read Me'!$B$12),-1)</f>
        <v/>
      </c>
      <c r="W1724" s="10">
        <f>V1724*N1724*O1724</f>
        <v/>
      </c>
      <c r="X1724" s="9">
        <f>IF(LEFT(I1724,2)="MV",2*N1724*IF(L1724="1/C",O1724,1),0)</f>
        <v/>
      </c>
      <c r="Y1724" s="9">
        <f>IF(OR(LEFT(K1724,4)="LVAX",LEFT(K1724,6)="MV15AX",LEFT(K1724,4)="CTAX",LEFT(K1724,2)="W|"),2*N1724*O1724,0)</f>
        <v/>
      </c>
      <c r="Z1724" s="9" t="inlineStr"/>
    </row>
    <row r="1725">
      <c r="A1725" s="9" t="inlineStr">
        <is>
          <t>H-C-0060</t>
        </is>
      </c>
      <c r="B1725" s="9" t="inlineStr">
        <is>
          <t>H</t>
        </is>
      </c>
      <c r="C1725" s="9" t="inlineStr">
        <is>
          <t>BESS</t>
        </is>
      </c>
      <c r="D1725" s="9" t="inlineStr">
        <is>
          <t>CT / VT</t>
        </is>
      </c>
      <c r="E1725" s="9" t="inlineStr"/>
      <c r="F1725" s="9" t="inlineStr">
        <is>
          <t>BESS EMS / SCADA and revenue metering</t>
        </is>
      </c>
      <c r="G1725" s="9" t="inlineStr"/>
      <c r="H1725" s="9" t="inlineStr">
        <is>
          <t>CONDITIONAL: grounding transformer</t>
        </is>
      </c>
      <c r="I1725" s="9" t="inlineStr">
        <is>
          <t>Control</t>
        </is>
      </c>
      <c r="J1725" s="9" t="inlineStr">
        <is>
          <t>Control cable 600 V Type TC-ER, Cu #10 AWG (CT / VT circuits)</t>
        </is>
      </c>
      <c r="K1725" s="9" t="inlineStr">
        <is>
          <t>CTCT|4/C|10</t>
        </is>
      </c>
      <c r="L1725" s="9" t="inlineStr">
        <is>
          <t>4/C</t>
        </is>
      </c>
      <c r="M1725" s="9" t="inlineStr">
        <is>
          <t>10</t>
        </is>
      </c>
      <c r="N1725" s="9" t="n">
        <v>1</v>
      </c>
      <c r="O1725" s="9" t="n">
        <v>1</v>
      </c>
      <c r="P1725" s="9" t="n"/>
      <c r="Q1725" s="9" t="n"/>
      <c r="R1725" s="9" t="n"/>
      <c r="S1725" s="9" t="inlineStr">
        <is>
          <t>Duct bank</t>
        </is>
      </c>
      <c r="T1725" s="10" t="n">
        <v>280</v>
      </c>
      <c r="U1725" s="10" t="n">
        <v>87</v>
      </c>
      <c r="V1725" s="10">
        <f>ROUNDUP((T1725+U1725+2*'Read Me'!$B$13)*(1+'Read Me'!$B$12),-1)</f>
        <v/>
      </c>
      <c r="W1725" s="10">
        <f>V1725*N1725*O1725</f>
        <v/>
      </c>
      <c r="X1725" s="9">
        <f>IF(LEFT(I1725,2)="MV",2*N1725*IF(L1725="1/C",O1725,1),0)</f>
        <v/>
      </c>
      <c r="Y1725" s="9">
        <f>IF(OR(LEFT(K1725,4)="LVAX",LEFT(K1725,6)="MV15AX",LEFT(K1725,4)="CTAX",LEFT(K1725,2)="W|"),2*N1725*O1725,0)</f>
        <v/>
      </c>
      <c r="Z1725" s="9" t="inlineStr"/>
    </row>
    <row r="1726">
      <c r="A1726" s="9" t="inlineStr">
        <is>
          <t>H-DC-0001</t>
        </is>
      </c>
      <c r="B1726" s="9" t="inlineStr">
        <is>
          <t>H</t>
        </is>
      </c>
      <c r="C1726" s="9" t="inlineStr">
        <is>
          <t>BESS</t>
        </is>
      </c>
      <c r="D1726" s="9" t="inlineStr">
        <is>
          <t>DC 1,500 V: container to PCS (2 x 1/C per pole pair)</t>
        </is>
      </c>
      <c r="E1726" s="9" t="inlineStr"/>
      <c r="F1726" s="9" t="inlineStr">
        <is>
          <t>BESS container (ISO 40 ft high cube)</t>
        </is>
      </c>
      <c r="G1726" s="9" t="inlineStr"/>
      <c r="H1726" s="9" t="inlineStr">
        <is>
          <t>BESS PCS / MV skid</t>
        </is>
      </c>
      <c r="I1726" s="9" t="inlineStr">
        <is>
          <t>DC 2 kV</t>
        </is>
      </c>
      <c r="J1726" s="9" t="inlineStr">
        <is>
          <t>PV / RHW-2 2 kV 1/C Cu, XLPE (DC)</t>
        </is>
      </c>
      <c r="K1726" s="9" t="inlineStr">
        <is>
          <t>PV|1/C|500</t>
        </is>
      </c>
      <c r="L1726" s="9" t="inlineStr">
        <is>
          <t>1/C</t>
        </is>
      </c>
      <c r="M1726" s="9" t="inlineStr">
        <is>
          <t>500 kcmil</t>
        </is>
      </c>
      <c r="N1726" s="9" t="n">
        <v>4</v>
      </c>
      <c r="O1726" s="9" t="n">
        <v>2</v>
      </c>
      <c r="P1726" s="9" t="n">
        <v>1500</v>
      </c>
      <c r="Q1726" s="9" t="n">
        <v>4000</v>
      </c>
      <c r="R1726" s="9" t="n"/>
      <c r="S1726" s="9" t="inlineStr">
        <is>
          <t>Duct bank</t>
        </is>
      </c>
      <c r="T1726" s="10" t="n">
        <v>10</v>
      </c>
      <c r="U1726" s="10" t="n">
        <v>150</v>
      </c>
      <c r="V1726" s="10">
        <f>ROUNDUP((T1726+U1726+2*'Read Me'!$B$13)*(1+'Read Me'!$B$12),-1)</f>
        <v/>
      </c>
      <c r="W1726" s="10">
        <f>V1726*N1726*O1726</f>
        <v/>
      </c>
      <c r="X1726" s="9">
        <f>IF(LEFT(I1726,2)="MV",2*N1726*IF(L1726="1/C",O1726,1),0)</f>
        <v/>
      </c>
      <c r="Y1726" s="9">
        <f>IF(OR(LEFT(K1726,4)="LVAX",LEFT(K1726,6)="MV15AX",LEFT(K1726,4)="CTAX",LEFT(K1726,2)="W|"),2*N1726*O1726,0)</f>
        <v/>
      </c>
      <c r="Z1726" s="9" t="inlineStr">
        <is>
          <t>4 sets of +/- per container (typ.)</t>
        </is>
      </c>
    </row>
    <row r="1727">
      <c r="A1727" s="9" t="inlineStr">
        <is>
          <t>H-DC-0002</t>
        </is>
      </c>
      <c r="B1727" s="9" t="inlineStr">
        <is>
          <t>H</t>
        </is>
      </c>
      <c r="C1727" s="9" t="inlineStr">
        <is>
          <t>BESS</t>
        </is>
      </c>
      <c r="D1727" s="9" t="inlineStr">
        <is>
          <t>DC 1,500 V: container to PCS (2 x 1/C per pole pair)</t>
        </is>
      </c>
      <c r="E1727" s="9" t="inlineStr"/>
      <c r="F1727" s="9" t="inlineStr">
        <is>
          <t>BESS container (ISO 40 ft high cube)</t>
        </is>
      </c>
      <c r="G1727" s="9" t="inlineStr"/>
      <c r="H1727" s="9" t="inlineStr">
        <is>
          <t>BESS PCS / MV skid</t>
        </is>
      </c>
      <c r="I1727" s="9" t="inlineStr">
        <is>
          <t>DC 2 kV</t>
        </is>
      </c>
      <c r="J1727" s="9" t="inlineStr">
        <is>
          <t>PV / RHW-2 2 kV 1/C Cu, XLPE (DC)</t>
        </is>
      </c>
      <c r="K1727" s="9" t="inlineStr">
        <is>
          <t>PV|1/C|500</t>
        </is>
      </c>
      <c r="L1727" s="9" t="inlineStr">
        <is>
          <t>1/C</t>
        </is>
      </c>
      <c r="M1727" s="9" t="inlineStr">
        <is>
          <t>500 kcmil</t>
        </is>
      </c>
      <c r="N1727" s="9" t="n">
        <v>4</v>
      </c>
      <c r="O1727" s="9" t="n">
        <v>2</v>
      </c>
      <c r="P1727" s="9" t="n">
        <v>1500</v>
      </c>
      <c r="Q1727" s="9" t="n">
        <v>4000</v>
      </c>
      <c r="R1727" s="9" t="n"/>
      <c r="S1727" s="9" t="inlineStr">
        <is>
          <t>Tray</t>
        </is>
      </c>
      <c r="T1727" s="10" t="n">
        <v>0</v>
      </c>
      <c r="U1727" s="10" t="n">
        <v>160</v>
      </c>
      <c r="V1727" s="10">
        <f>ROUNDUP((T1727+U1727+2*'Read Me'!$B$13)*(1+'Read Me'!$B$12),-1)</f>
        <v/>
      </c>
      <c r="W1727" s="10">
        <f>V1727*N1727*O1727</f>
        <v/>
      </c>
      <c r="X1727" s="9">
        <f>IF(LEFT(I1727,2)="MV",2*N1727*IF(L1727="1/C",O1727,1),0)</f>
        <v/>
      </c>
      <c r="Y1727" s="9">
        <f>IF(OR(LEFT(K1727,4)="LVAX",LEFT(K1727,6)="MV15AX",LEFT(K1727,4)="CTAX",LEFT(K1727,2)="W|"),2*N1727*O1727,0)</f>
        <v/>
      </c>
      <c r="Z1727" s="9" t="inlineStr">
        <is>
          <t>4 sets of +/- per container (typ.)</t>
        </is>
      </c>
    </row>
    <row r="1728">
      <c r="A1728" s="9" t="inlineStr">
        <is>
          <t>H-DC-0003</t>
        </is>
      </c>
      <c r="B1728" s="9" t="inlineStr">
        <is>
          <t>H</t>
        </is>
      </c>
      <c r="C1728" s="9" t="inlineStr">
        <is>
          <t>BESS</t>
        </is>
      </c>
      <c r="D1728" s="9" t="inlineStr">
        <is>
          <t>DC 1,500 V: container to PCS (2 x 1/C per pole pair)</t>
        </is>
      </c>
      <c r="E1728" s="9" t="inlineStr"/>
      <c r="F1728" s="9" t="inlineStr">
        <is>
          <t>BESS container (ISO 40 ft high cube)</t>
        </is>
      </c>
      <c r="G1728" s="9" t="inlineStr"/>
      <c r="H1728" s="9" t="inlineStr">
        <is>
          <t>BESS PCS / MV skid</t>
        </is>
      </c>
      <c r="I1728" s="9" t="inlineStr">
        <is>
          <t>DC 2 kV</t>
        </is>
      </c>
      <c r="J1728" s="9" t="inlineStr">
        <is>
          <t>PV / RHW-2 2 kV 1/C Cu, XLPE (DC)</t>
        </is>
      </c>
      <c r="K1728" s="9" t="inlineStr">
        <is>
          <t>PV|1/C|500</t>
        </is>
      </c>
      <c r="L1728" s="9" t="inlineStr">
        <is>
          <t>1/C</t>
        </is>
      </c>
      <c r="M1728" s="9" t="inlineStr">
        <is>
          <t>500 kcmil</t>
        </is>
      </c>
      <c r="N1728" s="9" t="n">
        <v>4</v>
      </c>
      <c r="O1728" s="9" t="n">
        <v>2</v>
      </c>
      <c r="P1728" s="9" t="n">
        <v>1500</v>
      </c>
      <c r="Q1728" s="9" t="n">
        <v>4000</v>
      </c>
      <c r="R1728" s="9" t="n"/>
      <c r="S1728" s="9" t="inlineStr">
        <is>
          <t>Tray</t>
        </is>
      </c>
      <c r="T1728" s="10" t="n">
        <v>0</v>
      </c>
      <c r="U1728" s="10" t="n">
        <v>200</v>
      </c>
      <c r="V1728" s="10">
        <f>ROUNDUP((T1728+U1728+2*'Read Me'!$B$13)*(1+'Read Me'!$B$12),-1)</f>
        <v/>
      </c>
      <c r="W1728" s="10">
        <f>V1728*N1728*O1728</f>
        <v/>
      </c>
      <c r="X1728" s="9">
        <f>IF(LEFT(I1728,2)="MV",2*N1728*IF(L1728="1/C",O1728,1),0)</f>
        <v/>
      </c>
      <c r="Y1728" s="9">
        <f>IF(OR(LEFT(K1728,4)="LVAX",LEFT(K1728,6)="MV15AX",LEFT(K1728,4)="CTAX",LEFT(K1728,2)="W|"),2*N1728*O1728,0)</f>
        <v/>
      </c>
      <c r="Z1728" s="9" t="inlineStr">
        <is>
          <t>4 sets of +/- per container (typ.)</t>
        </is>
      </c>
    </row>
    <row r="1729">
      <c r="A1729" s="9" t="inlineStr">
        <is>
          <t>H-DC-0004</t>
        </is>
      </c>
      <c r="B1729" s="9" t="inlineStr">
        <is>
          <t>H</t>
        </is>
      </c>
      <c r="C1729" s="9" t="inlineStr">
        <is>
          <t>BESS</t>
        </is>
      </c>
      <c r="D1729" s="9" t="inlineStr">
        <is>
          <t>DC 1,500 V: container to PCS (2 x 1/C per pole pair)</t>
        </is>
      </c>
      <c r="E1729" s="9" t="inlineStr"/>
      <c r="F1729" s="9" t="inlineStr">
        <is>
          <t>BESS container (ISO 40 ft high cube)</t>
        </is>
      </c>
      <c r="G1729" s="9" t="inlineStr"/>
      <c r="H1729" s="9" t="inlineStr">
        <is>
          <t>BESS PCS / MV skid</t>
        </is>
      </c>
      <c r="I1729" s="9" t="inlineStr">
        <is>
          <t>DC 2 kV</t>
        </is>
      </c>
      <c r="J1729" s="9" t="inlineStr">
        <is>
          <t>PV / RHW-2 2 kV 1/C Cu, XLPE (DC)</t>
        </is>
      </c>
      <c r="K1729" s="9" t="inlineStr">
        <is>
          <t>PV|1/C|500</t>
        </is>
      </c>
      <c r="L1729" s="9" t="inlineStr">
        <is>
          <t>1/C</t>
        </is>
      </c>
      <c r="M1729" s="9" t="inlineStr">
        <is>
          <t>500 kcmil</t>
        </is>
      </c>
      <c r="N1729" s="9" t="n">
        <v>4</v>
      </c>
      <c r="O1729" s="9" t="n">
        <v>2</v>
      </c>
      <c r="P1729" s="9" t="n">
        <v>1500</v>
      </c>
      <c r="Q1729" s="9" t="n">
        <v>4000</v>
      </c>
      <c r="R1729" s="9" t="n"/>
      <c r="S1729" s="9" t="inlineStr">
        <is>
          <t>Tray</t>
        </is>
      </c>
      <c r="T1729" s="10" t="n">
        <v>0</v>
      </c>
      <c r="U1729" s="10" t="n">
        <v>200</v>
      </c>
      <c r="V1729" s="10">
        <f>ROUNDUP((T1729+U1729+2*'Read Me'!$B$13)*(1+'Read Me'!$B$12),-1)</f>
        <v/>
      </c>
      <c r="W1729" s="10">
        <f>V1729*N1729*O1729</f>
        <v/>
      </c>
      <c r="X1729" s="9">
        <f>IF(LEFT(I1729,2)="MV",2*N1729*IF(L1729="1/C",O1729,1),0)</f>
        <v/>
      </c>
      <c r="Y1729" s="9">
        <f>IF(OR(LEFT(K1729,4)="LVAX",LEFT(K1729,6)="MV15AX",LEFT(K1729,4)="CTAX",LEFT(K1729,2)="W|"),2*N1729*O1729,0)</f>
        <v/>
      </c>
      <c r="Z1729" s="9" t="inlineStr">
        <is>
          <t>4 sets of +/- per container (typ.)</t>
        </is>
      </c>
    </row>
    <row r="1730">
      <c r="A1730" s="9" t="inlineStr">
        <is>
          <t>H-DC-0005</t>
        </is>
      </c>
      <c r="B1730" s="9" t="inlineStr">
        <is>
          <t>H</t>
        </is>
      </c>
      <c r="C1730" s="9" t="inlineStr">
        <is>
          <t>BESS</t>
        </is>
      </c>
      <c r="D1730" s="9" t="inlineStr">
        <is>
          <t>DC 1,500 V: container to PCS (2 x 1/C per pole pair)</t>
        </is>
      </c>
      <c r="E1730" s="9" t="inlineStr"/>
      <c r="F1730" s="9" t="inlineStr">
        <is>
          <t>BESS container (ISO 40 ft high cube)</t>
        </is>
      </c>
      <c r="G1730" s="9" t="inlineStr"/>
      <c r="H1730" s="9" t="inlineStr">
        <is>
          <t>BESS PCS / MV skid</t>
        </is>
      </c>
      <c r="I1730" s="9" t="inlineStr">
        <is>
          <t>DC 2 kV</t>
        </is>
      </c>
      <c r="J1730" s="9" t="inlineStr">
        <is>
          <t>PV / RHW-2 2 kV 1/C Cu, XLPE (DC)</t>
        </is>
      </c>
      <c r="K1730" s="9" t="inlineStr">
        <is>
          <t>PV|1/C|500</t>
        </is>
      </c>
      <c r="L1730" s="9" t="inlineStr">
        <is>
          <t>1/C</t>
        </is>
      </c>
      <c r="M1730" s="9" t="inlineStr">
        <is>
          <t>500 kcmil</t>
        </is>
      </c>
      <c r="N1730" s="9" t="n">
        <v>4</v>
      </c>
      <c r="O1730" s="9" t="n">
        <v>2</v>
      </c>
      <c r="P1730" s="9" t="n">
        <v>1500</v>
      </c>
      <c r="Q1730" s="9" t="n">
        <v>4000</v>
      </c>
      <c r="R1730" s="9" t="n"/>
      <c r="S1730" s="9" t="inlineStr">
        <is>
          <t>Tray</t>
        </is>
      </c>
      <c r="T1730" s="10" t="n">
        <v>0</v>
      </c>
      <c r="U1730" s="10" t="n">
        <v>168</v>
      </c>
      <c r="V1730" s="10">
        <f>ROUNDUP((T1730+U1730+2*'Read Me'!$B$13)*(1+'Read Me'!$B$12),-1)</f>
        <v/>
      </c>
      <c r="W1730" s="10">
        <f>V1730*N1730*O1730</f>
        <v/>
      </c>
      <c r="X1730" s="9">
        <f>IF(LEFT(I1730,2)="MV",2*N1730*IF(L1730="1/C",O1730,1),0)</f>
        <v/>
      </c>
      <c r="Y1730" s="9">
        <f>IF(OR(LEFT(K1730,4)="LVAX",LEFT(K1730,6)="MV15AX",LEFT(K1730,4)="CTAX",LEFT(K1730,2)="W|"),2*N1730*O1730,0)</f>
        <v/>
      </c>
      <c r="Z1730" s="9" t="inlineStr">
        <is>
          <t>4 sets of +/- per container (typ.)</t>
        </is>
      </c>
    </row>
    <row r="1731">
      <c r="A1731" s="9" t="inlineStr">
        <is>
          <t>H-DC-0006</t>
        </is>
      </c>
      <c r="B1731" s="9" t="inlineStr">
        <is>
          <t>H</t>
        </is>
      </c>
      <c r="C1731" s="9" t="inlineStr">
        <is>
          <t>BESS</t>
        </is>
      </c>
      <c r="D1731" s="9" t="inlineStr">
        <is>
          <t>DC 1,500 V: container to PCS (2 x 1/C per pole pair)</t>
        </is>
      </c>
      <c r="E1731" s="9" t="inlineStr"/>
      <c r="F1731" s="9" t="inlineStr">
        <is>
          <t>BESS container (ISO 40 ft high cube)</t>
        </is>
      </c>
      <c r="G1731" s="9" t="inlineStr"/>
      <c r="H1731" s="9" t="inlineStr">
        <is>
          <t>BESS PCS / MV skid</t>
        </is>
      </c>
      <c r="I1731" s="9" t="inlineStr">
        <is>
          <t>DC 2 kV</t>
        </is>
      </c>
      <c r="J1731" s="9" t="inlineStr">
        <is>
          <t>PV / RHW-2 2 kV 1/C Cu, XLPE (DC)</t>
        </is>
      </c>
      <c r="K1731" s="9" t="inlineStr">
        <is>
          <t>PV|1/C|500</t>
        </is>
      </c>
      <c r="L1731" s="9" t="inlineStr">
        <is>
          <t>1/C</t>
        </is>
      </c>
      <c r="M1731" s="9" t="inlineStr">
        <is>
          <t>500 kcmil</t>
        </is>
      </c>
      <c r="N1731" s="9" t="n">
        <v>4</v>
      </c>
      <c r="O1731" s="9" t="n">
        <v>2</v>
      </c>
      <c r="P1731" s="9" t="n">
        <v>1500</v>
      </c>
      <c r="Q1731" s="9" t="n">
        <v>4000</v>
      </c>
      <c r="R1731" s="9" t="n"/>
      <c r="S1731" s="9" t="inlineStr">
        <is>
          <t>Duct bank</t>
        </is>
      </c>
      <c r="T1731" s="10" t="n">
        <v>10</v>
      </c>
      <c r="U1731" s="10" t="n">
        <v>158</v>
      </c>
      <c r="V1731" s="10">
        <f>ROUNDUP((T1731+U1731+2*'Read Me'!$B$13)*(1+'Read Me'!$B$12),-1)</f>
        <v/>
      </c>
      <c r="W1731" s="10">
        <f>V1731*N1731*O1731</f>
        <v/>
      </c>
      <c r="X1731" s="9">
        <f>IF(LEFT(I1731,2)="MV",2*N1731*IF(L1731="1/C",O1731,1),0)</f>
        <v/>
      </c>
      <c r="Y1731" s="9">
        <f>IF(OR(LEFT(K1731,4)="LVAX",LEFT(K1731,6)="MV15AX",LEFT(K1731,4)="CTAX",LEFT(K1731,2)="W|"),2*N1731*O1731,0)</f>
        <v/>
      </c>
      <c r="Z1731" s="9" t="inlineStr">
        <is>
          <t>4 sets of +/- per container (typ.)</t>
        </is>
      </c>
    </row>
    <row r="1732">
      <c r="A1732" s="9" t="inlineStr">
        <is>
          <t>H-DC-0007</t>
        </is>
      </c>
      <c r="B1732" s="9" t="inlineStr">
        <is>
          <t>H</t>
        </is>
      </c>
      <c r="C1732" s="9" t="inlineStr">
        <is>
          <t>BESS</t>
        </is>
      </c>
      <c r="D1732" s="9" t="inlineStr">
        <is>
          <t>DC 1,500 V: container to PCS (2 x 1/C per pole pair)</t>
        </is>
      </c>
      <c r="E1732" s="9" t="inlineStr"/>
      <c r="F1732" s="9" t="inlineStr">
        <is>
          <t>BESS container (ISO 40 ft high cube)</t>
        </is>
      </c>
      <c r="G1732" s="9" t="inlineStr"/>
      <c r="H1732" s="9" t="inlineStr">
        <is>
          <t>BESS PCS / MV skid</t>
        </is>
      </c>
      <c r="I1732" s="9" t="inlineStr">
        <is>
          <t>DC 2 kV</t>
        </is>
      </c>
      <c r="J1732" s="9" t="inlineStr">
        <is>
          <t>PV / RHW-2 2 kV 1/C Cu, XLPE (DC)</t>
        </is>
      </c>
      <c r="K1732" s="9" t="inlineStr">
        <is>
          <t>PV|1/C|500</t>
        </is>
      </c>
      <c r="L1732" s="9" t="inlineStr">
        <is>
          <t>1/C</t>
        </is>
      </c>
      <c r="M1732" s="9" t="inlineStr">
        <is>
          <t>500 kcmil</t>
        </is>
      </c>
      <c r="N1732" s="9" t="n">
        <v>4</v>
      </c>
      <c r="O1732" s="9" t="n">
        <v>2</v>
      </c>
      <c r="P1732" s="9" t="n">
        <v>1500</v>
      </c>
      <c r="Q1732" s="9" t="n">
        <v>4000</v>
      </c>
      <c r="R1732" s="9" t="n"/>
      <c r="S1732" s="9" t="inlineStr">
        <is>
          <t>Duct bank</t>
        </is>
      </c>
      <c r="T1732" s="10" t="n">
        <v>10</v>
      </c>
      <c r="U1732" s="10" t="n">
        <v>266</v>
      </c>
      <c r="V1732" s="10">
        <f>ROUNDUP((T1732+U1732+2*'Read Me'!$B$13)*(1+'Read Me'!$B$12),-1)</f>
        <v/>
      </c>
      <c r="W1732" s="10">
        <f>V1732*N1732*O1732</f>
        <v/>
      </c>
      <c r="X1732" s="9">
        <f>IF(LEFT(I1732,2)="MV",2*N1732*IF(L1732="1/C",O1732,1),0)</f>
        <v/>
      </c>
      <c r="Y1732" s="9">
        <f>IF(OR(LEFT(K1732,4)="LVAX",LEFT(K1732,6)="MV15AX",LEFT(K1732,4)="CTAX",LEFT(K1732,2)="W|"),2*N1732*O1732,0)</f>
        <v/>
      </c>
      <c r="Z1732" s="9" t="inlineStr">
        <is>
          <t>4 sets of +/- per container (typ.)</t>
        </is>
      </c>
    </row>
    <row r="1733">
      <c r="A1733" s="9" t="inlineStr">
        <is>
          <t>H-DC-0008</t>
        </is>
      </c>
      <c r="B1733" s="9" t="inlineStr">
        <is>
          <t>H</t>
        </is>
      </c>
      <c r="C1733" s="9" t="inlineStr">
        <is>
          <t>BESS</t>
        </is>
      </c>
      <c r="D1733" s="9" t="inlineStr">
        <is>
          <t>DC 1,500 V: container to PCS (2 x 1/C per pole pair)</t>
        </is>
      </c>
      <c r="E1733" s="9" t="inlineStr"/>
      <c r="F1733" s="9" t="inlineStr">
        <is>
          <t>BESS container (ISO 40 ft high cube)</t>
        </is>
      </c>
      <c r="G1733" s="9" t="inlineStr"/>
      <c r="H1733" s="9" t="inlineStr">
        <is>
          <t>BESS PCS / MV skid</t>
        </is>
      </c>
      <c r="I1733" s="9" t="inlineStr">
        <is>
          <t>DC 2 kV</t>
        </is>
      </c>
      <c r="J1733" s="9" t="inlineStr">
        <is>
          <t>PV / RHW-2 2 kV 1/C Cu, XLPE (DC)</t>
        </is>
      </c>
      <c r="K1733" s="9" t="inlineStr">
        <is>
          <t>PV|1/C|500</t>
        </is>
      </c>
      <c r="L1733" s="9" t="inlineStr">
        <is>
          <t>1/C</t>
        </is>
      </c>
      <c r="M1733" s="9" t="inlineStr">
        <is>
          <t>500 kcmil</t>
        </is>
      </c>
      <c r="N1733" s="9" t="n">
        <v>4</v>
      </c>
      <c r="O1733" s="9" t="n">
        <v>2</v>
      </c>
      <c r="P1733" s="9" t="n">
        <v>1500</v>
      </c>
      <c r="Q1733" s="9" t="n">
        <v>4000</v>
      </c>
      <c r="R1733" s="9" t="n"/>
      <c r="S1733" s="9" t="inlineStr">
        <is>
          <t>Tray</t>
        </is>
      </c>
      <c r="T1733" s="10" t="n">
        <v>0</v>
      </c>
      <c r="U1733" s="10" t="n">
        <v>276</v>
      </c>
      <c r="V1733" s="10">
        <f>ROUNDUP((T1733+U1733+2*'Read Me'!$B$13)*(1+'Read Me'!$B$12),-1)</f>
        <v/>
      </c>
      <c r="W1733" s="10">
        <f>V1733*N1733*O1733</f>
        <v/>
      </c>
      <c r="X1733" s="9">
        <f>IF(LEFT(I1733,2)="MV",2*N1733*IF(L1733="1/C",O1733,1),0)</f>
        <v/>
      </c>
      <c r="Y1733" s="9">
        <f>IF(OR(LEFT(K1733,4)="LVAX",LEFT(K1733,6)="MV15AX",LEFT(K1733,4)="CTAX",LEFT(K1733,2)="W|"),2*N1733*O1733,0)</f>
        <v/>
      </c>
      <c r="Z1733" s="9" t="inlineStr">
        <is>
          <t>4 sets of +/- per container (typ.)</t>
        </is>
      </c>
    </row>
    <row r="1734">
      <c r="A1734" s="9" t="inlineStr">
        <is>
          <t>H-DC-0009</t>
        </is>
      </c>
      <c r="B1734" s="9" t="inlineStr">
        <is>
          <t>H</t>
        </is>
      </c>
      <c r="C1734" s="9" t="inlineStr">
        <is>
          <t>BESS</t>
        </is>
      </c>
      <c r="D1734" s="9" t="inlineStr">
        <is>
          <t>DC 1,500 V: container to PCS (2 x 1/C per pole pair)</t>
        </is>
      </c>
      <c r="E1734" s="9" t="inlineStr"/>
      <c r="F1734" s="9" t="inlineStr">
        <is>
          <t>BESS container (ISO 40 ft high cube)</t>
        </is>
      </c>
      <c r="G1734" s="9" t="inlineStr"/>
      <c r="H1734" s="9" t="inlineStr">
        <is>
          <t>BESS PCS / MV skid</t>
        </is>
      </c>
      <c r="I1734" s="9" t="inlineStr">
        <is>
          <t>DC 2 kV</t>
        </is>
      </c>
      <c r="J1734" s="9" t="inlineStr">
        <is>
          <t>PV / RHW-2 2 kV 1/C Cu, XLPE (DC)</t>
        </is>
      </c>
      <c r="K1734" s="9" t="inlineStr">
        <is>
          <t>PV|1/C|500</t>
        </is>
      </c>
      <c r="L1734" s="9" t="inlineStr">
        <is>
          <t>1/C</t>
        </is>
      </c>
      <c r="M1734" s="9" t="inlineStr">
        <is>
          <t>500 kcmil</t>
        </is>
      </c>
      <c r="N1734" s="9" t="n">
        <v>4</v>
      </c>
      <c r="O1734" s="9" t="n">
        <v>2</v>
      </c>
      <c r="P1734" s="9" t="n">
        <v>1500</v>
      </c>
      <c r="Q1734" s="9" t="n">
        <v>4000</v>
      </c>
      <c r="R1734" s="9" t="n"/>
      <c r="S1734" s="9" t="inlineStr">
        <is>
          <t>Tray</t>
        </is>
      </c>
      <c r="T1734" s="10" t="n">
        <v>0</v>
      </c>
      <c r="U1734" s="10" t="n">
        <v>316</v>
      </c>
      <c r="V1734" s="10">
        <f>ROUNDUP((T1734+U1734+2*'Read Me'!$B$13)*(1+'Read Me'!$B$12),-1)</f>
        <v/>
      </c>
      <c r="W1734" s="10">
        <f>V1734*N1734*O1734</f>
        <v/>
      </c>
      <c r="X1734" s="9">
        <f>IF(LEFT(I1734,2)="MV",2*N1734*IF(L1734="1/C",O1734,1),0)</f>
        <v/>
      </c>
      <c r="Y1734" s="9">
        <f>IF(OR(LEFT(K1734,4)="LVAX",LEFT(K1734,6)="MV15AX",LEFT(K1734,4)="CTAX",LEFT(K1734,2)="W|"),2*N1734*O1734,0)</f>
        <v/>
      </c>
      <c r="Z1734" s="9" t="inlineStr">
        <is>
          <t>4 sets of +/- per container (typ.)</t>
        </is>
      </c>
    </row>
    <row r="1735">
      <c r="A1735" s="9" t="inlineStr">
        <is>
          <t>H-DC-0010</t>
        </is>
      </c>
      <c r="B1735" s="9" t="inlineStr">
        <is>
          <t>H</t>
        </is>
      </c>
      <c r="C1735" s="9" t="inlineStr">
        <is>
          <t>BESS</t>
        </is>
      </c>
      <c r="D1735" s="9" t="inlineStr">
        <is>
          <t>DC 1,500 V: container to PCS (2 x 1/C per pole pair)</t>
        </is>
      </c>
      <c r="E1735" s="9" t="inlineStr"/>
      <c r="F1735" s="9" t="inlineStr">
        <is>
          <t>BESS container (ISO 40 ft high cube)</t>
        </is>
      </c>
      <c r="G1735" s="9" t="inlineStr"/>
      <c r="H1735" s="9" t="inlineStr">
        <is>
          <t>BESS PCS / MV skid</t>
        </is>
      </c>
      <c r="I1735" s="9" t="inlineStr">
        <is>
          <t>DC 2 kV</t>
        </is>
      </c>
      <c r="J1735" s="9" t="inlineStr">
        <is>
          <t>PV / RHW-2 2 kV 1/C Cu, XLPE (DC)</t>
        </is>
      </c>
      <c r="K1735" s="9" t="inlineStr">
        <is>
          <t>PV|1/C|500</t>
        </is>
      </c>
      <c r="L1735" s="9" t="inlineStr">
        <is>
          <t>1/C</t>
        </is>
      </c>
      <c r="M1735" s="9" t="inlineStr">
        <is>
          <t>500 kcmil</t>
        </is>
      </c>
      <c r="N1735" s="9" t="n">
        <v>4</v>
      </c>
      <c r="O1735" s="9" t="n">
        <v>2</v>
      </c>
      <c r="P1735" s="9" t="n">
        <v>1500</v>
      </c>
      <c r="Q1735" s="9" t="n">
        <v>4000</v>
      </c>
      <c r="R1735" s="9" t="n"/>
      <c r="S1735" s="9" t="inlineStr">
        <is>
          <t>Tray</t>
        </is>
      </c>
      <c r="T1735" s="10" t="n">
        <v>0</v>
      </c>
      <c r="U1735" s="10" t="n">
        <v>316</v>
      </c>
      <c r="V1735" s="10">
        <f>ROUNDUP((T1735+U1735+2*'Read Me'!$B$13)*(1+'Read Me'!$B$12),-1)</f>
        <v/>
      </c>
      <c r="W1735" s="10">
        <f>V1735*N1735*O1735</f>
        <v/>
      </c>
      <c r="X1735" s="9">
        <f>IF(LEFT(I1735,2)="MV",2*N1735*IF(L1735="1/C",O1735,1),0)</f>
        <v/>
      </c>
      <c r="Y1735" s="9">
        <f>IF(OR(LEFT(K1735,4)="LVAX",LEFT(K1735,6)="MV15AX",LEFT(K1735,4)="CTAX",LEFT(K1735,2)="W|"),2*N1735*O1735,0)</f>
        <v/>
      </c>
      <c r="Z1735" s="9" t="inlineStr">
        <is>
          <t>4 sets of +/- per container (typ.)</t>
        </is>
      </c>
    </row>
    <row r="1736">
      <c r="A1736" s="9" t="inlineStr">
        <is>
          <t>H-DC-0011</t>
        </is>
      </c>
      <c r="B1736" s="9" t="inlineStr">
        <is>
          <t>H</t>
        </is>
      </c>
      <c r="C1736" s="9" t="inlineStr">
        <is>
          <t>BESS</t>
        </is>
      </c>
      <c r="D1736" s="9" t="inlineStr">
        <is>
          <t>DC 1,500 V: container to PCS (2 x 1/C per pole pair)</t>
        </is>
      </c>
      <c r="E1736" s="9" t="inlineStr"/>
      <c r="F1736" s="9" t="inlineStr">
        <is>
          <t>BESS container (ISO 40 ft high cube)</t>
        </is>
      </c>
      <c r="G1736" s="9" t="inlineStr"/>
      <c r="H1736" s="9" t="inlineStr">
        <is>
          <t>BESS PCS / MV skid</t>
        </is>
      </c>
      <c r="I1736" s="9" t="inlineStr">
        <is>
          <t>DC 2 kV</t>
        </is>
      </c>
      <c r="J1736" s="9" t="inlineStr">
        <is>
          <t>PV / RHW-2 2 kV 1/C Cu, XLPE (DC)</t>
        </is>
      </c>
      <c r="K1736" s="9" t="inlineStr">
        <is>
          <t>PV|1/C|500</t>
        </is>
      </c>
      <c r="L1736" s="9" t="inlineStr">
        <is>
          <t>1/C</t>
        </is>
      </c>
      <c r="M1736" s="9" t="inlineStr">
        <is>
          <t>500 kcmil</t>
        </is>
      </c>
      <c r="N1736" s="9" t="n">
        <v>4</v>
      </c>
      <c r="O1736" s="9" t="n">
        <v>2</v>
      </c>
      <c r="P1736" s="9" t="n">
        <v>1500</v>
      </c>
      <c r="Q1736" s="9" t="n">
        <v>4000</v>
      </c>
      <c r="R1736" s="9" t="n"/>
      <c r="S1736" s="9" t="inlineStr">
        <is>
          <t>Tray</t>
        </is>
      </c>
      <c r="T1736" s="10" t="n">
        <v>0</v>
      </c>
      <c r="U1736" s="10" t="n">
        <v>284</v>
      </c>
      <c r="V1736" s="10">
        <f>ROUNDUP((T1736+U1736+2*'Read Me'!$B$13)*(1+'Read Me'!$B$12),-1)</f>
        <v/>
      </c>
      <c r="W1736" s="10">
        <f>V1736*N1736*O1736</f>
        <v/>
      </c>
      <c r="X1736" s="9">
        <f>IF(LEFT(I1736,2)="MV",2*N1736*IF(L1736="1/C",O1736,1),0)</f>
        <v/>
      </c>
      <c r="Y1736" s="9">
        <f>IF(OR(LEFT(K1736,4)="LVAX",LEFT(K1736,6)="MV15AX",LEFT(K1736,4)="CTAX",LEFT(K1736,2)="W|"),2*N1736*O1736,0)</f>
        <v/>
      </c>
      <c r="Z1736" s="9" t="inlineStr">
        <is>
          <t>4 sets of +/- per container (typ.)</t>
        </is>
      </c>
    </row>
    <row r="1737">
      <c r="A1737" s="9" t="inlineStr">
        <is>
          <t>H-DC-0012</t>
        </is>
      </c>
      <c r="B1737" s="9" t="inlineStr">
        <is>
          <t>H</t>
        </is>
      </c>
      <c r="C1737" s="9" t="inlineStr">
        <is>
          <t>BESS</t>
        </is>
      </c>
      <c r="D1737" s="9" t="inlineStr">
        <is>
          <t>DC 1,500 V: container to PCS (2 x 1/C per pole pair)</t>
        </is>
      </c>
      <c r="E1737" s="9" t="inlineStr"/>
      <c r="F1737" s="9" t="inlineStr">
        <is>
          <t>BESS container (ISO 40 ft high cube)</t>
        </is>
      </c>
      <c r="G1737" s="9" t="inlineStr"/>
      <c r="H1737" s="9" t="inlineStr">
        <is>
          <t>BESS PCS / MV skid</t>
        </is>
      </c>
      <c r="I1737" s="9" t="inlineStr">
        <is>
          <t>DC 2 kV</t>
        </is>
      </c>
      <c r="J1737" s="9" t="inlineStr">
        <is>
          <t>PV / RHW-2 2 kV 1/C Cu, XLPE (DC)</t>
        </is>
      </c>
      <c r="K1737" s="9" t="inlineStr">
        <is>
          <t>PV|1/C|500</t>
        </is>
      </c>
      <c r="L1737" s="9" t="inlineStr">
        <is>
          <t>1/C</t>
        </is>
      </c>
      <c r="M1737" s="9" t="inlineStr">
        <is>
          <t>500 kcmil</t>
        </is>
      </c>
      <c r="N1737" s="9" t="n">
        <v>4</v>
      </c>
      <c r="O1737" s="9" t="n">
        <v>2</v>
      </c>
      <c r="P1737" s="9" t="n">
        <v>1500</v>
      </c>
      <c r="Q1737" s="9" t="n">
        <v>4000</v>
      </c>
      <c r="R1737" s="9" t="n"/>
      <c r="S1737" s="9" t="inlineStr">
        <is>
          <t>Duct bank</t>
        </is>
      </c>
      <c r="T1737" s="10" t="n">
        <v>10</v>
      </c>
      <c r="U1737" s="10" t="n">
        <v>274</v>
      </c>
      <c r="V1737" s="10">
        <f>ROUNDUP((T1737+U1737+2*'Read Me'!$B$13)*(1+'Read Me'!$B$12),-1)</f>
        <v/>
      </c>
      <c r="W1737" s="10">
        <f>V1737*N1737*O1737</f>
        <v/>
      </c>
      <c r="X1737" s="9">
        <f>IF(LEFT(I1737,2)="MV",2*N1737*IF(L1737="1/C",O1737,1),0)</f>
        <v/>
      </c>
      <c r="Y1737" s="9">
        <f>IF(OR(LEFT(K1737,4)="LVAX",LEFT(K1737,6)="MV15AX",LEFT(K1737,4)="CTAX",LEFT(K1737,2)="W|"),2*N1737*O1737,0)</f>
        <v/>
      </c>
      <c r="Z1737" s="9" t="inlineStr">
        <is>
          <t>4 sets of +/- per container (typ.)</t>
        </is>
      </c>
    </row>
    <row r="1738">
      <c r="A1738" s="9" t="inlineStr">
        <is>
          <t>H-DC-0013</t>
        </is>
      </c>
      <c r="B1738" s="9" t="inlineStr">
        <is>
          <t>H</t>
        </is>
      </c>
      <c r="C1738" s="9" t="inlineStr">
        <is>
          <t>BESS</t>
        </is>
      </c>
      <c r="D1738" s="9" t="inlineStr">
        <is>
          <t>DC 1,500 V: container to PCS (2 x 1/C per pole pair)</t>
        </is>
      </c>
      <c r="E1738" s="9" t="inlineStr"/>
      <c r="F1738" s="9" t="inlineStr">
        <is>
          <t>BESS container (ISO 40 ft high cube)</t>
        </is>
      </c>
      <c r="G1738" s="9" t="inlineStr"/>
      <c r="H1738" s="9" t="inlineStr">
        <is>
          <t>BESS PCS / MV skid</t>
        </is>
      </c>
      <c r="I1738" s="9" t="inlineStr">
        <is>
          <t>DC 2 kV</t>
        </is>
      </c>
      <c r="J1738" s="9" t="inlineStr">
        <is>
          <t>PV / RHW-2 2 kV 1/C Cu, XLPE (DC)</t>
        </is>
      </c>
      <c r="K1738" s="9" t="inlineStr">
        <is>
          <t>PV|1/C|500</t>
        </is>
      </c>
      <c r="L1738" s="9" t="inlineStr">
        <is>
          <t>1/C</t>
        </is>
      </c>
      <c r="M1738" s="9" t="inlineStr">
        <is>
          <t>500 kcmil</t>
        </is>
      </c>
      <c r="N1738" s="9" t="n">
        <v>4</v>
      </c>
      <c r="O1738" s="9" t="n">
        <v>2</v>
      </c>
      <c r="P1738" s="9" t="n">
        <v>1500</v>
      </c>
      <c r="Q1738" s="9" t="n">
        <v>4000</v>
      </c>
      <c r="R1738" s="9" t="n"/>
      <c r="S1738" s="9" t="inlineStr">
        <is>
          <t>Tray</t>
        </is>
      </c>
      <c r="T1738" s="10" t="n">
        <v>0</v>
      </c>
      <c r="U1738" s="10" t="n">
        <v>290</v>
      </c>
      <c r="V1738" s="10">
        <f>ROUNDUP((T1738+U1738+2*'Read Me'!$B$13)*(1+'Read Me'!$B$12),-1)</f>
        <v/>
      </c>
      <c r="W1738" s="10">
        <f>V1738*N1738*O1738</f>
        <v/>
      </c>
      <c r="X1738" s="9">
        <f>IF(LEFT(I1738,2)="MV",2*N1738*IF(L1738="1/C",O1738,1),0)</f>
        <v/>
      </c>
      <c r="Y1738" s="9">
        <f>IF(OR(LEFT(K1738,4)="LVAX",LEFT(K1738,6)="MV15AX",LEFT(K1738,4)="CTAX",LEFT(K1738,2)="W|"),2*N1738*O1738,0)</f>
        <v/>
      </c>
      <c r="Z1738" s="9" t="inlineStr">
        <is>
          <t>4 sets of +/- per container (typ.)</t>
        </is>
      </c>
    </row>
    <row r="1739">
      <c r="A1739" s="9" t="inlineStr">
        <is>
          <t>H-DC-0014</t>
        </is>
      </c>
      <c r="B1739" s="9" t="inlineStr">
        <is>
          <t>H</t>
        </is>
      </c>
      <c r="C1739" s="9" t="inlineStr">
        <is>
          <t>BESS</t>
        </is>
      </c>
      <c r="D1739" s="9" t="inlineStr">
        <is>
          <t>DC 1,500 V: container to PCS (2 x 1/C per pole pair)</t>
        </is>
      </c>
      <c r="E1739" s="9" t="inlineStr"/>
      <c r="F1739" s="9" t="inlineStr">
        <is>
          <t>BESS container (ISO 40 ft high cube)</t>
        </is>
      </c>
      <c r="G1739" s="9" t="inlineStr"/>
      <c r="H1739" s="9" t="inlineStr">
        <is>
          <t>BESS PCS / MV skid</t>
        </is>
      </c>
      <c r="I1739" s="9" t="inlineStr">
        <is>
          <t>DC 2 kV</t>
        </is>
      </c>
      <c r="J1739" s="9" t="inlineStr">
        <is>
          <t>PV / RHW-2 2 kV 1/C Cu, XLPE (DC)</t>
        </is>
      </c>
      <c r="K1739" s="9" t="inlineStr">
        <is>
          <t>PV|1/C|500</t>
        </is>
      </c>
      <c r="L1739" s="9" t="inlineStr">
        <is>
          <t>1/C</t>
        </is>
      </c>
      <c r="M1739" s="9" t="inlineStr">
        <is>
          <t>500 kcmil</t>
        </is>
      </c>
      <c r="N1739" s="9" t="n">
        <v>4</v>
      </c>
      <c r="O1739" s="9" t="n">
        <v>2</v>
      </c>
      <c r="P1739" s="9" t="n">
        <v>1500</v>
      </c>
      <c r="Q1739" s="9" t="n">
        <v>4000</v>
      </c>
      <c r="R1739" s="9" t="n"/>
      <c r="S1739" s="9" t="inlineStr">
        <is>
          <t>Tray</t>
        </is>
      </c>
      <c r="T1739" s="10" t="n">
        <v>0</v>
      </c>
      <c r="U1739" s="10" t="n">
        <v>290</v>
      </c>
      <c r="V1739" s="10">
        <f>ROUNDUP((T1739+U1739+2*'Read Me'!$B$13)*(1+'Read Me'!$B$12),-1)</f>
        <v/>
      </c>
      <c r="W1739" s="10">
        <f>V1739*N1739*O1739</f>
        <v/>
      </c>
      <c r="X1739" s="9">
        <f>IF(LEFT(I1739,2)="MV",2*N1739*IF(L1739="1/C",O1739,1),0)</f>
        <v/>
      </c>
      <c r="Y1739" s="9">
        <f>IF(OR(LEFT(K1739,4)="LVAX",LEFT(K1739,6)="MV15AX",LEFT(K1739,4)="CTAX",LEFT(K1739,2)="W|"),2*N1739*O1739,0)</f>
        <v/>
      </c>
      <c r="Z1739" s="9" t="inlineStr">
        <is>
          <t>4 sets of +/- per container (typ.)</t>
        </is>
      </c>
    </row>
    <row r="1740">
      <c r="A1740" s="9" t="inlineStr">
        <is>
          <t>H-DC-0015</t>
        </is>
      </c>
      <c r="B1740" s="9" t="inlineStr">
        <is>
          <t>H</t>
        </is>
      </c>
      <c r="C1740" s="9" t="inlineStr">
        <is>
          <t>BESS</t>
        </is>
      </c>
      <c r="D1740" s="9" t="inlineStr">
        <is>
          <t>DC 1,500 V: container to PCS (2 x 1/C per pole pair)</t>
        </is>
      </c>
      <c r="E1740" s="9" t="inlineStr"/>
      <c r="F1740" s="9" t="inlineStr">
        <is>
          <t>BESS container (ISO 40 ft high cube)</t>
        </is>
      </c>
      <c r="G1740" s="9" t="inlineStr"/>
      <c r="H1740" s="9" t="inlineStr">
        <is>
          <t>BESS PCS / MV skid</t>
        </is>
      </c>
      <c r="I1740" s="9" t="inlineStr">
        <is>
          <t>DC 2 kV</t>
        </is>
      </c>
      <c r="J1740" s="9" t="inlineStr">
        <is>
          <t>PV / RHW-2 2 kV 1/C Cu, XLPE (DC)</t>
        </is>
      </c>
      <c r="K1740" s="9" t="inlineStr">
        <is>
          <t>PV|1/C|500</t>
        </is>
      </c>
      <c r="L1740" s="9" t="inlineStr">
        <is>
          <t>1/C</t>
        </is>
      </c>
      <c r="M1740" s="9" t="inlineStr">
        <is>
          <t>500 kcmil</t>
        </is>
      </c>
      <c r="N1740" s="9" t="n">
        <v>4</v>
      </c>
      <c r="O1740" s="9" t="n">
        <v>2</v>
      </c>
      <c r="P1740" s="9" t="n">
        <v>1500</v>
      </c>
      <c r="Q1740" s="9" t="n">
        <v>4000</v>
      </c>
      <c r="R1740" s="9" t="n"/>
      <c r="S1740" s="9" t="inlineStr">
        <is>
          <t>Tray</t>
        </is>
      </c>
      <c r="T1740" s="10" t="n">
        <v>0</v>
      </c>
      <c r="U1740" s="10" t="n">
        <v>290</v>
      </c>
      <c r="V1740" s="10">
        <f>ROUNDUP((T1740+U1740+2*'Read Me'!$B$13)*(1+'Read Me'!$B$12),-1)</f>
        <v/>
      </c>
      <c r="W1740" s="10">
        <f>V1740*N1740*O1740</f>
        <v/>
      </c>
      <c r="X1740" s="9">
        <f>IF(LEFT(I1740,2)="MV",2*N1740*IF(L1740="1/C",O1740,1),0)</f>
        <v/>
      </c>
      <c r="Y1740" s="9">
        <f>IF(OR(LEFT(K1740,4)="LVAX",LEFT(K1740,6)="MV15AX",LEFT(K1740,4)="CTAX",LEFT(K1740,2)="W|"),2*N1740*O1740,0)</f>
        <v/>
      </c>
      <c r="Z1740" s="9" t="inlineStr">
        <is>
          <t>4 sets of +/- per container (typ.)</t>
        </is>
      </c>
    </row>
    <row r="1741">
      <c r="A1741" s="9" t="inlineStr">
        <is>
          <t>H-DC-0016</t>
        </is>
      </c>
      <c r="B1741" s="9" t="inlineStr">
        <is>
          <t>H</t>
        </is>
      </c>
      <c r="C1741" s="9" t="inlineStr">
        <is>
          <t>BESS</t>
        </is>
      </c>
      <c r="D1741" s="9" t="inlineStr">
        <is>
          <t>DC 1,500 V: container to PCS (2 x 1/C per pole pair)</t>
        </is>
      </c>
      <c r="E1741" s="9" t="inlineStr"/>
      <c r="F1741" s="9" t="inlineStr">
        <is>
          <t>BESS container (ISO 40 ft high cube)</t>
        </is>
      </c>
      <c r="G1741" s="9" t="inlineStr"/>
      <c r="H1741" s="9" t="inlineStr">
        <is>
          <t>BESS PCS / MV skid</t>
        </is>
      </c>
      <c r="I1741" s="9" t="inlineStr">
        <is>
          <t>DC 2 kV</t>
        </is>
      </c>
      <c r="J1741" s="9" t="inlineStr">
        <is>
          <t>PV / RHW-2 2 kV 1/C Cu, XLPE (DC)</t>
        </is>
      </c>
      <c r="K1741" s="9" t="inlineStr">
        <is>
          <t>PV|1/C|500</t>
        </is>
      </c>
      <c r="L1741" s="9" t="inlineStr">
        <is>
          <t>1/C</t>
        </is>
      </c>
      <c r="M1741" s="9" t="inlineStr">
        <is>
          <t>500 kcmil</t>
        </is>
      </c>
      <c r="N1741" s="9" t="n">
        <v>4</v>
      </c>
      <c r="O1741" s="9" t="n">
        <v>2</v>
      </c>
      <c r="P1741" s="9" t="n">
        <v>1500</v>
      </c>
      <c r="Q1741" s="9" t="n">
        <v>4000</v>
      </c>
      <c r="R1741" s="9" t="n"/>
      <c r="S1741" s="9" t="inlineStr">
        <is>
          <t>Tray</t>
        </is>
      </c>
      <c r="T1741" s="10" t="n">
        <v>0</v>
      </c>
      <c r="U1741" s="10" t="n">
        <v>290</v>
      </c>
      <c r="V1741" s="10">
        <f>ROUNDUP((T1741+U1741+2*'Read Me'!$B$13)*(1+'Read Me'!$B$12),-1)</f>
        <v/>
      </c>
      <c r="W1741" s="10">
        <f>V1741*N1741*O1741</f>
        <v/>
      </c>
      <c r="X1741" s="9">
        <f>IF(LEFT(I1741,2)="MV",2*N1741*IF(L1741="1/C",O1741,1),0)</f>
        <v/>
      </c>
      <c r="Y1741" s="9">
        <f>IF(OR(LEFT(K1741,4)="LVAX",LEFT(K1741,6)="MV15AX",LEFT(K1741,4)="CTAX",LEFT(K1741,2)="W|"),2*N1741*O1741,0)</f>
        <v/>
      </c>
      <c r="Z1741" s="9" t="inlineStr">
        <is>
          <t>4 sets of +/- per container (typ.)</t>
        </is>
      </c>
    </row>
    <row r="1742">
      <c r="A1742" s="9" t="inlineStr">
        <is>
          <t>H-DC-0017</t>
        </is>
      </c>
      <c r="B1742" s="9" t="inlineStr">
        <is>
          <t>H</t>
        </is>
      </c>
      <c r="C1742" s="9" t="inlineStr">
        <is>
          <t>BESS</t>
        </is>
      </c>
      <c r="D1742" s="9" t="inlineStr">
        <is>
          <t>DC 1,500 V: container to PCS (2 x 1/C per pole pair)</t>
        </is>
      </c>
      <c r="E1742" s="9" t="inlineStr"/>
      <c r="F1742" s="9" t="inlineStr">
        <is>
          <t>BESS container (ISO 40 ft high cube)</t>
        </is>
      </c>
      <c r="G1742" s="9" t="inlineStr"/>
      <c r="H1742" s="9" t="inlineStr">
        <is>
          <t>BESS PCS / MV skid</t>
        </is>
      </c>
      <c r="I1742" s="9" t="inlineStr">
        <is>
          <t>DC 2 kV</t>
        </is>
      </c>
      <c r="J1742" s="9" t="inlineStr">
        <is>
          <t>PV / RHW-2 2 kV 1/C Cu, XLPE (DC)</t>
        </is>
      </c>
      <c r="K1742" s="9" t="inlineStr">
        <is>
          <t>PV|1/C|500</t>
        </is>
      </c>
      <c r="L1742" s="9" t="inlineStr">
        <is>
          <t>1/C</t>
        </is>
      </c>
      <c r="M1742" s="9" t="inlineStr">
        <is>
          <t>500 kcmil</t>
        </is>
      </c>
      <c r="N1742" s="9" t="n">
        <v>4</v>
      </c>
      <c r="O1742" s="9" t="n">
        <v>2</v>
      </c>
      <c r="P1742" s="9" t="n">
        <v>1500</v>
      </c>
      <c r="Q1742" s="9" t="n">
        <v>4000</v>
      </c>
      <c r="R1742" s="9" t="n"/>
      <c r="S1742" s="9" t="inlineStr">
        <is>
          <t>Tray</t>
        </is>
      </c>
      <c r="T1742" s="10" t="n">
        <v>0</v>
      </c>
      <c r="U1742" s="10" t="n">
        <v>290</v>
      </c>
      <c r="V1742" s="10">
        <f>ROUNDUP((T1742+U1742+2*'Read Me'!$B$13)*(1+'Read Me'!$B$12),-1)</f>
        <v/>
      </c>
      <c r="W1742" s="10">
        <f>V1742*N1742*O1742</f>
        <v/>
      </c>
      <c r="X1742" s="9">
        <f>IF(LEFT(I1742,2)="MV",2*N1742*IF(L1742="1/C",O1742,1),0)</f>
        <v/>
      </c>
      <c r="Y1742" s="9">
        <f>IF(OR(LEFT(K1742,4)="LVAX",LEFT(K1742,6)="MV15AX",LEFT(K1742,4)="CTAX",LEFT(K1742,2)="W|"),2*N1742*O1742,0)</f>
        <v/>
      </c>
      <c r="Z1742" s="9" t="inlineStr">
        <is>
          <t>4 sets of +/- per container (typ.)</t>
        </is>
      </c>
    </row>
    <row r="1743">
      <c r="A1743" s="9" t="inlineStr">
        <is>
          <t>H-DC-0018</t>
        </is>
      </c>
      <c r="B1743" s="9" t="inlineStr">
        <is>
          <t>H</t>
        </is>
      </c>
      <c r="C1743" s="9" t="inlineStr">
        <is>
          <t>BESS</t>
        </is>
      </c>
      <c r="D1743" s="9" t="inlineStr">
        <is>
          <t>DC 1,500 V: container to PCS (2 x 1/C per pole pair)</t>
        </is>
      </c>
      <c r="E1743" s="9" t="inlineStr"/>
      <c r="F1743" s="9" t="inlineStr">
        <is>
          <t>BESS container (ISO 40 ft high cube)</t>
        </is>
      </c>
      <c r="G1743" s="9" t="inlineStr"/>
      <c r="H1743" s="9" t="inlineStr">
        <is>
          <t>BESS PCS / MV skid</t>
        </is>
      </c>
      <c r="I1743" s="9" t="inlineStr">
        <is>
          <t>DC 2 kV</t>
        </is>
      </c>
      <c r="J1743" s="9" t="inlineStr">
        <is>
          <t>PV / RHW-2 2 kV 1/C Cu, XLPE (DC)</t>
        </is>
      </c>
      <c r="K1743" s="9" t="inlineStr">
        <is>
          <t>PV|1/C|500</t>
        </is>
      </c>
      <c r="L1743" s="9" t="inlineStr">
        <is>
          <t>1/C</t>
        </is>
      </c>
      <c r="M1743" s="9" t="inlineStr">
        <is>
          <t>500 kcmil</t>
        </is>
      </c>
      <c r="N1743" s="9" t="n">
        <v>4</v>
      </c>
      <c r="O1743" s="9" t="n">
        <v>2</v>
      </c>
      <c r="P1743" s="9" t="n">
        <v>1500</v>
      </c>
      <c r="Q1743" s="9" t="n">
        <v>4000</v>
      </c>
      <c r="R1743" s="9" t="n"/>
      <c r="S1743" s="9" t="inlineStr">
        <is>
          <t>Tray</t>
        </is>
      </c>
      <c r="T1743" s="10" t="n">
        <v>27</v>
      </c>
      <c r="U1743" s="10" t="n">
        <v>263</v>
      </c>
      <c r="V1743" s="10">
        <f>ROUNDUP((T1743+U1743+2*'Read Me'!$B$13)*(1+'Read Me'!$B$12),-1)</f>
        <v/>
      </c>
      <c r="W1743" s="10">
        <f>V1743*N1743*O1743</f>
        <v/>
      </c>
      <c r="X1743" s="9">
        <f>IF(LEFT(I1743,2)="MV",2*N1743*IF(L1743="1/C",O1743,1),0)</f>
        <v/>
      </c>
      <c r="Y1743" s="9">
        <f>IF(OR(LEFT(K1743,4)="LVAX",LEFT(K1743,6)="MV15AX",LEFT(K1743,4)="CTAX",LEFT(K1743,2)="W|"),2*N1743*O1743,0)</f>
        <v/>
      </c>
      <c r="Z1743" s="9" t="inlineStr">
        <is>
          <t>4 sets of +/- per container (typ.)</t>
        </is>
      </c>
    </row>
    <row r="1744">
      <c r="A1744" s="9" t="inlineStr">
        <is>
          <t>H-DC-0019</t>
        </is>
      </c>
      <c r="B1744" s="9" t="inlineStr">
        <is>
          <t>H</t>
        </is>
      </c>
      <c r="C1744" s="9" t="inlineStr">
        <is>
          <t>BESS</t>
        </is>
      </c>
      <c r="D1744" s="9" t="inlineStr">
        <is>
          <t>DC 1,500 V: container to PCS (2 x 1/C per pole pair)</t>
        </is>
      </c>
      <c r="E1744" s="9" t="inlineStr"/>
      <c r="F1744" s="9" t="inlineStr">
        <is>
          <t>BESS container (ISO 40 ft high cube)</t>
        </is>
      </c>
      <c r="G1744" s="9" t="inlineStr"/>
      <c r="H1744" s="9" t="inlineStr">
        <is>
          <t>BESS PCS / MV skid</t>
        </is>
      </c>
      <c r="I1744" s="9" t="inlineStr">
        <is>
          <t>DC 2 kV</t>
        </is>
      </c>
      <c r="J1744" s="9" t="inlineStr">
        <is>
          <t>PV / RHW-2 2 kV 1/C Cu, XLPE (DC)</t>
        </is>
      </c>
      <c r="K1744" s="9" t="inlineStr">
        <is>
          <t>PV|1/C|500</t>
        </is>
      </c>
      <c r="L1744" s="9" t="inlineStr">
        <is>
          <t>1/C</t>
        </is>
      </c>
      <c r="M1744" s="9" t="inlineStr">
        <is>
          <t>500 kcmil</t>
        </is>
      </c>
      <c r="N1744" s="9" t="n">
        <v>4</v>
      </c>
      <c r="O1744" s="9" t="n">
        <v>2</v>
      </c>
      <c r="P1744" s="9" t="n">
        <v>1500</v>
      </c>
      <c r="Q1744" s="9" t="n">
        <v>4000</v>
      </c>
      <c r="R1744" s="9" t="n"/>
      <c r="S1744" s="9" t="inlineStr">
        <is>
          <t>Tray</t>
        </is>
      </c>
      <c r="T1744" s="10" t="n">
        <v>0</v>
      </c>
      <c r="U1744" s="10" t="n">
        <v>174</v>
      </c>
      <c r="V1744" s="10">
        <f>ROUNDUP((T1744+U1744+2*'Read Me'!$B$13)*(1+'Read Me'!$B$12),-1)</f>
        <v/>
      </c>
      <c r="W1744" s="10">
        <f>V1744*N1744*O1744</f>
        <v/>
      </c>
      <c r="X1744" s="9">
        <f>IF(LEFT(I1744,2)="MV",2*N1744*IF(L1744="1/C",O1744,1),0)</f>
        <v/>
      </c>
      <c r="Y1744" s="9">
        <f>IF(OR(LEFT(K1744,4)="LVAX",LEFT(K1744,6)="MV15AX",LEFT(K1744,4)="CTAX",LEFT(K1744,2)="W|"),2*N1744*O1744,0)</f>
        <v/>
      </c>
      <c r="Z1744" s="9" t="inlineStr">
        <is>
          <t>4 sets of +/- per container (typ.)</t>
        </is>
      </c>
    </row>
    <row r="1745">
      <c r="A1745" s="9" t="inlineStr">
        <is>
          <t>H-DC-0020</t>
        </is>
      </c>
      <c r="B1745" s="9" t="inlineStr">
        <is>
          <t>H</t>
        </is>
      </c>
      <c r="C1745" s="9" t="inlineStr">
        <is>
          <t>BESS</t>
        </is>
      </c>
      <c r="D1745" s="9" t="inlineStr">
        <is>
          <t>DC 1,500 V: container to PCS (2 x 1/C per pole pair)</t>
        </is>
      </c>
      <c r="E1745" s="9" t="inlineStr"/>
      <c r="F1745" s="9" t="inlineStr">
        <is>
          <t>BESS container (ISO 40 ft high cube)</t>
        </is>
      </c>
      <c r="G1745" s="9" t="inlineStr"/>
      <c r="H1745" s="9" t="inlineStr">
        <is>
          <t>BESS PCS / MV skid</t>
        </is>
      </c>
      <c r="I1745" s="9" t="inlineStr">
        <is>
          <t>DC 2 kV</t>
        </is>
      </c>
      <c r="J1745" s="9" t="inlineStr">
        <is>
          <t>PV / RHW-2 2 kV 1/C Cu, XLPE (DC)</t>
        </is>
      </c>
      <c r="K1745" s="9" t="inlineStr">
        <is>
          <t>PV|1/C|500</t>
        </is>
      </c>
      <c r="L1745" s="9" t="inlineStr">
        <is>
          <t>1/C</t>
        </is>
      </c>
      <c r="M1745" s="9" t="inlineStr">
        <is>
          <t>500 kcmil</t>
        </is>
      </c>
      <c r="N1745" s="9" t="n">
        <v>4</v>
      </c>
      <c r="O1745" s="9" t="n">
        <v>2</v>
      </c>
      <c r="P1745" s="9" t="n">
        <v>1500</v>
      </c>
      <c r="Q1745" s="9" t="n">
        <v>4000</v>
      </c>
      <c r="R1745" s="9" t="n"/>
      <c r="S1745" s="9" t="inlineStr">
        <is>
          <t>Tray</t>
        </is>
      </c>
      <c r="T1745" s="10" t="n">
        <v>0</v>
      </c>
      <c r="U1745" s="10" t="n">
        <v>174</v>
      </c>
      <c r="V1745" s="10">
        <f>ROUNDUP((T1745+U1745+2*'Read Me'!$B$13)*(1+'Read Me'!$B$12),-1)</f>
        <v/>
      </c>
      <c r="W1745" s="10">
        <f>V1745*N1745*O1745</f>
        <v/>
      </c>
      <c r="X1745" s="9">
        <f>IF(LEFT(I1745,2)="MV",2*N1745*IF(L1745="1/C",O1745,1),0)</f>
        <v/>
      </c>
      <c r="Y1745" s="9">
        <f>IF(OR(LEFT(K1745,4)="LVAX",LEFT(K1745,6)="MV15AX",LEFT(K1745,4)="CTAX",LEFT(K1745,2)="W|"),2*N1745*O1745,0)</f>
        <v/>
      </c>
      <c r="Z1745" s="9" t="inlineStr">
        <is>
          <t>4 sets of +/- per container (typ.)</t>
        </is>
      </c>
    </row>
    <row r="1746">
      <c r="A1746" s="9" t="inlineStr">
        <is>
          <t>H-DC-0021</t>
        </is>
      </c>
      <c r="B1746" s="9" t="inlineStr">
        <is>
          <t>H</t>
        </is>
      </c>
      <c r="C1746" s="9" t="inlineStr">
        <is>
          <t>BESS</t>
        </is>
      </c>
      <c r="D1746" s="9" t="inlineStr">
        <is>
          <t>DC 1,500 V: container to PCS (2 x 1/C per pole pair)</t>
        </is>
      </c>
      <c r="E1746" s="9" t="inlineStr"/>
      <c r="F1746" s="9" t="inlineStr">
        <is>
          <t>BESS container (ISO 40 ft high cube)</t>
        </is>
      </c>
      <c r="G1746" s="9" t="inlineStr"/>
      <c r="H1746" s="9" t="inlineStr">
        <is>
          <t>BESS PCS / MV skid</t>
        </is>
      </c>
      <c r="I1746" s="9" t="inlineStr">
        <is>
          <t>DC 2 kV</t>
        </is>
      </c>
      <c r="J1746" s="9" t="inlineStr">
        <is>
          <t>PV / RHW-2 2 kV 1/C Cu, XLPE (DC)</t>
        </is>
      </c>
      <c r="K1746" s="9" t="inlineStr">
        <is>
          <t>PV|1/C|500</t>
        </is>
      </c>
      <c r="L1746" s="9" t="inlineStr">
        <is>
          <t>1/C</t>
        </is>
      </c>
      <c r="M1746" s="9" t="inlineStr">
        <is>
          <t>500 kcmil</t>
        </is>
      </c>
      <c r="N1746" s="9" t="n">
        <v>4</v>
      </c>
      <c r="O1746" s="9" t="n">
        <v>2</v>
      </c>
      <c r="P1746" s="9" t="n">
        <v>1500</v>
      </c>
      <c r="Q1746" s="9" t="n">
        <v>4000</v>
      </c>
      <c r="R1746" s="9" t="n"/>
      <c r="S1746" s="9" t="inlineStr">
        <is>
          <t>Tray</t>
        </is>
      </c>
      <c r="T1746" s="10" t="n">
        <v>0</v>
      </c>
      <c r="U1746" s="10" t="n">
        <v>174</v>
      </c>
      <c r="V1746" s="10">
        <f>ROUNDUP((T1746+U1746+2*'Read Me'!$B$13)*(1+'Read Me'!$B$12),-1)</f>
        <v/>
      </c>
      <c r="W1746" s="10">
        <f>V1746*N1746*O1746</f>
        <v/>
      </c>
      <c r="X1746" s="9">
        <f>IF(LEFT(I1746,2)="MV",2*N1746*IF(L1746="1/C",O1746,1),0)</f>
        <v/>
      </c>
      <c r="Y1746" s="9">
        <f>IF(OR(LEFT(K1746,4)="LVAX",LEFT(K1746,6)="MV15AX",LEFT(K1746,4)="CTAX",LEFT(K1746,2)="W|"),2*N1746*O1746,0)</f>
        <v/>
      </c>
      <c r="Z1746" s="9" t="inlineStr">
        <is>
          <t>4 sets of +/- per container (typ.)</t>
        </is>
      </c>
    </row>
    <row r="1747">
      <c r="A1747" s="9" t="inlineStr">
        <is>
          <t>H-DC-0022</t>
        </is>
      </c>
      <c r="B1747" s="9" t="inlineStr">
        <is>
          <t>H</t>
        </is>
      </c>
      <c r="C1747" s="9" t="inlineStr">
        <is>
          <t>BESS</t>
        </is>
      </c>
      <c r="D1747" s="9" t="inlineStr">
        <is>
          <t>DC 1,500 V: container to PCS (2 x 1/C per pole pair)</t>
        </is>
      </c>
      <c r="E1747" s="9" t="inlineStr"/>
      <c r="F1747" s="9" t="inlineStr">
        <is>
          <t>BESS container (ISO 40 ft high cube)</t>
        </is>
      </c>
      <c r="G1747" s="9" t="inlineStr"/>
      <c r="H1747" s="9" t="inlineStr">
        <is>
          <t>BESS PCS / MV skid</t>
        </is>
      </c>
      <c r="I1747" s="9" t="inlineStr">
        <is>
          <t>DC 2 kV</t>
        </is>
      </c>
      <c r="J1747" s="9" t="inlineStr">
        <is>
          <t>PV / RHW-2 2 kV 1/C Cu, XLPE (DC)</t>
        </is>
      </c>
      <c r="K1747" s="9" t="inlineStr">
        <is>
          <t>PV|1/C|500</t>
        </is>
      </c>
      <c r="L1747" s="9" t="inlineStr">
        <is>
          <t>1/C</t>
        </is>
      </c>
      <c r="M1747" s="9" t="inlineStr">
        <is>
          <t>500 kcmil</t>
        </is>
      </c>
      <c r="N1747" s="9" t="n">
        <v>4</v>
      </c>
      <c r="O1747" s="9" t="n">
        <v>2</v>
      </c>
      <c r="P1747" s="9" t="n">
        <v>1500</v>
      </c>
      <c r="Q1747" s="9" t="n">
        <v>4000</v>
      </c>
      <c r="R1747" s="9" t="n"/>
      <c r="S1747" s="9" t="inlineStr">
        <is>
          <t>Tray</t>
        </is>
      </c>
      <c r="T1747" s="10" t="n">
        <v>0</v>
      </c>
      <c r="U1747" s="10" t="n">
        <v>174</v>
      </c>
      <c r="V1747" s="10">
        <f>ROUNDUP((T1747+U1747+2*'Read Me'!$B$13)*(1+'Read Me'!$B$12),-1)</f>
        <v/>
      </c>
      <c r="W1747" s="10">
        <f>V1747*N1747*O1747</f>
        <v/>
      </c>
      <c r="X1747" s="9">
        <f>IF(LEFT(I1747,2)="MV",2*N1747*IF(L1747="1/C",O1747,1),0)</f>
        <v/>
      </c>
      <c r="Y1747" s="9">
        <f>IF(OR(LEFT(K1747,4)="LVAX",LEFT(K1747,6)="MV15AX",LEFT(K1747,4)="CTAX",LEFT(K1747,2)="W|"),2*N1747*O1747,0)</f>
        <v/>
      </c>
      <c r="Z1747" s="9" t="inlineStr">
        <is>
          <t>4 sets of +/- per container (typ.)</t>
        </is>
      </c>
    </row>
    <row r="1748">
      <c r="A1748" s="9" t="inlineStr">
        <is>
          <t>H-DC-0023</t>
        </is>
      </c>
      <c r="B1748" s="9" t="inlineStr">
        <is>
          <t>H</t>
        </is>
      </c>
      <c r="C1748" s="9" t="inlineStr">
        <is>
          <t>BESS</t>
        </is>
      </c>
      <c r="D1748" s="9" t="inlineStr">
        <is>
          <t>DC 1,500 V: container to PCS (2 x 1/C per pole pair)</t>
        </is>
      </c>
      <c r="E1748" s="9" t="inlineStr"/>
      <c r="F1748" s="9" t="inlineStr">
        <is>
          <t>BESS container (ISO 40 ft high cube)</t>
        </is>
      </c>
      <c r="G1748" s="9" t="inlineStr"/>
      <c r="H1748" s="9" t="inlineStr">
        <is>
          <t>BESS PCS / MV skid</t>
        </is>
      </c>
      <c r="I1748" s="9" t="inlineStr">
        <is>
          <t>DC 2 kV</t>
        </is>
      </c>
      <c r="J1748" s="9" t="inlineStr">
        <is>
          <t>PV / RHW-2 2 kV 1/C Cu, XLPE (DC)</t>
        </is>
      </c>
      <c r="K1748" s="9" t="inlineStr">
        <is>
          <t>PV|1/C|500</t>
        </is>
      </c>
      <c r="L1748" s="9" t="inlineStr">
        <is>
          <t>1/C</t>
        </is>
      </c>
      <c r="M1748" s="9" t="inlineStr">
        <is>
          <t>500 kcmil</t>
        </is>
      </c>
      <c r="N1748" s="9" t="n">
        <v>4</v>
      </c>
      <c r="O1748" s="9" t="n">
        <v>2</v>
      </c>
      <c r="P1748" s="9" t="n">
        <v>1500</v>
      </c>
      <c r="Q1748" s="9" t="n">
        <v>4000</v>
      </c>
      <c r="R1748" s="9" t="n"/>
      <c r="S1748" s="9" t="inlineStr">
        <is>
          <t>Tray</t>
        </is>
      </c>
      <c r="T1748" s="10" t="n">
        <v>0</v>
      </c>
      <c r="U1748" s="10" t="n">
        <v>174</v>
      </c>
      <c r="V1748" s="10">
        <f>ROUNDUP((T1748+U1748+2*'Read Me'!$B$13)*(1+'Read Me'!$B$12),-1)</f>
        <v/>
      </c>
      <c r="W1748" s="10">
        <f>V1748*N1748*O1748</f>
        <v/>
      </c>
      <c r="X1748" s="9">
        <f>IF(LEFT(I1748,2)="MV",2*N1748*IF(L1748="1/C",O1748,1),0)</f>
        <v/>
      </c>
      <c r="Y1748" s="9">
        <f>IF(OR(LEFT(K1748,4)="LVAX",LEFT(K1748,6)="MV15AX",LEFT(K1748,4)="CTAX",LEFT(K1748,2)="W|"),2*N1748*O1748,0)</f>
        <v/>
      </c>
      <c r="Z1748" s="9" t="inlineStr">
        <is>
          <t>4 sets of +/- per container (typ.)</t>
        </is>
      </c>
    </row>
    <row r="1749">
      <c r="A1749" s="9" t="inlineStr">
        <is>
          <t>H-DC-0024</t>
        </is>
      </c>
      <c r="B1749" s="9" t="inlineStr">
        <is>
          <t>H</t>
        </is>
      </c>
      <c r="C1749" s="9" t="inlineStr">
        <is>
          <t>BESS</t>
        </is>
      </c>
      <c r="D1749" s="9" t="inlineStr">
        <is>
          <t>DC 1,500 V: container to PCS (2 x 1/C per pole pair)</t>
        </is>
      </c>
      <c r="E1749" s="9" t="inlineStr"/>
      <c r="F1749" s="9" t="inlineStr">
        <is>
          <t>BESS container (ISO 40 ft high cube)</t>
        </is>
      </c>
      <c r="G1749" s="9" t="inlineStr"/>
      <c r="H1749" s="9" t="inlineStr">
        <is>
          <t>BESS PCS / MV skid</t>
        </is>
      </c>
      <c r="I1749" s="9" t="inlineStr">
        <is>
          <t>DC 2 kV</t>
        </is>
      </c>
      <c r="J1749" s="9" t="inlineStr">
        <is>
          <t>PV / RHW-2 2 kV 1/C Cu, XLPE (DC)</t>
        </is>
      </c>
      <c r="K1749" s="9" t="inlineStr">
        <is>
          <t>PV|1/C|500</t>
        </is>
      </c>
      <c r="L1749" s="9" t="inlineStr">
        <is>
          <t>1/C</t>
        </is>
      </c>
      <c r="M1749" s="9" t="inlineStr">
        <is>
          <t>500 kcmil</t>
        </is>
      </c>
      <c r="N1749" s="9" t="n">
        <v>4</v>
      </c>
      <c r="O1749" s="9" t="n">
        <v>2</v>
      </c>
      <c r="P1749" s="9" t="n">
        <v>1500</v>
      </c>
      <c r="Q1749" s="9" t="n">
        <v>4000</v>
      </c>
      <c r="R1749" s="9" t="n"/>
      <c r="S1749" s="9" t="inlineStr">
        <is>
          <t>Tray</t>
        </is>
      </c>
      <c r="T1749" s="10" t="n">
        <v>0</v>
      </c>
      <c r="U1749" s="10" t="n">
        <v>174</v>
      </c>
      <c r="V1749" s="10">
        <f>ROUNDUP((T1749+U1749+2*'Read Me'!$B$13)*(1+'Read Me'!$B$12),-1)</f>
        <v/>
      </c>
      <c r="W1749" s="10">
        <f>V1749*N1749*O1749</f>
        <v/>
      </c>
      <c r="X1749" s="9">
        <f>IF(LEFT(I1749,2)="MV",2*N1749*IF(L1749="1/C",O1749,1),0)</f>
        <v/>
      </c>
      <c r="Y1749" s="9">
        <f>IF(OR(LEFT(K1749,4)="LVAX",LEFT(K1749,6)="MV15AX",LEFT(K1749,4)="CTAX",LEFT(K1749,2)="W|"),2*N1749*O1749,0)</f>
        <v/>
      </c>
      <c r="Z1749" s="9" t="inlineStr">
        <is>
          <t>4 sets of +/- per container (typ.)</t>
        </is>
      </c>
    </row>
    <row r="1750">
      <c r="A1750" s="9" t="inlineStr">
        <is>
          <t>H-DC-0025</t>
        </is>
      </c>
      <c r="B1750" s="9" t="inlineStr">
        <is>
          <t>H</t>
        </is>
      </c>
      <c r="C1750" s="9" t="inlineStr">
        <is>
          <t>BESS</t>
        </is>
      </c>
      <c r="D1750" s="9" t="inlineStr">
        <is>
          <t>DC 1,500 V: container to PCS (2 x 1/C per pole pair)</t>
        </is>
      </c>
      <c r="E1750" s="9" t="inlineStr"/>
      <c r="F1750" s="9" t="inlineStr">
        <is>
          <t>BESS container (ISO 40 ft high cube)</t>
        </is>
      </c>
      <c r="G1750" s="9" t="inlineStr"/>
      <c r="H1750" s="9" t="inlineStr">
        <is>
          <t>BESS PCS / MV skid</t>
        </is>
      </c>
      <c r="I1750" s="9" t="inlineStr">
        <is>
          <t>DC 2 kV</t>
        </is>
      </c>
      <c r="J1750" s="9" t="inlineStr">
        <is>
          <t>PV / RHW-2 2 kV 1/C Cu, XLPE (DC)</t>
        </is>
      </c>
      <c r="K1750" s="9" t="inlineStr">
        <is>
          <t>PV|1/C|500</t>
        </is>
      </c>
      <c r="L1750" s="9" t="inlineStr">
        <is>
          <t>1/C</t>
        </is>
      </c>
      <c r="M1750" s="9" t="inlineStr">
        <is>
          <t>500 kcmil</t>
        </is>
      </c>
      <c r="N1750" s="9" t="n">
        <v>4</v>
      </c>
      <c r="O1750" s="9" t="n">
        <v>2</v>
      </c>
      <c r="P1750" s="9" t="n">
        <v>1500</v>
      </c>
      <c r="Q1750" s="9" t="n">
        <v>4000</v>
      </c>
      <c r="R1750" s="9" t="n"/>
      <c r="S1750" s="9" t="inlineStr">
        <is>
          <t>Tray</t>
        </is>
      </c>
      <c r="T1750" s="10" t="n">
        <v>0</v>
      </c>
      <c r="U1750" s="10" t="n">
        <v>62</v>
      </c>
      <c r="V1750" s="10">
        <f>ROUNDUP((T1750+U1750+2*'Read Me'!$B$13)*(1+'Read Me'!$B$12),-1)</f>
        <v/>
      </c>
      <c r="W1750" s="10">
        <f>V1750*N1750*O1750</f>
        <v/>
      </c>
      <c r="X1750" s="9">
        <f>IF(LEFT(I1750,2)="MV",2*N1750*IF(L1750="1/C",O1750,1),0)</f>
        <v/>
      </c>
      <c r="Y1750" s="9">
        <f>IF(OR(LEFT(K1750,4)="LVAX",LEFT(K1750,6)="MV15AX",LEFT(K1750,4)="CTAX",LEFT(K1750,2)="W|"),2*N1750*O1750,0)</f>
        <v/>
      </c>
      <c r="Z1750" s="9" t="inlineStr">
        <is>
          <t>4 sets of +/- per container (typ.)</t>
        </is>
      </c>
    </row>
    <row r="1751">
      <c r="A1751" s="9" t="inlineStr">
        <is>
          <t>H-DC-0026</t>
        </is>
      </c>
      <c r="B1751" s="9" t="inlineStr">
        <is>
          <t>H</t>
        </is>
      </c>
      <c r="C1751" s="9" t="inlineStr">
        <is>
          <t>BESS</t>
        </is>
      </c>
      <c r="D1751" s="9" t="inlineStr">
        <is>
          <t>DC 1,500 V: container to PCS (2 x 1/C per pole pair)</t>
        </is>
      </c>
      <c r="E1751" s="9" t="inlineStr"/>
      <c r="F1751" s="9" t="inlineStr">
        <is>
          <t>BESS container (ISO 40 ft high cube)</t>
        </is>
      </c>
      <c r="G1751" s="9" t="inlineStr"/>
      <c r="H1751" s="9" t="inlineStr">
        <is>
          <t>BESS PCS / MV skid</t>
        </is>
      </c>
      <c r="I1751" s="9" t="inlineStr">
        <is>
          <t>DC 2 kV</t>
        </is>
      </c>
      <c r="J1751" s="9" t="inlineStr">
        <is>
          <t>PV / RHW-2 2 kV 1/C Cu, XLPE (DC)</t>
        </is>
      </c>
      <c r="K1751" s="9" t="inlineStr">
        <is>
          <t>PV|1/C|500</t>
        </is>
      </c>
      <c r="L1751" s="9" t="inlineStr">
        <is>
          <t>1/C</t>
        </is>
      </c>
      <c r="M1751" s="9" t="inlineStr">
        <is>
          <t>500 kcmil</t>
        </is>
      </c>
      <c r="N1751" s="9" t="n">
        <v>4</v>
      </c>
      <c r="O1751" s="9" t="n">
        <v>2</v>
      </c>
      <c r="P1751" s="9" t="n">
        <v>1500</v>
      </c>
      <c r="Q1751" s="9" t="n">
        <v>4000</v>
      </c>
      <c r="R1751" s="9" t="n"/>
      <c r="S1751" s="9" t="inlineStr">
        <is>
          <t>Tray</t>
        </is>
      </c>
      <c r="T1751" s="10" t="n">
        <v>0</v>
      </c>
      <c r="U1751" s="10" t="n">
        <v>62</v>
      </c>
      <c r="V1751" s="10">
        <f>ROUNDUP((T1751+U1751+2*'Read Me'!$B$13)*(1+'Read Me'!$B$12),-1)</f>
        <v/>
      </c>
      <c r="W1751" s="10">
        <f>V1751*N1751*O1751</f>
        <v/>
      </c>
      <c r="X1751" s="9">
        <f>IF(LEFT(I1751,2)="MV",2*N1751*IF(L1751="1/C",O1751,1),0)</f>
        <v/>
      </c>
      <c r="Y1751" s="9">
        <f>IF(OR(LEFT(K1751,4)="LVAX",LEFT(K1751,6)="MV15AX",LEFT(K1751,4)="CTAX",LEFT(K1751,2)="W|"),2*N1751*O1751,0)</f>
        <v/>
      </c>
      <c r="Z1751" s="9" t="inlineStr">
        <is>
          <t>4 sets of +/- per container (typ.)</t>
        </is>
      </c>
    </row>
    <row r="1752">
      <c r="A1752" s="9" t="inlineStr">
        <is>
          <t>H-DC-0027</t>
        </is>
      </c>
      <c r="B1752" s="9" t="inlineStr">
        <is>
          <t>H</t>
        </is>
      </c>
      <c r="C1752" s="9" t="inlineStr">
        <is>
          <t>BESS</t>
        </is>
      </c>
      <c r="D1752" s="9" t="inlineStr">
        <is>
          <t>DC 1,500 V: container to PCS (2 x 1/C per pole pair)</t>
        </is>
      </c>
      <c r="E1752" s="9" t="inlineStr"/>
      <c r="F1752" s="9" t="inlineStr">
        <is>
          <t>BESS container (ISO 40 ft high cube)</t>
        </is>
      </c>
      <c r="G1752" s="9" t="inlineStr"/>
      <c r="H1752" s="9" t="inlineStr">
        <is>
          <t>BESS PCS / MV skid</t>
        </is>
      </c>
      <c r="I1752" s="9" t="inlineStr">
        <is>
          <t>DC 2 kV</t>
        </is>
      </c>
      <c r="J1752" s="9" t="inlineStr">
        <is>
          <t>PV / RHW-2 2 kV 1/C Cu, XLPE (DC)</t>
        </is>
      </c>
      <c r="K1752" s="9" t="inlineStr">
        <is>
          <t>PV|1/C|500</t>
        </is>
      </c>
      <c r="L1752" s="9" t="inlineStr">
        <is>
          <t>1/C</t>
        </is>
      </c>
      <c r="M1752" s="9" t="inlineStr">
        <is>
          <t>500 kcmil</t>
        </is>
      </c>
      <c r="N1752" s="9" t="n">
        <v>4</v>
      </c>
      <c r="O1752" s="9" t="n">
        <v>2</v>
      </c>
      <c r="P1752" s="9" t="n">
        <v>1500</v>
      </c>
      <c r="Q1752" s="9" t="n">
        <v>4000</v>
      </c>
      <c r="R1752" s="9" t="n"/>
      <c r="S1752" s="9" t="inlineStr">
        <is>
          <t>Tray</t>
        </is>
      </c>
      <c r="T1752" s="10" t="n">
        <v>0</v>
      </c>
      <c r="U1752" s="10" t="n">
        <v>62</v>
      </c>
      <c r="V1752" s="10">
        <f>ROUNDUP((T1752+U1752+2*'Read Me'!$B$13)*(1+'Read Me'!$B$12),-1)</f>
        <v/>
      </c>
      <c r="W1752" s="10">
        <f>V1752*N1752*O1752</f>
        <v/>
      </c>
      <c r="X1752" s="9">
        <f>IF(LEFT(I1752,2)="MV",2*N1752*IF(L1752="1/C",O1752,1),0)</f>
        <v/>
      </c>
      <c r="Y1752" s="9">
        <f>IF(OR(LEFT(K1752,4)="LVAX",LEFT(K1752,6)="MV15AX",LEFT(K1752,4)="CTAX",LEFT(K1752,2)="W|"),2*N1752*O1752,0)</f>
        <v/>
      </c>
      <c r="Z1752" s="9" t="inlineStr">
        <is>
          <t>4 sets of +/- per container (typ.)</t>
        </is>
      </c>
    </row>
    <row r="1753">
      <c r="A1753" s="9" t="inlineStr">
        <is>
          <t>H-DC-0028</t>
        </is>
      </c>
      <c r="B1753" s="9" t="inlineStr">
        <is>
          <t>H</t>
        </is>
      </c>
      <c r="C1753" s="9" t="inlineStr">
        <is>
          <t>BESS</t>
        </is>
      </c>
      <c r="D1753" s="9" t="inlineStr">
        <is>
          <t>DC 1,500 V: container to PCS (2 x 1/C per pole pair)</t>
        </is>
      </c>
      <c r="E1753" s="9" t="inlineStr"/>
      <c r="F1753" s="9" t="inlineStr">
        <is>
          <t>BESS container (ISO 40 ft high cube)</t>
        </is>
      </c>
      <c r="G1753" s="9" t="inlineStr"/>
      <c r="H1753" s="9" t="inlineStr">
        <is>
          <t>BESS PCS / MV skid</t>
        </is>
      </c>
      <c r="I1753" s="9" t="inlineStr">
        <is>
          <t>DC 2 kV</t>
        </is>
      </c>
      <c r="J1753" s="9" t="inlineStr">
        <is>
          <t>PV / RHW-2 2 kV 1/C Cu, XLPE (DC)</t>
        </is>
      </c>
      <c r="K1753" s="9" t="inlineStr">
        <is>
          <t>PV|1/C|500</t>
        </is>
      </c>
      <c r="L1753" s="9" t="inlineStr">
        <is>
          <t>1/C</t>
        </is>
      </c>
      <c r="M1753" s="9" t="inlineStr">
        <is>
          <t>500 kcmil</t>
        </is>
      </c>
      <c r="N1753" s="9" t="n">
        <v>4</v>
      </c>
      <c r="O1753" s="9" t="n">
        <v>2</v>
      </c>
      <c r="P1753" s="9" t="n">
        <v>1500</v>
      </c>
      <c r="Q1753" s="9" t="n">
        <v>4000</v>
      </c>
      <c r="R1753" s="9" t="n"/>
      <c r="S1753" s="9" t="inlineStr">
        <is>
          <t>Tray</t>
        </is>
      </c>
      <c r="T1753" s="10" t="n">
        <v>0</v>
      </c>
      <c r="U1753" s="10" t="n">
        <v>62</v>
      </c>
      <c r="V1753" s="10">
        <f>ROUNDUP((T1753+U1753+2*'Read Me'!$B$13)*(1+'Read Me'!$B$12),-1)</f>
        <v/>
      </c>
      <c r="W1753" s="10">
        <f>V1753*N1753*O1753</f>
        <v/>
      </c>
      <c r="X1753" s="9">
        <f>IF(LEFT(I1753,2)="MV",2*N1753*IF(L1753="1/C",O1753,1),0)</f>
        <v/>
      </c>
      <c r="Y1753" s="9">
        <f>IF(OR(LEFT(K1753,4)="LVAX",LEFT(K1753,6)="MV15AX",LEFT(K1753,4)="CTAX",LEFT(K1753,2)="W|"),2*N1753*O1753,0)</f>
        <v/>
      </c>
      <c r="Z1753" s="9" t="inlineStr">
        <is>
          <t>4 sets of +/- per container (typ.)</t>
        </is>
      </c>
    </row>
    <row r="1754">
      <c r="A1754" s="9" t="inlineStr">
        <is>
          <t>H-DC-0029</t>
        </is>
      </c>
      <c r="B1754" s="9" t="inlineStr">
        <is>
          <t>H</t>
        </is>
      </c>
      <c r="C1754" s="9" t="inlineStr">
        <is>
          <t>BESS</t>
        </is>
      </c>
      <c r="D1754" s="9" t="inlineStr">
        <is>
          <t>DC 1,500 V: container to PCS (2 x 1/C per pole pair)</t>
        </is>
      </c>
      <c r="E1754" s="9" t="inlineStr"/>
      <c r="F1754" s="9" t="inlineStr">
        <is>
          <t>BESS container (ISO 40 ft high cube)</t>
        </is>
      </c>
      <c r="G1754" s="9" t="inlineStr"/>
      <c r="H1754" s="9" t="inlineStr">
        <is>
          <t>BESS PCS / MV skid</t>
        </is>
      </c>
      <c r="I1754" s="9" t="inlineStr">
        <is>
          <t>DC 2 kV</t>
        </is>
      </c>
      <c r="J1754" s="9" t="inlineStr">
        <is>
          <t>PV / RHW-2 2 kV 1/C Cu, XLPE (DC)</t>
        </is>
      </c>
      <c r="K1754" s="9" t="inlineStr">
        <is>
          <t>PV|1/C|500</t>
        </is>
      </c>
      <c r="L1754" s="9" t="inlineStr">
        <is>
          <t>1/C</t>
        </is>
      </c>
      <c r="M1754" s="9" t="inlineStr">
        <is>
          <t>500 kcmil</t>
        </is>
      </c>
      <c r="N1754" s="9" t="n">
        <v>4</v>
      </c>
      <c r="O1754" s="9" t="n">
        <v>2</v>
      </c>
      <c r="P1754" s="9" t="n">
        <v>1500</v>
      </c>
      <c r="Q1754" s="9" t="n">
        <v>4000</v>
      </c>
      <c r="R1754" s="9" t="n"/>
      <c r="S1754" s="9" t="inlineStr">
        <is>
          <t>Tray</t>
        </is>
      </c>
      <c r="T1754" s="10" t="n">
        <v>0</v>
      </c>
      <c r="U1754" s="10" t="n">
        <v>62</v>
      </c>
      <c r="V1754" s="10">
        <f>ROUNDUP((T1754+U1754+2*'Read Me'!$B$13)*(1+'Read Me'!$B$12),-1)</f>
        <v/>
      </c>
      <c r="W1754" s="10">
        <f>V1754*N1754*O1754</f>
        <v/>
      </c>
      <c r="X1754" s="9">
        <f>IF(LEFT(I1754,2)="MV",2*N1754*IF(L1754="1/C",O1754,1),0)</f>
        <v/>
      </c>
      <c r="Y1754" s="9">
        <f>IF(OR(LEFT(K1754,4)="LVAX",LEFT(K1754,6)="MV15AX",LEFT(K1754,4)="CTAX",LEFT(K1754,2)="W|"),2*N1754*O1754,0)</f>
        <v/>
      </c>
      <c r="Z1754" s="9" t="inlineStr">
        <is>
          <t>4 sets of +/- per container (typ.)</t>
        </is>
      </c>
    </row>
    <row r="1755">
      <c r="A1755" s="9" t="inlineStr">
        <is>
          <t>H-DC-0030</t>
        </is>
      </c>
      <c r="B1755" s="9" t="inlineStr">
        <is>
          <t>H</t>
        </is>
      </c>
      <c r="C1755" s="9" t="inlineStr">
        <is>
          <t>BESS</t>
        </is>
      </c>
      <c r="D1755" s="9" t="inlineStr">
        <is>
          <t>DC 1,500 V: container to PCS (2 x 1/C per pole pair)</t>
        </is>
      </c>
      <c r="E1755" s="9" t="inlineStr"/>
      <c r="F1755" s="9" t="inlineStr">
        <is>
          <t>BESS container (ISO 40 ft high cube)</t>
        </is>
      </c>
      <c r="G1755" s="9" t="inlineStr"/>
      <c r="H1755" s="9" t="inlineStr">
        <is>
          <t>BESS PCS / MV skid</t>
        </is>
      </c>
      <c r="I1755" s="9" t="inlineStr">
        <is>
          <t>DC 2 kV</t>
        </is>
      </c>
      <c r="J1755" s="9" t="inlineStr">
        <is>
          <t>PV / RHW-2 2 kV 1/C Cu, XLPE (DC)</t>
        </is>
      </c>
      <c r="K1755" s="9" t="inlineStr">
        <is>
          <t>PV|1/C|500</t>
        </is>
      </c>
      <c r="L1755" s="9" t="inlineStr">
        <is>
          <t>1/C</t>
        </is>
      </c>
      <c r="M1755" s="9" t="inlineStr">
        <is>
          <t>500 kcmil</t>
        </is>
      </c>
      <c r="N1755" s="9" t="n">
        <v>4</v>
      </c>
      <c r="O1755" s="9" t="n">
        <v>2</v>
      </c>
      <c r="P1755" s="9" t="n">
        <v>1500</v>
      </c>
      <c r="Q1755" s="9" t="n">
        <v>4000</v>
      </c>
      <c r="R1755" s="9" t="n"/>
      <c r="S1755" s="9" t="inlineStr">
        <is>
          <t>Tray</t>
        </is>
      </c>
      <c r="T1755" s="10" t="n">
        <v>0</v>
      </c>
      <c r="U1755" s="10" t="n">
        <v>62</v>
      </c>
      <c r="V1755" s="10">
        <f>ROUNDUP((T1755+U1755+2*'Read Me'!$B$13)*(1+'Read Me'!$B$12),-1)</f>
        <v/>
      </c>
      <c r="W1755" s="10">
        <f>V1755*N1755*O1755</f>
        <v/>
      </c>
      <c r="X1755" s="9">
        <f>IF(LEFT(I1755,2)="MV",2*N1755*IF(L1755="1/C",O1755,1),0)</f>
        <v/>
      </c>
      <c r="Y1755" s="9">
        <f>IF(OR(LEFT(K1755,4)="LVAX",LEFT(K1755,6)="MV15AX",LEFT(K1755,4)="CTAX",LEFT(K1755,2)="W|"),2*N1755*O1755,0)</f>
        <v/>
      </c>
      <c r="Z1755" s="9" t="inlineStr">
        <is>
          <t>4 sets of +/- per container (typ.)</t>
        </is>
      </c>
    </row>
    <row r="1756">
      <c r="A1756" s="9" t="inlineStr">
        <is>
          <t>H-F-0001</t>
        </is>
      </c>
      <c r="B1756" s="9" t="inlineStr">
        <is>
          <t>H</t>
        </is>
      </c>
      <c r="C1756" s="9" t="inlineStr">
        <is>
          <t>BESS</t>
        </is>
      </c>
      <c r="D1756" s="9" t="inlineStr">
        <is>
          <t>Plant network / DCS fibre</t>
        </is>
      </c>
      <c r="E1756" s="9" t="inlineStr">
        <is>
          <t>CR</t>
        </is>
      </c>
      <c r="F1756" s="9" t="inlineStr">
        <is>
          <t>Control / admin building (main control room)</t>
        </is>
      </c>
      <c r="G1756" s="9" t="inlineStr"/>
      <c r="H1756" s="9" t="inlineStr">
        <is>
          <t>34.5 kV collector e-house (arc-resistant)</t>
        </is>
      </c>
      <c r="I1756" s="9" t="inlineStr">
        <is>
          <t>Fibre / data</t>
        </is>
      </c>
      <c r="J1756" s="9" t="inlineStr">
        <is>
          <t>Fibre optic, single-mode, 12-fibre, armored, orange jacket</t>
        </is>
      </c>
      <c r="K1756" s="9" t="inlineStr">
        <is>
          <t>FO|12 SM|-</t>
        </is>
      </c>
      <c r="L1756" s="9" t="inlineStr">
        <is>
          <t>12 SM</t>
        </is>
      </c>
      <c r="M1756" s="9" t="inlineStr">
        <is>
          <t>-</t>
        </is>
      </c>
      <c r="N1756" s="9" t="n">
        <v>1</v>
      </c>
      <c r="O1756" s="9" t="n">
        <v>1</v>
      </c>
      <c r="P1756" s="9" t="n"/>
      <c r="Q1756" s="9" t="n"/>
      <c r="R1756" s="9" t="n"/>
      <c r="S1756" s="9" t="inlineStr">
        <is>
          <t>Estimated</t>
        </is>
      </c>
      <c r="T1756" s="10" t="n">
        <v>1626</v>
      </c>
      <c r="U1756" s="10" t="n">
        <v>40</v>
      </c>
      <c r="V1756" s="10">
        <f>ROUNDUP((T1756+U1756+2*'Read Me'!$B$13)*(1+'Read Me'!$B$12),-1)</f>
        <v/>
      </c>
      <c r="W1756" s="10">
        <f>V1756*N1756*O1756</f>
        <v/>
      </c>
      <c r="X1756" s="9">
        <f>IF(LEFT(I1756,2)="MV",2*N1756*IF(L1756="1/C",O1756,1),0)</f>
        <v/>
      </c>
      <c r="Y1756" s="9">
        <f>IF(OR(LEFT(K1756,4)="LVAX",LEFT(K1756,6)="MV15AX",LEFT(K1756,4)="CTAX",LEFT(K1756,2)="W|"),2*N1756*O1756,0)</f>
        <v/>
      </c>
      <c r="Z1756" s="9" t="inlineStr"/>
    </row>
    <row r="1757">
      <c r="A1757" s="9" t="inlineStr">
        <is>
          <t>H-F-0002</t>
        </is>
      </c>
      <c r="B1757" s="9" t="inlineStr">
        <is>
          <t>H</t>
        </is>
      </c>
      <c r="C1757" s="9" t="inlineStr">
        <is>
          <t>BESS</t>
        </is>
      </c>
      <c r="D1757" s="9" t="inlineStr">
        <is>
          <t>Plant network / DCS fibre</t>
        </is>
      </c>
      <c r="E1757" s="9" t="inlineStr">
        <is>
          <t>CR</t>
        </is>
      </c>
      <c r="F1757" s="9" t="inlineStr">
        <is>
          <t>Control / admin building (main control room)</t>
        </is>
      </c>
      <c r="G1757" s="9" t="inlineStr"/>
      <c r="H1757" s="9" t="inlineStr">
        <is>
          <t>BESS EMS / SCADA and revenue metering</t>
        </is>
      </c>
      <c r="I1757" s="9" t="inlineStr">
        <is>
          <t>Fibre / data</t>
        </is>
      </c>
      <c r="J1757" s="9" t="inlineStr">
        <is>
          <t>Fibre optic, single-mode, 12-fibre, armored, orange jacket</t>
        </is>
      </c>
      <c r="K1757" s="9" t="inlineStr">
        <is>
          <t>FO|12 SM|-</t>
        </is>
      </c>
      <c r="L1757" s="9" t="inlineStr">
        <is>
          <t>12 SM</t>
        </is>
      </c>
      <c r="M1757" s="9" t="inlineStr">
        <is>
          <t>-</t>
        </is>
      </c>
      <c r="N1757" s="9" t="n">
        <v>1</v>
      </c>
      <c r="O1757" s="9" t="n">
        <v>1</v>
      </c>
      <c r="P1757" s="9" t="n"/>
      <c r="Q1757" s="9" t="n"/>
      <c r="R1757" s="9" t="n"/>
      <c r="S1757" s="9" t="inlineStr">
        <is>
          <t>Estimated</t>
        </is>
      </c>
      <c r="T1757" s="10" t="n">
        <v>1739</v>
      </c>
      <c r="U1757" s="10" t="n">
        <v>40</v>
      </c>
      <c r="V1757" s="10">
        <f>ROUNDUP((T1757+U1757+2*'Read Me'!$B$13)*(1+'Read Me'!$B$12),-1)</f>
        <v/>
      </c>
      <c r="W1757" s="10">
        <f>V1757*N1757*O1757</f>
        <v/>
      </c>
      <c r="X1757" s="9">
        <f>IF(LEFT(I1757,2)="MV",2*N1757*IF(L1757="1/C",O1757,1),0)</f>
        <v/>
      </c>
      <c r="Y1757" s="9">
        <f>IF(OR(LEFT(K1757,4)="LVAX",LEFT(K1757,6)="MV15AX",LEFT(K1757,4)="CTAX",LEFT(K1757,2)="W|"),2*N1757*O1757,0)</f>
        <v/>
      </c>
      <c r="Z1757" s="9" t="inlineStr"/>
    </row>
    <row r="1758">
      <c r="A1758" s="9" t="inlineStr">
        <is>
          <t>H-FA-0001</t>
        </is>
      </c>
      <c r="B1758" s="9" t="inlineStr">
        <is>
          <t>H</t>
        </is>
      </c>
      <c r="C1758" s="9" t="inlineStr">
        <is>
          <t>BESS</t>
        </is>
      </c>
      <c r="D1758" s="9" t="inlineStr">
        <is>
          <t>Fire alarm / F&amp;G loop (to the local FACP / F&amp;G node)</t>
        </is>
      </c>
      <c r="E1758" s="9" t="inlineStr"/>
      <c r="F1758" s="9" t="inlineStr">
        <is>
          <t>BESS EMS / SCADA and revenue metering</t>
        </is>
      </c>
      <c r="G1758" s="9" t="inlineStr"/>
      <c r="H1758" s="9" t="inlineStr">
        <is>
          <t>34.5 kV collector e-house (arc-resistant)</t>
        </is>
      </c>
      <c r="I1758" s="9" t="inlineStr">
        <is>
          <t>Fire alarm</t>
        </is>
      </c>
      <c r="J1758" s="9" t="inlineStr">
        <is>
          <t>Fire alarm FPLR 2/C #14 shielded, red jacket (NEC 760)</t>
        </is>
      </c>
      <c r="K1758" s="9" t="inlineStr">
        <is>
          <t>FA|2/C|14</t>
        </is>
      </c>
      <c r="L1758" s="9" t="inlineStr">
        <is>
          <t>2/C</t>
        </is>
      </c>
      <c r="M1758" s="9" t="inlineStr">
        <is>
          <t>14</t>
        </is>
      </c>
      <c r="N1758" s="9" t="n">
        <v>1</v>
      </c>
      <c r="O1758" s="9" t="n">
        <v>1</v>
      </c>
      <c r="P1758" s="9" t="n"/>
      <c r="Q1758" s="9" t="n"/>
      <c r="R1758" s="9" t="n"/>
      <c r="S1758" s="9" t="inlineStr">
        <is>
          <t>Duct bank</t>
        </is>
      </c>
      <c r="T1758" s="10" t="n">
        <v>68</v>
      </c>
      <c r="U1758" s="10" t="n">
        <v>37</v>
      </c>
      <c r="V1758" s="10">
        <f>ROUNDUP((T1758+U1758+2*'Read Me'!$B$13)*(1+'Read Me'!$B$12),-1)</f>
        <v/>
      </c>
      <c r="W1758" s="10">
        <f>V1758*N1758*O1758</f>
        <v/>
      </c>
      <c r="X1758" s="9">
        <f>IF(LEFT(I1758,2)="MV",2*N1758*IF(L1758="1/C",O1758,1),0)</f>
        <v/>
      </c>
      <c r="Y1758" s="9">
        <f>IF(OR(LEFT(K1758,4)="LVAX",LEFT(K1758,6)="MV15AX",LEFT(K1758,4)="CTAX",LEFT(K1758,2)="W|"),2*N1758*O1758,0)</f>
        <v/>
      </c>
      <c r="Z1758" s="9" t="inlineStr"/>
    </row>
    <row r="1759">
      <c r="A1759" s="9" t="inlineStr">
        <is>
          <t>H-FA-0002</t>
        </is>
      </c>
      <c r="B1759" s="9" t="inlineStr">
        <is>
          <t>H</t>
        </is>
      </c>
      <c r="C1759" s="9" t="inlineStr">
        <is>
          <t>BESS</t>
        </is>
      </c>
      <c r="D1759" s="9" t="inlineStr">
        <is>
          <t>Fire alarm / F&amp;G loop (to the local FACP / F&amp;G node)</t>
        </is>
      </c>
      <c r="E1759" s="9" t="inlineStr"/>
      <c r="F1759" s="9" t="inlineStr">
        <is>
          <t>BESS EMS / SCADA and revenue metering</t>
        </is>
      </c>
      <c r="G1759" s="9" t="inlineStr"/>
      <c r="H1759" s="9" t="inlineStr">
        <is>
          <t>BESS EMS / SCADA and revenue metering</t>
        </is>
      </c>
      <c r="I1759" s="9" t="inlineStr">
        <is>
          <t>Fire alarm</t>
        </is>
      </c>
      <c r="J1759" s="9" t="inlineStr">
        <is>
          <t>Fire alarm FPLR 2/C #14 shielded, red jacket (NEC 760)</t>
        </is>
      </c>
      <c r="K1759" s="9" t="inlineStr">
        <is>
          <t>FA|2/C|14</t>
        </is>
      </c>
      <c r="L1759" s="9" t="inlineStr">
        <is>
          <t>2/C</t>
        </is>
      </c>
      <c r="M1759" s="9" t="inlineStr">
        <is>
          <t>14</t>
        </is>
      </c>
      <c r="N1759" s="9" t="n">
        <v>1</v>
      </c>
      <c r="O1759" s="9" t="n">
        <v>1</v>
      </c>
      <c r="P1759" s="9" t="n"/>
      <c r="Q1759" s="9" t="n"/>
      <c r="R1759" s="9" t="n"/>
      <c r="S1759" s="9" t="inlineStr">
        <is>
          <t>Tray</t>
        </is>
      </c>
      <c r="T1759" s="10" t="n">
        <v>0</v>
      </c>
      <c r="U1759" s="10" t="n">
        <v>32</v>
      </c>
      <c r="V1759" s="10">
        <f>ROUNDUP((T1759+U1759+2*'Read Me'!$B$13)*(1+'Read Me'!$B$12),-1)</f>
        <v/>
      </c>
      <c r="W1759" s="10">
        <f>V1759*N1759*O1759</f>
        <v/>
      </c>
      <c r="X1759" s="9">
        <f>IF(LEFT(I1759,2)="MV",2*N1759*IF(L1759="1/C",O1759,1),0)</f>
        <v/>
      </c>
      <c r="Y1759" s="9">
        <f>IF(OR(LEFT(K1759,4)="LVAX",LEFT(K1759,6)="MV15AX",LEFT(K1759,4)="CTAX",LEFT(K1759,2)="W|"),2*N1759*O1759,0)</f>
        <v/>
      </c>
      <c r="Z1759" s="9" t="inlineStr"/>
    </row>
    <row r="1760">
      <c r="A1760" s="9" t="inlineStr">
        <is>
          <t>H-FA-0003</t>
        </is>
      </c>
      <c r="B1760" s="9" t="inlineStr">
        <is>
          <t>H</t>
        </is>
      </c>
      <c r="C1760" s="9" t="inlineStr">
        <is>
          <t>BESS</t>
        </is>
      </c>
      <c r="D1760" s="9" t="inlineStr">
        <is>
          <t>Fire alarm / F&amp;G loop (to the local FACP / F&amp;G node)</t>
        </is>
      </c>
      <c r="E1760" s="9" t="inlineStr"/>
      <c r="F1760" s="9" t="inlineStr">
        <is>
          <t>BESS EMS / SCADA and revenue metering</t>
        </is>
      </c>
      <c r="G1760" s="9" t="inlineStr">
        <is>
          <t>BESS</t>
        </is>
      </c>
      <c r="H1760" s="9" t="inlineStr">
        <is>
          <t>BESS blocks: 30 containers + 15 PCS / MV skids</t>
        </is>
      </c>
      <c r="I1760" s="9" t="inlineStr">
        <is>
          <t>Fire alarm</t>
        </is>
      </c>
      <c r="J1760" s="9" t="inlineStr">
        <is>
          <t>Fire alarm FPLR 2/C #14 shielded, red jacket (NEC 760)</t>
        </is>
      </c>
      <c r="K1760" s="9" t="inlineStr">
        <is>
          <t>FA|2/C|14</t>
        </is>
      </c>
      <c r="L1760" s="9" t="inlineStr">
        <is>
          <t>2/C</t>
        </is>
      </c>
      <c r="M1760" s="9" t="inlineStr">
        <is>
          <t>14</t>
        </is>
      </c>
      <c r="N1760" s="9" t="n">
        <v>1</v>
      </c>
      <c r="O1760" s="9" t="n">
        <v>1</v>
      </c>
      <c r="P1760" s="9" t="n"/>
      <c r="Q1760" s="9" t="n"/>
      <c r="R1760" s="9" t="n"/>
      <c r="S1760" s="9" t="inlineStr">
        <is>
          <t>Duct bank</t>
        </is>
      </c>
      <c r="T1760" s="10" t="n">
        <v>336</v>
      </c>
      <c r="U1760" s="10" t="n">
        <v>32</v>
      </c>
      <c r="V1760" s="10">
        <f>ROUNDUP((T1760+U1760+2*'Read Me'!$B$13)*(1+'Read Me'!$B$12),-1)</f>
        <v/>
      </c>
      <c r="W1760" s="10">
        <f>V1760*N1760*O1760</f>
        <v/>
      </c>
      <c r="X1760" s="9">
        <f>IF(LEFT(I1760,2)="MV",2*N1760*IF(L1760="1/C",O1760,1),0)</f>
        <v/>
      </c>
      <c r="Y1760" s="9">
        <f>IF(OR(LEFT(K1760,4)="LVAX",LEFT(K1760,6)="MV15AX",LEFT(K1760,4)="CTAX",LEFT(K1760,2)="W|"),2*N1760*O1760,0)</f>
        <v/>
      </c>
      <c r="Z1760" s="9" t="inlineStr"/>
    </row>
    <row r="1761">
      <c r="A1761" s="9" t="inlineStr">
        <is>
          <t>H-FA-0004</t>
        </is>
      </c>
      <c r="B1761" s="9" t="inlineStr">
        <is>
          <t>H</t>
        </is>
      </c>
      <c r="C1761" s="9" t="inlineStr">
        <is>
          <t>BESS</t>
        </is>
      </c>
      <c r="D1761" s="9" t="inlineStr">
        <is>
          <t>Fire alarm / F&amp;G loop (to the local FACP / F&amp;G node)</t>
        </is>
      </c>
      <c r="E1761" s="9" t="inlineStr"/>
      <c r="F1761" s="9" t="inlineStr">
        <is>
          <t>BESS EMS / SCADA and revenue metering</t>
        </is>
      </c>
      <c r="G1761" s="9" t="inlineStr"/>
      <c r="H1761" s="9" t="inlineStr">
        <is>
          <t>BESS container (ISO 40 ft high cube)</t>
        </is>
      </c>
      <c r="I1761" s="9" t="inlineStr">
        <is>
          <t>Fire alarm</t>
        </is>
      </c>
      <c r="J1761" s="9" t="inlineStr">
        <is>
          <t>Fire alarm FPLR 2/C #14 shielded, red jacket (NEC 760)</t>
        </is>
      </c>
      <c r="K1761" s="9" t="inlineStr">
        <is>
          <t>FA|2/C|14</t>
        </is>
      </c>
      <c r="L1761" s="9" t="inlineStr">
        <is>
          <t>2/C</t>
        </is>
      </c>
      <c r="M1761" s="9" t="inlineStr">
        <is>
          <t>14</t>
        </is>
      </c>
      <c r="N1761" s="9" t="n">
        <v>1</v>
      </c>
      <c r="O1761" s="9" t="n">
        <v>1</v>
      </c>
      <c r="P1761" s="9" t="n"/>
      <c r="Q1761" s="9" t="n"/>
      <c r="R1761" s="9" t="n"/>
      <c r="S1761" s="9" t="inlineStr">
        <is>
          <t>Duct bank</t>
        </is>
      </c>
      <c r="T1761" s="10" t="n">
        <v>300</v>
      </c>
      <c r="U1761" s="10" t="n">
        <v>89</v>
      </c>
      <c r="V1761" s="10">
        <f>ROUNDUP((T1761+U1761+2*'Read Me'!$B$13)*(1+'Read Me'!$B$12),-1)</f>
        <v/>
      </c>
      <c r="W1761" s="10">
        <f>V1761*N1761*O1761</f>
        <v/>
      </c>
      <c r="X1761" s="9">
        <f>IF(LEFT(I1761,2)="MV",2*N1761*IF(L1761="1/C",O1761,1),0)</f>
        <v/>
      </c>
      <c r="Y1761" s="9">
        <f>IF(OR(LEFT(K1761,4)="LVAX",LEFT(K1761,6)="MV15AX",LEFT(K1761,4)="CTAX",LEFT(K1761,2)="W|"),2*N1761*O1761,0)</f>
        <v/>
      </c>
      <c r="Z1761" s="9" t="inlineStr"/>
    </row>
    <row r="1762">
      <c r="A1762" s="9" t="inlineStr">
        <is>
          <t>H-FA-0005</t>
        </is>
      </c>
      <c r="B1762" s="9" t="inlineStr">
        <is>
          <t>H</t>
        </is>
      </c>
      <c r="C1762" s="9" t="inlineStr">
        <is>
          <t>BESS</t>
        </is>
      </c>
      <c r="D1762" s="9" t="inlineStr">
        <is>
          <t>Fire alarm / F&amp;G loop (to the local FACP / F&amp;G node)</t>
        </is>
      </c>
      <c r="E1762" s="9" t="inlineStr"/>
      <c r="F1762" s="9" t="inlineStr">
        <is>
          <t>BESS EMS / SCADA and revenue metering</t>
        </is>
      </c>
      <c r="G1762" s="9" t="inlineStr"/>
      <c r="H1762" s="9" t="inlineStr">
        <is>
          <t>BESS container (ISO 40 ft high cube)</t>
        </is>
      </c>
      <c r="I1762" s="9" t="inlineStr">
        <is>
          <t>Fire alarm</t>
        </is>
      </c>
      <c r="J1762" s="9" t="inlineStr">
        <is>
          <t>Fire alarm FPLR 2/C #14 shielded, red jacket (NEC 760)</t>
        </is>
      </c>
      <c r="K1762" s="9" t="inlineStr">
        <is>
          <t>FA|2/C|14</t>
        </is>
      </c>
      <c r="L1762" s="9" t="inlineStr">
        <is>
          <t>2/C</t>
        </is>
      </c>
      <c r="M1762" s="9" t="inlineStr">
        <is>
          <t>14</t>
        </is>
      </c>
      <c r="N1762" s="9" t="n">
        <v>1</v>
      </c>
      <c r="O1762" s="9" t="n">
        <v>1</v>
      </c>
      <c r="P1762" s="9" t="n"/>
      <c r="Q1762" s="9" t="n"/>
      <c r="R1762" s="9" t="n"/>
      <c r="S1762" s="9" t="inlineStr">
        <is>
          <t>Duct bank</t>
        </is>
      </c>
      <c r="T1762" s="10" t="n">
        <v>160</v>
      </c>
      <c r="U1762" s="10" t="n">
        <v>169</v>
      </c>
      <c r="V1762" s="10">
        <f>ROUNDUP((T1762+U1762+2*'Read Me'!$B$13)*(1+'Read Me'!$B$12),-1)</f>
        <v/>
      </c>
      <c r="W1762" s="10">
        <f>V1762*N1762*O1762</f>
        <v/>
      </c>
      <c r="X1762" s="9">
        <f>IF(LEFT(I1762,2)="MV",2*N1762*IF(L1762="1/C",O1762,1),0)</f>
        <v/>
      </c>
      <c r="Y1762" s="9">
        <f>IF(OR(LEFT(K1762,4)="LVAX",LEFT(K1762,6)="MV15AX",LEFT(K1762,4)="CTAX",LEFT(K1762,2)="W|"),2*N1762*O1762,0)</f>
        <v/>
      </c>
      <c r="Z1762" s="9" t="inlineStr"/>
    </row>
    <row r="1763">
      <c r="A1763" s="9" t="inlineStr">
        <is>
          <t>H-FA-0006</t>
        </is>
      </c>
      <c r="B1763" s="9" t="inlineStr">
        <is>
          <t>H</t>
        </is>
      </c>
      <c r="C1763" s="9" t="inlineStr">
        <is>
          <t>BESS</t>
        </is>
      </c>
      <c r="D1763" s="9" t="inlineStr">
        <is>
          <t>Fire alarm / F&amp;G loop (to the local FACP / F&amp;G node)</t>
        </is>
      </c>
      <c r="E1763" s="9" t="inlineStr"/>
      <c r="F1763" s="9" t="inlineStr">
        <is>
          <t>BESS EMS / SCADA and revenue metering</t>
        </is>
      </c>
      <c r="G1763" s="9" t="inlineStr"/>
      <c r="H1763" s="9" t="inlineStr">
        <is>
          <t>BESS container (ISO 40 ft high cube)</t>
        </is>
      </c>
      <c r="I1763" s="9" t="inlineStr">
        <is>
          <t>Fire alarm</t>
        </is>
      </c>
      <c r="J1763" s="9" t="inlineStr">
        <is>
          <t>Fire alarm FPLR 2/C #14 shielded, red jacket (NEC 760)</t>
        </is>
      </c>
      <c r="K1763" s="9" t="inlineStr">
        <is>
          <t>FA|2/C|14</t>
        </is>
      </c>
      <c r="L1763" s="9" t="inlineStr">
        <is>
          <t>2/C</t>
        </is>
      </c>
      <c r="M1763" s="9" t="inlineStr">
        <is>
          <t>14</t>
        </is>
      </c>
      <c r="N1763" s="9" t="n">
        <v>1</v>
      </c>
      <c r="O1763" s="9" t="n">
        <v>1</v>
      </c>
      <c r="P1763" s="9" t="n"/>
      <c r="Q1763" s="9" t="n"/>
      <c r="R1763" s="9" t="n"/>
      <c r="S1763" s="9" t="inlineStr">
        <is>
          <t>Duct bank</t>
        </is>
      </c>
      <c r="T1763" s="10" t="n">
        <v>160</v>
      </c>
      <c r="U1763" s="10" t="n">
        <v>109</v>
      </c>
      <c r="V1763" s="10">
        <f>ROUNDUP((T1763+U1763+2*'Read Me'!$B$13)*(1+'Read Me'!$B$12),-1)</f>
        <v/>
      </c>
      <c r="W1763" s="10">
        <f>V1763*N1763*O1763</f>
        <v/>
      </c>
      <c r="X1763" s="9">
        <f>IF(LEFT(I1763,2)="MV",2*N1763*IF(L1763="1/C",O1763,1),0)</f>
        <v/>
      </c>
      <c r="Y1763" s="9">
        <f>IF(OR(LEFT(K1763,4)="LVAX",LEFT(K1763,6)="MV15AX",LEFT(K1763,4)="CTAX",LEFT(K1763,2)="W|"),2*N1763*O1763,0)</f>
        <v/>
      </c>
      <c r="Z1763" s="9" t="inlineStr"/>
    </row>
    <row r="1764">
      <c r="A1764" s="9" t="inlineStr">
        <is>
          <t>H-FA-0007</t>
        </is>
      </c>
      <c r="B1764" s="9" t="inlineStr">
        <is>
          <t>H</t>
        </is>
      </c>
      <c r="C1764" s="9" t="inlineStr">
        <is>
          <t>BESS</t>
        </is>
      </c>
      <c r="D1764" s="9" t="inlineStr">
        <is>
          <t>Fire alarm / F&amp;G loop (to the local FACP / F&amp;G node)</t>
        </is>
      </c>
      <c r="E1764" s="9" t="inlineStr"/>
      <c r="F1764" s="9" t="inlineStr">
        <is>
          <t>BESS EMS / SCADA and revenue metering</t>
        </is>
      </c>
      <c r="G1764" s="9" t="inlineStr"/>
      <c r="H1764" s="9" t="inlineStr">
        <is>
          <t>BESS container (ISO 40 ft high cube)</t>
        </is>
      </c>
      <c r="I1764" s="9" t="inlineStr">
        <is>
          <t>Fire alarm</t>
        </is>
      </c>
      <c r="J1764" s="9" t="inlineStr">
        <is>
          <t>Fire alarm FPLR 2/C #14 shielded, red jacket (NEC 760)</t>
        </is>
      </c>
      <c r="K1764" s="9" t="inlineStr">
        <is>
          <t>FA|2/C|14</t>
        </is>
      </c>
      <c r="L1764" s="9" t="inlineStr">
        <is>
          <t>2/C</t>
        </is>
      </c>
      <c r="M1764" s="9" t="inlineStr">
        <is>
          <t>14</t>
        </is>
      </c>
      <c r="N1764" s="9" t="n">
        <v>1</v>
      </c>
      <c r="O1764" s="9" t="n">
        <v>1</v>
      </c>
      <c r="P1764" s="9" t="n"/>
      <c r="Q1764" s="9" t="n"/>
      <c r="R1764" s="9" t="n"/>
      <c r="S1764" s="9" t="inlineStr">
        <is>
          <t>Duct bank</t>
        </is>
      </c>
      <c r="T1764" s="10" t="n">
        <v>70</v>
      </c>
      <c r="U1764" s="10" t="n">
        <v>139</v>
      </c>
      <c r="V1764" s="10">
        <f>ROUNDUP((T1764+U1764+2*'Read Me'!$B$13)*(1+'Read Me'!$B$12),-1)</f>
        <v/>
      </c>
      <c r="W1764" s="10">
        <f>V1764*N1764*O1764</f>
        <v/>
      </c>
      <c r="X1764" s="9">
        <f>IF(LEFT(I1764,2)="MV",2*N1764*IF(L1764="1/C",O1764,1),0)</f>
        <v/>
      </c>
      <c r="Y1764" s="9">
        <f>IF(OR(LEFT(K1764,4)="LVAX",LEFT(K1764,6)="MV15AX",LEFT(K1764,4)="CTAX",LEFT(K1764,2)="W|"),2*N1764*O1764,0)</f>
        <v/>
      </c>
      <c r="Z1764" s="9" t="inlineStr"/>
    </row>
    <row r="1765">
      <c r="A1765" s="9" t="inlineStr">
        <is>
          <t>H-FA-0008</t>
        </is>
      </c>
      <c r="B1765" s="9" t="inlineStr">
        <is>
          <t>H</t>
        </is>
      </c>
      <c r="C1765" s="9" t="inlineStr">
        <is>
          <t>BESS</t>
        </is>
      </c>
      <c r="D1765" s="9" t="inlineStr">
        <is>
          <t>Fire alarm / F&amp;G loop (to the local FACP / F&amp;G node)</t>
        </is>
      </c>
      <c r="E1765" s="9" t="inlineStr"/>
      <c r="F1765" s="9" t="inlineStr">
        <is>
          <t>BESS EMS / SCADA and revenue metering</t>
        </is>
      </c>
      <c r="G1765" s="9" t="inlineStr"/>
      <c r="H1765" s="9" t="inlineStr">
        <is>
          <t>BESS container (ISO 40 ft high cube)</t>
        </is>
      </c>
      <c r="I1765" s="9" t="inlineStr">
        <is>
          <t>Fire alarm</t>
        </is>
      </c>
      <c r="J1765" s="9" t="inlineStr">
        <is>
          <t>Fire alarm FPLR 2/C #14 shielded, red jacket (NEC 760)</t>
        </is>
      </c>
      <c r="K1765" s="9" t="inlineStr">
        <is>
          <t>FA|2/C|14</t>
        </is>
      </c>
      <c r="L1765" s="9" t="inlineStr">
        <is>
          <t>2/C</t>
        </is>
      </c>
      <c r="M1765" s="9" t="inlineStr">
        <is>
          <t>14</t>
        </is>
      </c>
      <c r="N1765" s="9" t="n">
        <v>1</v>
      </c>
      <c r="O1765" s="9" t="n">
        <v>1</v>
      </c>
      <c r="P1765" s="9" t="n"/>
      <c r="Q1765" s="9" t="n"/>
      <c r="R1765" s="9" t="n"/>
      <c r="S1765" s="9" t="inlineStr">
        <is>
          <t>Duct bank</t>
        </is>
      </c>
      <c r="T1765" s="10" t="n">
        <v>30</v>
      </c>
      <c r="U1765" s="10" t="n">
        <v>93</v>
      </c>
      <c r="V1765" s="10">
        <f>ROUNDUP((T1765+U1765+2*'Read Me'!$B$13)*(1+'Read Me'!$B$12),-1)</f>
        <v/>
      </c>
      <c r="W1765" s="10">
        <f>V1765*N1765*O1765</f>
        <v/>
      </c>
      <c r="X1765" s="9">
        <f>IF(LEFT(I1765,2)="MV",2*N1765*IF(L1765="1/C",O1765,1),0)</f>
        <v/>
      </c>
      <c r="Y1765" s="9">
        <f>IF(OR(LEFT(K1765,4)="LVAX",LEFT(K1765,6)="MV15AX",LEFT(K1765,4)="CTAX",LEFT(K1765,2)="W|"),2*N1765*O1765,0)</f>
        <v/>
      </c>
      <c r="Z1765" s="9" t="inlineStr"/>
    </row>
    <row r="1766">
      <c r="A1766" s="9" t="inlineStr">
        <is>
          <t>H-FA-0009</t>
        </is>
      </c>
      <c r="B1766" s="9" t="inlineStr">
        <is>
          <t>H</t>
        </is>
      </c>
      <c r="C1766" s="9" t="inlineStr">
        <is>
          <t>BESS</t>
        </is>
      </c>
      <c r="D1766" s="9" t="inlineStr">
        <is>
          <t>Fire alarm / F&amp;G loop (to the local FACP / F&amp;G node)</t>
        </is>
      </c>
      <c r="E1766" s="9" t="inlineStr"/>
      <c r="F1766" s="9" t="inlineStr">
        <is>
          <t>BESS EMS / SCADA and revenue metering</t>
        </is>
      </c>
      <c r="G1766" s="9" t="inlineStr"/>
      <c r="H1766" s="9" t="inlineStr">
        <is>
          <t>BESS container (ISO 40 ft high cube)</t>
        </is>
      </c>
      <c r="I1766" s="9" t="inlineStr">
        <is>
          <t>Fire alarm</t>
        </is>
      </c>
      <c r="J1766" s="9" t="inlineStr">
        <is>
          <t>Fire alarm FPLR 2/C #14 shielded, red jacket (NEC 760)</t>
        </is>
      </c>
      <c r="K1766" s="9" t="inlineStr">
        <is>
          <t>FA|2/C|14</t>
        </is>
      </c>
      <c r="L1766" s="9" t="inlineStr">
        <is>
          <t>2/C</t>
        </is>
      </c>
      <c r="M1766" s="9" t="inlineStr">
        <is>
          <t>14</t>
        </is>
      </c>
      <c r="N1766" s="9" t="n">
        <v>1</v>
      </c>
      <c r="O1766" s="9" t="n">
        <v>1</v>
      </c>
      <c r="P1766" s="9" t="n"/>
      <c r="Q1766" s="9" t="n"/>
      <c r="R1766" s="9" t="n"/>
      <c r="S1766" s="9" t="inlineStr">
        <is>
          <t>Tray</t>
        </is>
      </c>
      <c r="T1766" s="10" t="n">
        <v>0</v>
      </c>
      <c r="U1766" s="10" t="n">
        <v>83</v>
      </c>
      <c r="V1766" s="10">
        <f>ROUNDUP((T1766+U1766+2*'Read Me'!$B$13)*(1+'Read Me'!$B$12),-1)</f>
        <v/>
      </c>
      <c r="W1766" s="10">
        <f>V1766*N1766*O1766</f>
        <v/>
      </c>
      <c r="X1766" s="9">
        <f>IF(LEFT(I1766,2)="MV",2*N1766*IF(L1766="1/C",O1766,1),0)</f>
        <v/>
      </c>
      <c r="Y1766" s="9">
        <f>IF(OR(LEFT(K1766,4)="LVAX",LEFT(K1766,6)="MV15AX",LEFT(K1766,4)="CTAX",LEFT(K1766,2)="W|"),2*N1766*O1766,0)</f>
        <v/>
      </c>
      <c r="Z1766" s="9" t="inlineStr"/>
    </row>
    <row r="1767">
      <c r="A1767" s="9" t="inlineStr">
        <is>
          <t>H-FA-0010</t>
        </is>
      </c>
      <c r="B1767" s="9" t="inlineStr">
        <is>
          <t>H</t>
        </is>
      </c>
      <c r="C1767" s="9" t="inlineStr">
        <is>
          <t>BESS</t>
        </is>
      </c>
      <c r="D1767" s="9" t="inlineStr">
        <is>
          <t>Fire alarm / F&amp;G loop (to the local FACP / F&amp;G node)</t>
        </is>
      </c>
      <c r="E1767" s="9" t="inlineStr"/>
      <c r="F1767" s="9" t="inlineStr">
        <is>
          <t>BESS EMS / SCADA and revenue metering</t>
        </is>
      </c>
      <c r="G1767" s="9" t="inlineStr"/>
      <c r="H1767" s="9" t="inlineStr">
        <is>
          <t>BESS container (ISO 40 ft high cube)</t>
        </is>
      </c>
      <c r="I1767" s="9" t="inlineStr">
        <is>
          <t>Fire alarm</t>
        </is>
      </c>
      <c r="J1767" s="9" t="inlineStr">
        <is>
          <t>Fire alarm FPLR 2/C #14 shielded, red jacket (NEC 760)</t>
        </is>
      </c>
      <c r="K1767" s="9" t="inlineStr">
        <is>
          <t>FA|2/C|14</t>
        </is>
      </c>
      <c r="L1767" s="9" t="inlineStr">
        <is>
          <t>2/C</t>
        </is>
      </c>
      <c r="M1767" s="9" t="inlineStr">
        <is>
          <t>14</t>
        </is>
      </c>
      <c r="N1767" s="9" t="n">
        <v>1</v>
      </c>
      <c r="O1767" s="9" t="n">
        <v>1</v>
      </c>
      <c r="P1767" s="9" t="n"/>
      <c r="Q1767" s="9" t="n"/>
      <c r="R1767" s="9" t="n"/>
      <c r="S1767" s="9" t="inlineStr">
        <is>
          <t>Duct bank</t>
        </is>
      </c>
      <c r="T1767" s="10" t="n">
        <v>300</v>
      </c>
      <c r="U1767" s="10" t="n">
        <v>147</v>
      </c>
      <c r="V1767" s="10">
        <f>ROUNDUP((T1767+U1767+2*'Read Me'!$B$13)*(1+'Read Me'!$B$12),-1)</f>
        <v/>
      </c>
      <c r="W1767" s="10">
        <f>V1767*N1767*O1767</f>
        <v/>
      </c>
      <c r="X1767" s="9">
        <f>IF(LEFT(I1767,2)="MV",2*N1767*IF(L1767="1/C",O1767,1),0)</f>
        <v/>
      </c>
      <c r="Y1767" s="9">
        <f>IF(OR(LEFT(K1767,4)="LVAX",LEFT(K1767,6)="MV15AX",LEFT(K1767,4)="CTAX",LEFT(K1767,2)="W|"),2*N1767*O1767,0)</f>
        <v/>
      </c>
      <c r="Z1767" s="9" t="inlineStr"/>
    </row>
    <row r="1768">
      <c r="A1768" s="9" t="inlineStr">
        <is>
          <t>H-FA-0011</t>
        </is>
      </c>
      <c r="B1768" s="9" t="inlineStr">
        <is>
          <t>H</t>
        </is>
      </c>
      <c r="C1768" s="9" t="inlineStr">
        <is>
          <t>BESS</t>
        </is>
      </c>
      <c r="D1768" s="9" t="inlineStr">
        <is>
          <t>Fire alarm / F&amp;G loop (to the local FACP / F&amp;G node)</t>
        </is>
      </c>
      <c r="E1768" s="9" t="inlineStr"/>
      <c r="F1768" s="9" t="inlineStr">
        <is>
          <t>BESS EMS / SCADA and revenue metering</t>
        </is>
      </c>
      <c r="G1768" s="9" t="inlineStr"/>
      <c r="H1768" s="9" t="inlineStr">
        <is>
          <t>BESS container (ISO 40 ft high cube)</t>
        </is>
      </c>
      <c r="I1768" s="9" t="inlineStr">
        <is>
          <t>Fire alarm</t>
        </is>
      </c>
      <c r="J1768" s="9" t="inlineStr">
        <is>
          <t>Fire alarm FPLR 2/C #14 shielded, red jacket (NEC 760)</t>
        </is>
      </c>
      <c r="K1768" s="9" t="inlineStr">
        <is>
          <t>FA|2/C|14</t>
        </is>
      </c>
      <c r="L1768" s="9" t="inlineStr">
        <is>
          <t>2/C</t>
        </is>
      </c>
      <c r="M1768" s="9" t="inlineStr">
        <is>
          <t>14</t>
        </is>
      </c>
      <c r="N1768" s="9" t="n">
        <v>1</v>
      </c>
      <c r="O1768" s="9" t="n">
        <v>1</v>
      </c>
      <c r="P1768" s="9" t="n"/>
      <c r="Q1768" s="9" t="n"/>
      <c r="R1768" s="9" t="n"/>
      <c r="S1768" s="9" t="inlineStr">
        <is>
          <t>Duct bank</t>
        </is>
      </c>
      <c r="T1768" s="10" t="n">
        <v>160</v>
      </c>
      <c r="U1768" s="10" t="n">
        <v>227</v>
      </c>
      <c r="V1768" s="10">
        <f>ROUNDUP((T1768+U1768+2*'Read Me'!$B$13)*(1+'Read Me'!$B$12),-1)</f>
        <v/>
      </c>
      <c r="W1768" s="10">
        <f>V1768*N1768*O1768</f>
        <v/>
      </c>
      <c r="X1768" s="9">
        <f>IF(LEFT(I1768,2)="MV",2*N1768*IF(L1768="1/C",O1768,1),0)</f>
        <v/>
      </c>
      <c r="Y1768" s="9">
        <f>IF(OR(LEFT(K1768,4)="LVAX",LEFT(K1768,6)="MV15AX",LEFT(K1768,4)="CTAX",LEFT(K1768,2)="W|"),2*N1768*O1768,0)</f>
        <v/>
      </c>
      <c r="Z1768" s="9" t="inlineStr"/>
    </row>
    <row r="1769">
      <c r="A1769" s="9" t="inlineStr">
        <is>
          <t>H-FA-0012</t>
        </is>
      </c>
      <c r="B1769" s="9" t="inlineStr">
        <is>
          <t>H</t>
        </is>
      </c>
      <c r="C1769" s="9" t="inlineStr">
        <is>
          <t>BESS</t>
        </is>
      </c>
      <c r="D1769" s="9" t="inlineStr">
        <is>
          <t>Fire alarm / F&amp;G loop (to the local FACP / F&amp;G node)</t>
        </is>
      </c>
      <c r="E1769" s="9" t="inlineStr"/>
      <c r="F1769" s="9" t="inlineStr">
        <is>
          <t>BESS EMS / SCADA and revenue metering</t>
        </is>
      </c>
      <c r="G1769" s="9" t="inlineStr"/>
      <c r="H1769" s="9" t="inlineStr">
        <is>
          <t>BESS container (ISO 40 ft high cube)</t>
        </is>
      </c>
      <c r="I1769" s="9" t="inlineStr">
        <is>
          <t>Fire alarm</t>
        </is>
      </c>
      <c r="J1769" s="9" t="inlineStr">
        <is>
          <t>Fire alarm FPLR 2/C #14 shielded, red jacket (NEC 760)</t>
        </is>
      </c>
      <c r="K1769" s="9" t="inlineStr">
        <is>
          <t>FA|2/C|14</t>
        </is>
      </c>
      <c r="L1769" s="9" t="inlineStr">
        <is>
          <t>2/C</t>
        </is>
      </c>
      <c r="M1769" s="9" t="inlineStr">
        <is>
          <t>14</t>
        </is>
      </c>
      <c r="N1769" s="9" t="n">
        <v>1</v>
      </c>
      <c r="O1769" s="9" t="n">
        <v>1</v>
      </c>
      <c r="P1769" s="9" t="n"/>
      <c r="Q1769" s="9" t="n"/>
      <c r="R1769" s="9" t="n"/>
      <c r="S1769" s="9" t="inlineStr">
        <is>
          <t>Duct bank</t>
        </is>
      </c>
      <c r="T1769" s="10" t="n">
        <v>160</v>
      </c>
      <c r="U1769" s="10" t="n">
        <v>167</v>
      </c>
      <c r="V1769" s="10">
        <f>ROUNDUP((T1769+U1769+2*'Read Me'!$B$13)*(1+'Read Me'!$B$12),-1)</f>
        <v/>
      </c>
      <c r="W1769" s="10">
        <f>V1769*N1769*O1769</f>
        <v/>
      </c>
      <c r="X1769" s="9">
        <f>IF(LEFT(I1769,2)="MV",2*N1769*IF(L1769="1/C",O1769,1),0)</f>
        <v/>
      </c>
      <c r="Y1769" s="9">
        <f>IF(OR(LEFT(K1769,4)="LVAX",LEFT(K1769,6)="MV15AX",LEFT(K1769,4)="CTAX",LEFT(K1769,2)="W|"),2*N1769*O1769,0)</f>
        <v/>
      </c>
      <c r="Z1769" s="9" t="inlineStr"/>
    </row>
    <row r="1770">
      <c r="A1770" s="9" t="inlineStr">
        <is>
          <t>H-FA-0013</t>
        </is>
      </c>
      <c r="B1770" s="9" t="inlineStr">
        <is>
          <t>H</t>
        </is>
      </c>
      <c r="C1770" s="9" t="inlineStr">
        <is>
          <t>BESS</t>
        </is>
      </c>
      <c r="D1770" s="9" t="inlineStr">
        <is>
          <t>Fire alarm / F&amp;G loop (to the local FACP / F&amp;G node)</t>
        </is>
      </c>
      <c r="E1770" s="9" t="inlineStr"/>
      <c r="F1770" s="9" t="inlineStr">
        <is>
          <t>BESS EMS / SCADA and revenue metering</t>
        </is>
      </c>
      <c r="G1770" s="9" t="inlineStr"/>
      <c r="H1770" s="9" t="inlineStr">
        <is>
          <t>BESS container (ISO 40 ft high cube)</t>
        </is>
      </c>
      <c r="I1770" s="9" t="inlineStr">
        <is>
          <t>Fire alarm</t>
        </is>
      </c>
      <c r="J1770" s="9" t="inlineStr">
        <is>
          <t>Fire alarm FPLR 2/C #14 shielded, red jacket (NEC 760)</t>
        </is>
      </c>
      <c r="K1770" s="9" t="inlineStr">
        <is>
          <t>FA|2/C|14</t>
        </is>
      </c>
      <c r="L1770" s="9" t="inlineStr">
        <is>
          <t>2/C</t>
        </is>
      </c>
      <c r="M1770" s="9" t="inlineStr">
        <is>
          <t>14</t>
        </is>
      </c>
      <c r="N1770" s="9" t="n">
        <v>1</v>
      </c>
      <c r="O1770" s="9" t="n">
        <v>1</v>
      </c>
      <c r="P1770" s="9" t="n"/>
      <c r="Q1770" s="9" t="n"/>
      <c r="R1770" s="9" t="n"/>
      <c r="S1770" s="9" t="inlineStr">
        <is>
          <t>Duct bank</t>
        </is>
      </c>
      <c r="T1770" s="10" t="n">
        <v>30</v>
      </c>
      <c r="U1770" s="10" t="n">
        <v>211</v>
      </c>
      <c r="V1770" s="10">
        <f>ROUNDUP((T1770+U1770+2*'Read Me'!$B$13)*(1+'Read Me'!$B$12),-1)</f>
        <v/>
      </c>
      <c r="W1770" s="10">
        <f>V1770*N1770*O1770</f>
        <v/>
      </c>
      <c r="X1770" s="9">
        <f>IF(LEFT(I1770,2)="MV",2*N1770*IF(L1770="1/C",O1770,1),0)</f>
        <v/>
      </c>
      <c r="Y1770" s="9">
        <f>IF(OR(LEFT(K1770,4)="LVAX",LEFT(K1770,6)="MV15AX",LEFT(K1770,4)="CTAX",LEFT(K1770,2)="W|"),2*N1770*O1770,0)</f>
        <v/>
      </c>
      <c r="Z1770" s="9" t="inlineStr"/>
    </row>
    <row r="1771">
      <c r="A1771" s="9" t="inlineStr">
        <is>
          <t>H-FA-0014</t>
        </is>
      </c>
      <c r="B1771" s="9" t="inlineStr">
        <is>
          <t>H</t>
        </is>
      </c>
      <c r="C1771" s="9" t="inlineStr">
        <is>
          <t>BESS</t>
        </is>
      </c>
      <c r="D1771" s="9" t="inlineStr">
        <is>
          <t>Fire alarm / F&amp;G loop (to the local FACP / F&amp;G node)</t>
        </is>
      </c>
      <c r="E1771" s="9" t="inlineStr"/>
      <c r="F1771" s="9" t="inlineStr">
        <is>
          <t>BESS EMS / SCADA and revenue metering</t>
        </is>
      </c>
      <c r="G1771" s="9" t="inlineStr"/>
      <c r="H1771" s="9" t="inlineStr">
        <is>
          <t>BESS container (ISO 40 ft high cube)</t>
        </is>
      </c>
      <c r="I1771" s="9" t="inlineStr">
        <is>
          <t>Fire alarm</t>
        </is>
      </c>
      <c r="J1771" s="9" t="inlineStr">
        <is>
          <t>Fire alarm FPLR 2/C #14 shielded, red jacket (NEC 760)</t>
        </is>
      </c>
      <c r="K1771" s="9" t="inlineStr">
        <is>
          <t>FA|2/C|14</t>
        </is>
      </c>
      <c r="L1771" s="9" t="inlineStr">
        <is>
          <t>2/C</t>
        </is>
      </c>
      <c r="M1771" s="9" t="inlineStr">
        <is>
          <t>14</t>
        </is>
      </c>
      <c r="N1771" s="9" t="n">
        <v>1</v>
      </c>
      <c r="O1771" s="9" t="n">
        <v>1</v>
      </c>
      <c r="P1771" s="9" t="n"/>
      <c r="Q1771" s="9" t="n"/>
      <c r="R1771" s="9" t="n"/>
      <c r="S1771" s="9" t="inlineStr">
        <is>
          <t>Duct bank</t>
        </is>
      </c>
      <c r="T1771" s="10" t="n">
        <v>30</v>
      </c>
      <c r="U1771" s="10" t="n">
        <v>151</v>
      </c>
      <c r="V1771" s="10">
        <f>ROUNDUP((T1771+U1771+2*'Read Me'!$B$13)*(1+'Read Me'!$B$12),-1)</f>
        <v/>
      </c>
      <c r="W1771" s="10">
        <f>V1771*N1771*O1771</f>
        <v/>
      </c>
      <c r="X1771" s="9">
        <f>IF(LEFT(I1771,2)="MV",2*N1771*IF(L1771="1/C",O1771,1),0)</f>
        <v/>
      </c>
      <c r="Y1771" s="9">
        <f>IF(OR(LEFT(K1771,4)="LVAX",LEFT(K1771,6)="MV15AX",LEFT(K1771,4)="CTAX",LEFT(K1771,2)="W|"),2*N1771*O1771,0)</f>
        <v/>
      </c>
      <c r="Z1771" s="9" t="inlineStr"/>
    </row>
    <row r="1772">
      <c r="A1772" s="9" t="inlineStr">
        <is>
          <t>H-FA-0015</t>
        </is>
      </c>
      <c r="B1772" s="9" t="inlineStr">
        <is>
          <t>H</t>
        </is>
      </c>
      <c r="C1772" s="9" t="inlineStr">
        <is>
          <t>BESS</t>
        </is>
      </c>
      <c r="D1772" s="9" t="inlineStr">
        <is>
          <t>Fire alarm / F&amp;G loop (to the local FACP / F&amp;G node)</t>
        </is>
      </c>
      <c r="E1772" s="9" t="inlineStr"/>
      <c r="F1772" s="9" t="inlineStr">
        <is>
          <t>BESS EMS / SCADA and revenue metering</t>
        </is>
      </c>
      <c r="G1772" s="9" t="inlineStr"/>
      <c r="H1772" s="9" t="inlineStr">
        <is>
          <t>BESS container (ISO 40 ft high cube)</t>
        </is>
      </c>
      <c r="I1772" s="9" t="inlineStr">
        <is>
          <t>Fire alarm</t>
        </is>
      </c>
      <c r="J1772" s="9" t="inlineStr">
        <is>
          <t>Fire alarm FPLR 2/C #14 shielded, red jacket (NEC 760)</t>
        </is>
      </c>
      <c r="K1772" s="9" t="inlineStr">
        <is>
          <t>FA|2/C|14</t>
        </is>
      </c>
      <c r="L1772" s="9" t="inlineStr">
        <is>
          <t>2/C</t>
        </is>
      </c>
      <c r="M1772" s="9" t="inlineStr">
        <is>
          <t>14</t>
        </is>
      </c>
      <c r="N1772" s="9" t="n">
        <v>1</v>
      </c>
      <c r="O1772" s="9" t="n">
        <v>1</v>
      </c>
      <c r="P1772" s="9" t="n"/>
      <c r="Q1772" s="9" t="n"/>
      <c r="R1772" s="9" t="n"/>
      <c r="S1772" s="9" t="inlineStr">
        <is>
          <t>Tray</t>
        </is>
      </c>
      <c r="T1772" s="10" t="n">
        <v>0</v>
      </c>
      <c r="U1772" s="10" t="n">
        <v>141</v>
      </c>
      <c r="V1772" s="10">
        <f>ROUNDUP((T1772+U1772+2*'Read Me'!$B$13)*(1+'Read Me'!$B$12),-1)</f>
        <v/>
      </c>
      <c r="W1772" s="10">
        <f>V1772*N1772*O1772</f>
        <v/>
      </c>
      <c r="X1772" s="9">
        <f>IF(LEFT(I1772,2)="MV",2*N1772*IF(L1772="1/C",O1772,1),0)</f>
        <v/>
      </c>
      <c r="Y1772" s="9">
        <f>IF(OR(LEFT(K1772,4)="LVAX",LEFT(K1772,6)="MV15AX",LEFT(K1772,4)="CTAX",LEFT(K1772,2)="W|"),2*N1772*O1772,0)</f>
        <v/>
      </c>
      <c r="Z1772" s="9" t="inlineStr"/>
    </row>
    <row r="1773">
      <c r="A1773" s="9" t="inlineStr">
        <is>
          <t>H-FA-0016</t>
        </is>
      </c>
      <c r="B1773" s="9" t="inlineStr">
        <is>
          <t>H</t>
        </is>
      </c>
      <c r="C1773" s="9" t="inlineStr">
        <is>
          <t>BESS</t>
        </is>
      </c>
      <c r="D1773" s="9" t="inlineStr">
        <is>
          <t>Fire alarm / F&amp;G loop (to the local FACP / F&amp;G node)</t>
        </is>
      </c>
      <c r="E1773" s="9" t="inlineStr"/>
      <c r="F1773" s="9" t="inlineStr">
        <is>
          <t>BESS EMS / SCADA and revenue metering</t>
        </is>
      </c>
      <c r="G1773" s="9" t="inlineStr"/>
      <c r="H1773" s="9" t="inlineStr">
        <is>
          <t>BESS container (ISO 40 ft high cube)</t>
        </is>
      </c>
      <c r="I1773" s="9" t="inlineStr">
        <is>
          <t>Fire alarm</t>
        </is>
      </c>
      <c r="J1773" s="9" t="inlineStr">
        <is>
          <t>Fire alarm FPLR 2/C #14 shielded, red jacket (NEC 760)</t>
        </is>
      </c>
      <c r="K1773" s="9" t="inlineStr">
        <is>
          <t>FA|2/C|14</t>
        </is>
      </c>
      <c r="L1773" s="9" t="inlineStr">
        <is>
          <t>2/C</t>
        </is>
      </c>
      <c r="M1773" s="9" t="inlineStr">
        <is>
          <t>14</t>
        </is>
      </c>
      <c r="N1773" s="9" t="n">
        <v>1</v>
      </c>
      <c r="O1773" s="9" t="n">
        <v>1</v>
      </c>
      <c r="P1773" s="9" t="n"/>
      <c r="Q1773" s="9" t="n"/>
      <c r="R1773" s="9" t="n"/>
      <c r="S1773" s="9" t="inlineStr">
        <is>
          <t>Duct bank</t>
        </is>
      </c>
      <c r="T1773" s="10" t="n">
        <v>300</v>
      </c>
      <c r="U1773" s="10" t="n">
        <v>205</v>
      </c>
      <c r="V1773" s="10">
        <f>ROUNDUP((T1773+U1773+2*'Read Me'!$B$13)*(1+'Read Me'!$B$12),-1)</f>
        <v/>
      </c>
      <c r="W1773" s="10">
        <f>V1773*N1773*O1773</f>
        <v/>
      </c>
      <c r="X1773" s="9">
        <f>IF(LEFT(I1773,2)="MV",2*N1773*IF(L1773="1/C",O1773,1),0)</f>
        <v/>
      </c>
      <c r="Y1773" s="9">
        <f>IF(OR(LEFT(K1773,4)="LVAX",LEFT(K1773,6)="MV15AX",LEFT(K1773,4)="CTAX",LEFT(K1773,2)="W|"),2*N1773*O1773,0)</f>
        <v/>
      </c>
      <c r="Z1773" s="9" t="inlineStr"/>
    </row>
    <row r="1774">
      <c r="A1774" s="9" t="inlineStr">
        <is>
          <t>H-FA-0017</t>
        </is>
      </c>
      <c r="B1774" s="9" t="inlineStr">
        <is>
          <t>H</t>
        </is>
      </c>
      <c r="C1774" s="9" t="inlineStr">
        <is>
          <t>BESS</t>
        </is>
      </c>
      <c r="D1774" s="9" t="inlineStr">
        <is>
          <t>Fire alarm / F&amp;G loop (to the local FACP / F&amp;G node)</t>
        </is>
      </c>
      <c r="E1774" s="9" t="inlineStr"/>
      <c r="F1774" s="9" t="inlineStr">
        <is>
          <t>BESS EMS / SCADA and revenue metering</t>
        </is>
      </c>
      <c r="G1774" s="9" t="inlineStr"/>
      <c r="H1774" s="9" t="inlineStr">
        <is>
          <t>BESS container (ISO 40 ft high cube)</t>
        </is>
      </c>
      <c r="I1774" s="9" t="inlineStr">
        <is>
          <t>Fire alarm</t>
        </is>
      </c>
      <c r="J1774" s="9" t="inlineStr">
        <is>
          <t>Fire alarm FPLR 2/C #14 shielded, red jacket (NEC 760)</t>
        </is>
      </c>
      <c r="K1774" s="9" t="inlineStr">
        <is>
          <t>FA|2/C|14</t>
        </is>
      </c>
      <c r="L1774" s="9" t="inlineStr">
        <is>
          <t>2/C</t>
        </is>
      </c>
      <c r="M1774" s="9" t="inlineStr">
        <is>
          <t>14</t>
        </is>
      </c>
      <c r="N1774" s="9" t="n">
        <v>1</v>
      </c>
      <c r="O1774" s="9" t="n">
        <v>1</v>
      </c>
      <c r="P1774" s="9" t="n"/>
      <c r="Q1774" s="9" t="n"/>
      <c r="R1774" s="9" t="n"/>
      <c r="S1774" s="9" t="inlineStr">
        <is>
          <t>Duct bank</t>
        </is>
      </c>
      <c r="T1774" s="10" t="n">
        <v>300</v>
      </c>
      <c r="U1774" s="10" t="n">
        <v>205</v>
      </c>
      <c r="V1774" s="10">
        <f>ROUNDUP((T1774+U1774+2*'Read Me'!$B$13)*(1+'Read Me'!$B$12),-1)</f>
        <v/>
      </c>
      <c r="W1774" s="10">
        <f>V1774*N1774*O1774</f>
        <v/>
      </c>
      <c r="X1774" s="9">
        <f>IF(LEFT(I1774,2)="MV",2*N1774*IF(L1774="1/C",O1774,1),0)</f>
        <v/>
      </c>
      <c r="Y1774" s="9">
        <f>IF(OR(LEFT(K1774,4)="LVAX",LEFT(K1774,6)="MV15AX",LEFT(K1774,4)="CTAX",LEFT(K1774,2)="W|"),2*N1774*O1774,0)</f>
        <v/>
      </c>
      <c r="Z1774" s="9" t="inlineStr"/>
    </row>
    <row r="1775">
      <c r="A1775" s="9" t="inlineStr">
        <is>
          <t>H-FA-0018</t>
        </is>
      </c>
      <c r="B1775" s="9" t="inlineStr">
        <is>
          <t>H</t>
        </is>
      </c>
      <c r="C1775" s="9" t="inlineStr">
        <is>
          <t>BESS</t>
        </is>
      </c>
      <c r="D1775" s="9" t="inlineStr">
        <is>
          <t>Fire alarm / F&amp;G loop (to the local FACP / F&amp;G node)</t>
        </is>
      </c>
      <c r="E1775" s="9" t="inlineStr"/>
      <c r="F1775" s="9" t="inlineStr">
        <is>
          <t>BESS EMS / SCADA and revenue metering</t>
        </is>
      </c>
      <c r="G1775" s="9" t="inlineStr"/>
      <c r="H1775" s="9" t="inlineStr">
        <is>
          <t>BESS container (ISO 40 ft high cube)</t>
        </is>
      </c>
      <c r="I1775" s="9" t="inlineStr">
        <is>
          <t>Fire alarm</t>
        </is>
      </c>
      <c r="J1775" s="9" t="inlineStr">
        <is>
          <t>Fire alarm FPLR 2/C #14 shielded, red jacket (NEC 760)</t>
        </is>
      </c>
      <c r="K1775" s="9" t="inlineStr">
        <is>
          <t>FA|2/C|14</t>
        </is>
      </c>
      <c r="L1775" s="9" t="inlineStr">
        <is>
          <t>2/C</t>
        </is>
      </c>
      <c r="M1775" s="9" t="inlineStr">
        <is>
          <t>14</t>
        </is>
      </c>
      <c r="N1775" s="9" t="n">
        <v>1</v>
      </c>
      <c r="O1775" s="9" t="n">
        <v>1</v>
      </c>
      <c r="P1775" s="9" t="n"/>
      <c r="Q1775" s="9" t="n"/>
      <c r="R1775" s="9" t="n"/>
      <c r="S1775" s="9" t="inlineStr">
        <is>
          <t>Duct bank</t>
        </is>
      </c>
      <c r="T1775" s="10" t="n">
        <v>160</v>
      </c>
      <c r="U1775" s="10" t="n">
        <v>225</v>
      </c>
      <c r="V1775" s="10">
        <f>ROUNDUP((T1775+U1775+2*'Read Me'!$B$13)*(1+'Read Me'!$B$12),-1)</f>
        <v/>
      </c>
      <c r="W1775" s="10">
        <f>V1775*N1775*O1775</f>
        <v/>
      </c>
      <c r="X1775" s="9">
        <f>IF(LEFT(I1775,2)="MV",2*N1775*IF(L1775="1/C",O1775,1),0)</f>
        <v/>
      </c>
      <c r="Y1775" s="9">
        <f>IF(OR(LEFT(K1775,4)="LVAX",LEFT(K1775,6)="MV15AX",LEFT(K1775,4)="CTAX",LEFT(K1775,2)="W|"),2*N1775*O1775,0)</f>
        <v/>
      </c>
      <c r="Z1775" s="9" t="inlineStr"/>
    </row>
    <row r="1776">
      <c r="A1776" s="9" t="inlineStr">
        <is>
          <t>H-FA-0019</t>
        </is>
      </c>
      <c r="B1776" s="9" t="inlineStr">
        <is>
          <t>H</t>
        </is>
      </c>
      <c r="C1776" s="9" t="inlineStr">
        <is>
          <t>BESS</t>
        </is>
      </c>
      <c r="D1776" s="9" t="inlineStr">
        <is>
          <t>Fire alarm / F&amp;G loop (to the local FACP / F&amp;G node)</t>
        </is>
      </c>
      <c r="E1776" s="9" t="inlineStr"/>
      <c r="F1776" s="9" t="inlineStr">
        <is>
          <t>BESS EMS / SCADA and revenue metering</t>
        </is>
      </c>
      <c r="G1776" s="9" t="inlineStr"/>
      <c r="H1776" s="9" t="inlineStr">
        <is>
          <t>BESS container (ISO 40 ft high cube)</t>
        </is>
      </c>
      <c r="I1776" s="9" t="inlineStr">
        <is>
          <t>Fire alarm</t>
        </is>
      </c>
      <c r="J1776" s="9" t="inlineStr">
        <is>
          <t>Fire alarm FPLR 2/C #14 shielded, red jacket (NEC 760)</t>
        </is>
      </c>
      <c r="K1776" s="9" t="inlineStr">
        <is>
          <t>FA|2/C|14</t>
        </is>
      </c>
      <c r="L1776" s="9" t="inlineStr">
        <is>
          <t>2/C</t>
        </is>
      </c>
      <c r="M1776" s="9" t="inlineStr">
        <is>
          <t>14</t>
        </is>
      </c>
      <c r="N1776" s="9" t="n">
        <v>1</v>
      </c>
      <c r="O1776" s="9" t="n">
        <v>1</v>
      </c>
      <c r="P1776" s="9" t="n"/>
      <c r="Q1776" s="9" t="n"/>
      <c r="R1776" s="9" t="n"/>
      <c r="S1776" s="9" t="inlineStr">
        <is>
          <t>Duct bank</t>
        </is>
      </c>
      <c r="T1776" s="10" t="n">
        <v>160</v>
      </c>
      <c r="U1776" s="10" t="n">
        <v>225</v>
      </c>
      <c r="V1776" s="10">
        <f>ROUNDUP((T1776+U1776+2*'Read Me'!$B$13)*(1+'Read Me'!$B$12),-1)</f>
        <v/>
      </c>
      <c r="W1776" s="10">
        <f>V1776*N1776*O1776</f>
        <v/>
      </c>
      <c r="X1776" s="9">
        <f>IF(LEFT(I1776,2)="MV",2*N1776*IF(L1776="1/C",O1776,1),0)</f>
        <v/>
      </c>
      <c r="Y1776" s="9">
        <f>IF(OR(LEFT(K1776,4)="LVAX",LEFT(K1776,6)="MV15AX",LEFT(K1776,4)="CTAX",LEFT(K1776,2)="W|"),2*N1776*O1776,0)</f>
        <v/>
      </c>
      <c r="Z1776" s="9" t="inlineStr"/>
    </row>
    <row r="1777">
      <c r="A1777" s="9" t="inlineStr">
        <is>
          <t>H-FA-0020</t>
        </is>
      </c>
      <c r="B1777" s="9" t="inlineStr">
        <is>
          <t>H</t>
        </is>
      </c>
      <c r="C1777" s="9" t="inlineStr">
        <is>
          <t>BESS</t>
        </is>
      </c>
      <c r="D1777" s="9" t="inlineStr">
        <is>
          <t>Fire alarm / F&amp;G loop (to the local FACP / F&amp;G node)</t>
        </is>
      </c>
      <c r="E1777" s="9" t="inlineStr"/>
      <c r="F1777" s="9" t="inlineStr">
        <is>
          <t>BESS EMS / SCADA and revenue metering</t>
        </is>
      </c>
      <c r="G1777" s="9" t="inlineStr"/>
      <c r="H1777" s="9" t="inlineStr">
        <is>
          <t>BESS container (ISO 40 ft high cube)</t>
        </is>
      </c>
      <c r="I1777" s="9" t="inlineStr">
        <is>
          <t>Fire alarm</t>
        </is>
      </c>
      <c r="J1777" s="9" t="inlineStr">
        <is>
          <t>Fire alarm FPLR 2/C #14 shielded, red jacket (NEC 760)</t>
        </is>
      </c>
      <c r="K1777" s="9" t="inlineStr">
        <is>
          <t>FA|2/C|14</t>
        </is>
      </c>
      <c r="L1777" s="9" t="inlineStr">
        <is>
          <t>2/C</t>
        </is>
      </c>
      <c r="M1777" s="9" t="inlineStr">
        <is>
          <t>14</t>
        </is>
      </c>
      <c r="N1777" s="9" t="n">
        <v>1</v>
      </c>
      <c r="O1777" s="9" t="n">
        <v>1</v>
      </c>
      <c r="P1777" s="9" t="n"/>
      <c r="Q1777" s="9" t="n"/>
      <c r="R1777" s="9" t="n"/>
      <c r="S1777" s="9" t="inlineStr">
        <is>
          <t>Duct bank</t>
        </is>
      </c>
      <c r="T1777" s="10" t="n">
        <v>30</v>
      </c>
      <c r="U1777" s="10" t="n">
        <v>209</v>
      </c>
      <c r="V1777" s="10">
        <f>ROUNDUP((T1777+U1777+2*'Read Me'!$B$13)*(1+'Read Me'!$B$12),-1)</f>
        <v/>
      </c>
      <c r="W1777" s="10">
        <f>V1777*N1777*O1777</f>
        <v/>
      </c>
      <c r="X1777" s="9">
        <f>IF(LEFT(I1777,2)="MV",2*N1777*IF(L1777="1/C",O1777,1),0)</f>
        <v/>
      </c>
      <c r="Y1777" s="9">
        <f>IF(OR(LEFT(K1777,4)="LVAX",LEFT(K1777,6)="MV15AX",LEFT(K1777,4)="CTAX",LEFT(K1777,2)="W|"),2*N1777*O1777,0)</f>
        <v/>
      </c>
      <c r="Z1777" s="9" t="inlineStr"/>
    </row>
    <row r="1778">
      <c r="A1778" s="9" t="inlineStr">
        <is>
          <t>H-FA-0021</t>
        </is>
      </c>
      <c r="B1778" s="9" t="inlineStr">
        <is>
          <t>H</t>
        </is>
      </c>
      <c r="C1778" s="9" t="inlineStr">
        <is>
          <t>BESS</t>
        </is>
      </c>
      <c r="D1778" s="9" t="inlineStr">
        <is>
          <t>Fire alarm / F&amp;G loop (to the local FACP / F&amp;G node)</t>
        </is>
      </c>
      <c r="E1778" s="9" t="inlineStr"/>
      <c r="F1778" s="9" t="inlineStr">
        <is>
          <t>BESS EMS / SCADA and revenue metering</t>
        </is>
      </c>
      <c r="G1778" s="9" t="inlineStr"/>
      <c r="H1778" s="9" t="inlineStr">
        <is>
          <t>BESS container (ISO 40 ft high cube)</t>
        </is>
      </c>
      <c r="I1778" s="9" t="inlineStr">
        <is>
          <t>Fire alarm</t>
        </is>
      </c>
      <c r="J1778" s="9" t="inlineStr">
        <is>
          <t>Fire alarm FPLR 2/C #14 shielded, red jacket (NEC 760)</t>
        </is>
      </c>
      <c r="K1778" s="9" t="inlineStr">
        <is>
          <t>FA|2/C|14</t>
        </is>
      </c>
      <c r="L1778" s="9" t="inlineStr">
        <is>
          <t>2/C</t>
        </is>
      </c>
      <c r="M1778" s="9" t="inlineStr">
        <is>
          <t>14</t>
        </is>
      </c>
      <c r="N1778" s="9" t="n">
        <v>1</v>
      </c>
      <c r="O1778" s="9" t="n">
        <v>1</v>
      </c>
      <c r="P1778" s="9" t="n"/>
      <c r="Q1778" s="9" t="n"/>
      <c r="R1778" s="9" t="n"/>
      <c r="S1778" s="9" t="inlineStr">
        <is>
          <t>Duct bank</t>
        </is>
      </c>
      <c r="T1778" s="10" t="n">
        <v>336</v>
      </c>
      <c r="U1778" s="10" t="n">
        <v>173</v>
      </c>
      <c r="V1778" s="10">
        <f>ROUNDUP((T1778+U1778+2*'Read Me'!$B$13)*(1+'Read Me'!$B$12),-1)</f>
        <v/>
      </c>
      <c r="W1778" s="10">
        <f>V1778*N1778*O1778</f>
        <v/>
      </c>
      <c r="X1778" s="9">
        <f>IF(LEFT(I1778,2)="MV",2*N1778*IF(L1778="1/C",O1778,1),0)</f>
        <v/>
      </c>
      <c r="Y1778" s="9">
        <f>IF(OR(LEFT(K1778,4)="LVAX",LEFT(K1778,6)="MV15AX",LEFT(K1778,4)="CTAX",LEFT(K1778,2)="W|"),2*N1778*O1778,0)</f>
        <v/>
      </c>
      <c r="Z1778" s="9" t="inlineStr"/>
    </row>
    <row r="1779">
      <c r="A1779" s="9" t="inlineStr">
        <is>
          <t>H-FA-0022</t>
        </is>
      </c>
      <c r="B1779" s="9" t="inlineStr">
        <is>
          <t>H</t>
        </is>
      </c>
      <c r="C1779" s="9" t="inlineStr">
        <is>
          <t>BESS</t>
        </is>
      </c>
      <c r="D1779" s="9" t="inlineStr">
        <is>
          <t>Fire alarm / F&amp;G loop (to the local FACP / F&amp;G node)</t>
        </is>
      </c>
      <c r="E1779" s="9" t="inlineStr"/>
      <c r="F1779" s="9" t="inlineStr">
        <is>
          <t>BESS EMS / SCADA and revenue metering</t>
        </is>
      </c>
      <c r="G1779" s="9" t="inlineStr"/>
      <c r="H1779" s="9" t="inlineStr">
        <is>
          <t>BESS container (ISO 40 ft high cube)</t>
        </is>
      </c>
      <c r="I1779" s="9" t="inlineStr">
        <is>
          <t>Fire alarm</t>
        </is>
      </c>
      <c r="J1779" s="9" t="inlineStr">
        <is>
          <t>Fire alarm FPLR 2/C #14 shielded, red jacket (NEC 760)</t>
        </is>
      </c>
      <c r="K1779" s="9" t="inlineStr">
        <is>
          <t>FA|2/C|14</t>
        </is>
      </c>
      <c r="L1779" s="9" t="inlineStr">
        <is>
          <t>2/C</t>
        </is>
      </c>
      <c r="M1779" s="9" t="inlineStr">
        <is>
          <t>14</t>
        </is>
      </c>
      <c r="N1779" s="9" t="n">
        <v>1</v>
      </c>
      <c r="O1779" s="9" t="n">
        <v>1</v>
      </c>
      <c r="P1779" s="9" t="n"/>
      <c r="Q1779" s="9" t="n"/>
      <c r="R1779" s="9" t="n"/>
      <c r="S1779" s="9" t="inlineStr">
        <is>
          <t>Duct bank</t>
        </is>
      </c>
      <c r="T1779" s="10" t="n">
        <v>340</v>
      </c>
      <c r="U1779" s="10" t="n">
        <v>253</v>
      </c>
      <c r="V1779" s="10">
        <f>ROUNDUP((T1779+U1779+2*'Read Me'!$B$13)*(1+'Read Me'!$B$12),-1)</f>
        <v/>
      </c>
      <c r="W1779" s="10">
        <f>V1779*N1779*O1779</f>
        <v/>
      </c>
      <c r="X1779" s="9">
        <f>IF(LEFT(I1779,2)="MV",2*N1779*IF(L1779="1/C",O1779,1),0)</f>
        <v/>
      </c>
      <c r="Y1779" s="9">
        <f>IF(OR(LEFT(K1779,4)="LVAX",LEFT(K1779,6)="MV15AX",LEFT(K1779,4)="CTAX",LEFT(K1779,2)="W|"),2*N1779*O1779,0)</f>
        <v/>
      </c>
      <c r="Z1779" s="9" t="inlineStr"/>
    </row>
    <row r="1780">
      <c r="A1780" s="9" t="inlineStr">
        <is>
          <t>H-FA-0023</t>
        </is>
      </c>
      <c r="B1780" s="9" t="inlineStr">
        <is>
          <t>H</t>
        </is>
      </c>
      <c r="C1780" s="9" t="inlineStr">
        <is>
          <t>BESS</t>
        </is>
      </c>
      <c r="D1780" s="9" t="inlineStr">
        <is>
          <t>Fire alarm / F&amp;G loop (to the local FACP / F&amp;G node)</t>
        </is>
      </c>
      <c r="E1780" s="9" t="inlineStr"/>
      <c r="F1780" s="9" t="inlineStr">
        <is>
          <t>BESS EMS / SCADA and revenue metering</t>
        </is>
      </c>
      <c r="G1780" s="9" t="inlineStr"/>
      <c r="H1780" s="9" t="inlineStr">
        <is>
          <t>BESS container (ISO 40 ft high cube)</t>
        </is>
      </c>
      <c r="I1780" s="9" t="inlineStr">
        <is>
          <t>Fire alarm</t>
        </is>
      </c>
      <c r="J1780" s="9" t="inlineStr">
        <is>
          <t>Fire alarm FPLR 2/C #14 shielded, red jacket (NEC 760)</t>
        </is>
      </c>
      <c r="K1780" s="9" t="inlineStr">
        <is>
          <t>FA|2/C|14</t>
        </is>
      </c>
      <c r="L1780" s="9" t="inlineStr">
        <is>
          <t>2/C</t>
        </is>
      </c>
      <c r="M1780" s="9" t="inlineStr">
        <is>
          <t>14</t>
        </is>
      </c>
      <c r="N1780" s="9" t="n">
        <v>1</v>
      </c>
      <c r="O1780" s="9" t="n">
        <v>1</v>
      </c>
      <c r="P1780" s="9" t="n"/>
      <c r="Q1780" s="9" t="n"/>
      <c r="R1780" s="9" t="n"/>
      <c r="S1780" s="9" t="inlineStr">
        <is>
          <t>Duct bank</t>
        </is>
      </c>
      <c r="T1780" s="10" t="n">
        <v>300</v>
      </c>
      <c r="U1780" s="10" t="n">
        <v>263</v>
      </c>
      <c r="V1780" s="10">
        <f>ROUNDUP((T1780+U1780+2*'Read Me'!$B$13)*(1+'Read Me'!$B$12),-1)</f>
        <v/>
      </c>
      <c r="W1780" s="10">
        <f>V1780*N1780*O1780</f>
        <v/>
      </c>
      <c r="X1780" s="9">
        <f>IF(LEFT(I1780,2)="MV",2*N1780*IF(L1780="1/C",O1780,1),0)</f>
        <v/>
      </c>
      <c r="Y1780" s="9">
        <f>IF(OR(LEFT(K1780,4)="LVAX",LEFT(K1780,6)="MV15AX",LEFT(K1780,4)="CTAX",LEFT(K1780,2)="W|"),2*N1780*O1780,0)</f>
        <v/>
      </c>
      <c r="Z1780" s="9" t="inlineStr"/>
    </row>
    <row r="1781">
      <c r="A1781" s="9" t="inlineStr">
        <is>
          <t>H-FA-0024</t>
        </is>
      </c>
      <c r="B1781" s="9" t="inlineStr">
        <is>
          <t>H</t>
        </is>
      </c>
      <c r="C1781" s="9" t="inlineStr">
        <is>
          <t>BESS</t>
        </is>
      </c>
      <c r="D1781" s="9" t="inlineStr">
        <is>
          <t>Fire alarm / F&amp;G loop (to the local FACP / F&amp;G node)</t>
        </is>
      </c>
      <c r="E1781" s="9" t="inlineStr"/>
      <c r="F1781" s="9" t="inlineStr">
        <is>
          <t>BESS EMS / SCADA and revenue metering</t>
        </is>
      </c>
      <c r="G1781" s="9" t="inlineStr"/>
      <c r="H1781" s="9" t="inlineStr">
        <is>
          <t>BESS container (ISO 40 ft high cube)</t>
        </is>
      </c>
      <c r="I1781" s="9" t="inlineStr">
        <is>
          <t>Fire alarm</t>
        </is>
      </c>
      <c r="J1781" s="9" t="inlineStr">
        <is>
          <t>Fire alarm FPLR 2/C #14 shielded, red jacket (NEC 760)</t>
        </is>
      </c>
      <c r="K1781" s="9" t="inlineStr">
        <is>
          <t>FA|2/C|14</t>
        </is>
      </c>
      <c r="L1781" s="9" t="inlineStr">
        <is>
          <t>2/C</t>
        </is>
      </c>
      <c r="M1781" s="9" t="inlineStr">
        <is>
          <t>14</t>
        </is>
      </c>
      <c r="N1781" s="9" t="n">
        <v>1</v>
      </c>
      <c r="O1781" s="9" t="n">
        <v>1</v>
      </c>
      <c r="P1781" s="9" t="n"/>
      <c r="Q1781" s="9" t="n"/>
      <c r="R1781" s="9" t="n"/>
      <c r="S1781" s="9" t="inlineStr">
        <is>
          <t>Duct bank</t>
        </is>
      </c>
      <c r="T1781" s="10" t="n">
        <v>160</v>
      </c>
      <c r="U1781" s="10" t="n">
        <v>283</v>
      </c>
      <c r="V1781" s="10">
        <f>ROUNDUP((T1781+U1781+2*'Read Me'!$B$13)*(1+'Read Me'!$B$12),-1)</f>
        <v/>
      </c>
      <c r="W1781" s="10">
        <f>V1781*N1781*O1781</f>
        <v/>
      </c>
      <c r="X1781" s="9">
        <f>IF(LEFT(I1781,2)="MV",2*N1781*IF(L1781="1/C",O1781,1),0)</f>
        <v/>
      </c>
      <c r="Y1781" s="9">
        <f>IF(OR(LEFT(K1781,4)="LVAX",LEFT(K1781,6)="MV15AX",LEFT(K1781,4)="CTAX",LEFT(K1781,2)="W|"),2*N1781*O1781,0)</f>
        <v/>
      </c>
      <c r="Z1781" s="9" t="inlineStr"/>
    </row>
    <row r="1782">
      <c r="A1782" s="9" t="inlineStr">
        <is>
          <t>H-FA-0025</t>
        </is>
      </c>
      <c r="B1782" s="9" t="inlineStr">
        <is>
          <t>H</t>
        </is>
      </c>
      <c r="C1782" s="9" t="inlineStr">
        <is>
          <t>BESS</t>
        </is>
      </c>
      <c r="D1782" s="9" t="inlineStr">
        <is>
          <t>Fire alarm / F&amp;G loop (to the local FACP / F&amp;G node)</t>
        </is>
      </c>
      <c r="E1782" s="9" t="inlineStr"/>
      <c r="F1782" s="9" t="inlineStr">
        <is>
          <t>BESS EMS / SCADA and revenue metering</t>
        </is>
      </c>
      <c r="G1782" s="9" t="inlineStr"/>
      <c r="H1782" s="9" t="inlineStr">
        <is>
          <t>BESS container (ISO 40 ft high cube)</t>
        </is>
      </c>
      <c r="I1782" s="9" t="inlineStr">
        <is>
          <t>Fire alarm</t>
        </is>
      </c>
      <c r="J1782" s="9" t="inlineStr">
        <is>
          <t>Fire alarm FPLR 2/C #14 shielded, red jacket (NEC 760)</t>
        </is>
      </c>
      <c r="K1782" s="9" t="inlineStr">
        <is>
          <t>FA|2/C|14</t>
        </is>
      </c>
      <c r="L1782" s="9" t="inlineStr">
        <is>
          <t>2/C</t>
        </is>
      </c>
      <c r="M1782" s="9" t="inlineStr">
        <is>
          <t>14</t>
        </is>
      </c>
      <c r="N1782" s="9" t="n">
        <v>1</v>
      </c>
      <c r="O1782" s="9" t="n">
        <v>1</v>
      </c>
      <c r="P1782" s="9" t="n"/>
      <c r="Q1782" s="9" t="n"/>
      <c r="R1782" s="9" t="n"/>
      <c r="S1782" s="9" t="inlineStr">
        <is>
          <t>Duct bank</t>
        </is>
      </c>
      <c r="T1782" s="10" t="n">
        <v>160</v>
      </c>
      <c r="U1782" s="10" t="n">
        <v>283</v>
      </c>
      <c r="V1782" s="10">
        <f>ROUNDUP((T1782+U1782+2*'Read Me'!$B$13)*(1+'Read Me'!$B$12),-1)</f>
        <v/>
      </c>
      <c r="W1782" s="10">
        <f>V1782*N1782*O1782</f>
        <v/>
      </c>
      <c r="X1782" s="9">
        <f>IF(LEFT(I1782,2)="MV",2*N1782*IF(L1782="1/C",O1782,1),0)</f>
        <v/>
      </c>
      <c r="Y1782" s="9">
        <f>IF(OR(LEFT(K1782,4)="LVAX",LEFT(K1782,6)="MV15AX",LEFT(K1782,4)="CTAX",LEFT(K1782,2)="W|"),2*N1782*O1782,0)</f>
        <v/>
      </c>
      <c r="Z1782" s="9" t="inlineStr"/>
    </row>
    <row r="1783">
      <c r="A1783" s="9" t="inlineStr">
        <is>
          <t>H-FA-0026</t>
        </is>
      </c>
      <c r="B1783" s="9" t="inlineStr">
        <is>
          <t>H</t>
        </is>
      </c>
      <c r="C1783" s="9" t="inlineStr">
        <is>
          <t>BESS</t>
        </is>
      </c>
      <c r="D1783" s="9" t="inlineStr">
        <is>
          <t>Fire alarm / F&amp;G loop (to the local FACP / F&amp;G node)</t>
        </is>
      </c>
      <c r="E1783" s="9" t="inlineStr"/>
      <c r="F1783" s="9" t="inlineStr">
        <is>
          <t>BESS EMS / SCADA and revenue metering</t>
        </is>
      </c>
      <c r="G1783" s="9" t="inlineStr"/>
      <c r="H1783" s="9" t="inlineStr">
        <is>
          <t>BESS container (ISO 40 ft high cube)</t>
        </is>
      </c>
      <c r="I1783" s="9" t="inlineStr">
        <is>
          <t>Fire alarm</t>
        </is>
      </c>
      <c r="J1783" s="9" t="inlineStr">
        <is>
          <t>Fire alarm FPLR 2/C #14 shielded, red jacket (NEC 760)</t>
        </is>
      </c>
      <c r="K1783" s="9" t="inlineStr">
        <is>
          <t>FA|2/C|14</t>
        </is>
      </c>
      <c r="L1783" s="9" t="inlineStr">
        <is>
          <t>2/C</t>
        </is>
      </c>
      <c r="M1783" s="9" t="inlineStr">
        <is>
          <t>14</t>
        </is>
      </c>
      <c r="N1783" s="9" t="n">
        <v>1</v>
      </c>
      <c r="O1783" s="9" t="n">
        <v>1</v>
      </c>
      <c r="P1783" s="9" t="n"/>
      <c r="Q1783" s="9" t="n"/>
      <c r="R1783" s="9" t="n"/>
      <c r="S1783" s="9" t="inlineStr">
        <is>
          <t>Duct bank</t>
        </is>
      </c>
      <c r="T1783" s="10" t="n">
        <v>336</v>
      </c>
      <c r="U1783" s="10" t="n">
        <v>115</v>
      </c>
      <c r="V1783" s="10">
        <f>ROUNDUP((T1783+U1783+2*'Read Me'!$B$13)*(1+'Read Me'!$B$12),-1)</f>
        <v/>
      </c>
      <c r="W1783" s="10">
        <f>V1783*N1783*O1783</f>
        <v/>
      </c>
      <c r="X1783" s="9">
        <f>IF(LEFT(I1783,2)="MV",2*N1783*IF(L1783="1/C",O1783,1),0)</f>
        <v/>
      </c>
      <c r="Y1783" s="9">
        <f>IF(OR(LEFT(K1783,4)="LVAX",LEFT(K1783,6)="MV15AX",LEFT(K1783,4)="CTAX",LEFT(K1783,2)="W|"),2*N1783*O1783,0)</f>
        <v/>
      </c>
      <c r="Z1783" s="9" t="inlineStr"/>
    </row>
    <row r="1784">
      <c r="A1784" s="9" t="inlineStr">
        <is>
          <t>H-FA-0027</t>
        </is>
      </c>
      <c r="B1784" s="9" t="inlineStr">
        <is>
          <t>H</t>
        </is>
      </c>
      <c r="C1784" s="9" t="inlineStr">
        <is>
          <t>BESS</t>
        </is>
      </c>
      <c r="D1784" s="9" t="inlineStr">
        <is>
          <t>Fire alarm / F&amp;G loop (to the local FACP / F&amp;G node)</t>
        </is>
      </c>
      <c r="E1784" s="9" t="inlineStr"/>
      <c r="F1784" s="9" t="inlineStr">
        <is>
          <t>BESS EMS / SCADA and revenue metering</t>
        </is>
      </c>
      <c r="G1784" s="9" t="inlineStr"/>
      <c r="H1784" s="9" t="inlineStr">
        <is>
          <t>BESS container (ISO 40 ft high cube)</t>
        </is>
      </c>
      <c r="I1784" s="9" t="inlineStr">
        <is>
          <t>Fire alarm</t>
        </is>
      </c>
      <c r="J1784" s="9" t="inlineStr">
        <is>
          <t>Fire alarm FPLR 2/C #14 shielded, red jacket (NEC 760)</t>
        </is>
      </c>
      <c r="K1784" s="9" t="inlineStr">
        <is>
          <t>FA|2/C|14</t>
        </is>
      </c>
      <c r="L1784" s="9" t="inlineStr">
        <is>
          <t>2/C</t>
        </is>
      </c>
      <c r="M1784" s="9" t="inlineStr">
        <is>
          <t>14</t>
        </is>
      </c>
      <c r="N1784" s="9" t="n">
        <v>1</v>
      </c>
      <c r="O1784" s="9" t="n">
        <v>1</v>
      </c>
      <c r="P1784" s="9" t="n"/>
      <c r="Q1784" s="9" t="n"/>
      <c r="R1784" s="9" t="n"/>
      <c r="S1784" s="9" t="inlineStr">
        <is>
          <t>Duct bank</t>
        </is>
      </c>
      <c r="T1784" s="10" t="n">
        <v>336</v>
      </c>
      <c r="U1784" s="10" t="n">
        <v>115</v>
      </c>
      <c r="V1784" s="10">
        <f>ROUNDUP((T1784+U1784+2*'Read Me'!$B$13)*(1+'Read Me'!$B$12),-1)</f>
        <v/>
      </c>
      <c r="W1784" s="10">
        <f>V1784*N1784*O1784</f>
        <v/>
      </c>
      <c r="X1784" s="9">
        <f>IF(LEFT(I1784,2)="MV",2*N1784*IF(L1784="1/C",O1784,1),0)</f>
        <v/>
      </c>
      <c r="Y1784" s="9">
        <f>IF(OR(LEFT(K1784,4)="LVAX",LEFT(K1784,6)="MV15AX",LEFT(K1784,4)="CTAX",LEFT(K1784,2)="W|"),2*N1784*O1784,0)</f>
        <v/>
      </c>
      <c r="Z1784" s="9" t="inlineStr"/>
    </row>
    <row r="1785">
      <c r="A1785" s="9" t="inlineStr">
        <is>
          <t>H-FA-0028</t>
        </is>
      </c>
      <c r="B1785" s="9" t="inlineStr">
        <is>
          <t>H</t>
        </is>
      </c>
      <c r="C1785" s="9" t="inlineStr">
        <is>
          <t>BESS</t>
        </is>
      </c>
      <c r="D1785" s="9" t="inlineStr">
        <is>
          <t>Fire alarm / F&amp;G loop (to the local FACP / F&amp;G node)</t>
        </is>
      </c>
      <c r="E1785" s="9" t="inlineStr"/>
      <c r="F1785" s="9" t="inlineStr">
        <is>
          <t>BESS EMS / SCADA and revenue metering</t>
        </is>
      </c>
      <c r="G1785" s="9" t="inlineStr"/>
      <c r="H1785" s="9" t="inlineStr">
        <is>
          <t>BESS container (ISO 40 ft high cube)</t>
        </is>
      </c>
      <c r="I1785" s="9" t="inlineStr">
        <is>
          <t>Fire alarm</t>
        </is>
      </c>
      <c r="J1785" s="9" t="inlineStr">
        <is>
          <t>Fire alarm FPLR 2/C #14 shielded, red jacket (NEC 760)</t>
        </is>
      </c>
      <c r="K1785" s="9" t="inlineStr">
        <is>
          <t>FA|2/C|14</t>
        </is>
      </c>
      <c r="L1785" s="9" t="inlineStr">
        <is>
          <t>2/C</t>
        </is>
      </c>
      <c r="M1785" s="9" t="inlineStr">
        <is>
          <t>14</t>
        </is>
      </c>
      <c r="N1785" s="9" t="n">
        <v>1</v>
      </c>
      <c r="O1785" s="9" t="n">
        <v>1</v>
      </c>
      <c r="P1785" s="9" t="n"/>
      <c r="Q1785" s="9" t="n"/>
      <c r="R1785" s="9" t="n"/>
      <c r="S1785" s="9" t="inlineStr">
        <is>
          <t>Duct bank</t>
        </is>
      </c>
      <c r="T1785" s="10" t="n">
        <v>602</v>
      </c>
      <c r="U1785" s="10" t="n">
        <v>57</v>
      </c>
      <c r="V1785" s="10">
        <f>ROUNDUP((T1785+U1785+2*'Read Me'!$B$13)*(1+'Read Me'!$B$12),-1)</f>
        <v/>
      </c>
      <c r="W1785" s="10">
        <f>V1785*N1785*O1785</f>
        <v/>
      </c>
      <c r="X1785" s="9">
        <f>IF(LEFT(I1785,2)="MV",2*N1785*IF(L1785="1/C",O1785,1),0)</f>
        <v/>
      </c>
      <c r="Y1785" s="9">
        <f>IF(OR(LEFT(K1785,4)="LVAX",LEFT(K1785,6)="MV15AX",LEFT(K1785,4)="CTAX",LEFT(K1785,2)="W|"),2*N1785*O1785,0)</f>
        <v/>
      </c>
      <c r="Z1785" s="9" t="inlineStr"/>
    </row>
    <row r="1786">
      <c r="A1786" s="9" t="inlineStr">
        <is>
          <t>H-FA-0029</t>
        </is>
      </c>
      <c r="B1786" s="9" t="inlineStr">
        <is>
          <t>H</t>
        </is>
      </c>
      <c r="C1786" s="9" t="inlineStr">
        <is>
          <t>BESS</t>
        </is>
      </c>
      <c r="D1786" s="9" t="inlineStr">
        <is>
          <t>Fire alarm / F&amp;G loop (to the local FACP / F&amp;G node)</t>
        </is>
      </c>
      <c r="E1786" s="9" t="inlineStr"/>
      <c r="F1786" s="9" t="inlineStr">
        <is>
          <t>BESS EMS / SCADA and revenue metering</t>
        </is>
      </c>
      <c r="G1786" s="9" t="inlineStr"/>
      <c r="H1786" s="9" t="inlineStr">
        <is>
          <t>BESS container (ISO 40 ft high cube)</t>
        </is>
      </c>
      <c r="I1786" s="9" t="inlineStr">
        <is>
          <t>Fire alarm</t>
        </is>
      </c>
      <c r="J1786" s="9" t="inlineStr">
        <is>
          <t>Fire alarm FPLR 2/C #14 shielded, red jacket (NEC 760)</t>
        </is>
      </c>
      <c r="K1786" s="9" t="inlineStr">
        <is>
          <t>FA|2/C|14</t>
        </is>
      </c>
      <c r="L1786" s="9" t="inlineStr">
        <is>
          <t>2/C</t>
        </is>
      </c>
      <c r="M1786" s="9" t="inlineStr">
        <is>
          <t>14</t>
        </is>
      </c>
      <c r="N1786" s="9" t="n">
        <v>1</v>
      </c>
      <c r="O1786" s="9" t="n">
        <v>1</v>
      </c>
      <c r="P1786" s="9" t="n"/>
      <c r="Q1786" s="9" t="n"/>
      <c r="R1786" s="9" t="n"/>
      <c r="S1786" s="9" t="inlineStr">
        <is>
          <t>Duct bank</t>
        </is>
      </c>
      <c r="T1786" s="10" t="n">
        <v>482</v>
      </c>
      <c r="U1786" s="10" t="n">
        <v>117</v>
      </c>
      <c r="V1786" s="10">
        <f>ROUNDUP((T1786+U1786+2*'Read Me'!$B$13)*(1+'Read Me'!$B$12),-1)</f>
        <v/>
      </c>
      <c r="W1786" s="10">
        <f>V1786*N1786*O1786</f>
        <v/>
      </c>
      <c r="X1786" s="9">
        <f>IF(LEFT(I1786,2)="MV",2*N1786*IF(L1786="1/C",O1786,1),0)</f>
        <v/>
      </c>
      <c r="Y1786" s="9">
        <f>IF(OR(LEFT(K1786,4)="LVAX",LEFT(K1786,6)="MV15AX",LEFT(K1786,4)="CTAX",LEFT(K1786,2)="W|"),2*N1786*O1786,0)</f>
        <v/>
      </c>
      <c r="Z1786" s="9" t="inlineStr"/>
    </row>
    <row r="1787">
      <c r="A1787" s="9" t="inlineStr">
        <is>
          <t>H-FA-0030</t>
        </is>
      </c>
      <c r="B1787" s="9" t="inlineStr">
        <is>
          <t>H</t>
        </is>
      </c>
      <c r="C1787" s="9" t="inlineStr">
        <is>
          <t>BESS</t>
        </is>
      </c>
      <c r="D1787" s="9" t="inlineStr">
        <is>
          <t>Fire alarm / F&amp;G loop (to the local FACP / F&amp;G node)</t>
        </is>
      </c>
      <c r="E1787" s="9" t="inlineStr"/>
      <c r="F1787" s="9" t="inlineStr">
        <is>
          <t>BESS EMS / SCADA and revenue metering</t>
        </is>
      </c>
      <c r="G1787" s="9" t="inlineStr"/>
      <c r="H1787" s="9" t="inlineStr">
        <is>
          <t>BESS container (ISO 40 ft high cube)</t>
        </is>
      </c>
      <c r="I1787" s="9" t="inlineStr">
        <is>
          <t>Fire alarm</t>
        </is>
      </c>
      <c r="J1787" s="9" t="inlineStr">
        <is>
          <t>Fire alarm FPLR 2/C #14 shielded, red jacket (NEC 760)</t>
        </is>
      </c>
      <c r="K1787" s="9" t="inlineStr">
        <is>
          <t>FA|2/C|14</t>
        </is>
      </c>
      <c r="L1787" s="9" t="inlineStr">
        <is>
          <t>2/C</t>
        </is>
      </c>
      <c r="M1787" s="9" t="inlineStr">
        <is>
          <t>14</t>
        </is>
      </c>
      <c r="N1787" s="9" t="n">
        <v>1</v>
      </c>
      <c r="O1787" s="9" t="n">
        <v>1</v>
      </c>
      <c r="P1787" s="9" t="n"/>
      <c r="Q1787" s="9" t="n"/>
      <c r="R1787" s="9" t="n"/>
      <c r="S1787" s="9" t="inlineStr">
        <is>
          <t>Duct bank</t>
        </is>
      </c>
      <c r="T1787" s="10" t="n">
        <v>336</v>
      </c>
      <c r="U1787" s="10" t="n">
        <v>177</v>
      </c>
      <c r="V1787" s="10">
        <f>ROUNDUP((T1787+U1787+2*'Read Me'!$B$13)*(1+'Read Me'!$B$12),-1)</f>
        <v/>
      </c>
      <c r="W1787" s="10">
        <f>V1787*N1787*O1787</f>
        <v/>
      </c>
      <c r="X1787" s="9">
        <f>IF(LEFT(I1787,2)="MV",2*N1787*IF(L1787="1/C",O1787,1),0)</f>
        <v/>
      </c>
      <c r="Y1787" s="9">
        <f>IF(OR(LEFT(K1787,4)="LVAX",LEFT(K1787,6)="MV15AX",LEFT(K1787,4)="CTAX",LEFT(K1787,2)="W|"),2*N1787*O1787,0)</f>
        <v/>
      </c>
      <c r="Z1787" s="9" t="inlineStr"/>
    </row>
    <row r="1788">
      <c r="A1788" s="9" t="inlineStr">
        <is>
          <t>H-FA-0031</t>
        </is>
      </c>
      <c r="B1788" s="9" t="inlineStr">
        <is>
          <t>H</t>
        </is>
      </c>
      <c r="C1788" s="9" t="inlineStr">
        <is>
          <t>BESS</t>
        </is>
      </c>
      <c r="D1788" s="9" t="inlineStr">
        <is>
          <t>Fire alarm / F&amp;G loop (to the local FACP / F&amp;G node)</t>
        </is>
      </c>
      <c r="E1788" s="9" t="inlineStr"/>
      <c r="F1788" s="9" t="inlineStr">
        <is>
          <t>BESS EMS / SCADA and revenue metering</t>
        </is>
      </c>
      <c r="G1788" s="9" t="inlineStr"/>
      <c r="H1788" s="9" t="inlineStr">
        <is>
          <t>BESS container (ISO 40 ft high cube)</t>
        </is>
      </c>
      <c r="I1788" s="9" t="inlineStr">
        <is>
          <t>Fire alarm</t>
        </is>
      </c>
      <c r="J1788" s="9" t="inlineStr">
        <is>
          <t>Fire alarm FPLR 2/C #14 shielded, red jacket (NEC 760)</t>
        </is>
      </c>
      <c r="K1788" s="9" t="inlineStr">
        <is>
          <t>FA|2/C|14</t>
        </is>
      </c>
      <c r="L1788" s="9" t="inlineStr">
        <is>
          <t>2/C</t>
        </is>
      </c>
      <c r="M1788" s="9" t="inlineStr">
        <is>
          <t>14</t>
        </is>
      </c>
      <c r="N1788" s="9" t="n">
        <v>1</v>
      </c>
      <c r="O1788" s="9" t="n">
        <v>1</v>
      </c>
      <c r="P1788" s="9" t="n"/>
      <c r="Q1788" s="9" t="n"/>
      <c r="R1788" s="9" t="n"/>
      <c r="S1788" s="9" t="inlineStr">
        <is>
          <t>Duct bank</t>
        </is>
      </c>
      <c r="T1788" s="10" t="n">
        <v>336</v>
      </c>
      <c r="U1788" s="10" t="n">
        <v>117</v>
      </c>
      <c r="V1788" s="10">
        <f>ROUNDUP((T1788+U1788+2*'Read Me'!$B$13)*(1+'Read Me'!$B$12),-1)</f>
        <v/>
      </c>
      <c r="W1788" s="10">
        <f>V1788*N1788*O1788</f>
        <v/>
      </c>
      <c r="X1788" s="9">
        <f>IF(LEFT(I1788,2)="MV",2*N1788*IF(L1788="1/C",O1788,1),0)</f>
        <v/>
      </c>
      <c r="Y1788" s="9">
        <f>IF(OR(LEFT(K1788,4)="LVAX",LEFT(K1788,6)="MV15AX",LEFT(K1788,4)="CTAX",LEFT(K1788,2)="W|"),2*N1788*O1788,0)</f>
        <v/>
      </c>
      <c r="Z1788" s="9" t="inlineStr"/>
    </row>
    <row r="1789">
      <c r="A1789" s="9" t="inlineStr">
        <is>
          <t>H-FA-0032</t>
        </is>
      </c>
      <c r="B1789" s="9" t="inlineStr">
        <is>
          <t>H</t>
        </is>
      </c>
      <c r="C1789" s="9" t="inlineStr">
        <is>
          <t>BESS</t>
        </is>
      </c>
      <c r="D1789" s="9" t="inlineStr">
        <is>
          <t>Fire alarm / F&amp;G loop (to the local FACP / F&amp;G node)</t>
        </is>
      </c>
      <c r="E1789" s="9" t="inlineStr"/>
      <c r="F1789" s="9" t="inlineStr">
        <is>
          <t>BESS EMS / SCADA and revenue metering</t>
        </is>
      </c>
      <c r="G1789" s="9" t="inlineStr"/>
      <c r="H1789" s="9" t="inlineStr">
        <is>
          <t>BESS container (ISO 40 ft high cube)</t>
        </is>
      </c>
      <c r="I1789" s="9" t="inlineStr">
        <is>
          <t>Fire alarm</t>
        </is>
      </c>
      <c r="J1789" s="9" t="inlineStr">
        <is>
          <t>Fire alarm FPLR 2/C #14 shielded, red jacket (NEC 760)</t>
        </is>
      </c>
      <c r="K1789" s="9" t="inlineStr">
        <is>
          <t>FA|2/C|14</t>
        </is>
      </c>
      <c r="L1789" s="9" t="inlineStr">
        <is>
          <t>2/C</t>
        </is>
      </c>
      <c r="M1789" s="9" t="inlineStr">
        <is>
          <t>14</t>
        </is>
      </c>
      <c r="N1789" s="9" t="n">
        <v>1</v>
      </c>
      <c r="O1789" s="9" t="n">
        <v>1</v>
      </c>
      <c r="P1789" s="9" t="n"/>
      <c r="Q1789" s="9" t="n"/>
      <c r="R1789" s="9" t="n"/>
      <c r="S1789" s="9" t="inlineStr">
        <is>
          <t>Duct bank</t>
        </is>
      </c>
      <c r="T1789" s="10" t="n">
        <v>336</v>
      </c>
      <c r="U1789" s="10" t="n">
        <v>57</v>
      </c>
      <c r="V1789" s="10">
        <f>ROUNDUP((T1789+U1789+2*'Read Me'!$B$13)*(1+'Read Me'!$B$12),-1)</f>
        <v/>
      </c>
      <c r="W1789" s="10">
        <f>V1789*N1789*O1789</f>
        <v/>
      </c>
      <c r="X1789" s="9">
        <f>IF(LEFT(I1789,2)="MV",2*N1789*IF(L1789="1/C",O1789,1),0)</f>
        <v/>
      </c>
      <c r="Y1789" s="9">
        <f>IF(OR(LEFT(K1789,4)="LVAX",LEFT(K1789,6)="MV15AX",LEFT(K1789,4)="CTAX",LEFT(K1789,2)="W|"),2*N1789*O1789,0)</f>
        <v/>
      </c>
      <c r="Z1789" s="9" t="inlineStr"/>
    </row>
    <row r="1790">
      <c r="A1790" s="9" t="inlineStr">
        <is>
          <t>H-FA-0033</t>
        </is>
      </c>
      <c r="B1790" s="9" t="inlineStr">
        <is>
          <t>H</t>
        </is>
      </c>
      <c r="C1790" s="9" t="inlineStr">
        <is>
          <t>BESS</t>
        </is>
      </c>
      <c r="D1790" s="9" t="inlineStr">
        <is>
          <t>Fire alarm / F&amp;G loop (to the local FACP / F&amp;G node)</t>
        </is>
      </c>
      <c r="E1790" s="9" t="inlineStr"/>
      <c r="F1790" s="9" t="inlineStr">
        <is>
          <t>BESS EMS / SCADA and revenue metering</t>
        </is>
      </c>
      <c r="G1790" s="9" t="inlineStr"/>
      <c r="H1790" s="9" t="inlineStr">
        <is>
          <t>BESS container (ISO 40 ft high cube)</t>
        </is>
      </c>
      <c r="I1790" s="9" t="inlineStr">
        <is>
          <t>Fire alarm</t>
        </is>
      </c>
      <c r="J1790" s="9" t="inlineStr">
        <is>
          <t>Fire alarm FPLR 2/C #14 shielded, red jacket (NEC 760)</t>
        </is>
      </c>
      <c r="K1790" s="9" t="inlineStr">
        <is>
          <t>FA|2/C|14</t>
        </is>
      </c>
      <c r="L1790" s="9" t="inlineStr">
        <is>
          <t>2/C</t>
        </is>
      </c>
      <c r="M1790" s="9" t="inlineStr">
        <is>
          <t>14</t>
        </is>
      </c>
      <c r="N1790" s="9" t="n">
        <v>1</v>
      </c>
      <c r="O1790" s="9" t="n">
        <v>1</v>
      </c>
      <c r="P1790" s="9" t="n"/>
      <c r="Q1790" s="9" t="n"/>
      <c r="R1790" s="9" t="n"/>
      <c r="S1790" s="9" t="inlineStr">
        <is>
          <t>Duct bank</t>
        </is>
      </c>
      <c r="T1790" s="10" t="n">
        <v>336</v>
      </c>
      <c r="U1790" s="10" t="n">
        <v>57</v>
      </c>
      <c r="V1790" s="10">
        <f>ROUNDUP((T1790+U1790+2*'Read Me'!$B$13)*(1+'Read Me'!$B$12),-1)</f>
        <v/>
      </c>
      <c r="W1790" s="10">
        <f>V1790*N1790*O1790</f>
        <v/>
      </c>
      <c r="X1790" s="9">
        <f>IF(LEFT(I1790,2)="MV",2*N1790*IF(L1790="1/C",O1790,1),0)</f>
        <v/>
      </c>
      <c r="Y1790" s="9">
        <f>IF(OR(LEFT(K1790,4)="LVAX",LEFT(K1790,6)="MV15AX",LEFT(K1790,4)="CTAX",LEFT(K1790,2)="W|"),2*N1790*O1790,0)</f>
        <v/>
      </c>
      <c r="Z1790" s="9" t="inlineStr"/>
    </row>
    <row r="1791">
      <c r="A1791" s="9" t="inlineStr">
        <is>
          <t>H-I-0001</t>
        </is>
      </c>
      <c r="B1791" s="9" t="inlineStr">
        <is>
          <t>H</t>
        </is>
      </c>
      <c r="C1791" s="9" t="inlineStr">
        <is>
          <t>BESS</t>
        </is>
      </c>
      <c r="D1791" s="9" t="inlineStr">
        <is>
          <t>Instrumentation</t>
        </is>
      </c>
      <c r="E1791" s="9" t="inlineStr"/>
      <c r="F1791" s="9" t="inlineStr">
        <is>
          <t>BESS EMS / SCADA and revenue metering</t>
        </is>
      </c>
      <c r="G1791" s="9" t="inlineStr"/>
      <c r="H1791" s="9" t="inlineStr">
        <is>
          <t>BESS auxiliary transformer</t>
        </is>
      </c>
      <c r="I1791" s="9" t="inlineStr">
        <is>
          <t>Instrumentation</t>
        </is>
      </c>
      <c r="J1791" s="9" t="inlineStr">
        <is>
          <t>Instrumentation PLTC / TC-ER 300 V, #18 twisted shielded pairs, overall shield</t>
        </is>
      </c>
      <c r="K1791" s="9" t="inlineStr">
        <is>
          <t>PLTC|4 pr|18</t>
        </is>
      </c>
      <c r="L1791" s="9" t="inlineStr">
        <is>
          <t>4 pr</t>
        </is>
      </c>
      <c r="M1791" s="9" t="inlineStr">
        <is>
          <t>18</t>
        </is>
      </c>
      <c r="N1791" s="9" t="n">
        <v>1</v>
      </c>
      <c r="O1791" s="9" t="n">
        <v>1</v>
      </c>
      <c r="P1791" s="9" t="n"/>
      <c r="Q1791" s="9" t="n"/>
      <c r="R1791" s="9" t="n"/>
      <c r="S1791" s="9" t="inlineStr">
        <is>
          <t>Tray</t>
        </is>
      </c>
      <c r="T1791" s="10" t="n">
        <v>38</v>
      </c>
      <c r="U1791" s="10" t="n">
        <v>32</v>
      </c>
      <c r="V1791" s="10">
        <f>ROUNDUP((T1791+U1791+2*'Read Me'!$B$13)*(1+'Read Me'!$B$12),-1)</f>
        <v/>
      </c>
      <c r="W1791" s="10">
        <f>V1791*N1791*O1791</f>
        <v/>
      </c>
      <c r="X1791" s="9">
        <f>IF(LEFT(I1791,2)="MV",2*N1791*IF(L1791="1/C",O1791,1),0)</f>
        <v/>
      </c>
      <c r="Y1791" s="9">
        <f>IF(OR(LEFT(K1791,4)="LVAX",LEFT(K1791,6)="MV15AX",LEFT(K1791,4)="CTAX",LEFT(K1791,2)="W|"),2*N1791*O1791,0)</f>
        <v/>
      </c>
      <c r="Z1791" s="9" t="inlineStr"/>
    </row>
    <row r="1792">
      <c r="A1792" s="9" t="inlineStr">
        <is>
          <t>H-I-0002</t>
        </is>
      </c>
      <c r="B1792" s="9" t="inlineStr">
        <is>
          <t>H</t>
        </is>
      </c>
      <c r="C1792" s="9" t="inlineStr">
        <is>
          <t>BESS</t>
        </is>
      </c>
      <c r="D1792" s="9" t="inlineStr">
        <is>
          <t>Instrumentation</t>
        </is>
      </c>
      <c r="E1792" s="9" t="inlineStr"/>
      <c r="F1792" s="9" t="inlineStr">
        <is>
          <t>BESS EMS / SCADA and revenue metering</t>
        </is>
      </c>
      <c r="G1792" s="9" t="inlineStr">
        <is>
          <t>BESS</t>
        </is>
      </c>
      <c r="H1792" s="9" t="inlineStr">
        <is>
          <t>BESS blocks: 30 containers + 15 PCS / MV skids</t>
        </is>
      </c>
      <c r="I1792" s="9" t="inlineStr">
        <is>
          <t>Instrumentation</t>
        </is>
      </c>
      <c r="J1792" s="9" t="inlineStr">
        <is>
          <t>Instrumentation PLTC / TC-ER 300 V, #18 twisted shielded pairs, overall shield</t>
        </is>
      </c>
      <c r="K1792" s="9" t="inlineStr">
        <is>
          <t>PLTC|4 pr|18</t>
        </is>
      </c>
      <c r="L1792" s="9" t="inlineStr">
        <is>
          <t>4 pr</t>
        </is>
      </c>
      <c r="M1792" s="9" t="inlineStr">
        <is>
          <t>18</t>
        </is>
      </c>
      <c r="N1792" s="9" t="n">
        <v>1</v>
      </c>
      <c r="O1792" s="9" t="n">
        <v>1</v>
      </c>
      <c r="P1792" s="9" t="n"/>
      <c r="Q1792" s="9" t="n"/>
      <c r="R1792" s="9" t="n"/>
      <c r="S1792" s="9" t="inlineStr">
        <is>
          <t>Duct bank</t>
        </is>
      </c>
      <c r="T1792" s="10" t="n">
        <v>336</v>
      </c>
      <c r="U1792" s="10" t="n">
        <v>32</v>
      </c>
      <c r="V1792" s="10">
        <f>ROUNDUP((T1792+U1792+2*'Read Me'!$B$13)*(1+'Read Me'!$B$12),-1)</f>
        <v/>
      </c>
      <c r="W1792" s="10">
        <f>V1792*N1792*O1792</f>
        <v/>
      </c>
      <c r="X1792" s="9">
        <f>IF(LEFT(I1792,2)="MV",2*N1792*IF(L1792="1/C",O1792,1),0)</f>
        <v/>
      </c>
      <c r="Y1792" s="9">
        <f>IF(OR(LEFT(K1792,4)="LVAX",LEFT(K1792,6)="MV15AX",LEFT(K1792,4)="CTAX",LEFT(K1792,2)="W|"),2*N1792*O1792,0)</f>
        <v/>
      </c>
      <c r="Z1792" s="9" t="inlineStr"/>
    </row>
    <row r="1793">
      <c r="A1793" s="9" t="inlineStr">
        <is>
          <t>H-I-0003</t>
        </is>
      </c>
      <c r="B1793" s="9" t="inlineStr">
        <is>
          <t>H</t>
        </is>
      </c>
      <c r="C1793" s="9" t="inlineStr">
        <is>
          <t>BESS</t>
        </is>
      </c>
      <c r="D1793" s="9" t="inlineStr">
        <is>
          <t>Instrumentation</t>
        </is>
      </c>
      <c r="E1793" s="9" t="inlineStr"/>
      <c r="F1793" s="9" t="inlineStr">
        <is>
          <t>BESS EMS / SCADA and revenue metering</t>
        </is>
      </c>
      <c r="G1793" s="9" t="inlineStr">
        <is>
          <t>BESS</t>
        </is>
      </c>
      <c r="H1793" s="9" t="inlineStr">
        <is>
          <t>BESS blocks: 30 containers + 15 PCS / MV skids</t>
        </is>
      </c>
      <c r="I1793" s="9" t="inlineStr">
        <is>
          <t>Instrumentation</t>
        </is>
      </c>
      <c r="J1793" s="9" t="inlineStr">
        <is>
          <t>Instrumentation PLTC / TC-ER 300 V, #18 twisted shielded pairs, overall shield</t>
        </is>
      </c>
      <c r="K1793" s="9" t="inlineStr">
        <is>
          <t>PLTC|12 pr|18</t>
        </is>
      </c>
      <c r="L1793" s="9" t="inlineStr">
        <is>
          <t>12 pr</t>
        </is>
      </c>
      <c r="M1793" s="9" t="inlineStr">
        <is>
          <t>18</t>
        </is>
      </c>
      <c r="N1793" s="9" t="n">
        <v>1</v>
      </c>
      <c r="O1793" s="9" t="n">
        <v>1</v>
      </c>
      <c r="P1793" s="9" t="n"/>
      <c r="Q1793" s="9" t="n"/>
      <c r="R1793" s="9" t="n"/>
      <c r="S1793" s="9" t="inlineStr">
        <is>
          <t>Duct bank</t>
        </is>
      </c>
      <c r="T1793" s="10" t="n">
        <v>336</v>
      </c>
      <c r="U1793" s="10" t="n">
        <v>32</v>
      </c>
      <c r="V1793" s="10">
        <f>ROUNDUP((T1793+U1793+2*'Read Me'!$B$13)*(1+'Read Me'!$B$12),-1)</f>
        <v/>
      </c>
      <c r="W1793" s="10">
        <f>V1793*N1793*O1793</f>
        <v/>
      </c>
      <c r="X1793" s="9">
        <f>IF(LEFT(I1793,2)="MV",2*N1793*IF(L1793="1/C",O1793,1),0)</f>
        <v/>
      </c>
      <c r="Y1793" s="9">
        <f>IF(OR(LEFT(K1793,4)="LVAX",LEFT(K1793,6)="MV15AX",LEFT(K1793,4)="CTAX",LEFT(K1793,2)="W|"),2*N1793*O1793,0)</f>
        <v/>
      </c>
      <c r="Z1793" s="9" t="inlineStr"/>
    </row>
    <row r="1794">
      <c r="A1794" s="9" t="inlineStr">
        <is>
          <t>H-I-0004</t>
        </is>
      </c>
      <c r="B1794" s="9" t="inlineStr">
        <is>
          <t>H</t>
        </is>
      </c>
      <c r="C1794" s="9" t="inlineStr">
        <is>
          <t>BESS</t>
        </is>
      </c>
      <c r="D1794" s="9" t="inlineStr">
        <is>
          <t>Thermocouples</t>
        </is>
      </c>
      <c r="E1794" s="9" t="inlineStr"/>
      <c r="F1794" s="9" t="inlineStr">
        <is>
          <t>BESS EMS / SCADA and revenue metering</t>
        </is>
      </c>
      <c r="G1794" s="9" t="inlineStr">
        <is>
          <t>BESS</t>
        </is>
      </c>
      <c r="H1794" s="9" t="inlineStr">
        <is>
          <t>BESS blocks: 30 containers + 15 PCS / MV skids</t>
        </is>
      </c>
      <c r="I1794" s="9" t="inlineStr">
        <is>
          <t>Instrumentation</t>
        </is>
      </c>
      <c r="J1794" s="9" t="inlineStr">
        <is>
          <t>Thermocouple extension KX, #16 shielded pairs, PLTC</t>
        </is>
      </c>
      <c r="K1794" s="9" t="inlineStr">
        <is>
          <t>TCX|12 pr|16</t>
        </is>
      </c>
      <c r="L1794" s="9" t="inlineStr">
        <is>
          <t>12 pr</t>
        </is>
      </c>
      <c r="M1794" s="9" t="inlineStr">
        <is>
          <t>16</t>
        </is>
      </c>
      <c r="N1794" s="9" t="n">
        <v>1</v>
      </c>
      <c r="O1794" s="9" t="n">
        <v>1</v>
      </c>
      <c r="P1794" s="9" t="n"/>
      <c r="Q1794" s="9" t="n"/>
      <c r="R1794" s="9" t="n"/>
      <c r="S1794" s="9" t="inlineStr">
        <is>
          <t>Duct bank</t>
        </is>
      </c>
      <c r="T1794" s="10" t="n">
        <v>336</v>
      </c>
      <c r="U1794" s="10" t="n">
        <v>32</v>
      </c>
      <c r="V1794" s="10">
        <f>ROUNDUP((T1794+U1794+2*'Read Me'!$B$13)*(1+'Read Me'!$B$12),-1)</f>
        <v/>
      </c>
      <c r="W1794" s="10">
        <f>V1794*N1794*O1794</f>
        <v/>
      </c>
      <c r="X1794" s="9">
        <f>IF(LEFT(I1794,2)="MV",2*N1794*IF(L1794="1/C",O1794,1),0)</f>
        <v/>
      </c>
      <c r="Y1794" s="9">
        <f>IF(OR(LEFT(K1794,4)="LVAX",LEFT(K1794,6)="MV15AX",LEFT(K1794,4)="CTAX",LEFT(K1794,2)="W|"),2*N1794*O1794,0)</f>
        <v/>
      </c>
      <c r="Z1794" s="9" t="inlineStr"/>
    </row>
    <row r="1795">
      <c r="A1795" s="9" t="inlineStr">
        <is>
          <t>H-I-0005</t>
        </is>
      </c>
      <c r="B1795" s="9" t="inlineStr">
        <is>
          <t>H</t>
        </is>
      </c>
      <c r="C1795" s="9" t="inlineStr">
        <is>
          <t>BESS</t>
        </is>
      </c>
      <c r="D1795" s="9" t="inlineStr">
        <is>
          <t>Thermocouples</t>
        </is>
      </c>
      <c r="E1795" s="9" t="inlineStr"/>
      <c r="F1795" s="9" t="inlineStr">
        <is>
          <t>BESS EMS / SCADA and revenue metering</t>
        </is>
      </c>
      <c r="G1795" s="9" t="inlineStr">
        <is>
          <t>BESS</t>
        </is>
      </c>
      <c r="H1795" s="9" t="inlineStr">
        <is>
          <t>BESS blocks: 30 containers + 15 PCS / MV skids</t>
        </is>
      </c>
      <c r="I1795" s="9" t="inlineStr">
        <is>
          <t>Instrumentation</t>
        </is>
      </c>
      <c r="J1795" s="9" t="inlineStr">
        <is>
          <t>Thermocouple extension KX, #16 shielded pairs, PLTC</t>
        </is>
      </c>
      <c r="K1795" s="9" t="inlineStr">
        <is>
          <t>TCX|12 pr|16</t>
        </is>
      </c>
      <c r="L1795" s="9" t="inlineStr">
        <is>
          <t>12 pr</t>
        </is>
      </c>
      <c r="M1795" s="9" t="inlineStr">
        <is>
          <t>16</t>
        </is>
      </c>
      <c r="N1795" s="9" t="n">
        <v>1</v>
      </c>
      <c r="O1795" s="9" t="n">
        <v>1</v>
      </c>
      <c r="P1795" s="9" t="n"/>
      <c r="Q1795" s="9" t="n"/>
      <c r="R1795" s="9" t="n"/>
      <c r="S1795" s="9" t="inlineStr">
        <is>
          <t>Duct bank</t>
        </is>
      </c>
      <c r="T1795" s="10" t="n">
        <v>336</v>
      </c>
      <c r="U1795" s="10" t="n">
        <v>32</v>
      </c>
      <c r="V1795" s="10">
        <f>ROUNDUP((T1795+U1795+2*'Read Me'!$B$13)*(1+'Read Me'!$B$12),-1)</f>
        <v/>
      </c>
      <c r="W1795" s="10">
        <f>V1795*N1795*O1795</f>
        <v/>
      </c>
      <c r="X1795" s="9">
        <f>IF(LEFT(I1795,2)="MV",2*N1795*IF(L1795="1/C",O1795,1),0)</f>
        <v/>
      </c>
      <c r="Y1795" s="9">
        <f>IF(OR(LEFT(K1795,4)="LVAX",LEFT(K1795,6)="MV15AX",LEFT(K1795,4)="CTAX",LEFT(K1795,2)="W|"),2*N1795*O1795,0)</f>
        <v/>
      </c>
      <c r="Z1795" s="9" t="inlineStr"/>
    </row>
    <row r="1796">
      <c r="A1796" s="9" t="inlineStr">
        <is>
          <t>H-I-0006</t>
        </is>
      </c>
      <c r="B1796" s="9" t="inlineStr">
        <is>
          <t>H</t>
        </is>
      </c>
      <c r="C1796" s="9" t="inlineStr">
        <is>
          <t>BESS</t>
        </is>
      </c>
      <c r="D1796" s="9" t="inlineStr">
        <is>
          <t>Instrumentation</t>
        </is>
      </c>
      <c r="E1796" s="9" t="inlineStr"/>
      <c r="F1796" s="9" t="inlineStr">
        <is>
          <t>BESS PCS / MV skid</t>
        </is>
      </c>
      <c r="G1796" s="9" t="inlineStr"/>
      <c r="H1796" s="9" t="inlineStr">
        <is>
          <t>BESS container (ISO 40 ft high cube)</t>
        </is>
      </c>
      <c r="I1796" s="9" t="inlineStr">
        <is>
          <t>Instrumentation</t>
        </is>
      </c>
      <c r="J1796" s="9" t="inlineStr">
        <is>
          <t>Instrumentation PLTC / TC-ER 300 V, #18 twisted shielded pairs, overall shield</t>
        </is>
      </c>
      <c r="K1796" s="9" t="inlineStr">
        <is>
          <t>PLTC|4 pr|18</t>
        </is>
      </c>
      <c r="L1796" s="9" t="inlineStr">
        <is>
          <t>4 pr</t>
        </is>
      </c>
      <c r="M1796" s="9" t="inlineStr">
        <is>
          <t>18</t>
        </is>
      </c>
      <c r="N1796" s="9" t="n">
        <v>1</v>
      </c>
      <c r="O1796" s="9" t="n">
        <v>1</v>
      </c>
      <c r="P1796" s="9" t="n"/>
      <c r="Q1796" s="9" t="n"/>
      <c r="R1796" s="9" t="n"/>
      <c r="S1796" s="9" t="inlineStr">
        <is>
          <t>Duct bank</t>
        </is>
      </c>
      <c r="T1796" s="10" t="n">
        <v>10</v>
      </c>
      <c r="U1796" s="10" t="n">
        <v>150</v>
      </c>
      <c r="V1796" s="10">
        <f>ROUNDUP((T1796+U1796+2*'Read Me'!$B$13)*(1+'Read Me'!$B$12),-1)</f>
        <v/>
      </c>
      <c r="W1796" s="10">
        <f>V1796*N1796*O1796</f>
        <v/>
      </c>
      <c r="X1796" s="9">
        <f>IF(LEFT(I1796,2)="MV",2*N1796*IF(L1796="1/C",O1796,1),0)</f>
        <v/>
      </c>
      <c r="Y1796" s="9">
        <f>IF(OR(LEFT(K1796,4)="LVAX",LEFT(K1796,6)="MV15AX",LEFT(K1796,4)="CTAX",LEFT(K1796,2)="W|"),2*N1796*O1796,0)</f>
        <v/>
      </c>
      <c r="Z1796" s="9" t="inlineStr"/>
    </row>
    <row r="1797">
      <c r="A1797" s="9" t="inlineStr">
        <is>
          <t>H-I-0007</t>
        </is>
      </c>
      <c r="B1797" s="9" t="inlineStr">
        <is>
          <t>H</t>
        </is>
      </c>
      <c r="C1797" s="9" t="inlineStr">
        <is>
          <t>BESS</t>
        </is>
      </c>
      <c r="D1797" s="9" t="inlineStr">
        <is>
          <t>Instrumentation</t>
        </is>
      </c>
      <c r="E1797" s="9" t="inlineStr"/>
      <c r="F1797" s="9" t="inlineStr">
        <is>
          <t>BESS PCS / MV skid</t>
        </is>
      </c>
      <c r="G1797" s="9" t="inlineStr"/>
      <c r="H1797" s="9" t="inlineStr">
        <is>
          <t>BESS container (ISO 40 ft high cube)</t>
        </is>
      </c>
      <c r="I1797" s="9" t="inlineStr">
        <is>
          <t>Instrumentation</t>
        </is>
      </c>
      <c r="J1797" s="9" t="inlineStr">
        <is>
          <t>Instrumentation PLTC / TC-ER 300 V, #18 twisted shielded pairs, overall shield</t>
        </is>
      </c>
      <c r="K1797" s="9" t="inlineStr">
        <is>
          <t>PLTC|4 pr|18</t>
        </is>
      </c>
      <c r="L1797" s="9" t="inlineStr">
        <is>
          <t>4 pr</t>
        </is>
      </c>
      <c r="M1797" s="9" t="inlineStr">
        <is>
          <t>18</t>
        </is>
      </c>
      <c r="N1797" s="9" t="n">
        <v>1</v>
      </c>
      <c r="O1797" s="9" t="n">
        <v>1</v>
      </c>
      <c r="P1797" s="9" t="n"/>
      <c r="Q1797" s="9" t="n"/>
      <c r="R1797" s="9" t="n"/>
      <c r="S1797" s="9" t="inlineStr">
        <is>
          <t>Tray</t>
        </is>
      </c>
      <c r="T1797" s="10" t="n">
        <v>0</v>
      </c>
      <c r="U1797" s="10" t="n">
        <v>160</v>
      </c>
      <c r="V1797" s="10">
        <f>ROUNDUP((T1797+U1797+2*'Read Me'!$B$13)*(1+'Read Me'!$B$12),-1)</f>
        <v/>
      </c>
      <c r="W1797" s="10">
        <f>V1797*N1797*O1797</f>
        <v/>
      </c>
      <c r="X1797" s="9">
        <f>IF(LEFT(I1797,2)="MV",2*N1797*IF(L1797="1/C",O1797,1),0)</f>
        <v/>
      </c>
      <c r="Y1797" s="9">
        <f>IF(OR(LEFT(K1797,4)="LVAX",LEFT(K1797,6)="MV15AX",LEFT(K1797,4)="CTAX",LEFT(K1797,2)="W|"),2*N1797*O1797,0)</f>
        <v/>
      </c>
      <c r="Z1797" s="9" t="inlineStr"/>
    </row>
    <row r="1798">
      <c r="A1798" s="9" t="inlineStr">
        <is>
          <t>H-I-0008</t>
        </is>
      </c>
      <c r="B1798" s="9" t="inlineStr">
        <is>
          <t>H</t>
        </is>
      </c>
      <c r="C1798" s="9" t="inlineStr">
        <is>
          <t>BESS</t>
        </is>
      </c>
      <c r="D1798" s="9" t="inlineStr">
        <is>
          <t>Instrumentation</t>
        </is>
      </c>
      <c r="E1798" s="9" t="inlineStr"/>
      <c r="F1798" s="9" t="inlineStr">
        <is>
          <t>BESS PCS / MV skid</t>
        </is>
      </c>
      <c r="G1798" s="9" t="inlineStr"/>
      <c r="H1798" s="9" t="inlineStr">
        <is>
          <t>BESS container (ISO 40 ft high cube)</t>
        </is>
      </c>
      <c r="I1798" s="9" t="inlineStr">
        <is>
          <t>Instrumentation</t>
        </is>
      </c>
      <c r="J1798" s="9" t="inlineStr">
        <is>
          <t>Instrumentation PLTC / TC-ER 300 V, #18 twisted shielded pairs, overall shield</t>
        </is>
      </c>
      <c r="K1798" s="9" t="inlineStr">
        <is>
          <t>PLTC|4 pr|18</t>
        </is>
      </c>
      <c r="L1798" s="9" t="inlineStr">
        <is>
          <t>4 pr</t>
        </is>
      </c>
      <c r="M1798" s="9" t="inlineStr">
        <is>
          <t>18</t>
        </is>
      </c>
      <c r="N1798" s="9" t="n">
        <v>1</v>
      </c>
      <c r="O1798" s="9" t="n">
        <v>1</v>
      </c>
      <c r="P1798" s="9" t="n"/>
      <c r="Q1798" s="9" t="n"/>
      <c r="R1798" s="9" t="n"/>
      <c r="S1798" s="9" t="inlineStr">
        <is>
          <t>Tray</t>
        </is>
      </c>
      <c r="T1798" s="10" t="n">
        <v>0</v>
      </c>
      <c r="U1798" s="10" t="n">
        <v>200</v>
      </c>
      <c r="V1798" s="10">
        <f>ROUNDUP((T1798+U1798+2*'Read Me'!$B$13)*(1+'Read Me'!$B$12),-1)</f>
        <v/>
      </c>
      <c r="W1798" s="10">
        <f>V1798*N1798*O1798</f>
        <v/>
      </c>
      <c r="X1798" s="9">
        <f>IF(LEFT(I1798,2)="MV",2*N1798*IF(L1798="1/C",O1798,1),0)</f>
        <v/>
      </c>
      <c r="Y1798" s="9">
        <f>IF(OR(LEFT(K1798,4)="LVAX",LEFT(K1798,6)="MV15AX",LEFT(K1798,4)="CTAX",LEFT(K1798,2)="W|"),2*N1798*O1798,0)</f>
        <v/>
      </c>
      <c r="Z1798" s="9" t="inlineStr"/>
    </row>
    <row r="1799">
      <c r="A1799" s="9" t="inlineStr">
        <is>
          <t>H-I-0009</t>
        </is>
      </c>
      <c r="B1799" s="9" t="inlineStr">
        <is>
          <t>H</t>
        </is>
      </c>
      <c r="C1799" s="9" t="inlineStr">
        <is>
          <t>BESS</t>
        </is>
      </c>
      <c r="D1799" s="9" t="inlineStr">
        <is>
          <t>Instrumentation</t>
        </is>
      </c>
      <c r="E1799" s="9" t="inlineStr"/>
      <c r="F1799" s="9" t="inlineStr">
        <is>
          <t>BESS PCS / MV skid</t>
        </is>
      </c>
      <c r="G1799" s="9" t="inlineStr"/>
      <c r="H1799" s="9" t="inlineStr">
        <is>
          <t>BESS container (ISO 40 ft high cube)</t>
        </is>
      </c>
      <c r="I1799" s="9" t="inlineStr">
        <is>
          <t>Instrumentation</t>
        </is>
      </c>
      <c r="J1799" s="9" t="inlineStr">
        <is>
          <t>Instrumentation PLTC / TC-ER 300 V, #18 twisted shielded pairs, overall shield</t>
        </is>
      </c>
      <c r="K1799" s="9" t="inlineStr">
        <is>
          <t>PLTC|4 pr|18</t>
        </is>
      </c>
      <c r="L1799" s="9" t="inlineStr">
        <is>
          <t>4 pr</t>
        </is>
      </c>
      <c r="M1799" s="9" t="inlineStr">
        <is>
          <t>18</t>
        </is>
      </c>
      <c r="N1799" s="9" t="n">
        <v>1</v>
      </c>
      <c r="O1799" s="9" t="n">
        <v>1</v>
      </c>
      <c r="P1799" s="9" t="n"/>
      <c r="Q1799" s="9" t="n"/>
      <c r="R1799" s="9" t="n"/>
      <c r="S1799" s="9" t="inlineStr">
        <is>
          <t>Tray</t>
        </is>
      </c>
      <c r="T1799" s="10" t="n">
        <v>0</v>
      </c>
      <c r="U1799" s="10" t="n">
        <v>200</v>
      </c>
      <c r="V1799" s="10">
        <f>ROUNDUP((T1799+U1799+2*'Read Me'!$B$13)*(1+'Read Me'!$B$12),-1)</f>
        <v/>
      </c>
      <c r="W1799" s="10">
        <f>V1799*N1799*O1799</f>
        <v/>
      </c>
      <c r="X1799" s="9">
        <f>IF(LEFT(I1799,2)="MV",2*N1799*IF(L1799="1/C",O1799,1),0)</f>
        <v/>
      </c>
      <c r="Y1799" s="9">
        <f>IF(OR(LEFT(K1799,4)="LVAX",LEFT(K1799,6)="MV15AX",LEFT(K1799,4)="CTAX",LEFT(K1799,2)="W|"),2*N1799*O1799,0)</f>
        <v/>
      </c>
      <c r="Z1799" s="9" t="inlineStr"/>
    </row>
    <row r="1800">
      <c r="A1800" s="9" t="inlineStr">
        <is>
          <t>H-I-0010</t>
        </is>
      </c>
      <c r="B1800" s="9" t="inlineStr">
        <is>
          <t>H</t>
        </is>
      </c>
      <c r="C1800" s="9" t="inlineStr">
        <is>
          <t>BESS</t>
        </is>
      </c>
      <c r="D1800" s="9" t="inlineStr">
        <is>
          <t>Instrumentation</t>
        </is>
      </c>
      <c r="E1800" s="9" t="inlineStr"/>
      <c r="F1800" s="9" t="inlineStr">
        <is>
          <t>BESS PCS / MV skid</t>
        </is>
      </c>
      <c r="G1800" s="9" t="inlineStr"/>
      <c r="H1800" s="9" t="inlineStr">
        <is>
          <t>BESS container (ISO 40 ft high cube)</t>
        </is>
      </c>
      <c r="I1800" s="9" t="inlineStr">
        <is>
          <t>Instrumentation</t>
        </is>
      </c>
      <c r="J1800" s="9" t="inlineStr">
        <is>
          <t>Instrumentation PLTC / TC-ER 300 V, #18 twisted shielded pairs, overall shield</t>
        </is>
      </c>
      <c r="K1800" s="9" t="inlineStr">
        <is>
          <t>PLTC|4 pr|18</t>
        </is>
      </c>
      <c r="L1800" s="9" t="inlineStr">
        <is>
          <t>4 pr</t>
        </is>
      </c>
      <c r="M1800" s="9" t="inlineStr">
        <is>
          <t>18</t>
        </is>
      </c>
      <c r="N1800" s="9" t="n">
        <v>1</v>
      </c>
      <c r="O1800" s="9" t="n">
        <v>1</v>
      </c>
      <c r="P1800" s="9" t="n"/>
      <c r="Q1800" s="9" t="n"/>
      <c r="R1800" s="9" t="n"/>
      <c r="S1800" s="9" t="inlineStr">
        <is>
          <t>Tray</t>
        </is>
      </c>
      <c r="T1800" s="10" t="n">
        <v>0</v>
      </c>
      <c r="U1800" s="10" t="n">
        <v>168</v>
      </c>
      <c r="V1800" s="10">
        <f>ROUNDUP((T1800+U1800+2*'Read Me'!$B$13)*(1+'Read Me'!$B$12),-1)</f>
        <v/>
      </c>
      <c r="W1800" s="10">
        <f>V1800*N1800*O1800</f>
        <v/>
      </c>
      <c r="X1800" s="9">
        <f>IF(LEFT(I1800,2)="MV",2*N1800*IF(L1800="1/C",O1800,1),0)</f>
        <v/>
      </c>
      <c r="Y1800" s="9">
        <f>IF(OR(LEFT(K1800,4)="LVAX",LEFT(K1800,6)="MV15AX",LEFT(K1800,4)="CTAX",LEFT(K1800,2)="W|"),2*N1800*O1800,0)</f>
        <v/>
      </c>
      <c r="Z1800" s="9" t="inlineStr"/>
    </row>
    <row r="1801">
      <c r="A1801" s="9" t="inlineStr">
        <is>
          <t>H-I-0011</t>
        </is>
      </c>
      <c r="B1801" s="9" t="inlineStr">
        <is>
          <t>H</t>
        </is>
      </c>
      <c r="C1801" s="9" t="inlineStr">
        <is>
          <t>BESS</t>
        </is>
      </c>
      <c r="D1801" s="9" t="inlineStr">
        <is>
          <t>Instrumentation</t>
        </is>
      </c>
      <c r="E1801" s="9" t="inlineStr"/>
      <c r="F1801" s="9" t="inlineStr">
        <is>
          <t>BESS PCS / MV skid</t>
        </is>
      </c>
      <c r="G1801" s="9" t="inlineStr"/>
      <c r="H1801" s="9" t="inlineStr">
        <is>
          <t>BESS container (ISO 40 ft high cube)</t>
        </is>
      </c>
      <c r="I1801" s="9" t="inlineStr">
        <is>
          <t>Instrumentation</t>
        </is>
      </c>
      <c r="J1801" s="9" t="inlineStr">
        <is>
          <t>Instrumentation PLTC / TC-ER 300 V, #18 twisted shielded pairs, overall shield</t>
        </is>
      </c>
      <c r="K1801" s="9" t="inlineStr">
        <is>
          <t>PLTC|4 pr|18</t>
        </is>
      </c>
      <c r="L1801" s="9" t="inlineStr">
        <is>
          <t>4 pr</t>
        </is>
      </c>
      <c r="M1801" s="9" t="inlineStr">
        <is>
          <t>18</t>
        </is>
      </c>
      <c r="N1801" s="9" t="n">
        <v>1</v>
      </c>
      <c r="O1801" s="9" t="n">
        <v>1</v>
      </c>
      <c r="P1801" s="9" t="n"/>
      <c r="Q1801" s="9" t="n"/>
      <c r="R1801" s="9" t="n"/>
      <c r="S1801" s="9" t="inlineStr">
        <is>
          <t>Tray</t>
        </is>
      </c>
      <c r="T1801" s="10" t="n">
        <v>0</v>
      </c>
      <c r="U1801" s="10" t="n">
        <v>168</v>
      </c>
      <c r="V1801" s="10">
        <f>ROUNDUP((T1801+U1801+2*'Read Me'!$B$13)*(1+'Read Me'!$B$12),-1)</f>
        <v/>
      </c>
      <c r="W1801" s="10">
        <f>V1801*N1801*O1801</f>
        <v/>
      </c>
      <c r="X1801" s="9">
        <f>IF(LEFT(I1801,2)="MV",2*N1801*IF(L1801="1/C",O1801,1),0)</f>
        <v/>
      </c>
      <c r="Y1801" s="9">
        <f>IF(OR(LEFT(K1801,4)="LVAX",LEFT(K1801,6)="MV15AX",LEFT(K1801,4)="CTAX",LEFT(K1801,2)="W|"),2*N1801*O1801,0)</f>
        <v/>
      </c>
      <c r="Z1801" s="9" t="inlineStr"/>
    </row>
    <row r="1802">
      <c r="A1802" s="9" t="inlineStr">
        <is>
          <t>H-I-0012</t>
        </is>
      </c>
      <c r="B1802" s="9" t="inlineStr">
        <is>
          <t>H</t>
        </is>
      </c>
      <c r="C1802" s="9" t="inlineStr">
        <is>
          <t>BESS</t>
        </is>
      </c>
      <c r="D1802" s="9" t="inlineStr">
        <is>
          <t>Instrumentation</t>
        </is>
      </c>
      <c r="E1802" s="9" t="inlineStr"/>
      <c r="F1802" s="9" t="inlineStr">
        <is>
          <t>BESS PCS / MV skid</t>
        </is>
      </c>
      <c r="G1802" s="9" t="inlineStr"/>
      <c r="H1802" s="9" t="inlineStr">
        <is>
          <t>BESS container (ISO 40 ft high cube)</t>
        </is>
      </c>
      <c r="I1802" s="9" t="inlineStr">
        <is>
          <t>Instrumentation</t>
        </is>
      </c>
      <c r="J1802" s="9" t="inlineStr">
        <is>
          <t>Instrumentation PLTC / TC-ER 300 V, #18 twisted shielded pairs, overall shield</t>
        </is>
      </c>
      <c r="K1802" s="9" t="inlineStr">
        <is>
          <t>PLTC|4 pr|18</t>
        </is>
      </c>
      <c r="L1802" s="9" t="inlineStr">
        <is>
          <t>4 pr</t>
        </is>
      </c>
      <c r="M1802" s="9" t="inlineStr">
        <is>
          <t>18</t>
        </is>
      </c>
      <c r="N1802" s="9" t="n">
        <v>1</v>
      </c>
      <c r="O1802" s="9" t="n">
        <v>1</v>
      </c>
      <c r="P1802" s="9" t="n"/>
      <c r="Q1802" s="9" t="n"/>
      <c r="R1802" s="9" t="n"/>
      <c r="S1802" s="9" t="inlineStr">
        <is>
          <t>Duct bank</t>
        </is>
      </c>
      <c r="T1802" s="10" t="n">
        <v>10</v>
      </c>
      <c r="U1802" s="10" t="n">
        <v>266</v>
      </c>
      <c r="V1802" s="10">
        <f>ROUNDUP((T1802+U1802+2*'Read Me'!$B$13)*(1+'Read Me'!$B$12),-1)</f>
        <v/>
      </c>
      <c r="W1802" s="10">
        <f>V1802*N1802*O1802</f>
        <v/>
      </c>
      <c r="X1802" s="9">
        <f>IF(LEFT(I1802,2)="MV",2*N1802*IF(L1802="1/C",O1802,1),0)</f>
        <v/>
      </c>
      <c r="Y1802" s="9">
        <f>IF(OR(LEFT(K1802,4)="LVAX",LEFT(K1802,6)="MV15AX",LEFT(K1802,4)="CTAX",LEFT(K1802,2)="W|"),2*N1802*O1802,0)</f>
        <v/>
      </c>
      <c r="Z1802" s="9" t="inlineStr"/>
    </row>
    <row r="1803">
      <c r="A1803" s="9" t="inlineStr">
        <is>
          <t>H-I-0013</t>
        </is>
      </c>
      <c r="B1803" s="9" t="inlineStr">
        <is>
          <t>H</t>
        </is>
      </c>
      <c r="C1803" s="9" t="inlineStr">
        <is>
          <t>BESS</t>
        </is>
      </c>
      <c r="D1803" s="9" t="inlineStr">
        <is>
          <t>Instrumentation</t>
        </is>
      </c>
      <c r="E1803" s="9" t="inlineStr"/>
      <c r="F1803" s="9" t="inlineStr">
        <is>
          <t>BESS PCS / MV skid</t>
        </is>
      </c>
      <c r="G1803" s="9" t="inlineStr"/>
      <c r="H1803" s="9" t="inlineStr">
        <is>
          <t>BESS container (ISO 40 ft high cube)</t>
        </is>
      </c>
      <c r="I1803" s="9" t="inlineStr">
        <is>
          <t>Instrumentation</t>
        </is>
      </c>
      <c r="J1803" s="9" t="inlineStr">
        <is>
          <t>Instrumentation PLTC / TC-ER 300 V, #18 twisted shielded pairs, overall shield</t>
        </is>
      </c>
      <c r="K1803" s="9" t="inlineStr">
        <is>
          <t>PLTC|4 pr|18</t>
        </is>
      </c>
      <c r="L1803" s="9" t="inlineStr">
        <is>
          <t>4 pr</t>
        </is>
      </c>
      <c r="M1803" s="9" t="inlineStr">
        <is>
          <t>18</t>
        </is>
      </c>
      <c r="N1803" s="9" t="n">
        <v>1</v>
      </c>
      <c r="O1803" s="9" t="n">
        <v>1</v>
      </c>
      <c r="P1803" s="9" t="n"/>
      <c r="Q1803" s="9" t="n"/>
      <c r="R1803" s="9" t="n"/>
      <c r="S1803" s="9" t="inlineStr">
        <is>
          <t>Tray</t>
        </is>
      </c>
      <c r="T1803" s="10" t="n">
        <v>0</v>
      </c>
      <c r="U1803" s="10" t="n">
        <v>276</v>
      </c>
      <c r="V1803" s="10">
        <f>ROUNDUP((T1803+U1803+2*'Read Me'!$B$13)*(1+'Read Me'!$B$12),-1)</f>
        <v/>
      </c>
      <c r="W1803" s="10">
        <f>V1803*N1803*O1803</f>
        <v/>
      </c>
      <c r="X1803" s="9">
        <f>IF(LEFT(I1803,2)="MV",2*N1803*IF(L1803="1/C",O1803,1),0)</f>
        <v/>
      </c>
      <c r="Y1803" s="9">
        <f>IF(OR(LEFT(K1803,4)="LVAX",LEFT(K1803,6)="MV15AX",LEFT(K1803,4)="CTAX",LEFT(K1803,2)="W|"),2*N1803*O1803,0)</f>
        <v/>
      </c>
      <c r="Z1803" s="9" t="inlineStr"/>
    </row>
    <row r="1804">
      <c r="A1804" s="9" t="inlineStr">
        <is>
          <t>H-I-0014</t>
        </is>
      </c>
      <c r="B1804" s="9" t="inlineStr">
        <is>
          <t>H</t>
        </is>
      </c>
      <c r="C1804" s="9" t="inlineStr">
        <is>
          <t>BESS</t>
        </is>
      </c>
      <c r="D1804" s="9" t="inlineStr">
        <is>
          <t>Instrumentation</t>
        </is>
      </c>
      <c r="E1804" s="9" t="inlineStr"/>
      <c r="F1804" s="9" t="inlineStr">
        <is>
          <t>BESS PCS / MV skid</t>
        </is>
      </c>
      <c r="G1804" s="9" t="inlineStr"/>
      <c r="H1804" s="9" t="inlineStr">
        <is>
          <t>BESS container (ISO 40 ft high cube)</t>
        </is>
      </c>
      <c r="I1804" s="9" t="inlineStr">
        <is>
          <t>Instrumentation</t>
        </is>
      </c>
      <c r="J1804" s="9" t="inlineStr">
        <is>
          <t>Instrumentation PLTC / TC-ER 300 V, #18 twisted shielded pairs, overall shield</t>
        </is>
      </c>
      <c r="K1804" s="9" t="inlineStr">
        <is>
          <t>PLTC|4 pr|18</t>
        </is>
      </c>
      <c r="L1804" s="9" t="inlineStr">
        <is>
          <t>4 pr</t>
        </is>
      </c>
      <c r="M1804" s="9" t="inlineStr">
        <is>
          <t>18</t>
        </is>
      </c>
      <c r="N1804" s="9" t="n">
        <v>1</v>
      </c>
      <c r="O1804" s="9" t="n">
        <v>1</v>
      </c>
      <c r="P1804" s="9" t="n"/>
      <c r="Q1804" s="9" t="n"/>
      <c r="R1804" s="9" t="n"/>
      <c r="S1804" s="9" t="inlineStr">
        <is>
          <t>Tray</t>
        </is>
      </c>
      <c r="T1804" s="10" t="n">
        <v>0</v>
      </c>
      <c r="U1804" s="10" t="n">
        <v>316</v>
      </c>
      <c r="V1804" s="10">
        <f>ROUNDUP((T1804+U1804+2*'Read Me'!$B$13)*(1+'Read Me'!$B$12),-1)</f>
        <v/>
      </c>
      <c r="W1804" s="10">
        <f>V1804*N1804*O1804</f>
        <v/>
      </c>
      <c r="X1804" s="9">
        <f>IF(LEFT(I1804,2)="MV",2*N1804*IF(L1804="1/C",O1804,1),0)</f>
        <v/>
      </c>
      <c r="Y1804" s="9">
        <f>IF(OR(LEFT(K1804,4)="LVAX",LEFT(K1804,6)="MV15AX",LEFT(K1804,4)="CTAX",LEFT(K1804,2)="W|"),2*N1804*O1804,0)</f>
        <v/>
      </c>
      <c r="Z1804" s="9" t="inlineStr"/>
    </row>
    <row r="1805">
      <c r="A1805" s="9" t="inlineStr">
        <is>
          <t>H-I-0015</t>
        </is>
      </c>
      <c r="B1805" s="9" t="inlineStr">
        <is>
          <t>H</t>
        </is>
      </c>
      <c r="C1805" s="9" t="inlineStr">
        <is>
          <t>BESS</t>
        </is>
      </c>
      <c r="D1805" s="9" t="inlineStr">
        <is>
          <t>Instrumentation</t>
        </is>
      </c>
      <c r="E1805" s="9" t="inlineStr"/>
      <c r="F1805" s="9" t="inlineStr">
        <is>
          <t>BESS PCS / MV skid</t>
        </is>
      </c>
      <c r="G1805" s="9" t="inlineStr"/>
      <c r="H1805" s="9" t="inlineStr">
        <is>
          <t>BESS container (ISO 40 ft high cube)</t>
        </is>
      </c>
      <c r="I1805" s="9" t="inlineStr">
        <is>
          <t>Instrumentation</t>
        </is>
      </c>
      <c r="J1805" s="9" t="inlineStr">
        <is>
          <t>Instrumentation PLTC / TC-ER 300 V, #18 twisted shielded pairs, overall shield</t>
        </is>
      </c>
      <c r="K1805" s="9" t="inlineStr">
        <is>
          <t>PLTC|4 pr|18</t>
        </is>
      </c>
      <c r="L1805" s="9" t="inlineStr">
        <is>
          <t>4 pr</t>
        </is>
      </c>
      <c r="M1805" s="9" t="inlineStr">
        <is>
          <t>18</t>
        </is>
      </c>
      <c r="N1805" s="9" t="n">
        <v>1</v>
      </c>
      <c r="O1805" s="9" t="n">
        <v>1</v>
      </c>
      <c r="P1805" s="9" t="n"/>
      <c r="Q1805" s="9" t="n"/>
      <c r="R1805" s="9" t="n"/>
      <c r="S1805" s="9" t="inlineStr">
        <is>
          <t>Tray</t>
        </is>
      </c>
      <c r="T1805" s="10" t="n">
        <v>0</v>
      </c>
      <c r="U1805" s="10" t="n">
        <v>316</v>
      </c>
      <c r="V1805" s="10">
        <f>ROUNDUP((T1805+U1805+2*'Read Me'!$B$13)*(1+'Read Me'!$B$12),-1)</f>
        <v/>
      </c>
      <c r="W1805" s="10">
        <f>V1805*N1805*O1805</f>
        <v/>
      </c>
      <c r="X1805" s="9">
        <f>IF(LEFT(I1805,2)="MV",2*N1805*IF(L1805="1/C",O1805,1),0)</f>
        <v/>
      </c>
      <c r="Y1805" s="9">
        <f>IF(OR(LEFT(K1805,4)="LVAX",LEFT(K1805,6)="MV15AX",LEFT(K1805,4)="CTAX",LEFT(K1805,2)="W|"),2*N1805*O1805,0)</f>
        <v/>
      </c>
      <c r="Z1805" s="9" t="inlineStr"/>
    </row>
    <row r="1806">
      <c r="A1806" s="9" t="inlineStr">
        <is>
          <t>H-I-0016</t>
        </is>
      </c>
      <c r="B1806" s="9" t="inlineStr">
        <is>
          <t>H</t>
        </is>
      </c>
      <c r="C1806" s="9" t="inlineStr">
        <is>
          <t>BESS</t>
        </is>
      </c>
      <c r="D1806" s="9" t="inlineStr">
        <is>
          <t>Instrumentation</t>
        </is>
      </c>
      <c r="E1806" s="9" t="inlineStr"/>
      <c r="F1806" s="9" t="inlineStr">
        <is>
          <t>BESS PCS / MV skid</t>
        </is>
      </c>
      <c r="G1806" s="9" t="inlineStr"/>
      <c r="H1806" s="9" t="inlineStr">
        <is>
          <t>BESS container (ISO 40 ft high cube)</t>
        </is>
      </c>
      <c r="I1806" s="9" t="inlineStr">
        <is>
          <t>Instrumentation</t>
        </is>
      </c>
      <c r="J1806" s="9" t="inlineStr">
        <is>
          <t>Instrumentation PLTC / TC-ER 300 V, #18 twisted shielded pairs, overall shield</t>
        </is>
      </c>
      <c r="K1806" s="9" t="inlineStr">
        <is>
          <t>PLTC|4 pr|18</t>
        </is>
      </c>
      <c r="L1806" s="9" t="inlineStr">
        <is>
          <t>4 pr</t>
        </is>
      </c>
      <c r="M1806" s="9" t="inlineStr">
        <is>
          <t>18</t>
        </is>
      </c>
      <c r="N1806" s="9" t="n">
        <v>1</v>
      </c>
      <c r="O1806" s="9" t="n">
        <v>1</v>
      </c>
      <c r="P1806" s="9" t="n"/>
      <c r="Q1806" s="9" t="n"/>
      <c r="R1806" s="9" t="n"/>
      <c r="S1806" s="9" t="inlineStr">
        <is>
          <t>Tray</t>
        </is>
      </c>
      <c r="T1806" s="10" t="n">
        <v>0</v>
      </c>
      <c r="U1806" s="10" t="n">
        <v>284</v>
      </c>
      <c r="V1806" s="10">
        <f>ROUNDUP((T1806+U1806+2*'Read Me'!$B$13)*(1+'Read Me'!$B$12),-1)</f>
        <v/>
      </c>
      <c r="W1806" s="10">
        <f>V1806*N1806*O1806</f>
        <v/>
      </c>
      <c r="X1806" s="9">
        <f>IF(LEFT(I1806,2)="MV",2*N1806*IF(L1806="1/C",O1806,1),0)</f>
        <v/>
      </c>
      <c r="Y1806" s="9">
        <f>IF(OR(LEFT(K1806,4)="LVAX",LEFT(K1806,6)="MV15AX",LEFT(K1806,4)="CTAX",LEFT(K1806,2)="W|"),2*N1806*O1806,0)</f>
        <v/>
      </c>
      <c r="Z1806" s="9" t="inlineStr"/>
    </row>
    <row r="1807">
      <c r="A1807" s="9" t="inlineStr">
        <is>
          <t>H-I-0017</t>
        </is>
      </c>
      <c r="B1807" s="9" t="inlineStr">
        <is>
          <t>H</t>
        </is>
      </c>
      <c r="C1807" s="9" t="inlineStr">
        <is>
          <t>BESS</t>
        </is>
      </c>
      <c r="D1807" s="9" t="inlineStr">
        <is>
          <t>Instrumentation</t>
        </is>
      </c>
      <c r="E1807" s="9" t="inlineStr"/>
      <c r="F1807" s="9" t="inlineStr">
        <is>
          <t>BESS PCS / MV skid</t>
        </is>
      </c>
      <c r="G1807" s="9" t="inlineStr"/>
      <c r="H1807" s="9" t="inlineStr">
        <is>
          <t>BESS container (ISO 40 ft high cube)</t>
        </is>
      </c>
      <c r="I1807" s="9" t="inlineStr">
        <is>
          <t>Instrumentation</t>
        </is>
      </c>
      <c r="J1807" s="9" t="inlineStr">
        <is>
          <t>Instrumentation PLTC / TC-ER 300 V, #18 twisted shielded pairs, overall shield</t>
        </is>
      </c>
      <c r="K1807" s="9" t="inlineStr">
        <is>
          <t>PLTC|4 pr|18</t>
        </is>
      </c>
      <c r="L1807" s="9" t="inlineStr">
        <is>
          <t>4 pr</t>
        </is>
      </c>
      <c r="M1807" s="9" t="inlineStr">
        <is>
          <t>18</t>
        </is>
      </c>
      <c r="N1807" s="9" t="n">
        <v>1</v>
      </c>
      <c r="O1807" s="9" t="n">
        <v>1</v>
      </c>
      <c r="P1807" s="9" t="n"/>
      <c r="Q1807" s="9" t="n"/>
      <c r="R1807" s="9" t="n"/>
      <c r="S1807" s="9" t="inlineStr">
        <is>
          <t>Tray</t>
        </is>
      </c>
      <c r="T1807" s="10" t="n">
        <v>0</v>
      </c>
      <c r="U1807" s="10" t="n">
        <v>284</v>
      </c>
      <c r="V1807" s="10">
        <f>ROUNDUP((T1807+U1807+2*'Read Me'!$B$13)*(1+'Read Me'!$B$12),-1)</f>
        <v/>
      </c>
      <c r="W1807" s="10">
        <f>V1807*N1807*O1807</f>
        <v/>
      </c>
      <c r="X1807" s="9">
        <f>IF(LEFT(I1807,2)="MV",2*N1807*IF(L1807="1/C",O1807,1),0)</f>
        <v/>
      </c>
      <c r="Y1807" s="9">
        <f>IF(OR(LEFT(K1807,4)="LVAX",LEFT(K1807,6)="MV15AX",LEFT(K1807,4)="CTAX",LEFT(K1807,2)="W|"),2*N1807*O1807,0)</f>
        <v/>
      </c>
      <c r="Z1807" s="9" t="inlineStr"/>
    </row>
    <row r="1808">
      <c r="A1808" s="9" t="inlineStr">
        <is>
          <t>H-I-0018</t>
        </is>
      </c>
      <c r="B1808" s="9" t="inlineStr">
        <is>
          <t>H</t>
        </is>
      </c>
      <c r="C1808" s="9" t="inlineStr">
        <is>
          <t>BESS</t>
        </is>
      </c>
      <c r="D1808" s="9" t="inlineStr">
        <is>
          <t>Instrumentation</t>
        </is>
      </c>
      <c r="E1808" s="9" t="inlineStr"/>
      <c r="F1808" s="9" t="inlineStr">
        <is>
          <t>BESS PCS / MV skid</t>
        </is>
      </c>
      <c r="G1808" s="9" t="inlineStr"/>
      <c r="H1808" s="9" t="inlineStr">
        <is>
          <t>BESS container (ISO 40 ft high cube)</t>
        </is>
      </c>
      <c r="I1808" s="9" t="inlineStr">
        <is>
          <t>Instrumentation</t>
        </is>
      </c>
      <c r="J1808" s="9" t="inlineStr">
        <is>
          <t>Instrumentation PLTC / TC-ER 300 V, #18 twisted shielded pairs, overall shield</t>
        </is>
      </c>
      <c r="K1808" s="9" t="inlineStr">
        <is>
          <t>PLTC|4 pr|18</t>
        </is>
      </c>
      <c r="L1808" s="9" t="inlineStr">
        <is>
          <t>4 pr</t>
        </is>
      </c>
      <c r="M1808" s="9" t="inlineStr">
        <is>
          <t>18</t>
        </is>
      </c>
      <c r="N1808" s="9" t="n">
        <v>1</v>
      </c>
      <c r="O1808" s="9" t="n">
        <v>1</v>
      </c>
      <c r="P1808" s="9" t="n"/>
      <c r="Q1808" s="9" t="n"/>
      <c r="R1808" s="9" t="n"/>
      <c r="S1808" s="9" t="inlineStr">
        <is>
          <t>Tray</t>
        </is>
      </c>
      <c r="T1808" s="10" t="n">
        <v>0</v>
      </c>
      <c r="U1808" s="10" t="n">
        <v>290</v>
      </c>
      <c r="V1808" s="10">
        <f>ROUNDUP((T1808+U1808+2*'Read Me'!$B$13)*(1+'Read Me'!$B$12),-1)</f>
        <v/>
      </c>
      <c r="W1808" s="10">
        <f>V1808*N1808*O1808</f>
        <v/>
      </c>
      <c r="X1808" s="9">
        <f>IF(LEFT(I1808,2)="MV",2*N1808*IF(L1808="1/C",O1808,1),0)</f>
        <v/>
      </c>
      <c r="Y1808" s="9">
        <f>IF(OR(LEFT(K1808,4)="LVAX",LEFT(K1808,6)="MV15AX",LEFT(K1808,4)="CTAX",LEFT(K1808,2)="W|"),2*N1808*O1808,0)</f>
        <v/>
      </c>
      <c r="Z1808" s="9" t="inlineStr"/>
    </row>
    <row r="1809">
      <c r="A1809" s="9" t="inlineStr">
        <is>
          <t>H-I-0019</t>
        </is>
      </c>
      <c r="B1809" s="9" t="inlineStr">
        <is>
          <t>H</t>
        </is>
      </c>
      <c r="C1809" s="9" t="inlineStr">
        <is>
          <t>BESS</t>
        </is>
      </c>
      <c r="D1809" s="9" t="inlineStr">
        <is>
          <t>Instrumentation</t>
        </is>
      </c>
      <c r="E1809" s="9" t="inlineStr"/>
      <c r="F1809" s="9" t="inlineStr">
        <is>
          <t>BESS PCS / MV skid</t>
        </is>
      </c>
      <c r="G1809" s="9" t="inlineStr"/>
      <c r="H1809" s="9" t="inlineStr">
        <is>
          <t>BESS container (ISO 40 ft high cube)</t>
        </is>
      </c>
      <c r="I1809" s="9" t="inlineStr">
        <is>
          <t>Instrumentation</t>
        </is>
      </c>
      <c r="J1809" s="9" t="inlineStr">
        <is>
          <t>Instrumentation PLTC / TC-ER 300 V, #18 twisted shielded pairs, overall shield</t>
        </is>
      </c>
      <c r="K1809" s="9" t="inlineStr">
        <is>
          <t>PLTC|4 pr|18</t>
        </is>
      </c>
      <c r="L1809" s="9" t="inlineStr">
        <is>
          <t>4 pr</t>
        </is>
      </c>
      <c r="M1809" s="9" t="inlineStr">
        <is>
          <t>18</t>
        </is>
      </c>
      <c r="N1809" s="9" t="n">
        <v>1</v>
      </c>
      <c r="O1809" s="9" t="n">
        <v>1</v>
      </c>
      <c r="P1809" s="9" t="n"/>
      <c r="Q1809" s="9" t="n"/>
      <c r="R1809" s="9" t="n"/>
      <c r="S1809" s="9" t="inlineStr">
        <is>
          <t>Tray</t>
        </is>
      </c>
      <c r="T1809" s="10" t="n">
        <v>0</v>
      </c>
      <c r="U1809" s="10" t="n">
        <v>290</v>
      </c>
      <c r="V1809" s="10">
        <f>ROUNDUP((T1809+U1809+2*'Read Me'!$B$13)*(1+'Read Me'!$B$12),-1)</f>
        <v/>
      </c>
      <c r="W1809" s="10">
        <f>V1809*N1809*O1809</f>
        <v/>
      </c>
      <c r="X1809" s="9">
        <f>IF(LEFT(I1809,2)="MV",2*N1809*IF(L1809="1/C",O1809,1),0)</f>
        <v/>
      </c>
      <c r="Y1809" s="9">
        <f>IF(OR(LEFT(K1809,4)="LVAX",LEFT(K1809,6)="MV15AX",LEFT(K1809,4)="CTAX",LEFT(K1809,2)="W|"),2*N1809*O1809,0)</f>
        <v/>
      </c>
      <c r="Z1809" s="9" t="inlineStr"/>
    </row>
    <row r="1810">
      <c r="A1810" s="9" t="inlineStr">
        <is>
          <t>H-I-0020</t>
        </is>
      </c>
      <c r="B1810" s="9" t="inlineStr">
        <is>
          <t>H</t>
        </is>
      </c>
      <c r="C1810" s="9" t="inlineStr">
        <is>
          <t>BESS</t>
        </is>
      </c>
      <c r="D1810" s="9" t="inlineStr">
        <is>
          <t>Instrumentation</t>
        </is>
      </c>
      <c r="E1810" s="9" t="inlineStr"/>
      <c r="F1810" s="9" t="inlineStr">
        <is>
          <t>BESS PCS / MV skid</t>
        </is>
      </c>
      <c r="G1810" s="9" t="inlineStr"/>
      <c r="H1810" s="9" t="inlineStr">
        <is>
          <t>BESS container (ISO 40 ft high cube)</t>
        </is>
      </c>
      <c r="I1810" s="9" t="inlineStr">
        <is>
          <t>Instrumentation</t>
        </is>
      </c>
      <c r="J1810" s="9" t="inlineStr">
        <is>
          <t>Instrumentation PLTC / TC-ER 300 V, #18 twisted shielded pairs, overall shield</t>
        </is>
      </c>
      <c r="K1810" s="9" t="inlineStr">
        <is>
          <t>PLTC|4 pr|18</t>
        </is>
      </c>
      <c r="L1810" s="9" t="inlineStr">
        <is>
          <t>4 pr</t>
        </is>
      </c>
      <c r="M1810" s="9" t="inlineStr">
        <is>
          <t>18</t>
        </is>
      </c>
      <c r="N1810" s="9" t="n">
        <v>1</v>
      </c>
      <c r="O1810" s="9" t="n">
        <v>1</v>
      </c>
      <c r="P1810" s="9" t="n"/>
      <c r="Q1810" s="9" t="n"/>
      <c r="R1810" s="9" t="n"/>
      <c r="S1810" s="9" t="inlineStr">
        <is>
          <t>Tray</t>
        </is>
      </c>
      <c r="T1810" s="10" t="n">
        <v>0</v>
      </c>
      <c r="U1810" s="10" t="n">
        <v>290</v>
      </c>
      <c r="V1810" s="10">
        <f>ROUNDUP((T1810+U1810+2*'Read Me'!$B$13)*(1+'Read Me'!$B$12),-1)</f>
        <v/>
      </c>
      <c r="W1810" s="10">
        <f>V1810*N1810*O1810</f>
        <v/>
      </c>
      <c r="X1810" s="9">
        <f>IF(LEFT(I1810,2)="MV",2*N1810*IF(L1810="1/C",O1810,1),0)</f>
        <v/>
      </c>
      <c r="Y1810" s="9">
        <f>IF(OR(LEFT(K1810,4)="LVAX",LEFT(K1810,6)="MV15AX",LEFT(K1810,4)="CTAX",LEFT(K1810,2)="W|"),2*N1810*O1810,0)</f>
        <v/>
      </c>
      <c r="Z1810" s="9" t="inlineStr"/>
    </row>
    <row r="1811">
      <c r="A1811" s="9" t="inlineStr">
        <is>
          <t>H-I-0021</t>
        </is>
      </c>
      <c r="B1811" s="9" t="inlineStr">
        <is>
          <t>H</t>
        </is>
      </c>
      <c r="C1811" s="9" t="inlineStr">
        <is>
          <t>BESS</t>
        </is>
      </c>
      <c r="D1811" s="9" t="inlineStr">
        <is>
          <t>Instrumentation</t>
        </is>
      </c>
      <c r="E1811" s="9" t="inlineStr"/>
      <c r="F1811" s="9" t="inlineStr">
        <is>
          <t>BESS PCS / MV skid</t>
        </is>
      </c>
      <c r="G1811" s="9" t="inlineStr"/>
      <c r="H1811" s="9" t="inlineStr">
        <is>
          <t>BESS container (ISO 40 ft high cube)</t>
        </is>
      </c>
      <c r="I1811" s="9" t="inlineStr">
        <is>
          <t>Instrumentation</t>
        </is>
      </c>
      <c r="J1811" s="9" t="inlineStr">
        <is>
          <t>Instrumentation PLTC / TC-ER 300 V, #18 twisted shielded pairs, overall shield</t>
        </is>
      </c>
      <c r="K1811" s="9" t="inlineStr">
        <is>
          <t>PLTC|4 pr|18</t>
        </is>
      </c>
      <c r="L1811" s="9" t="inlineStr">
        <is>
          <t>4 pr</t>
        </is>
      </c>
      <c r="M1811" s="9" t="inlineStr">
        <is>
          <t>18</t>
        </is>
      </c>
      <c r="N1811" s="9" t="n">
        <v>1</v>
      </c>
      <c r="O1811" s="9" t="n">
        <v>1</v>
      </c>
      <c r="P1811" s="9" t="n"/>
      <c r="Q1811" s="9" t="n"/>
      <c r="R1811" s="9" t="n"/>
      <c r="S1811" s="9" t="inlineStr">
        <is>
          <t>Tray</t>
        </is>
      </c>
      <c r="T1811" s="10" t="n">
        <v>0</v>
      </c>
      <c r="U1811" s="10" t="n">
        <v>290</v>
      </c>
      <c r="V1811" s="10">
        <f>ROUNDUP((T1811+U1811+2*'Read Me'!$B$13)*(1+'Read Me'!$B$12),-1)</f>
        <v/>
      </c>
      <c r="W1811" s="10">
        <f>V1811*N1811*O1811</f>
        <v/>
      </c>
      <c r="X1811" s="9">
        <f>IF(LEFT(I1811,2)="MV",2*N1811*IF(L1811="1/C",O1811,1),0)</f>
        <v/>
      </c>
      <c r="Y1811" s="9">
        <f>IF(OR(LEFT(K1811,4)="LVAX",LEFT(K1811,6)="MV15AX",LEFT(K1811,4)="CTAX",LEFT(K1811,2)="W|"),2*N1811*O1811,0)</f>
        <v/>
      </c>
      <c r="Z1811" s="9" t="inlineStr"/>
    </row>
    <row r="1812">
      <c r="A1812" s="9" t="inlineStr">
        <is>
          <t>H-I-0022</t>
        </is>
      </c>
      <c r="B1812" s="9" t="inlineStr">
        <is>
          <t>H</t>
        </is>
      </c>
      <c r="C1812" s="9" t="inlineStr">
        <is>
          <t>BESS</t>
        </is>
      </c>
      <c r="D1812" s="9" t="inlineStr">
        <is>
          <t>Instrumentation</t>
        </is>
      </c>
      <c r="E1812" s="9" t="inlineStr"/>
      <c r="F1812" s="9" t="inlineStr">
        <is>
          <t>BESS PCS / MV skid</t>
        </is>
      </c>
      <c r="G1812" s="9" t="inlineStr"/>
      <c r="H1812" s="9" t="inlineStr">
        <is>
          <t>BESS container (ISO 40 ft high cube)</t>
        </is>
      </c>
      <c r="I1812" s="9" t="inlineStr">
        <is>
          <t>Instrumentation</t>
        </is>
      </c>
      <c r="J1812" s="9" t="inlineStr">
        <is>
          <t>Instrumentation PLTC / TC-ER 300 V, #18 twisted shielded pairs, overall shield</t>
        </is>
      </c>
      <c r="K1812" s="9" t="inlineStr">
        <is>
          <t>PLTC|4 pr|18</t>
        </is>
      </c>
      <c r="L1812" s="9" t="inlineStr">
        <is>
          <t>4 pr</t>
        </is>
      </c>
      <c r="M1812" s="9" t="inlineStr">
        <is>
          <t>18</t>
        </is>
      </c>
      <c r="N1812" s="9" t="n">
        <v>1</v>
      </c>
      <c r="O1812" s="9" t="n">
        <v>1</v>
      </c>
      <c r="P1812" s="9" t="n"/>
      <c r="Q1812" s="9" t="n"/>
      <c r="R1812" s="9" t="n"/>
      <c r="S1812" s="9" t="inlineStr">
        <is>
          <t>Tray</t>
        </is>
      </c>
      <c r="T1812" s="10" t="n">
        <v>0</v>
      </c>
      <c r="U1812" s="10" t="n">
        <v>290</v>
      </c>
      <c r="V1812" s="10">
        <f>ROUNDUP((T1812+U1812+2*'Read Me'!$B$13)*(1+'Read Me'!$B$12),-1)</f>
        <v/>
      </c>
      <c r="W1812" s="10">
        <f>V1812*N1812*O1812</f>
        <v/>
      </c>
      <c r="X1812" s="9">
        <f>IF(LEFT(I1812,2)="MV",2*N1812*IF(L1812="1/C",O1812,1),0)</f>
        <v/>
      </c>
      <c r="Y1812" s="9">
        <f>IF(OR(LEFT(K1812,4)="LVAX",LEFT(K1812,6)="MV15AX",LEFT(K1812,4)="CTAX",LEFT(K1812,2)="W|"),2*N1812*O1812,0)</f>
        <v/>
      </c>
      <c r="Z1812" s="9" t="inlineStr"/>
    </row>
    <row r="1813">
      <c r="A1813" s="9" t="inlineStr">
        <is>
          <t>H-I-0023</t>
        </is>
      </c>
      <c r="B1813" s="9" t="inlineStr">
        <is>
          <t>H</t>
        </is>
      </c>
      <c r="C1813" s="9" t="inlineStr">
        <is>
          <t>BESS</t>
        </is>
      </c>
      <c r="D1813" s="9" t="inlineStr">
        <is>
          <t>Instrumentation</t>
        </is>
      </c>
      <c r="E1813" s="9" t="inlineStr"/>
      <c r="F1813" s="9" t="inlineStr">
        <is>
          <t>BESS PCS / MV skid</t>
        </is>
      </c>
      <c r="G1813" s="9" t="inlineStr"/>
      <c r="H1813" s="9" t="inlineStr">
        <is>
          <t>BESS container (ISO 40 ft high cube)</t>
        </is>
      </c>
      <c r="I1813" s="9" t="inlineStr">
        <is>
          <t>Instrumentation</t>
        </is>
      </c>
      <c r="J1813" s="9" t="inlineStr">
        <is>
          <t>Instrumentation PLTC / TC-ER 300 V, #18 twisted shielded pairs, overall shield</t>
        </is>
      </c>
      <c r="K1813" s="9" t="inlineStr">
        <is>
          <t>PLTC|4 pr|18</t>
        </is>
      </c>
      <c r="L1813" s="9" t="inlineStr">
        <is>
          <t>4 pr</t>
        </is>
      </c>
      <c r="M1813" s="9" t="inlineStr">
        <is>
          <t>18</t>
        </is>
      </c>
      <c r="N1813" s="9" t="n">
        <v>1</v>
      </c>
      <c r="O1813" s="9" t="n">
        <v>1</v>
      </c>
      <c r="P1813" s="9" t="n"/>
      <c r="Q1813" s="9" t="n"/>
      <c r="R1813" s="9" t="n"/>
      <c r="S1813" s="9" t="inlineStr">
        <is>
          <t>Tray</t>
        </is>
      </c>
      <c r="T1813" s="10" t="n">
        <v>0</v>
      </c>
      <c r="U1813" s="10" t="n">
        <v>290</v>
      </c>
      <c r="V1813" s="10">
        <f>ROUNDUP((T1813+U1813+2*'Read Me'!$B$13)*(1+'Read Me'!$B$12),-1)</f>
        <v/>
      </c>
      <c r="W1813" s="10">
        <f>V1813*N1813*O1813</f>
        <v/>
      </c>
      <c r="X1813" s="9">
        <f>IF(LEFT(I1813,2)="MV",2*N1813*IF(L1813="1/C",O1813,1),0)</f>
        <v/>
      </c>
      <c r="Y1813" s="9">
        <f>IF(OR(LEFT(K1813,4)="LVAX",LEFT(K1813,6)="MV15AX",LEFT(K1813,4)="CTAX",LEFT(K1813,2)="W|"),2*N1813*O1813,0)</f>
        <v/>
      </c>
      <c r="Z1813" s="9" t="inlineStr"/>
    </row>
    <row r="1814">
      <c r="A1814" s="9" t="inlineStr">
        <is>
          <t>H-I-0024</t>
        </is>
      </c>
      <c r="B1814" s="9" t="inlineStr">
        <is>
          <t>H</t>
        </is>
      </c>
      <c r="C1814" s="9" t="inlineStr">
        <is>
          <t>BESS</t>
        </is>
      </c>
      <c r="D1814" s="9" t="inlineStr">
        <is>
          <t>Instrumentation</t>
        </is>
      </c>
      <c r="E1814" s="9" t="inlineStr"/>
      <c r="F1814" s="9" t="inlineStr">
        <is>
          <t>BESS PCS / MV skid</t>
        </is>
      </c>
      <c r="G1814" s="9" t="inlineStr"/>
      <c r="H1814" s="9" t="inlineStr">
        <is>
          <t>BESS container (ISO 40 ft high cube)</t>
        </is>
      </c>
      <c r="I1814" s="9" t="inlineStr">
        <is>
          <t>Instrumentation</t>
        </is>
      </c>
      <c r="J1814" s="9" t="inlineStr">
        <is>
          <t>Instrumentation PLTC / TC-ER 300 V, #18 twisted shielded pairs, overall shield</t>
        </is>
      </c>
      <c r="K1814" s="9" t="inlineStr">
        <is>
          <t>PLTC|4 pr|18</t>
        </is>
      </c>
      <c r="L1814" s="9" t="inlineStr">
        <is>
          <t>4 pr</t>
        </is>
      </c>
      <c r="M1814" s="9" t="inlineStr">
        <is>
          <t>18</t>
        </is>
      </c>
      <c r="N1814" s="9" t="n">
        <v>1</v>
      </c>
      <c r="O1814" s="9" t="n">
        <v>1</v>
      </c>
      <c r="P1814" s="9" t="n"/>
      <c r="Q1814" s="9" t="n"/>
      <c r="R1814" s="9" t="n"/>
      <c r="S1814" s="9" t="inlineStr">
        <is>
          <t>Tray</t>
        </is>
      </c>
      <c r="T1814" s="10" t="n">
        <v>0</v>
      </c>
      <c r="U1814" s="10" t="n">
        <v>174</v>
      </c>
      <c r="V1814" s="10">
        <f>ROUNDUP((T1814+U1814+2*'Read Me'!$B$13)*(1+'Read Me'!$B$12),-1)</f>
        <v/>
      </c>
      <c r="W1814" s="10">
        <f>V1814*N1814*O1814</f>
        <v/>
      </c>
      <c r="X1814" s="9">
        <f>IF(LEFT(I1814,2)="MV",2*N1814*IF(L1814="1/C",O1814,1),0)</f>
        <v/>
      </c>
      <c r="Y1814" s="9">
        <f>IF(OR(LEFT(K1814,4)="LVAX",LEFT(K1814,6)="MV15AX",LEFT(K1814,4)="CTAX",LEFT(K1814,2)="W|"),2*N1814*O1814,0)</f>
        <v/>
      </c>
      <c r="Z1814" s="9" t="inlineStr"/>
    </row>
    <row r="1815">
      <c r="A1815" s="9" t="inlineStr">
        <is>
          <t>H-I-0025</t>
        </is>
      </c>
      <c r="B1815" s="9" t="inlineStr">
        <is>
          <t>H</t>
        </is>
      </c>
      <c r="C1815" s="9" t="inlineStr">
        <is>
          <t>BESS</t>
        </is>
      </c>
      <c r="D1815" s="9" t="inlineStr">
        <is>
          <t>Instrumentation</t>
        </is>
      </c>
      <c r="E1815" s="9" t="inlineStr"/>
      <c r="F1815" s="9" t="inlineStr">
        <is>
          <t>BESS PCS / MV skid</t>
        </is>
      </c>
      <c r="G1815" s="9" t="inlineStr"/>
      <c r="H1815" s="9" t="inlineStr">
        <is>
          <t>BESS container (ISO 40 ft high cube)</t>
        </is>
      </c>
      <c r="I1815" s="9" t="inlineStr">
        <is>
          <t>Instrumentation</t>
        </is>
      </c>
      <c r="J1815" s="9" t="inlineStr">
        <is>
          <t>Instrumentation PLTC / TC-ER 300 V, #18 twisted shielded pairs, overall shield</t>
        </is>
      </c>
      <c r="K1815" s="9" t="inlineStr">
        <is>
          <t>PLTC|4 pr|18</t>
        </is>
      </c>
      <c r="L1815" s="9" t="inlineStr">
        <is>
          <t>4 pr</t>
        </is>
      </c>
      <c r="M1815" s="9" t="inlineStr">
        <is>
          <t>18</t>
        </is>
      </c>
      <c r="N1815" s="9" t="n">
        <v>1</v>
      </c>
      <c r="O1815" s="9" t="n">
        <v>1</v>
      </c>
      <c r="P1815" s="9" t="n"/>
      <c r="Q1815" s="9" t="n"/>
      <c r="R1815" s="9" t="n"/>
      <c r="S1815" s="9" t="inlineStr">
        <is>
          <t>Tray</t>
        </is>
      </c>
      <c r="T1815" s="10" t="n">
        <v>0</v>
      </c>
      <c r="U1815" s="10" t="n">
        <v>174</v>
      </c>
      <c r="V1815" s="10">
        <f>ROUNDUP((T1815+U1815+2*'Read Me'!$B$13)*(1+'Read Me'!$B$12),-1)</f>
        <v/>
      </c>
      <c r="W1815" s="10">
        <f>V1815*N1815*O1815</f>
        <v/>
      </c>
      <c r="X1815" s="9">
        <f>IF(LEFT(I1815,2)="MV",2*N1815*IF(L1815="1/C",O1815,1),0)</f>
        <v/>
      </c>
      <c r="Y1815" s="9">
        <f>IF(OR(LEFT(K1815,4)="LVAX",LEFT(K1815,6)="MV15AX",LEFT(K1815,4)="CTAX",LEFT(K1815,2)="W|"),2*N1815*O1815,0)</f>
        <v/>
      </c>
      <c r="Z1815" s="9" t="inlineStr"/>
    </row>
    <row r="1816">
      <c r="A1816" s="9" t="inlineStr">
        <is>
          <t>H-I-0026</t>
        </is>
      </c>
      <c r="B1816" s="9" t="inlineStr">
        <is>
          <t>H</t>
        </is>
      </c>
      <c r="C1816" s="9" t="inlineStr">
        <is>
          <t>BESS</t>
        </is>
      </c>
      <c r="D1816" s="9" t="inlineStr">
        <is>
          <t>Instrumentation</t>
        </is>
      </c>
      <c r="E1816" s="9" t="inlineStr"/>
      <c r="F1816" s="9" t="inlineStr">
        <is>
          <t>BESS PCS / MV skid</t>
        </is>
      </c>
      <c r="G1816" s="9" t="inlineStr"/>
      <c r="H1816" s="9" t="inlineStr">
        <is>
          <t>BESS container (ISO 40 ft high cube)</t>
        </is>
      </c>
      <c r="I1816" s="9" t="inlineStr">
        <is>
          <t>Instrumentation</t>
        </is>
      </c>
      <c r="J1816" s="9" t="inlineStr">
        <is>
          <t>Instrumentation PLTC / TC-ER 300 V, #18 twisted shielded pairs, overall shield</t>
        </is>
      </c>
      <c r="K1816" s="9" t="inlineStr">
        <is>
          <t>PLTC|4 pr|18</t>
        </is>
      </c>
      <c r="L1816" s="9" t="inlineStr">
        <is>
          <t>4 pr</t>
        </is>
      </c>
      <c r="M1816" s="9" t="inlineStr">
        <is>
          <t>18</t>
        </is>
      </c>
      <c r="N1816" s="9" t="n">
        <v>1</v>
      </c>
      <c r="O1816" s="9" t="n">
        <v>1</v>
      </c>
      <c r="P1816" s="9" t="n"/>
      <c r="Q1816" s="9" t="n"/>
      <c r="R1816" s="9" t="n"/>
      <c r="S1816" s="9" t="inlineStr">
        <is>
          <t>Tray</t>
        </is>
      </c>
      <c r="T1816" s="10" t="n">
        <v>0</v>
      </c>
      <c r="U1816" s="10" t="n">
        <v>174</v>
      </c>
      <c r="V1816" s="10">
        <f>ROUNDUP((T1816+U1816+2*'Read Me'!$B$13)*(1+'Read Me'!$B$12),-1)</f>
        <v/>
      </c>
      <c r="W1816" s="10">
        <f>V1816*N1816*O1816</f>
        <v/>
      </c>
      <c r="X1816" s="9">
        <f>IF(LEFT(I1816,2)="MV",2*N1816*IF(L1816="1/C",O1816,1),0)</f>
        <v/>
      </c>
      <c r="Y1816" s="9">
        <f>IF(OR(LEFT(K1816,4)="LVAX",LEFT(K1816,6)="MV15AX",LEFT(K1816,4)="CTAX",LEFT(K1816,2)="W|"),2*N1816*O1816,0)</f>
        <v/>
      </c>
      <c r="Z1816" s="9" t="inlineStr"/>
    </row>
    <row r="1817">
      <c r="A1817" s="9" t="inlineStr">
        <is>
          <t>H-I-0027</t>
        </is>
      </c>
      <c r="B1817" s="9" t="inlineStr">
        <is>
          <t>H</t>
        </is>
      </c>
      <c r="C1817" s="9" t="inlineStr">
        <is>
          <t>BESS</t>
        </is>
      </c>
      <c r="D1817" s="9" t="inlineStr">
        <is>
          <t>Instrumentation</t>
        </is>
      </c>
      <c r="E1817" s="9" t="inlineStr"/>
      <c r="F1817" s="9" t="inlineStr">
        <is>
          <t>BESS PCS / MV skid</t>
        </is>
      </c>
      <c r="G1817" s="9" t="inlineStr"/>
      <c r="H1817" s="9" t="inlineStr">
        <is>
          <t>BESS container (ISO 40 ft high cube)</t>
        </is>
      </c>
      <c r="I1817" s="9" t="inlineStr">
        <is>
          <t>Instrumentation</t>
        </is>
      </c>
      <c r="J1817" s="9" t="inlineStr">
        <is>
          <t>Instrumentation PLTC / TC-ER 300 V, #18 twisted shielded pairs, overall shield</t>
        </is>
      </c>
      <c r="K1817" s="9" t="inlineStr">
        <is>
          <t>PLTC|4 pr|18</t>
        </is>
      </c>
      <c r="L1817" s="9" t="inlineStr">
        <is>
          <t>4 pr</t>
        </is>
      </c>
      <c r="M1817" s="9" t="inlineStr">
        <is>
          <t>18</t>
        </is>
      </c>
      <c r="N1817" s="9" t="n">
        <v>1</v>
      </c>
      <c r="O1817" s="9" t="n">
        <v>1</v>
      </c>
      <c r="P1817" s="9" t="n"/>
      <c r="Q1817" s="9" t="n"/>
      <c r="R1817" s="9" t="n"/>
      <c r="S1817" s="9" t="inlineStr">
        <is>
          <t>Tray</t>
        </is>
      </c>
      <c r="T1817" s="10" t="n">
        <v>0</v>
      </c>
      <c r="U1817" s="10" t="n">
        <v>174</v>
      </c>
      <c r="V1817" s="10">
        <f>ROUNDUP((T1817+U1817+2*'Read Me'!$B$13)*(1+'Read Me'!$B$12),-1)</f>
        <v/>
      </c>
      <c r="W1817" s="10">
        <f>V1817*N1817*O1817</f>
        <v/>
      </c>
      <c r="X1817" s="9">
        <f>IF(LEFT(I1817,2)="MV",2*N1817*IF(L1817="1/C",O1817,1),0)</f>
        <v/>
      </c>
      <c r="Y1817" s="9">
        <f>IF(OR(LEFT(K1817,4)="LVAX",LEFT(K1817,6)="MV15AX",LEFT(K1817,4)="CTAX",LEFT(K1817,2)="W|"),2*N1817*O1817,0)</f>
        <v/>
      </c>
      <c r="Z1817" s="9" t="inlineStr"/>
    </row>
    <row r="1818">
      <c r="A1818" s="9" t="inlineStr">
        <is>
          <t>H-I-0028</t>
        </is>
      </c>
      <c r="B1818" s="9" t="inlineStr">
        <is>
          <t>H</t>
        </is>
      </c>
      <c r="C1818" s="9" t="inlineStr">
        <is>
          <t>BESS</t>
        </is>
      </c>
      <c r="D1818" s="9" t="inlineStr">
        <is>
          <t>Instrumentation</t>
        </is>
      </c>
      <c r="E1818" s="9" t="inlineStr"/>
      <c r="F1818" s="9" t="inlineStr">
        <is>
          <t>BESS PCS / MV skid</t>
        </is>
      </c>
      <c r="G1818" s="9" t="inlineStr"/>
      <c r="H1818" s="9" t="inlineStr">
        <is>
          <t>BESS container (ISO 40 ft high cube)</t>
        </is>
      </c>
      <c r="I1818" s="9" t="inlineStr">
        <is>
          <t>Instrumentation</t>
        </is>
      </c>
      <c r="J1818" s="9" t="inlineStr">
        <is>
          <t>Instrumentation PLTC / TC-ER 300 V, #18 twisted shielded pairs, overall shield</t>
        </is>
      </c>
      <c r="K1818" s="9" t="inlineStr">
        <is>
          <t>PLTC|4 pr|18</t>
        </is>
      </c>
      <c r="L1818" s="9" t="inlineStr">
        <is>
          <t>4 pr</t>
        </is>
      </c>
      <c r="M1818" s="9" t="inlineStr">
        <is>
          <t>18</t>
        </is>
      </c>
      <c r="N1818" s="9" t="n">
        <v>1</v>
      </c>
      <c r="O1818" s="9" t="n">
        <v>1</v>
      </c>
      <c r="P1818" s="9" t="n"/>
      <c r="Q1818" s="9" t="n"/>
      <c r="R1818" s="9" t="n"/>
      <c r="S1818" s="9" t="inlineStr">
        <is>
          <t>Tray</t>
        </is>
      </c>
      <c r="T1818" s="10" t="n">
        <v>0</v>
      </c>
      <c r="U1818" s="10" t="n">
        <v>174</v>
      </c>
      <c r="V1818" s="10">
        <f>ROUNDUP((T1818+U1818+2*'Read Me'!$B$13)*(1+'Read Me'!$B$12),-1)</f>
        <v/>
      </c>
      <c r="W1818" s="10">
        <f>V1818*N1818*O1818</f>
        <v/>
      </c>
      <c r="X1818" s="9">
        <f>IF(LEFT(I1818,2)="MV",2*N1818*IF(L1818="1/C",O1818,1),0)</f>
        <v/>
      </c>
      <c r="Y1818" s="9">
        <f>IF(OR(LEFT(K1818,4)="LVAX",LEFT(K1818,6)="MV15AX",LEFT(K1818,4)="CTAX",LEFT(K1818,2)="W|"),2*N1818*O1818,0)</f>
        <v/>
      </c>
      <c r="Z1818" s="9" t="inlineStr"/>
    </row>
    <row r="1819">
      <c r="A1819" s="9" t="inlineStr">
        <is>
          <t>H-I-0029</t>
        </is>
      </c>
      <c r="B1819" s="9" t="inlineStr">
        <is>
          <t>H</t>
        </is>
      </c>
      <c r="C1819" s="9" t="inlineStr">
        <is>
          <t>BESS</t>
        </is>
      </c>
      <c r="D1819" s="9" t="inlineStr">
        <is>
          <t>Instrumentation</t>
        </is>
      </c>
      <c r="E1819" s="9" t="inlineStr"/>
      <c r="F1819" s="9" t="inlineStr">
        <is>
          <t>BESS PCS / MV skid</t>
        </is>
      </c>
      <c r="G1819" s="9" t="inlineStr"/>
      <c r="H1819" s="9" t="inlineStr">
        <is>
          <t>BESS container (ISO 40 ft high cube)</t>
        </is>
      </c>
      <c r="I1819" s="9" t="inlineStr">
        <is>
          <t>Instrumentation</t>
        </is>
      </c>
      <c r="J1819" s="9" t="inlineStr">
        <is>
          <t>Instrumentation PLTC / TC-ER 300 V, #18 twisted shielded pairs, overall shield</t>
        </is>
      </c>
      <c r="K1819" s="9" t="inlineStr">
        <is>
          <t>PLTC|4 pr|18</t>
        </is>
      </c>
      <c r="L1819" s="9" t="inlineStr">
        <is>
          <t>4 pr</t>
        </is>
      </c>
      <c r="M1819" s="9" t="inlineStr">
        <is>
          <t>18</t>
        </is>
      </c>
      <c r="N1819" s="9" t="n">
        <v>1</v>
      </c>
      <c r="O1819" s="9" t="n">
        <v>1</v>
      </c>
      <c r="P1819" s="9" t="n"/>
      <c r="Q1819" s="9" t="n"/>
      <c r="R1819" s="9" t="n"/>
      <c r="S1819" s="9" t="inlineStr">
        <is>
          <t>Tray</t>
        </is>
      </c>
      <c r="T1819" s="10" t="n">
        <v>0</v>
      </c>
      <c r="U1819" s="10" t="n">
        <v>174</v>
      </c>
      <c r="V1819" s="10">
        <f>ROUNDUP((T1819+U1819+2*'Read Me'!$B$13)*(1+'Read Me'!$B$12),-1)</f>
        <v/>
      </c>
      <c r="W1819" s="10">
        <f>V1819*N1819*O1819</f>
        <v/>
      </c>
      <c r="X1819" s="9">
        <f>IF(LEFT(I1819,2)="MV",2*N1819*IF(L1819="1/C",O1819,1),0)</f>
        <v/>
      </c>
      <c r="Y1819" s="9">
        <f>IF(OR(LEFT(K1819,4)="LVAX",LEFT(K1819,6)="MV15AX",LEFT(K1819,4)="CTAX",LEFT(K1819,2)="W|"),2*N1819*O1819,0)</f>
        <v/>
      </c>
      <c r="Z1819" s="9" t="inlineStr"/>
    </row>
    <row r="1820">
      <c r="A1820" s="9" t="inlineStr">
        <is>
          <t>H-I-0030</t>
        </is>
      </c>
      <c r="B1820" s="9" t="inlineStr">
        <is>
          <t>H</t>
        </is>
      </c>
      <c r="C1820" s="9" t="inlineStr">
        <is>
          <t>BESS</t>
        </is>
      </c>
      <c r="D1820" s="9" t="inlineStr">
        <is>
          <t>Instrumentation</t>
        </is>
      </c>
      <c r="E1820" s="9" t="inlineStr"/>
      <c r="F1820" s="9" t="inlineStr">
        <is>
          <t>BESS PCS / MV skid</t>
        </is>
      </c>
      <c r="G1820" s="9" t="inlineStr"/>
      <c r="H1820" s="9" t="inlineStr">
        <is>
          <t>BESS container (ISO 40 ft high cube)</t>
        </is>
      </c>
      <c r="I1820" s="9" t="inlineStr">
        <is>
          <t>Instrumentation</t>
        </is>
      </c>
      <c r="J1820" s="9" t="inlineStr">
        <is>
          <t>Instrumentation PLTC / TC-ER 300 V, #18 twisted shielded pairs, overall shield</t>
        </is>
      </c>
      <c r="K1820" s="9" t="inlineStr">
        <is>
          <t>PLTC|4 pr|18</t>
        </is>
      </c>
      <c r="L1820" s="9" t="inlineStr">
        <is>
          <t>4 pr</t>
        </is>
      </c>
      <c r="M1820" s="9" t="inlineStr">
        <is>
          <t>18</t>
        </is>
      </c>
      <c r="N1820" s="9" t="n">
        <v>1</v>
      </c>
      <c r="O1820" s="9" t="n">
        <v>1</v>
      </c>
      <c r="P1820" s="9" t="n"/>
      <c r="Q1820" s="9" t="n"/>
      <c r="R1820" s="9" t="n"/>
      <c r="S1820" s="9" t="inlineStr">
        <is>
          <t>Tray</t>
        </is>
      </c>
      <c r="T1820" s="10" t="n">
        <v>0</v>
      </c>
      <c r="U1820" s="10" t="n">
        <v>62</v>
      </c>
      <c r="V1820" s="10">
        <f>ROUNDUP((T1820+U1820+2*'Read Me'!$B$13)*(1+'Read Me'!$B$12),-1)</f>
        <v/>
      </c>
      <c r="W1820" s="10">
        <f>V1820*N1820*O1820</f>
        <v/>
      </c>
      <c r="X1820" s="9">
        <f>IF(LEFT(I1820,2)="MV",2*N1820*IF(L1820="1/C",O1820,1),0)</f>
        <v/>
      </c>
      <c r="Y1820" s="9">
        <f>IF(OR(LEFT(K1820,4)="LVAX",LEFT(K1820,6)="MV15AX",LEFT(K1820,4)="CTAX",LEFT(K1820,2)="W|"),2*N1820*O1820,0)</f>
        <v/>
      </c>
      <c r="Z1820" s="9" t="inlineStr"/>
    </row>
    <row r="1821">
      <c r="A1821" s="9" t="inlineStr">
        <is>
          <t>H-I-0031</t>
        </is>
      </c>
      <c r="B1821" s="9" t="inlineStr">
        <is>
          <t>H</t>
        </is>
      </c>
      <c r="C1821" s="9" t="inlineStr">
        <is>
          <t>BESS</t>
        </is>
      </c>
      <c r="D1821" s="9" t="inlineStr">
        <is>
          <t>Instrumentation</t>
        </is>
      </c>
      <c r="E1821" s="9" t="inlineStr"/>
      <c r="F1821" s="9" t="inlineStr">
        <is>
          <t>BESS PCS / MV skid</t>
        </is>
      </c>
      <c r="G1821" s="9" t="inlineStr"/>
      <c r="H1821" s="9" t="inlineStr">
        <is>
          <t>BESS container (ISO 40 ft high cube)</t>
        </is>
      </c>
      <c r="I1821" s="9" t="inlineStr">
        <is>
          <t>Instrumentation</t>
        </is>
      </c>
      <c r="J1821" s="9" t="inlineStr">
        <is>
          <t>Instrumentation PLTC / TC-ER 300 V, #18 twisted shielded pairs, overall shield</t>
        </is>
      </c>
      <c r="K1821" s="9" t="inlineStr">
        <is>
          <t>PLTC|4 pr|18</t>
        </is>
      </c>
      <c r="L1821" s="9" t="inlineStr">
        <is>
          <t>4 pr</t>
        </is>
      </c>
      <c r="M1821" s="9" t="inlineStr">
        <is>
          <t>18</t>
        </is>
      </c>
      <c r="N1821" s="9" t="n">
        <v>1</v>
      </c>
      <c r="O1821" s="9" t="n">
        <v>1</v>
      </c>
      <c r="P1821" s="9" t="n"/>
      <c r="Q1821" s="9" t="n"/>
      <c r="R1821" s="9" t="n"/>
      <c r="S1821" s="9" t="inlineStr">
        <is>
          <t>Tray</t>
        </is>
      </c>
      <c r="T1821" s="10" t="n">
        <v>0</v>
      </c>
      <c r="U1821" s="10" t="n">
        <v>62</v>
      </c>
      <c r="V1821" s="10">
        <f>ROUNDUP((T1821+U1821+2*'Read Me'!$B$13)*(1+'Read Me'!$B$12),-1)</f>
        <v/>
      </c>
      <c r="W1821" s="10">
        <f>V1821*N1821*O1821</f>
        <v/>
      </c>
      <c r="X1821" s="9">
        <f>IF(LEFT(I1821,2)="MV",2*N1821*IF(L1821="1/C",O1821,1),0)</f>
        <v/>
      </c>
      <c r="Y1821" s="9">
        <f>IF(OR(LEFT(K1821,4)="LVAX",LEFT(K1821,6)="MV15AX",LEFT(K1821,4)="CTAX",LEFT(K1821,2)="W|"),2*N1821*O1821,0)</f>
        <v/>
      </c>
      <c r="Z1821" s="9" t="inlineStr"/>
    </row>
    <row r="1822">
      <c r="A1822" s="9" t="inlineStr">
        <is>
          <t>H-I-0032</t>
        </is>
      </c>
      <c r="B1822" s="9" t="inlineStr">
        <is>
          <t>H</t>
        </is>
      </c>
      <c r="C1822" s="9" t="inlineStr">
        <is>
          <t>BESS</t>
        </is>
      </c>
      <c r="D1822" s="9" t="inlineStr">
        <is>
          <t>Instrumentation</t>
        </is>
      </c>
      <c r="E1822" s="9" t="inlineStr"/>
      <c r="F1822" s="9" t="inlineStr">
        <is>
          <t>BESS PCS / MV skid</t>
        </is>
      </c>
      <c r="G1822" s="9" t="inlineStr"/>
      <c r="H1822" s="9" t="inlineStr">
        <is>
          <t>BESS container (ISO 40 ft high cube)</t>
        </is>
      </c>
      <c r="I1822" s="9" t="inlineStr">
        <is>
          <t>Instrumentation</t>
        </is>
      </c>
      <c r="J1822" s="9" t="inlineStr">
        <is>
          <t>Instrumentation PLTC / TC-ER 300 V, #18 twisted shielded pairs, overall shield</t>
        </is>
      </c>
      <c r="K1822" s="9" t="inlineStr">
        <is>
          <t>PLTC|4 pr|18</t>
        </is>
      </c>
      <c r="L1822" s="9" t="inlineStr">
        <is>
          <t>4 pr</t>
        </is>
      </c>
      <c r="M1822" s="9" t="inlineStr">
        <is>
          <t>18</t>
        </is>
      </c>
      <c r="N1822" s="9" t="n">
        <v>1</v>
      </c>
      <c r="O1822" s="9" t="n">
        <v>1</v>
      </c>
      <c r="P1822" s="9" t="n"/>
      <c r="Q1822" s="9" t="n"/>
      <c r="R1822" s="9" t="n"/>
      <c r="S1822" s="9" t="inlineStr">
        <is>
          <t>Tray</t>
        </is>
      </c>
      <c r="T1822" s="10" t="n">
        <v>0</v>
      </c>
      <c r="U1822" s="10" t="n">
        <v>62</v>
      </c>
      <c r="V1822" s="10">
        <f>ROUNDUP((T1822+U1822+2*'Read Me'!$B$13)*(1+'Read Me'!$B$12),-1)</f>
        <v/>
      </c>
      <c r="W1822" s="10">
        <f>V1822*N1822*O1822</f>
        <v/>
      </c>
      <c r="X1822" s="9">
        <f>IF(LEFT(I1822,2)="MV",2*N1822*IF(L1822="1/C",O1822,1),0)</f>
        <v/>
      </c>
      <c r="Y1822" s="9">
        <f>IF(OR(LEFT(K1822,4)="LVAX",LEFT(K1822,6)="MV15AX",LEFT(K1822,4)="CTAX",LEFT(K1822,2)="W|"),2*N1822*O1822,0)</f>
        <v/>
      </c>
      <c r="Z1822" s="9" t="inlineStr"/>
    </row>
    <row r="1823">
      <c r="A1823" s="9" t="inlineStr">
        <is>
          <t>H-I-0033</t>
        </is>
      </c>
      <c r="B1823" s="9" t="inlineStr">
        <is>
          <t>H</t>
        </is>
      </c>
      <c r="C1823" s="9" t="inlineStr">
        <is>
          <t>BESS</t>
        </is>
      </c>
      <c r="D1823" s="9" t="inlineStr">
        <is>
          <t>Instrumentation</t>
        </is>
      </c>
      <c r="E1823" s="9" t="inlineStr"/>
      <c r="F1823" s="9" t="inlineStr">
        <is>
          <t>BESS PCS / MV skid</t>
        </is>
      </c>
      <c r="G1823" s="9" t="inlineStr"/>
      <c r="H1823" s="9" t="inlineStr">
        <is>
          <t>BESS container (ISO 40 ft high cube)</t>
        </is>
      </c>
      <c r="I1823" s="9" t="inlineStr">
        <is>
          <t>Instrumentation</t>
        </is>
      </c>
      <c r="J1823" s="9" t="inlineStr">
        <is>
          <t>Instrumentation PLTC / TC-ER 300 V, #18 twisted shielded pairs, overall shield</t>
        </is>
      </c>
      <c r="K1823" s="9" t="inlineStr">
        <is>
          <t>PLTC|4 pr|18</t>
        </is>
      </c>
      <c r="L1823" s="9" t="inlineStr">
        <is>
          <t>4 pr</t>
        </is>
      </c>
      <c r="M1823" s="9" t="inlineStr">
        <is>
          <t>18</t>
        </is>
      </c>
      <c r="N1823" s="9" t="n">
        <v>1</v>
      </c>
      <c r="O1823" s="9" t="n">
        <v>1</v>
      </c>
      <c r="P1823" s="9" t="n"/>
      <c r="Q1823" s="9" t="n"/>
      <c r="R1823" s="9" t="n"/>
      <c r="S1823" s="9" t="inlineStr">
        <is>
          <t>Tray</t>
        </is>
      </c>
      <c r="T1823" s="10" t="n">
        <v>0</v>
      </c>
      <c r="U1823" s="10" t="n">
        <v>62</v>
      </c>
      <c r="V1823" s="10">
        <f>ROUNDUP((T1823+U1823+2*'Read Me'!$B$13)*(1+'Read Me'!$B$12),-1)</f>
        <v/>
      </c>
      <c r="W1823" s="10">
        <f>V1823*N1823*O1823</f>
        <v/>
      </c>
      <c r="X1823" s="9">
        <f>IF(LEFT(I1823,2)="MV",2*N1823*IF(L1823="1/C",O1823,1),0)</f>
        <v/>
      </c>
      <c r="Y1823" s="9">
        <f>IF(OR(LEFT(K1823,4)="LVAX",LEFT(K1823,6)="MV15AX",LEFT(K1823,4)="CTAX",LEFT(K1823,2)="W|"),2*N1823*O1823,0)</f>
        <v/>
      </c>
      <c r="Z1823" s="9" t="inlineStr"/>
    </row>
    <row r="1824">
      <c r="A1824" s="9" t="inlineStr">
        <is>
          <t>H-I-0034</t>
        </is>
      </c>
      <c r="B1824" s="9" t="inlineStr">
        <is>
          <t>H</t>
        </is>
      </c>
      <c r="C1824" s="9" t="inlineStr">
        <is>
          <t>BESS</t>
        </is>
      </c>
      <c r="D1824" s="9" t="inlineStr">
        <is>
          <t>Instrumentation</t>
        </is>
      </c>
      <c r="E1824" s="9" t="inlineStr"/>
      <c r="F1824" s="9" t="inlineStr">
        <is>
          <t>BESS PCS / MV skid</t>
        </is>
      </c>
      <c r="G1824" s="9" t="inlineStr"/>
      <c r="H1824" s="9" t="inlineStr">
        <is>
          <t>BESS container (ISO 40 ft high cube)</t>
        </is>
      </c>
      <c r="I1824" s="9" t="inlineStr">
        <is>
          <t>Instrumentation</t>
        </is>
      </c>
      <c r="J1824" s="9" t="inlineStr">
        <is>
          <t>Instrumentation PLTC / TC-ER 300 V, #18 twisted shielded pairs, overall shield</t>
        </is>
      </c>
      <c r="K1824" s="9" t="inlineStr">
        <is>
          <t>PLTC|4 pr|18</t>
        </is>
      </c>
      <c r="L1824" s="9" t="inlineStr">
        <is>
          <t>4 pr</t>
        </is>
      </c>
      <c r="M1824" s="9" t="inlineStr">
        <is>
          <t>18</t>
        </is>
      </c>
      <c r="N1824" s="9" t="n">
        <v>1</v>
      </c>
      <c r="O1824" s="9" t="n">
        <v>1</v>
      </c>
      <c r="P1824" s="9" t="n"/>
      <c r="Q1824" s="9" t="n"/>
      <c r="R1824" s="9" t="n"/>
      <c r="S1824" s="9" t="inlineStr">
        <is>
          <t>Tray</t>
        </is>
      </c>
      <c r="T1824" s="10" t="n">
        <v>0</v>
      </c>
      <c r="U1824" s="10" t="n">
        <v>62</v>
      </c>
      <c r="V1824" s="10">
        <f>ROUNDUP((T1824+U1824+2*'Read Me'!$B$13)*(1+'Read Me'!$B$12),-1)</f>
        <v/>
      </c>
      <c r="W1824" s="10">
        <f>V1824*N1824*O1824</f>
        <v/>
      </c>
      <c r="X1824" s="9">
        <f>IF(LEFT(I1824,2)="MV",2*N1824*IF(L1824="1/C",O1824,1),0)</f>
        <v/>
      </c>
      <c r="Y1824" s="9">
        <f>IF(OR(LEFT(K1824,4)="LVAX",LEFT(K1824,6)="MV15AX",LEFT(K1824,4)="CTAX",LEFT(K1824,2)="W|"),2*N1824*O1824,0)</f>
        <v/>
      </c>
      <c r="Z1824" s="9" t="inlineStr"/>
    </row>
    <row r="1825">
      <c r="A1825" s="9" t="inlineStr">
        <is>
          <t>H-I-0035</t>
        </is>
      </c>
      <c r="B1825" s="9" t="inlineStr">
        <is>
          <t>H</t>
        </is>
      </c>
      <c r="C1825" s="9" t="inlineStr">
        <is>
          <t>BESS</t>
        </is>
      </c>
      <c r="D1825" s="9" t="inlineStr">
        <is>
          <t>Instrumentation</t>
        </is>
      </c>
      <c r="E1825" s="9" t="inlineStr"/>
      <c r="F1825" s="9" t="inlineStr">
        <is>
          <t>BESS PCS / MV skid</t>
        </is>
      </c>
      <c r="G1825" s="9" t="inlineStr"/>
      <c r="H1825" s="9" t="inlineStr">
        <is>
          <t>BESS container (ISO 40 ft high cube)</t>
        </is>
      </c>
      <c r="I1825" s="9" t="inlineStr">
        <is>
          <t>Instrumentation</t>
        </is>
      </c>
      <c r="J1825" s="9" t="inlineStr">
        <is>
          <t>Instrumentation PLTC / TC-ER 300 V, #18 twisted shielded pairs, overall shield</t>
        </is>
      </c>
      <c r="K1825" s="9" t="inlineStr">
        <is>
          <t>PLTC|4 pr|18</t>
        </is>
      </c>
      <c r="L1825" s="9" t="inlineStr">
        <is>
          <t>4 pr</t>
        </is>
      </c>
      <c r="M1825" s="9" t="inlineStr">
        <is>
          <t>18</t>
        </is>
      </c>
      <c r="N1825" s="9" t="n">
        <v>1</v>
      </c>
      <c r="O1825" s="9" t="n">
        <v>1</v>
      </c>
      <c r="P1825" s="9" t="n"/>
      <c r="Q1825" s="9" t="n"/>
      <c r="R1825" s="9" t="n"/>
      <c r="S1825" s="9" t="inlineStr">
        <is>
          <t>Tray</t>
        </is>
      </c>
      <c r="T1825" s="10" t="n">
        <v>0</v>
      </c>
      <c r="U1825" s="10" t="n">
        <v>62</v>
      </c>
      <c r="V1825" s="10">
        <f>ROUNDUP((T1825+U1825+2*'Read Me'!$B$13)*(1+'Read Me'!$B$12),-1)</f>
        <v/>
      </c>
      <c r="W1825" s="10">
        <f>V1825*N1825*O1825</f>
        <v/>
      </c>
      <c r="X1825" s="9">
        <f>IF(LEFT(I1825,2)="MV",2*N1825*IF(L1825="1/C",O1825,1),0)</f>
        <v/>
      </c>
      <c r="Y1825" s="9">
        <f>IF(OR(LEFT(K1825,4)="LVAX",LEFT(K1825,6)="MV15AX",LEFT(K1825,4)="CTAX",LEFT(K1825,2)="W|"),2*N1825*O1825,0)</f>
        <v/>
      </c>
      <c r="Z1825" s="9" t="inlineStr"/>
    </row>
    <row r="1826">
      <c r="A1826" s="9" t="inlineStr">
        <is>
          <t>H-I-0036</t>
        </is>
      </c>
      <c r="B1826" s="9" t="inlineStr">
        <is>
          <t>H</t>
        </is>
      </c>
      <c r="C1826" s="9" t="inlineStr">
        <is>
          <t>BESS</t>
        </is>
      </c>
      <c r="D1826" s="9" t="inlineStr">
        <is>
          <t>Instrumentation</t>
        </is>
      </c>
      <c r="E1826" s="9" t="inlineStr"/>
      <c r="F1826" s="9" t="inlineStr">
        <is>
          <t>BESS EMS / SCADA and revenue metering</t>
        </is>
      </c>
      <c r="G1826" s="9" t="inlineStr">
        <is>
          <t>BESS MPT</t>
        </is>
      </c>
      <c r="H1826" s="9" t="inlineStr">
        <is>
          <t>BESS main power transformer 34.5/230 kV (to D4 upper)</t>
        </is>
      </c>
      <c r="I1826" s="9" t="inlineStr">
        <is>
          <t>Instrumentation</t>
        </is>
      </c>
      <c r="J1826" s="9" t="inlineStr">
        <is>
          <t>Instrumentation PLTC / TC-ER 300 V, #18 twisted shielded pairs, overall shield</t>
        </is>
      </c>
      <c r="K1826" s="9" t="inlineStr">
        <is>
          <t>PLTC|4 pr|18</t>
        </is>
      </c>
      <c r="L1826" s="9" t="inlineStr">
        <is>
          <t>4 pr</t>
        </is>
      </c>
      <c r="M1826" s="9" t="inlineStr">
        <is>
          <t>18</t>
        </is>
      </c>
      <c r="N1826" s="9" t="n">
        <v>1</v>
      </c>
      <c r="O1826" s="9" t="n">
        <v>1</v>
      </c>
      <c r="P1826" s="9" t="n"/>
      <c r="Q1826" s="9" t="n"/>
      <c r="R1826" s="9" t="n"/>
      <c r="S1826" s="9" t="inlineStr">
        <is>
          <t>Duct bank</t>
        </is>
      </c>
      <c r="T1826" s="10" t="n">
        <v>169</v>
      </c>
      <c r="U1826" s="10" t="n">
        <v>32</v>
      </c>
      <c r="V1826" s="10">
        <f>ROUNDUP((T1826+U1826+2*'Read Me'!$B$13)*(1+'Read Me'!$B$12),-1)</f>
        <v/>
      </c>
      <c r="W1826" s="10">
        <f>V1826*N1826*O1826</f>
        <v/>
      </c>
      <c r="X1826" s="9">
        <f>IF(LEFT(I1826,2)="MV",2*N1826*IF(L1826="1/C",O1826,1),0)</f>
        <v/>
      </c>
      <c r="Y1826" s="9">
        <f>IF(OR(LEFT(K1826,4)="LVAX",LEFT(K1826,6)="MV15AX",LEFT(K1826,4)="CTAX",LEFT(K1826,2)="W|"),2*N1826*O1826,0)</f>
        <v/>
      </c>
      <c r="Z1826" s="9" t="inlineStr"/>
    </row>
    <row r="1827">
      <c r="A1827" s="9" t="inlineStr">
        <is>
          <t>H-I-0037</t>
        </is>
      </c>
      <c r="B1827" s="9" t="inlineStr">
        <is>
          <t>H</t>
        </is>
      </c>
      <c r="C1827" s="9" t="inlineStr">
        <is>
          <t>BESS</t>
        </is>
      </c>
      <c r="D1827" s="9" t="inlineStr">
        <is>
          <t>Instrumentation</t>
        </is>
      </c>
      <c r="E1827" s="9" t="inlineStr"/>
      <c r="F1827" s="9" t="inlineStr">
        <is>
          <t>BESS EMS / SCADA and revenue metering</t>
        </is>
      </c>
      <c r="G1827" s="9" t="inlineStr"/>
      <c r="H1827" s="9" t="inlineStr">
        <is>
          <t>CONDITIONAL: grounding transformer</t>
        </is>
      </c>
      <c r="I1827" s="9" t="inlineStr">
        <is>
          <t>Instrumentation</t>
        </is>
      </c>
      <c r="J1827" s="9" t="inlineStr">
        <is>
          <t>Instrumentation PLTC / TC-ER 300 V, #18 twisted shielded pairs, overall shield</t>
        </is>
      </c>
      <c r="K1827" s="9" t="inlineStr">
        <is>
          <t>PLTC|4 pr|18</t>
        </is>
      </c>
      <c r="L1827" s="9" t="inlineStr">
        <is>
          <t>4 pr</t>
        </is>
      </c>
      <c r="M1827" s="9" t="inlineStr">
        <is>
          <t>18</t>
        </is>
      </c>
      <c r="N1827" s="9" t="n">
        <v>1</v>
      </c>
      <c r="O1827" s="9" t="n">
        <v>1</v>
      </c>
      <c r="P1827" s="9" t="n"/>
      <c r="Q1827" s="9" t="n"/>
      <c r="R1827" s="9" t="n"/>
      <c r="S1827" s="9" t="inlineStr">
        <is>
          <t>Duct bank</t>
        </is>
      </c>
      <c r="T1827" s="10" t="n">
        <v>280</v>
      </c>
      <c r="U1827" s="10" t="n">
        <v>87</v>
      </c>
      <c r="V1827" s="10">
        <f>ROUNDUP((T1827+U1827+2*'Read Me'!$B$13)*(1+'Read Me'!$B$12),-1)</f>
        <v/>
      </c>
      <c r="W1827" s="10">
        <f>V1827*N1827*O1827</f>
        <v/>
      </c>
      <c r="X1827" s="9">
        <f>IF(LEFT(I1827,2)="MV",2*N1827*IF(L1827="1/C",O1827,1),0)</f>
        <v/>
      </c>
      <c r="Y1827" s="9">
        <f>IF(OR(LEFT(K1827,4)="LVAX",LEFT(K1827,6)="MV15AX",LEFT(K1827,4)="CTAX",LEFT(K1827,2)="W|"),2*N1827*O1827,0)</f>
        <v/>
      </c>
      <c r="Z1827" s="9" t="inlineStr"/>
    </row>
    <row r="1828">
      <c r="A1828" s="9" t="inlineStr">
        <is>
          <t>H-P-0001</t>
        </is>
      </c>
      <c r="B1828" s="9" t="inlineStr">
        <is>
          <t>H</t>
        </is>
      </c>
      <c r="C1828" s="9" t="inlineStr">
        <is>
          <t>BESS</t>
        </is>
      </c>
      <c r="D1828" s="9" t="inlineStr">
        <is>
          <t>LV panel / distribution feeder</t>
        </is>
      </c>
      <c r="E1828" s="9" t="inlineStr"/>
      <c r="F1828" s="9" t="inlineStr">
        <is>
          <t>BESS auxiliary transformer</t>
        </is>
      </c>
      <c r="G1828" s="9" t="inlineStr"/>
      <c r="H1828" s="9" t="inlineStr">
        <is>
          <t>34.5 kV collector e-house (arc-resistant)</t>
        </is>
      </c>
      <c r="I1828" s="9" t="inlineStr">
        <is>
          <t>LV 600 V</t>
        </is>
      </c>
      <c r="J1828" s="9" t="inlineStr">
        <is>
          <t>Type TC-ER 600 V 3/C Cu XHHW-2 + ground, PVC jacket</t>
        </is>
      </c>
      <c r="K1828" s="9" t="inlineStr">
        <is>
          <t>LV|3/C+G|6</t>
        </is>
      </c>
      <c r="L1828" s="9" t="inlineStr">
        <is>
          <t>3/C+G</t>
        </is>
      </c>
      <c r="M1828" s="9" t="inlineStr">
        <is>
          <t>6</t>
        </is>
      </c>
      <c r="N1828" s="9" t="n">
        <v>1</v>
      </c>
      <c r="O1828" s="9" t="n">
        <v>1</v>
      </c>
      <c r="P1828" s="9" t="n">
        <v>480</v>
      </c>
      <c r="Q1828" s="9" t="n">
        <v>30</v>
      </c>
      <c r="R1828" s="9" t="n">
        <v>42</v>
      </c>
      <c r="S1828" s="9" t="inlineStr">
        <is>
          <t>Duct bank</t>
        </is>
      </c>
      <c r="T1828" s="10" t="n">
        <v>30</v>
      </c>
      <c r="U1828" s="10" t="n">
        <v>37</v>
      </c>
      <c r="V1828" s="10">
        <f>ROUNDUP((T1828+U1828+2*'Read Me'!$B$13)*(1+'Read Me'!$B$12),-1)</f>
        <v/>
      </c>
      <c r="W1828" s="10">
        <f>V1828*N1828*O1828</f>
        <v/>
      </c>
      <c r="X1828" s="9">
        <f>IF(LEFT(I1828,2)="MV",2*N1828*IF(L1828="1/C",O1828,1),0)</f>
        <v/>
      </c>
      <c r="Y1828" s="9">
        <f>IF(OR(LEFT(K1828,4)="LVAX",LEFT(K1828,6)="MV15AX",LEFT(K1828,4)="CTAX",LEFT(K1828,2)="W|"),2*N1828*O1828,0)</f>
        <v/>
      </c>
      <c r="Z1828" s="9" t="inlineStr">
        <is>
          <t>VD 0.6 %</t>
        </is>
      </c>
    </row>
    <row r="1829">
      <c r="A1829" s="9" t="inlineStr">
        <is>
          <t>H-P-0002</t>
        </is>
      </c>
      <c r="B1829" s="9" t="inlineStr">
        <is>
          <t>H</t>
        </is>
      </c>
      <c r="C1829" s="9" t="inlineStr">
        <is>
          <t>BESS</t>
        </is>
      </c>
      <c r="D1829" s="9" t="inlineStr">
        <is>
          <t>LV panel / distribution feeder</t>
        </is>
      </c>
      <c r="E1829" s="9" t="inlineStr"/>
      <c r="F1829" s="9" t="inlineStr">
        <is>
          <t>BESS auxiliary transformer</t>
        </is>
      </c>
      <c r="G1829" s="9" t="inlineStr"/>
      <c r="H1829" s="9" t="inlineStr">
        <is>
          <t>BESS EMS / SCADA and revenue metering</t>
        </is>
      </c>
      <c r="I1829" s="9" t="inlineStr">
        <is>
          <t>LV 600 V</t>
        </is>
      </c>
      <c r="J1829" s="9" t="inlineStr">
        <is>
          <t>ARMOR-X MC-HL 600 V 3/C Cu XHHW-2 + ground, CWA, black PVC (Class I Div 2)</t>
        </is>
      </c>
      <c r="K1829" s="9" t="inlineStr">
        <is>
          <t>LVAX|3/C+G|6</t>
        </is>
      </c>
      <c r="L1829" s="9" t="inlineStr">
        <is>
          <t>3/C+G</t>
        </is>
      </c>
      <c r="M1829" s="9" t="inlineStr">
        <is>
          <t>6</t>
        </is>
      </c>
      <c r="N1829" s="9" t="n">
        <v>1</v>
      </c>
      <c r="O1829" s="9" t="n">
        <v>1</v>
      </c>
      <c r="P1829" s="9" t="n">
        <v>480</v>
      </c>
      <c r="Q1829" s="9" t="n">
        <v>30</v>
      </c>
      <c r="R1829" s="9" t="n">
        <v>42</v>
      </c>
      <c r="S1829" s="9" t="inlineStr">
        <is>
          <t>Tray</t>
        </is>
      </c>
      <c r="T1829" s="10" t="n">
        <v>0</v>
      </c>
      <c r="U1829" s="10" t="n">
        <v>70</v>
      </c>
      <c r="V1829" s="10">
        <f>ROUNDUP((T1829+U1829+2*'Read Me'!$B$13)*(1+'Read Me'!$B$12),-1)</f>
        <v/>
      </c>
      <c r="W1829" s="10">
        <f>V1829*N1829*O1829</f>
        <v/>
      </c>
      <c r="X1829" s="9">
        <f>IF(LEFT(I1829,2)="MV",2*N1829*IF(L1829="1/C",O1829,1),0)</f>
        <v/>
      </c>
      <c r="Y1829" s="9">
        <f>IF(OR(LEFT(K1829,4)="LVAX",LEFT(K1829,6)="MV15AX",LEFT(K1829,4)="CTAX",LEFT(K1829,2)="W|"),2*N1829*O1829,0)</f>
        <v/>
      </c>
      <c r="Z1829" s="9" t="inlineStr">
        <is>
          <t>VD 0.6 %</t>
        </is>
      </c>
    </row>
    <row r="1830">
      <c r="A1830" s="9" t="inlineStr">
        <is>
          <t>H-P-0003</t>
        </is>
      </c>
      <c r="B1830" s="9" t="inlineStr">
        <is>
          <t>H</t>
        </is>
      </c>
      <c r="C1830" s="9" t="inlineStr">
        <is>
          <t>BESS</t>
        </is>
      </c>
      <c r="D1830" s="9" t="inlineStr">
        <is>
          <t>Container auxiliary 480 V</t>
        </is>
      </c>
      <c r="E1830" s="9" t="inlineStr"/>
      <c r="F1830" s="9" t="inlineStr">
        <is>
          <t>BESS PCS / MV skid</t>
        </is>
      </c>
      <c r="G1830" s="9" t="inlineStr"/>
      <c r="H1830" s="9" t="inlineStr">
        <is>
          <t>BESS container (ISO 40 ft high cube)</t>
        </is>
      </c>
      <c r="I1830" s="9" t="inlineStr">
        <is>
          <t>LV 600 V</t>
        </is>
      </c>
      <c r="J1830" s="9" t="inlineStr">
        <is>
          <t>Type TC-ER 600 V 3/C Cu XHHW-2 + ground, PVC jacket</t>
        </is>
      </c>
      <c r="K1830" s="9" t="inlineStr">
        <is>
          <t>LV|3/C+G|2</t>
        </is>
      </c>
      <c r="L1830" s="9" t="inlineStr">
        <is>
          <t>3/C+G</t>
        </is>
      </c>
      <c r="M1830" s="9" t="inlineStr">
        <is>
          <t>2</t>
        </is>
      </c>
      <c r="N1830" s="9" t="n">
        <v>1</v>
      </c>
      <c r="O1830" s="9" t="n">
        <v>1</v>
      </c>
      <c r="P1830" s="9" t="n">
        <v>480</v>
      </c>
      <c r="Q1830" s="9" t="n">
        <v>60</v>
      </c>
      <c r="R1830" s="9" t="n">
        <v>85</v>
      </c>
      <c r="S1830" s="9" t="inlineStr">
        <is>
          <t>Duct bank</t>
        </is>
      </c>
      <c r="T1830" s="10" t="n">
        <v>10</v>
      </c>
      <c r="U1830" s="10" t="n">
        <v>150</v>
      </c>
      <c r="V1830" s="10">
        <f>ROUNDUP((T1830+U1830+2*'Read Me'!$B$13)*(1+'Read Me'!$B$12),-1)</f>
        <v/>
      </c>
      <c r="W1830" s="10">
        <f>V1830*N1830*O1830</f>
        <v/>
      </c>
      <c r="X1830" s="9">
        <f>IF(LEFT(I1830,2)="MV",2*N1830*IF(L1830="1/C",O1830,1),0)</f>
        <v/>
      </c>
      <c r="Y1830" s="9">
        <f>IF(OR(LEFT(K1830,4)="LVAX",LEFT(K1830,6)="MV15AX",LEFT(K1830,4)="CTAX",LEFT(K1830,2)="W|"),2*N1830*O1830,0)</f>
        <v/>
      </c>
      <c r="Z1830" s="9" t="inlineStr"/>
    </row>
    <row r="1831">
      <c r="A1831" s="9" t="inlineStr">
        <is>
          <t>H-P-0004</t>
        </is>
      </c>
      <c r="B1831" s="9" t="inlineStr">
        <is>
          <t>H</t>
        </is>
      </c>
      <c r="C1831" s="9" t="inlineStr">
        <is>
          <t>BESS</t>
        </is>
      </c>
      <c r="D1831" s="9" t="inlineStr">
        <is>
          <t>Container auxiliary 480 V</t>
        </is>
      </c>
      <c r="E1831" s="9" t="inlineStr"/>
      <c r="F1831" s="9" t="inlineStr">
        <is>
          <t>BESS PCS / MV skid</t>
        </is>
      </c>
      <c r="G1831" s="9" t="inlineStr"/>
      <c r="H1831" s="9" t="inlineStr">
        <is>
          <t>BESS container (ISO 40 ft high cube)</t>
        </is>
      </c>
      <c r="I1831" s="9" t="inlineStr">
        <is>
          <t>LV 600 V</t>
        </is>
      </c>
      <c r="J1831" s="9" t="inlineStr">
        <is>
          <t>Type TC-ER 600 V 3/C Cu XHHW-2 + ground, PVC jacket</t>
        </is>
      </c>
      <c r="K1831" s="9" t="inlineStr">
        <is>
          <t>LV|3/C+G|2</t>
        </is>
      </c>
      <c r="L1831" s="9" t="inlineStr">
        <is>
          <t>3/C+G</t>
        </is>
      </c>
      <c r="M1831" s="9" t="inlineStr">
        <is>
          <t>2</t>
        </is>
      </c>
      <c r="N1831" s="9" t="n">
        <v>1</v>
      </c>
      <c r="O1831" s="9" t="n">
        <v>1</v>
      </c>
      <c r="P1831" s="9" t="n">
        <v>480</v>
      </c>
      <c r="Q1831" s="9" t="n">
        <v>60</v>
      </c>
      <c r="R1831" s="9" t="n">
        <v>85</v>
      </c>
      <c r="S1831" s="9" t="inlineStr">
        <is>
          <t>Tray</t>
        </is>
      </c>
      <c r="T1831" s="10" t="n">
        <v>0</v>
      </c>
      <c r="U1831" s="10" t="n">
        <v>160</v>
      </c>
      <c r="V1831" s="10">
        <f>ROUNDUP((T1831+U1831+2*'Read Me'!$B$13)*(1+'Read Me'!$B$12),-1)</f>
        <v/>
      </c>
      <c r="W1831" s="10">
        <f>V1831*N1831*O1831</f>
        <v/>
      </c>
      <c r="X1831" s="9">
        <f>IF(LEFT(I1831,2)="MV",2*N1831*IF(L1831="1/C",O1831,1),0)</f>
        <v/>
      </c>
      <c r="Y1831" s="9">
        <f>IF(OR(LEFT(K1831,4)="LVAX",LEFT(K1831,6)="MV15AX",LEFT(K1831,4)="CTAX",LEFT(K1831,2)="W|"),2*N1831*O1831,0)</f>
        <v/>
      </c>
      <c r="Z1831" s="9" t="inlineStr"/>
    </row>
    <row r="1832">
      <c r="A1832" s="9" t="inlineStr">
        <is>
          <t>H-P-0005</t>
        </is>
      </c>
      <c r="B1832" s="9" t="inlineStr">
        <is>
          <t>H</t>
        </is>
      </c>
      <c r="C1832" s="9" t="inlineStr">
        <is>
          <t>BESS</t>
        </is>
      </c>
      <c r="D1832" s="9" t="inlineStr">
        <is>
          <t>Container auxiliary 480 V</t>
        </is>
      </c>
      <c r="E1832" s="9" t="inlineStr"/>
      <c r="F1832" s="9" t="inlineStr">
        <is>
          <t>BESS PCS / MV skid</t>
        </is>
      </c>
      <c r="G1832" s="9" t="inlineStr"/>
      <c r="H1832" s="9" t="inlineStr">
        <is>
          <t>BESS container (ISO 40 ft high cube)</t>
        </is>
      </c>
      <c r="I1832" s="9" t="inlineStr">
        <is>
          <t>LV 600 V</t>
        </is>
      </c>
      <c r="J1832" s="9" t="inlineStr">
        <is>
          <t>Type TC-ER 600 V 3/C Cu XHHW-2 + ground, PVC jacket</t>
        </is>
      </c>
      <c r="K1832" s="9" t="inlineStr">
        <is>
          <t>LV|3/C+G|2</t>
        </is>
      </c>
      <c r="L1832" s="9" t="inlineStr">
        <is>
          <t>3/C+G</t>
        </is>
      </c>
      <c r="M1832" s="9" t="inlineStr">
        <is>
          <t>2</t>
        </is>
      </c>
      <c r="N1832" s="9" t="n">
        <v>1</v>
      </c>
      <c r="O1832" s="9" t="n">
        <v>1</v>
      </c>
      <c r="P1832" s="9" t="n">
        <v>480</v>
      </c>
      <c r="Q1832" s="9" t="n">
        <v>60</v>
      </c>
      <c r="R1832" s="9" t="n">
        <v>85</v>
      </c>
      <c r="S1832" s="9" t="inlineStr">
        <is>
          <t>Tray</t>
        </is>
      </c>
      <c r="T1832" s="10" t="n">
        <v>0</v>
      </c>
      <c r="U1832" s="10" t="n">
        <v>200</v>
      </c>
      <c r="V1832" s="10">
        <f>ROUNDUP((T1832+U1832+2*'Read Me'!$B$13)*(1+'Read Me'!$B$12),-1)</f>
        <v/>
      </c>
      <c r="W1832" s="10">
        <f>V1832*N1832*O1832</f>
        <v/>
      </c>
      <c r="X1832" s="9">
        <f>IF(LEFT(I1832,2)="MV",2*N1832*IF(L1832="1/C",O1832,1),0)</f>
        <v/>
      </c>
      <c r="Y1832" s="9">
        <f>IF(OR(LEFT(K1832,4)="LVAX",LEFT(K1832,6)="MV15AX",LEFT(K1832,4)="CTAX",LEFT(K1832,2)="W|"),2*N1832*O1832,0)</f>
        <v/>
      </c>
      <c r="Z1832" s="9" t="inlineStr"/>
    </row>
    <row r="1833">
      <c r="A1833" s="9" t="inlineStr">
        <is>
          <t>H-P-0006</t>
        </is>
      </c>
      <c r="B1833" s="9" t="inlineStr">
        <is>
          <t>H</t>
        </is>
      </c>
      <c r="C1833" s="9" t="inlineStr">
        <is>
          <t>BESS</t>
        </is>
      </c>
      <c r="D1833" s="9" t="inlineStr">
        <is>
          <t>Container auxiliary 480 V</t>
        </is>
      </c>
      <c r="E1833" s="9" t="inlineStr"/>
      <c r="F1833" s="9" t="inlineStr">
        <is>
          <t>BESS PCS / MV skid</t>
        </is>
      </c>
      <c r="G1833" s="9" t="inlineStr"/>
      <c r="H1833" s="9" t="inlineStr">
        <is>
          <t>BESS container (ISO 40 ft high cube)</t>
        </is>
      </c>
      <c r="I1833" s="9" t="inlineStr">
        <is>
          <t>LV 600 V</t>
        </is>
      </c>
      <c r="J1833" s="9" t="inlineStr">
        <is>
          <t>Type TC-ER 600 V 3/C Cu XHHW-2 + ground, PVC jacket</t>
        </is>
      </c>
      <c r="K1833" s="9" t="inlineStr">
        <is>
          <t>LV|3/C+G|2</t>
        </is>
      </c>
      <c r="L1833" s="9" t="inlineStr">
        <is>
          <t>3/C+G</t>
        </is>
      </c>
      <c r="M1833" s="9" t="inlineStr">
        <is>
          <t>2</t>
        </is>
      </c>
      <c r="N1833" s="9" t="n">
        <v>1</v>
      </c>
      <c r="O1833" s="9" t="n">
        <v>1</v>
      </c>
      <c r="P1833" s="9" t="n">
        <v>480</v>
      </c>
      <c r="Q1833" s="9" t="n">
        <v>60</v>
      </c>
      <c r="R1833" s="9" t="n">
        <v>85</v>
      </c>
      <c r="S1833" s="9" t="inlineStr">
        <is>
          <t>Tray</t>
        </is>
      </c>
      <c r="T1833" s="10" t="n">
        <v>0</v>
      </c>
      <c r="U1833" s="10" t="n">
        <v>200</v>
      </c>
      <c r="V1833" s="10">
        <f>ROUNDUP((T1833+U1833+2*'Read Me'!$B$13)*(1+'Read Me'!$B$12),-1)</f>
        <v/>
      </c>
      <c r="W1833" s="10">
        <f>V1833*N1833*O1833</f>
        <v/>
      </c>
      <c r="X1833" s="9">
        <f>IF(LEFT(I1833,2)="MV",2*N1833*IF(L1833="1/C",O1833,1),0)</f>
        <v/>
      </c>
      <c r="Y1833" s="9">
        <f>IF(OR(LEFT(K1833,4)="LVAX",LEFT(K1833,6)="MV15AX",LEFT(K1833,4)="CTAX",LEFT(K1833,2)="W|"),2*N1833*O1833,0)</f>
        <v/>
      </c>
      <c r="Z1833" s="9" t="inlineStr"/>
    </row>
    <row r="1834">
      <c r="A1834" s="9" t="inlineStr">
        <is>
          <t>H-P-0007</t>
        </is>
      </c>
      <c r="B1834" s="9" t="inlineStr">
        <is>
          <t>H</t>
        </is>
      </c>
      <c r="C1834" s="9" t="inlineStr">
        <is>
          <t>BESS</t>
        </is>
      </c>
      <c r="D1834" s="9" t="inlineStr">
        <is>
          <t>Container auxiliary 480 V</t>
        </is>
      </c>
      <c r="E1834" s="9" t="inlineStr"/>
      <c r="F1834" s="9" t="inlineStr">
        <is>
          <t>BESS PCS / MV skid</t>
        </is>
      </c>
      <c r="G1834" s="9" t="inlineStr"/>
      <c r="H1834" s="9" t="inlineStr">
        <is>
          <t>BESS container (ISO 40 ft high cube)</t>
        </is>
      </c>
      <c r="I1834" s="9" t="inlineStr">
        <is>
          <t>LV 600 V</t>
        </is>
      </c>
      <c r="J1834" s="9" t="inlineStr">
        <is>
          <t>Type TC-ER 600 V 3/C Cu XHHW-2 + ground, PVC jacket</t>
        </is>
      </c>
      <c r="K1834" s="9" t="inlineStr">
        <is>
          <t>LV|3/C+G|2</t>
        </is>
      </c>
      <c r="L1834" s="9" t="inlineStr">
        <is>
          <t>3/C+G</t>
        </is>
      </c>
      <c r="M1834" s="9" t="inlineStr">
        <is>
          <t>2</t>
        </is>
      </c>
      <c r="N1834" s="9" t="n">
        <v>1</v>
      </c>
      <c r="O1834" s="9" t="n">
        <v>1</v>
      </c>
      <c r="P1834" s="9" t="n">
        <v>480</v>
      </c>
      <c r="Q1834" s="9" t="n">
        <v>60</v>
      </c>
      <c r="R1834" s="9" t="n">
        <v>85</v>
      </c>
      <c r="S1834" s="9" t="inlineStr">
        <is>
          <t>Tray</t>
        </is>
      </c>
      <c r="T1834" s="10" t="n">
        <v>0</v>
      </c>
      <c r="U1834" s="10" t="n">
        <v>168</v>
      </c>
      <c r="V1834" s="10">
        <f>ROUNDUP((T1834+U1834+2*'Read Me'!$B$13)*(1+'Read Me'!$B$12),-1)</f>
        <v/>
      </c>
      <c r="W1834" s="10">
        <f>V1834*N1834*O1834</f>
        <v/>
      </c>
      <c r="X1834" s="9">
        <f>IF(LEFT(I1834,2)="MV",2*N1834*IF(L1834="1/C",O1834,1),0)</f>
        <v/>
      </c>
      <c r="Y1834" s="9">
        <f>IF(OR(LEFT(K1834,4)="LVAX",LEFT(K1834,6)="MV15AX",LEFT(K1834,4)="CTAX",LEFT(K1834,2)="W|"),2*N1834*O1834,0)</f>
        <v/>
      </c>
      <c r="Z1834" s="9" t="inlineStr"/>
    </row>
    <row r="1835">
      <c r="A1835" s="9" t="inlineStr">
        <is>
          <t>H-P-0008</t>
        </is>
      </c>
      <c r="B1835" s="9" t="inlineStr">
        <is>
          <t>H</t>
        </is>
      </c>
      <c r="C1835" s="9" t="inlineStr">
        <is>
          <t>BESS</t>
        </is>
      </c>
      <c r="D1835" s="9" t="inlineStr">
        <is>
          <t>Container auxiliary 480 V</t>
        </is>
      </c>
      <c r="E1835" s="9" t="inlineStr"/>
      <c r="F1835" s="9" t="inlineStr">
        <is>
          <t>BESS PCS / MV skid</t>
        </is>
      </c>
      <c r="G1835" s="9" t="inlineStr"/>
      <c r="H1835" s="9" t="inlineStr">
        <is>
          <t>BESS container (ISO 40 ft high cube)</t>
        </is>
      </c>
      <c r="I1835" s="9" t="inlineStr">
        <is>
          <t>LV 600 V</t>
        </is>
      </c>
      <c r="J1835" s="9" t="inlineStr">
        <is>
          <t>Type TC-ER 600 V 3/C Cu XHHW-2 + ground, PVC jacket</t>
        </is>
      </c>
      <c r="K1835" s="9" t="inlineStr">
        <is>
          <t>LV|3/C+G|2</t>
        </is>
      </c>
      <c r="L1835" s="9" t="inlineStr">
        <is>
          <t>3/C+G</t>
        </is>
      </c>
      <c r="M1835" s="9" t="inlineStr">
        <is>
          <t>2</t>
        </is>
      </c>
      <c r="N1835" s="9" t="n">
        <v>1</v>
      </c>
      <c r="O1835" s="9" t="n">
        <v>1</v>
      </c>
      <c r="P1835" s="9" t="n">
        <v>480</v>
      </c>
      <c r="Q1835" s="9" t="n">
        <v>60</v>
      </c>
      <c r="R1835" s="9" t="n">
        <v>85</v>
      </c>
      <c r="S1835" s="9" t="inlineStr">
        <is>
          <t>Tray</t>
        </is>
      </c>
      <c r="T1835" s="10" t="n">
        <v>0</v>
      </c>
      <c r="U1835" s="10" t="n">
        <v>168</v>
      </c>
      <c r="V1835" s="10">
        <f>ROUNDUP((T1835+U1835+2*'Read Me'!$B$13)*(1+'Read Me'!$B$12),-1)</f>
        <v/>
      </c>
      <c r="W1835" s="10">
        <f>V1835*N1835*O1835</f>
        <v/>
      </c>
      <c r="X1835" s="9">
        <f>IF(LEFT(I1835,2)="MV",2*N1835*IF(L1835="1/C",O1835,1),0)</f>
        <v/>
      </c>
      <c r="Y1835" s="9">
        <f>IF(OR(LEFT(K1835,4)="LVAX",LEFT(K1835,6)="MV15AX",LEFT(K1835,4)="CTAX",LEFT(K1835,2)="W|"),2*N1835*O1835,0)</f>
        <v/>
      </c>
      <c r="Z1835" s="9" t="inlineStr"/>
    </row>
    <row r="1836">
      <c r="A1836" s="9" t="inlineStr">
        <is>
          <t>H-P-0009</t>
        </is>
      </c>
      <c r="B1836" s="9" t="inlineStr">
        <is>
          <t>H</t>
        </is>
      </c>
      <c r="C1836" s="9" t="inlineStr">
        <is>
          <t>BESS</t>
        </is>
      </c>
      <c r="D1836" s="9" t="inlineStr">
        <is>
          <t>Container auxiliary 480 V</t>
        </is>
      </c>
      <c r="E1836" s="9" t="inlineStr"/>
      <c r="F1836" s="9" t="inlineStr">
        <is>
          <t>BESS PCS / MV skid</t>
        </is>
      </c>
      <c r="G1836" s="9" t="inlineStr"/>
      <c r="H1836" s="9" t="inlineStr">
        <is>
          <t>BESS container (ISO 40 ft high cube)</t>
        </is>
      </c>
      <c r="I1836" s="9" t="inlineStr">
        <is>
          <t>LV 600 V</t>
        </is>
      </c>
      <c r="J1836" s="9" t="inlineStr">
        <is>
          <t>Type TC-ER 600 V 3/C Cu XHHW-2 + ground, PVC jacket</t>
        </is>
      </c>
      <c r="K1836" s="9" t="inlineStr">
        <is>
          <t>LV|3/C+G|2</t>
        </is>
      </c>
      <c r="L1836" s="9" t="inlineStr">
        <is>
          <t>3/C+G</t>
        </is>
      </c>
      <c r="M1836" s="9" t="inlineStr">
        <is>
          <t>2</t>
        </is>
      </c>
      <c r="N1836" s="9" t="n">
        <v>1</v>
      </c>
      <c r="O1836" s="9" t="n">
        <v>1</v>
      </c>
      <c r="P1836" s="9" t="n">
        <v>480</v>
      </c>
      <c r="Q1836" s="9" t="n">
        <v>60</v>
      </c>
      <c r="R1836" s="9" t="n">
        <v>85</v>
      </c>
      <c r="S1836" s="9" t="inlineStr">
        <is>
          <t>Duct bank</t>
        </is>
      </c>
      <c r="T1836" s="10" t="n">
        <v>10</v>
      </c>
      <c r="U1836" s="10" t="n">
        <v>266</v>
      </c>
      <c r="V1836" s="10">
        <f>ROUNDUP((T1836+U1836+2*'Read Me'!$B$13)*(1+'Read Me'!$B$12),-1)</f>
        <v/>
      </c>
      <c r="W1836" s="10">
        <f>V1836*N1836*O1836</f>
        <v/>
      </c>
      <c r="X1836" s="9">
        <f>IF(LEFT(I1836,2)="MV",2*N1836*IF(L1836="1/C",O1836,1),0)</f>
        <v/>
      </c>
      <c r="Y1836" s="9">
        <f>IF(OR(LEFT(K1836,4)="LVAX",LEFT(K1836,6)="MV15AX",LEFT(K1836,4)="CTAX",LEFT(K1836,2)="W|"),2*N1836*O1836,0)</f>
        <v/>
      </c>
      <c r="Z1836" s="9" t="inlineStr"/>
    </row>
    <row r="1837">
      <c r="A1837" s="9" t="inlineStr">
        <is>
          <t>H-P-0010</t>
        </is>
      </c>
      <c r="B1837" s="9" t="inlineStr">
        <is>
          <t>H</t>
        </is>
      </c>
      <c r="C1837" s="9" t="inlineStr">
        <is>
          <t>BESS</t>
        </is>
      </c>
      <c r="D1837" s="9" t="inlineStr">
        <is>
          <t>Container auxiliary 480 V</t>
        </is>
      </c>
      <c r="E1837" s="9" t="inlineStr"/>
      <c r="F1837" s="9" t="inlineStr">
        <is>
          <t>BESS PCS / MV skid</t>
        </is>
      </c>
      <c r="G1837" s="9" t="inlineStr"/>
      <c r="H1837" s="9" t="inlineStr">
        <is>
          <t>BESS container (ISO 40 ft high cube)</t>
        </is>
      </c>
      <c r="I1837" s="9" t="inlineStr">
        <is>
          <t>LV 600 V</t>
        </is>
      </c>
      <c r="J1837" s="9" t="inlineStr">
        <is>
          <t>Type TC-ER 600 V 3/C Cu XHHW-2 + ground, PVC jacket</t>
        </is>
      </c>
      <c r="K1837" s="9" t="inlineStr">
        <is>
          <t>LV|3/C+G|2</t>
        </is>
      </c>
      <c r="L1837" s="9" t="inlineStr">
        <is>
          <t>3/C+G</t>
        </is>
      </c>
      <c r="M1837" s="9" t="inlineStr">
        <is>
          <t>2</t>
        </is>
      </c>
      <c r="N1837" s="9" t="n">
        <v>1</v>
      </c>
      <c r="O1837" s="9" t="n">
        <v>1</v>
      </c>
      <c r="P1837" s="9" t="n">
        <v>480</v>
      </c>
      <c r="Q1837" s="9" t="n">
        <v>60</v>
      </c>
      <c r="R1837" s="9" t="n">
        <v>85</v>
      </c>
      <c r="S1837" s="9" t="inlineStr">
        <is>
          <t>Tray</t>
        </is>
      </c>
      <c r="T1837" s="10" t="n">
        <v>0</v>
      </c>
      <c r="U1837" s="10" t="n">
        <v>276</v>
      </c>
      <c r="V1837" s="10">
        <f>ROUNDUP((T1837+U1837+2*'Read Me'!$B$13)*(1+'Read Me'!$B$12),-1)</f>
        <v/>
      </c>
      <c r="W1837" s="10">
        <f>V1837*N1837*O1837</f>
        <v/>
      </c>
      <c r="X1837" s="9">
        <f>IF(LEFT(I1837,2)="MV",2*N1837*IF(L1837="1/C",O1837,1),0)</f>
        <v/>
      </c>
      <c r="Y1837" s="9">
        <f>IF(OR(LEFT(K1837,4)="LVAX",LEFT(K1837,6)="MV15AX",LEFT(K1837,4)="CTAX",LEFT(K1837,2)="W|"),2*N1837*O1837,0)</f>
        <v/>
      </c>
      <c r="Z1837" s="9" t="inlineStr"/>
    </row>
    <row r="1838">
      <c r="A1838" s="9" t="inlineStr">
        <is>
          <t>H-P-0011</t>
        </is>
      </c>
      <c r="B1838" s="9" t="inlineStr">
        <is>
          <t>H</t>
        </is>
      </c>
      <c r="C1838" s="9" t="inlineStr">
        <is>
          <t>BESS</t>
        </is>
      </c>
      <c r="D1838" s="9" t="inlineStr">
        <is>
          <t>Container auxiliary 480 V</t>
        </is>
      </c>
      <c r="E1838" s="9" t="inlineStr"/>
      <c r="F1838" s="9" t="inlineStr">
        <is>
          <t>BESS PCS / MV skid</t>
        </is>
      </c>
      <c r="G1838" s="9" t="inlineStr"/>
      <c r="H1838" s="9" t="inlineStr">
        <is>
          <t>BESS container (ISO 40 ft high cube)</t>
        </is>
      </c>
      <c r="I1838" s="9" t="inlineStr">
        <is>
          <t>LV 600 V</t>
        </is>
      </c>
      <c r="J1838" s="9" t="inlineStr">
        <is>
          <t>Type TC-ER 600 V 3/C Cu XHHW-2 + ground, PVC jacket</t>
        </is>
      </c>
      <c r="K1838" s="9" t="inlineStr">
        <is>
          <t>LV|3/C+G|2</t>
        </is>
      </c>
      <c r="L1838" s="9" t="inlineStr">
        <is>
          <t>3/C+G</t>
        </is>
      </c>
      <c r="M1838" s="9" t="inlineStr">
        <is>
          <t>2</t>
        </is>
      </c>
      <c r="N1838" s="9" t="n">
        <v>1</v>
      </c>
      <c r="O1838" s="9" t="n">
        <v>1</v>
      </c>
      <c r="P1838" s="9" t="n">
        <v>480</v>
      </c>
      <c r="Q1838" s="9" t="n">
        <v>60</v>
      </c>
      <c r="R1838" s="9" t="n">
        <v>85</v>
      </c>
      <c r="S1838" s="9" t="inlineStr">
        <is>
          <t>Tray</t>
        </is>
      </c>
      <c r="T1838" s="10" t="n">
        <v>0</v>
      </c>
      <c r="U1838" s="10" t="n">
        <v>316</v>
      </c>
      <c r="V1838" s="10">
        <f>ROUNDUP((T1838+U1838+2*'Read Me'!$B$13)*(1+'Read Me'!$B$12),-1)</f>
        <v/>
      </c>
      <c r="W1838" s="10">
        <f>V1838*N1838*O1838</f>
        <v/>
      </c>
      <c r="X1838" s="9">
        <f>IF(LEFT(I1838,2)="MV",2*N1838*IF(L1838="1/C",O1838,1),0)</f>
        <v/>
      </c>
      <c r="Y1838" s="9">
        <f>IF(OR(LEFT(K1838,4)="LVAX",LEFT(K1838,6)="MV15AX",LEFT(K1838,4)="CTAX",LEFT(K1838,2)="W|"),2*N1838*O1838,0)</f>
        <v/>
      </c>
      <c r="Z1838" s="9" t="inlineStr"/>
    </row>
    <row r="1839">
      <c r="A1839" s="9" t="inlineStr">
        <is>
          <t>H-P-0012</t>
        </is>
      </c>
      <c r="B1839" s="9" t="inlineStr">
        <is>
          <t>H</t>
        </is>
      </c>
      <c r="C1839" s="9" t="inlineStr">
        <is>
          <t>BESS</t>
        </is>
      </c>
      <c r="D1839" s="9" t="inlineStr">
        <is>
          <t>Container auxiliary 480 V</t>
        </is>
      </c>
      <c r="E1839" s="9" t="inlineStr"/>
      <c r="F1839" s="9" t="inlineStr">
        <is>
          <t>BESS PCS / MV skid</t>
        </is>
      </c>
      <c r="G1839" s="9" t="inlineStr"/>
      <c r="H1839" s="9" t="inlineStr">
        <is>
          <t>BESS container (ISO 40 ft high cube)</t>
        </is>
      </c>
      <c r="I1839" s="9" t="inlineStr">
        <is>
          <t>LV 600 V</t>
        </is>
      </c>
      <c r="J1839" s="9" t="inlineStr">
        <is>
          <t>Type TC-ER 600 V 3/C Cu XHHW-2 + ground, PVC jacket</t>
        </is>
      </c>
      <c r="K1839" s="9" t="inlineStr">
        <is>
          <t>LV|3/C+G|2</t>
        </is>
      </c>
      <c r="L1839" s="9" t="inlineStr">
        <is>
          <t>3/C+G</t>
        </is>
      </c>
      <c r="M1839" s="9" t="inlineStr">
        <is>
          <t>2</t>
        </is>
      </c>
      <c r="N1839" s="9" t="n">
        <v>1</v>
      </c>
      <c r="O1839" s="9" t="n">
        <v>1</v>
      </c>
      <c r="P1839" s="9" t="n">
        <v>480</v>
      </c>
      <c r="Q1839" s="9" t="n">
        <v>60</v>
      </c>
      <c r="R1839" s="9" t="n">
        <v>85</v>
      </c>
      <c r="S1839" s="9" t="inlineStr">
        <is>
          <t>Tray</t>
        </is>
      </c>
      <c r="T1839" s="10" t="n">
        <v>0</v>
      </c>
      <c r="U1839" s="10" t="n">
        <v>316</v>
      </c>
      <c r="V1839" s="10">
        <f>ROUNDUP((T1839+U1839+2*'Read Me'!$B$13)*(1+'Read Me'!$B$12),-1)</f>
        <v/>
      </c>
      <c r="W1839" s="10">
        <f>V1839*N1839*O1839</f>
        <v/>
      </c>
      <c r="X1839" s="9">
        <f>IF(LEFT(I1839,2)="MV",2*N1839*IF(L1839="1/C",O1839,1),0)</f>
        <v/>
      </c>
      <c r="Y1839" s="9">
        <f>IF(OR(LEFT(K1839,4)="LVAX",LEFT(K1839,6)="MV15AX",LEFT(K1839,4)="CTAX",LEFT(K1839,2)="W|"),2*N1839*O1839,0)</f>
        <v/>
      </c>
      <c r="Z1839" s="9" t="inlineStr"/>
    </row>
    <row r="1840">
      <c r="A1840" s="9" t="inlineStr">
        <is>
          <t>H-P-0013</t>
        </is>
      </c>
      <c r="B1840" s="9" t="inlineStr">
        <is>
          <t>H</t>
        </is>
      </c>
      <c r="C1840" s="9" t="inlineStr">
        <is>
          <t>BESS</t>
        </is>
      </c>
      <c r="D1840" s="9" t="inlineStr">
        <is>
          <t>Container auxiliary 480 V</t>
        </is>
      </c>
      <c r="E1840" s="9" t="inlineStr"/>
      <c r="F1840" s="9" t="inlineStr">
        <is>
          <t>BESS PCS / MV skid</t>
        </is>
      </c>
      <c r="G1840" s="9" t="inlineStr"/>
      <c r="H1840" s="9" t="inlineStr">
        <is>
          <t>BESS container (ISO 40 ft high cube)</t>
        </is>
      </c>
      <c r="I1840" s="9" t="inlineStr">
        <is>
          <t>LV 600 V</t>
        </is>
      </c>
      <c r="J1840" s="9" t="inlineStr">
        <is>
          <t>Type TC-ER 600 V 3/C Cu XHHW-2 + ground, PVC jacket</t>
        </is>
      </c>
      <c r="K1840" s="9" t="inlineStr">
        <is>
          <t>LV|3/C+G|2</t>
        </is>
      </c>
      <c r="L1840" s="9" t="inlineStr">
        <is>
          <t>3/C+G</t>
        </is>
      </c>
      <c r="M1840" s="9" t="inlineStr">
        <is>
          <t>2</t>
        </is>
      </c>
      <c r="N1840" s="9" t="n">
        <v>1</v>
      </c>
      <c r="O1840" s="9" t="n">
        <v>1</v>
      </c>
      <c r="P1840" s="9" t="n">
        <v>480</v>
      </c>
      <c r="Q1840" s="9" t="n">
        <v>60</v>
      </c>
      <c r="R1840" s="9" t="n">
        <v>85</v>
      </c>
      <c r="S1840" s="9" t="inlineStr">
        <is>
          <t>Tray</t>
        </is>
      </c>
      <c r="T1840" s="10" t="n">
        <v>0</v>
      </c>
      <c r="U1840" s="10" t="n">
        <v>284</v>
      </c>
      <c r="V1840" s="10">
        <f>ROUNDUP((T1840+U1840+2*'Read Me'!$B$13)*(1+'Read Me'!$B$12),-1)</f>
        <v/>
      </c>
      <c r="W1840" s="10">
        <f>V1840*N1840*O1840</f>
        <v/>
      </c>
      <c r="X1840" s="9">
        <f>IF(LEFT(I1840,2)="MV",2*N1840*IF(L1840="1/C",O1840,1),0)</f>
        <v/>
      </c>
      <c r="Y1840" s="9">
        <f>IF(OR(LEFT(K1840,4)="LVAX",LEFT(K1840,6)="MV15AX",LEFT(K1840,4)="CTAX",LEFT(K1840,2)="W|"),2*N1840*O1840,0)</f>
        <v/>
      </c>
      <c r="Z1840" s="9" t="inlineStr"/>
    </row>
    <row r="1841">
      <c r="A1841" s="9" t="inlineStr">
        <is>
          <t>H-P-0014</t>
        </is>
      </c>
      <c r="B1841" s="9" t="inlineStr">
        <is>
          <t>H</t>
        </is>
      </c>
      <c r="C1841" s="9" t="inlineStr">
        <is>
          <t>BESS</t>
        </is>
      </c>
      <c r="D1841" s="9" t="inlineStr">
        <is>
          <t>Container auxiliary 480 V</t>
        </is>
      </c>
      <c r="E1841" s="9" t="inlineStr"/>
      <c r="F1841" s="9" t="inlineStr">
        <is>
          <t>BESS PCS / MV skid</t>
        </is>
      </c>
      <c r="G1841" s="9" t="inlineStr"/>
      <c r="H1841" s="9" t="inlineStr">
        <is>
          <t>BESS container (ISO 40 ft high cube)</t>
        </is>
      </c>
      <c r="I1841" s="9" t="inlineStr">
        <is>
          <t>LV 600 V</t>
        </is>
      </c>
      <c r="J1841" s="9" t="inlineStr">
        <is>
          <t>Type TC-ER 600 V 3/C Cu XHHW-2 + ground, PVC jacket</t>
        </is>
      </c>
      <c r="K1841" s="9" t="inlineStr">
        <is>
          <t>LV|3/C+G|2</t>
        </is>
      </c>
      <c r="L1841" s="9" t="inlineStr">
        <is>
          <t>3/C+G</t>
        </is>
      </c>
      <c r="M1841" s="9" t="inlineStr">
        <is>
          <t>2</t>
        </is>
      </c>
      <c r="N1841" s="9" t="n">
        <v>1</v>
      </c>
      <c r="O1841" s="9" t="n">
        <v>1</v>
      </c>
      <c r="P1841" s="9" t="n">
        <v>480</v>
      </c>
      <c r="Q1841" s="9" t="n">
        <v>60</v>
      </c>
      <c r="R1841" s="9" t="n">
        <v>85</v>
      </c>
      <c r="S1841" s="9" t="inlineStr">
        <is>
          <t>Tray</t>
        </is>
      </c>
      <c r="T1841" s="10" t="n">
        <v>0</v>
      </c>
      <c r="U1841" s="10" t="n">
        <v>284</v>
      </c>
      <c r="V1841" s="10">
        <f>ROUNDUP((T1841+U1841+2*'Read Me'!$B$13)*(1+'Read Me'!$B$12),-1)</f>
        <v/>
      </c>
      <c r="W1841" s="10">
        <f>V1841*N1841*O1841</f>
        <v/>
      </c>
      <c r="X1841" s="9">
        <f>IF(LEFT(I1841,2)="MV",2*N1841*IF(L1841="1/C",O1841,1),0)</f>
        <v/>
      </c>
      <c r="Y1841" s="9">
        <f>IF(OR(LEFT(K1841,4)="LVAX",LEFT(K1841,6)="MV15AX",LEFT(K1841,4)="CTAX",LEFT(K1841,2)="W|"),2*N1841*O1841,0)</f>
        <v/>
      </c>
      <c r="Z1841" s="9" t="inlineStr"/>
    </row>
    <row r="1842">
      <c r="A1842" s="9" t="inlineStr">
        <is>
          <t>H-P-0015</t>
        </is>
      </c>
      <c r="B1842" s="9" t="inlineStr">
        <is>
          <t>H</t>
        </is>
      </c>
      <c r="C1842" s="9" t="inlineStr">
        <is>
          <t>BESS</t>
        </is>
      </c>
      <c r="D1842" s="9" t="inlineStr">
        <is>
          <t>Container auxiliary 480 V</t>
        </is>
      </c>
      <c r="E1842" s="9" t="inlineStr"/>
      <c r="F1842" s="9" t="inlineStr">
        <is>
          <t>BESS PCS / MV skid</t>
        </is>
      </c>
      <c r="G1842" s="9" t="inlineStr"/>
      <c r="H1842" s="9" t="inlineStr">
        <is>
          <t>BESS container (ISO 40 ft high cube)</t>
        </is>
      </c>
      <c r="I1842" s="9" t="inlineStr">
        <is>
          <t>LV 600 V</t>
        </is>
      </c>
      <c r="J1842" s="9" t="inlineStr">
        <is>
          <t>Type TC-ER 600 V 3/C Cu XHHW-2 + ground, PVC jacket</t>
        </is>
      </c>
      <c r="K1842" s="9" t="inlineStr">
        <is>
          <t>LV|3/C+G|2</t>
        </is>
      </c>
      <c r="L1842" s="9" t="inlineStr">
        <is>
          <t>3/C+G</t>
        </is>
      </c>
      <c r="M1842" s="9" t="inlineStr">
        <is>
          <t>2</t>
        </is>
      </c>
      <c r="N1842" s="9" t="n">
        <v>1</v>
      </c>
      <c r="O1842" s="9" t="n">
        <v>1</v>
      </c>
      <c r="P1842" s="9" t="n">
        <v>480</v>
      </c>
      <c r="Q1842" s="9" t="n">
        <v>60</v>
      </c>
      <c r="R1842" s="9" t="n">
        <v>85</v>
      </c>
      <c r="S1842" s="9" t="inlineStr">
        <is>
          <t>Tray</t>
        </is>
      </c>
      <c r="T1842" s="10" t="n">
        <v>0</v>
      </c>
      <c r="U1842" s="10" t="n">
        <v>290</v>
      </c>
      <c r="V1842" s="10">
        <f>ROUNDUP((T1842+U1842+2*'Read Me'!$B$13)*(1+'Read Me'!$B$12),-1)</f>
        <v/>
      </c>
      <c r="W1842" s="10">
        <f>V1842*N1842*O1842</f>
        <v/>
      </c>
      <c r="X1842" s="9">
        <f>IF(LEFT(I1842,2)="MV",2*N1842*IF(L1842="1/C",O1842,1),0)</f>
        <v/>
      </c>
      <c r="Y1842" s="9">
        <f>IF(OR(LEFT(K1842,4)="LVAX",LEFT(K1842,6)="MV15AX",LEFT(K1842,4)="CTAX",LEFT(K1842,2)="W|"),2*N1842*O1842,0)</f>
        <v/>
      </c>
      <c r="Z1842" s="9" t="inlineStr"/>
    </row>
    <row r="1843">
      <c r="A1843" s="9" t="inlineStr">
        <is>
          <t>H-P-0016</t>
        </is>
      </c>
      <c r="B1843" s="9" t="inlineStr">
        <is>
          <t>H</t>
        </is>
      </c>
      <c r="C1843" s="9" t="inlineStr">
        <is>
          <t>BESS</t>
        </is>
      </c>
      <c r="D1843" s="9" t="inlineStr">
        <is>
          <t>Container auxiliary 480 V</t>
        </is>
      </c>
      <c r="E1843" s="9" t="inlineStr"/>
      <c r="F1843" s="9" t="inlineStr">
        <is>
          <t>BESS PCS / MV skid</t>
        </is>
      </c>
      <c r="G1843" s="9" t="inlineStr"/>
      <c r="H1843" s="9" t="inlineStr">
        <is>
          <t>BESS container (ISO 40 ft high cube)</t>
        </is>
      </c>
      <c r="I1843" s="9" t="inlineStr">
        <is>
          <t>LV 600 V</t>
        </is>
      </c>
      <c r="J1843" s="9" t="inlineStr">
        <is>
          <t>Type TC-ER 600 V 3/C Cu XHHW-2 + ground, PVC jacket</t>
        </is>
      </c>
      <c r="K1843" s="9" t="inlineStr">
        <is>
          <t>LV|3/C+G|2</t>
        </is>
      </c>
      <c r="L1843" s="9" t="inlineStr">
        <is>
          <t>3/C+G</t>
        </is>
      </c>
      <c r="M1843" s="9" t="inlineStr">
        <is>
          <t>2</t>
        </is>
      </c>
      <c r="N1843" s="9" t="n">
        <v>1</v>
      </c>
      <c r="O1843" s="9" t="n">
        <v>1</v>
      </c>
      <c r="P1843" s="9" t="n">
        <v>480</v>
      </c>
      <c r="Q1843" s="9" t="n">
        <v>60</v>
      </c>
      <c r="R1843" s="9" t="n">
        <v>85</v>
      </c>
      <c r="S1843" s="9" t="inlineStr">
        <is>
          <t>Tray</t>
        </is>
      </c>
      <c r="T1843" s="10" t="n">
        <v>0</v>
      </c>
      <c r="U1843" s="10" t="n">
        <v>290</v>
      </c>
      <c r="V1843" s="10">
        <f>ROUNDUP((T1843+U1843+2*'Read Me'!$B$13)*(1+'Read Me'!$B$12),-1)</f>
        <v/>
      </c>
      <c r="W1843" s="10">
        <f>V1843*N1843*O1843</f>
        <v/>
      </c>
      <c r="X1843" s="9">
        <f>IF(LEFT(I1843,2)="MV",2*N1843*IF(L1843="1/C",O1843,1),0)</f>
        <v/>
      </c>
      <c r="Y1843" s="9">
        <f>IF(OR(LEFT(K1843,4)="LVAX",LEFT(K1843,6)="MV15AX",LEFT(K1843,4)="CTAX",LEFT(K1843,2)="W|"),2*N1843*O1843,0)</f>
        <v/>
      </c>
      <c r="Z1843" s="9" t="inlineStr"/>
    </row>
    <row r="1844">
      <c r="A1844" s="9" t="inlineStr">
        <is>
          <t>H-P-0017</t>
        </is>
      </c>
      <c r="B1844" s="9" t="inlineStr">
        <is>
          <t>H</t>
        </is>
      </c>
      <c r="C1844" s="9" t="inlineStr">
        <is>
          <t>BESS</t>
        </is>
      </c>
      <c r="D1844" s="9" t="inlineStr">
        <is>
          <t>Container auxiliary 480 V</t>
        </is>
      </c>
      <c r="E1844" s="9" t="inlineStr"/>
      <c r="F1844" s="9" t="inlineStr">
        <is>
          <t>BESS PCS / MV skid</t>
        </is>
      </c>
      <c r="G1844" s="9" t="inlineStr"/>
      <c r="H1844" s="9" t="inlineStr">
        <is>
          <t>BESS container (ISO 40 ft high cube)</t>
        </is>
      </c>
      <c r="I1844" s="9" t="inlineStr">
        <is>
          <t>LV 600 V</t>
        </is>
      </c>
      <c r="J1844" s="9" t="inlineStr">
        <is>
          <t>Type TC-ER 600 V 3/C Cu XHHW-2 + ground, PVC jacket</t>
        </is>
      </c>
      <c r="K1844" s="9" t="inlineStr">
        <is>
          <t>LV|3/C+G|2</t>
        </is>
      </c>
      <c r="L1844" s="9" t="inlineStr">
        <is>
          <t>3/C+G</t>
        </is>
      </c>
      <c r="M1844" s="9" t="inlineStr">
        <is>
          <t>2</t>
        </is>
      </c>
      <c r="N1844" s="9" t="n">
        <v>1</v>
      </c>
      <c r="O1844" s="9" t="n">
        <v>1</v>
      </c>
      <c r="P1844" s="9" t="n">
        <v>480</v>
      </c>
      <c r="Q1844" s="9" t="n">
        <v>60</v>
      </c>
      <c r="R1844" s="9" t="n">
        <v>85</v>
      </c>
      <c r="S1844" s="9" t="inlineStr">
        <is>
          <t>Tray</t>
        </is>
      </c>
      <c r="T1844" s="10" t="n">
        <v>0</v>
      </c>
      <c r="U1844" s="10" t="n">
        <v>290</v>
      </c>
      <c r="V1844" s="10">
        <f>ROUNDUP((T1844+U1844+2*'Read Me'!$B$13)*(1+'Read Me'!$B$12),-1)</f>
        <v/>
      </c>
      <c r="W1844" s="10">
        <f>V1844*N1844*O1844</f>
        <v/>
      </c>
      <c r="X1844" s="9">
        <f>IF(LEFT(I1844,2)="MV",2*N1844*IF(L1844="1/C",O1844,1),0)</f>
        <v/>
      </c>
      <c r="Y1844" s="9">
        <f>IF(OR(LEFT(K1844,4)="LVAX",LEFT(K1844,6)="MV15AX",LEFT(K1844,4)="CTAX",LEFT(K1844,2)="W|"),2*N1844*O1844,0)</f>
        <v/>
      </c>
      <c r="Z1844" s="9" t="inlineStr"/>
    </row>
    <row r="1845">
      <c r="A1845" s="9" t="inlineStr">
        <is>
          <t>H-P-0018</t>
        </is>
      </c>
      <c r="B1845" s="9" t="inlineStr">
        <is>
          <t>H</t>
        </is>
      </c>
      <c r="C1845" s="9" t="inlineStr">
        <is>
          <t>BESS</t>
        </is>
      </c>
      <c r="D1845" s="9" t="inlineStr">
        <is>
          <t>Container auxiliary 480 V</t>
        </is>
      </c>
      <c r="E1845" s="9" t="inlineStr"/>
      <c r="F1845" s="9" t="inlineStr">
        <is>
          <t>BESS PCS / MV skid</t>
        </is>
      </c>
      <c r="G1845" s="9" t="inlineStr"/>
      <c r="H1845" s="9" t="inlineStr">
        <is>
          <t>BESS container (ISO 40 ft high cube)</t>
        </is>
      </c>
      <c r="I1845" s="9" t="inlineStr">
        <is>
          <t>LV 600 V</t>
        </is>
      </c>
      <c r="J1845" s="9" t="inlineStr">
        <is>
          <t>Type TC-ER 600 V 3/C Cu XHHW-2 + ground, PVC jacket</t>
        </is>
      </c>
      <c r="K1845" s="9" t="inlineStr">
        <is>
          <t>LV|3/C+G|2</t>
        </is>
      </c>
      <c r="L1845" s="9" t="inlineStr">
        <is>
          <t>3/C+G</t>
        </is>
      </c>
      <c r="M1845" s="9" t="inlineStr">
        <is>
          <t>2</t>
        </is>
      </c>
      <c r="N1845" s="9" t="n">
        <v>1</v>
      </c>
      <c r="O1845" s="9" t="n">
        <v>1</v>
      </c>
      <c r="P1845" s="9" t="n">
        <v>480</v>
      </c>
      <c r="Q1845" s="9" t="n">
        <v>60</v>
      </c>
      <c r="R1845" s="9" t="n">
        <v>85</v>
      </c>
      <c r="S1845" s="9" t="inlineStr">
        <is>
          <t>Tray</t>
        </is>
      </c>
      <c r="T1845" s="10" t="n">
        <v>0</v>
      </c>
      <c r="U1845" s="10" t="n">
        <v>290</v>
      </c>
      <c r="V1845" s="10">
        <f>ROUNDUP((T1845+U1845+2*'Read Me'!$B$13)*(1+'Read Me'!$B$12),-1)</f>
        <v/>
      </c>
      <c r="W1845" s="10">
        <f>V1845*N1845*O1845</f>
        <v/>
      </c>
      <c r="X1845" s="9">
        <f>IF(LEFT(I1845,2)="MV",2*N1845*IF(L1845="1/C",O1845,1),0)</f>
        <v/>
      </c>
      <c r="Y1845" s="9">
        <f>IF(OR(LEFT(K1845,4)="LVAX",LEFT(K1845,6)="MV15AX",LEFT(K1845,4)="CTAX",LEFT(K1845,2)="W|"),2*N1845*O1845,0)</f>
        <v/>
      </c>
      <c r="Z1845" s="9" t="inlineStr"/>
    </row>
    <row r="1846">
      <c r="A1846" s="9" t="inlineStr">
        <is>
          <t>H-P-0019</t>
        </is>
      </c>
      <c r="B1846" s="9" t="inlineStr">
        <is>
          <t>H</t>
        </is>
      </c>
      <c r="C1846" s="9" t="inlineStr">
        <is>
          <t>BESS</t>
        </is>
      </c>
      <c r="D1846" s="9" t="inlineStr">
        <is>
          <t>Container auxiliary 480 V</t>
        </is>
      </c>
      <c r="E1846" s="9" t="inlineStr"/>
      <c r="F1846" s="9" t="inlineStr">
        <is>
          <t>BESS PCS / MV skid</t>
        </is>
      </c>
      <c r="G1846" s="9" t="inlineStr"/>
      <c r="H1846" s="9" t="inlineStr">
        <is>
          <t>BESS container (ISO 40 ft high cube)</t>
        </is>
      </c>
      <c r="I1846" s="9" t="inlineStr">
        <is>
          <t>LV 600 V</t>
        </is>
      </c>
      <c r="J1846" s="9" t="inlineStr">
        <is>
          <t>Type TC-ER 600 V 3/C Cu XHHW-2 + ground, PVC jacket</t>
        </is>
      </c>
      <c r="K1846" s="9" t="inlineStr">
        <is>
          <t>LV|3/C+G|2</t>
        </is>
      </c>
      <c r="L1846" s="9" t="inlineStr">
        <is>
          <t>3/C+G</t>
        </is>
      </c>
      <c r="M1846" s="9" t="inlineStr">
        <is>
          <t>2</t>
        </is>
      </c>
      <c r="N1846" s="9" t="n">
        <v>1</v>
      </c>
      <c r="O1846" s="9" t="n">
        <v>1</v>
      </c>
      <c r="P1846" s="9" t="n">
        <v>480</v>
      </c>
      <c r="Q1846" s="9" t="n">
        <v>60</v>
      </c>
      <c r="R1846" s="9" t="n">
        <v>85</v>
      </c>
      <c r="S1846" s="9" t="inlineStr">
        <is>
          <t>Tray</t>
        </is>
      </c>
      <c r="T1846" s="10" t="n">
        <v>0</v>
      </c>
      <c r="U1846" s="10" t="n">
        <v>290</v>
      </c>
      <c r="V1846" s="10">
        <f>ROUNDUP((T1846+U1846+2*'Read Me'!$B$13)*(1+'Read Me'!$B$12),-1)</f>
        <v/>
      </c>
      <c r="W1846" s="10">
        <f>V1846*N1846*O1846</f>
        <v/>
      </c>
      <c r="X1846" s="9">
        <f>IF(LEFT(I1846,2)="MV",2*N1846*IF(L1846="1/C",O1846,1),0)</f>
        <v/>
      </c>
      <c r="Y1846" s="9">
        <f>IF(OR(LEFT(K1846,4)="LVAX",LEFT(K1846,6)="MV15AX",LEFT(K1846,4)="CTAX",LEFT(K1846,2)="W|"),2*N1846*O1846,0)</f>
        <v/>
      </c>
      <c r="Z1846" s="9" t="inlineStr"/>
    </row>
    <row r="1847">
      <c r="A1847" s="9" t="inlineStr">
        <is>
          <t>H-P-0020</t>
        </is>
      </c>
      <c r="B1847" s="9" t="inlineStr">
        <is>
          <t>H</t>
        </is>
      </c>
      <c r="C1847" s="9" t="inlineStr">
        <is>
          <t>BESS</t>
        </is>
      </c>
      <c r="D1847" s="9" t="inlineStr">
        <is>
          <t>Container auxiliary 480 V</t>
        </is>
      </c>
      <c r="E1847" s="9" t="inlineStr"/>
      <c r="F1847" s="9" t="inlineStr">
        <is>
          <t>BESS PCS / MV skid</t>
        </is>
      </c>
      <c r="G1847" s="9" t="inlineStr"/>
      <c r="H1847" s="9" t="inlineStr">
        <is>
          <t>BESS container (ISO 40 ft high cube)</t>
        </is>
      </c>
      <c r="I1847" s="9" t="inlineStr">
        <is>
          <t>LV 600 V</t>
        </is>
      </c>
      <c r="J1847" s="9" t="inlineStr">
        <is>
          <t>Type TC-ER 600 V 3/C Cu XHHW-2 + ground, PVC jacket</t>
        </is>
      </c>
      <c r="K1847" s="9" t="inlineStr">
        <is>
          <t>LV|3/C+G|2</t>
        </is>
      </c>
      <c r="L1847" s="9" t="inlineStr">
        <is>
          <t>3/C+G</t>
        </is>
      </c>
      <c r="M1847" s="9" t="inlineStr">
        <is>
          <t>2</t>
        </is>
      </c>
      <c r="N1847" s="9" t="n">
        <v>1</v>
      </c>
      <c r="O1847" s="9" t="n">
        <v>1</v>
      </c>
      <c r="P1847" s="9" t="n">
        <v>480</v>
      </c>
      <c r="Q1847" s="9" t="n">
        <v>60</v>
      </c>
      <c r="R1847" s="9" t="n">
        <v>85</v>
      </c>
      <c r="S1847" s="9" t="inlineStr">
        <is>
          <t>Tray</t>
        </is>
      </c>
      <c r="T1847" s="10" t="n">
        <v>0</v>
      </c>
      <c r="U1847" s="10" t="n">
        <v>290</v>
      </c>
      <c r="V1847" s="10">
        <f>ROUNDUP((T1847+U1847+2*'Read Me'!$B$13)*(1+'Read Me'!$B$12),-1)</f>
        <v/>
      </c>
      <c r="W1847" s="10">
        <f>V1847*N1847*O1847</f>
        <v/>
      </c>
      <c r="X1847" s="9">
        <f>IF(LEFT(I1847,2)="MV",2*N1847*IF(L1847="1/C",O1847,1),0)</f>
        <v/>
      </c>
      <c r="Y1847" s="9">
        <f>IF(OR(LEFT(K1847,4)="LVAX",LEFT(K1847,6)="MV15AX",LEFT(K1847,4)="CTAX",LEFT(K1847,2)="W|"),2*N1847*O1847,0)</f>
        <v/>
      </c>
      <c r="Z1847" s="9" t="inlineStr"/>
    </row>
    <row r="1848">
      <c r="A1848" s="9" t="inlineStr">
        <is>
          <t>H-P-0021</t>
        </is>
      </c>
      <c r="B1848" s="9" t="inlineStr">
        <is>
          <t>H</t>
        </is>
      </c>
      <c r="C1848" s="9" t="inlineStr">
        <is>
          <t>BESS</t>
        </is>
      </c>
      <c r="D1848" s="9" t="inlineStr">
        <is>
          <t>Container auxiliary 480 V</t>
        </is>
      </c>
      <c r="E1848" s="9" t="inlineStr"/>
      <c r="F1848" s="9" t="inlineStr">
        <is>
          <t>BESS PCS / MV skid</t>
        </is>
      </c>
      <c r="G1848" s="9" t="inlineStr"/>
      <c r="H1848" s="9" t="inlineStr">
        <is>
          <t>BESS container (ISO 40 ft high cube)</t>
        </is>
      </c>
      <c r="I1848" s="9" t="inlineStr">
        <is>
          <t>LV 600 V</t>
        </is>
      </c>
      <c r="J1848" s="9" t="inlineStr">
        <is>
          <t>Type TC-ER 600 V 3/C Cu XHHW-2 + ground, PVC jacket</t>
        </is>
      </c>
      <c r="K1848" s="9" t="inlineStr">
        <is>
          <t>LV|3/C+G|2</t>
        </is>
      </c>
      <c r="L1848" s="9" t="inlineStr">
        <is>
          <t>3/C+G</t>
        </is>
      </c>
      <c r="M1848" s="9" t="inlineStr">
        <is>
          <t>2</t>
        </is>
      </c>
      <c r="N1848" s="9" t="n">
        <v>1</v>
      </c>
      <c r="O1848" s="9" t="n">
        <v>1</v>
      </c>
      <c r="P1848" s="9" t="n">
        <v>480</v>
      </c>
      <c r="Q1848" s="9" t="n">
        <v>60</v>
      </c>
      <c r="R1848" s="9" t="n">
        <v>85</v>
      </c>
      <c r="S1848" s="9" t="inlineStr">
        <is>
          <t>Tray</t>
        </is>
      </c>
      <c r="T1848" s="10" t="n">
        <v>0</v>
      </c>
      <c r="U1848" s="10" t="n">
        <v>174</v>
      </c>
      <c r="V1848" s="10">
        <f>ROUNDUP((T1848+U1848+2*'Read Me'!$B$13)*(1+'Read Me'!$B$12),-1)</f>
        <v/>
      </c>
      <c r="W1848" s="10">
        <f>V1848*N1848*O1848</f>
        <v/>
      </c>
      <c r="X1848" s="9">
        <f>IF(LEFT(I1848,2)="MV",2*N1848*IF(L1848="1/C",O1848,1),0)</f>
        <v/>
      </c>
      <c r="Y1848" s="9">
        <f>IF(OR(LEFT(K1848,4)="LVAX",LEFT(K1848,6)="MV15AX",LEFT(K1848,4)="CTAX",LEFT(K1848,2)="W|"),2*N1848*O1848,0)</f>
        <v/>
      </c>
      <c r="Z1848" s="9" t="inlineStr"/>
    </row>
    <row r="1849">
      <c r="A1849" s="9" t="inlineStr">
        <is>
          <t>H-P-0022</t>
        </is>
      </c>
      <c r="B1849" s="9" t="inlineStr">
        <is>
          <t>H</t>
        </is>
      </c>
      <c r="C1849" s="9" t="inlineStr">
        <is>
          <t>BESS</t>
        </is>
      </c>
      <c r="D1849" s="9" t="inlineStr">
        <is>
          <t>Container auxiliary 480 V</t>
        </is>
      </c>
      <c r="E1849" s="9" t="inlineStr"/>
      <c r="F1849" s="9" t="inlineStr">
        <is>
          <t>BESS PCS / MV skid</t>
        </is>
      </c>
      <c r="G1849" s="9" t="inlineStr"/>
      <c r="H1849" s="9" t="inlineStr">
        <is>
          <t>BESS container (ISO 40 ft high cube)</t>
        </is>
      </c>
      <c r="I1849" s="9" t="inlineStr">
        <is>
          <t>LV 600 V</t>
        </is>
      </c>
      <c r="J1849" s="9" t="inlineStr">
        <is>
          <t>Type TC-ER 600 V 3/C Cu XHHW-2 + ground, PVC jacket</t>
        </is>
      </c>
      <c r="K1849" s="9" t="inlineStr">
        <is>
          <t>LV|3/C+G|2</t>
        </is>
      </c>
      <c r="L1849" s="9" t="inlineStr">
        <is>
          <t>3/C+G</t>
        </is>
      </c>
      <c r="M1849" s="9" t="inlineStr">
        <is>
          <t>2</t>
        </is>
      </c>
      <c r="N1849" s="9" t="n">
        <v>1</v>
      </c>
      <c r="O1849" s="9" t="n">
        <v>1</v>
      </c>
      <c r="P1849" s="9" t="n">
        <v>480</v>
      </c>
      <c r="Q1849" s="9" t="n">
        <v>60</v>
      </c>
      <c r="R1849" s="9" t="n">
        <v>85</v>
      </c>
      <c r="S1849" s="9" t="inlineStr">
        <is>
          <t>Tray</t>
        </is>
      </c>
      <c r="T1849" s="10" t="n">
        <v>0</v>
      </c>
      <c r="U1849" s="10" t="n">
        <v>174</v>
      </c>
      <c r="V1849" s="10">
        <f>ROUNDUP((T1849+U1849+2*'Read Me'!$B$13)*(1+'Read Me'!$B$12),-1)</f>
        <v/>
      </c>
      <c r="W1849" s="10">
        <f>V1849*N1849*O1849</f>
        <v/>
      </c>
      <c r="X1849" s="9">
        <f>IF(LEFT(I1849,2)="MV",2*N1849*IF(L1849="1/C",O1849,1),0)</f>
        <v/>
      </c>
      <c r="Y1849" s="9">
        <f>IF(OR(LEFT(K1849,4)="LVAX",LEFT(K1849,6)="MV15AX",LEFT(K1849,4)="CTAX",LEFT(K1849,2)="W|"),2*N1849*O1849,0)</f>
        <v/>
      </c>
      <c r="Z1849" s="9" t="inlineStr"/>
    </row>
    <row r="1850">
      <c r="A1850" s="9" t="inlineStr">
        <is>
          <t>H-P-0023</t>
        </is>
      </c>
      <c r="B1850" s="9" t="inlineStr">
        <is>
          <t>H</t>
        </is>
      </c>
      <c r="C1850" s="9" t="inlineStr">
        <is>
          <t>BESS</t>
        </is>
      </c>
      <c r="D1850" s="9" t="inlineStr">
        <is>
          <t>Container auxiliary 480 V</t>
        </is>
      </c>
      <c r="E1850" s="9" t="inlineStr"/>
      <c r="F1850" s="9" t="inlineStr">
        <is>
          <t>BESS PCS / MV skid</t>
        </is>
      </c>
      <c r="G1850" s="9" t="inlineStr"/>
      <c r="H1850" s="9" t="inlineStr">
        <is>
          <t>BESS container (ISO 40 ft high cube)</t>
        </is>
      </c>
      <c r="I1850" s="9" t="inlineStr">
        <is>
          <t>LV 600 V</t>
        </is>
      </c>
      <c r="J1850" s="9" t="inlineStr">
        <is>
          <t>Type TC-ER 600 V 3/C Cu XHHW-2 + ground, PVC jacket</t>
        </is>
      </c>
      <c r="K1850" s="9" t="inlineStr">
        <is>
          <t>LV|3/C+G|2</t>
        </is>
      </c>
      <c r="L1850" s="9" t="inlineStr">
        <is>
          <t>3/C+G</t>
        </is>
      </c>
      <c r="M1850" s="9" t="inlineStr">
        <is>
          <t>2</t>
        </is>
      </c>
      <c r="N1850" s="9" t="n">
        <v>1</v>
      </c>
      <c r="O1850" s="9" t="n">
        <v>1</v>
      </c>
      <c r="P1850" s="9" t="n">
        <v>480</v>
      </c>
      <c r="Q1850" s="9" t="n">
        <v>60</v>
      </c>
      <c r="R1850" s="9" t="n">
        <v>85</v>
      </c>
      <c r="S1850" s="9" t="inlineStr">
        <is>
          <t>Tray</t>
        </is>
      </c>
      <c r="T1850" s="10" t="n">
        <v>0</v>
      </c>
      <c r="U1850" s="10" t="n">
        <v>174</v>
      </c>
      <c r="V1850" s="10">
        <f>ROUNDUP((T1850+U1850+2*'Read Me'!$B$13)*(1+'Read Me'!$B$12),-1)</f>
        <v/>
      </c>
      <c r="W1850" s="10">
        <f>V1850*N1850*O1850</f>
        <v/>
      </c>
      <c r="X1850" s="9">
        <f>IF(LEFT(I1850,2)="MV",2*N1850*IF(L1850="1/C",O1850,1),0)</f>
        <v/>
      </c>
      <c r="Y1850" s="9">
        <f>IF(OR(LEFT(K1850,4)="LVAX",LEFT(K1850,6)="MV15AX",LEFT(K1850,4)="CTAX",LEFT(K1850,2)="W|"),2*N1850*O1850,0)</f>
        <v/>
      </c>
      <c r="Z1850" s="9" t="inlineStr"/>
    </row>
    <row r="1851">
      <c r="A1851" s="9" t="inlineStr">
        <is>
          <t>H-P-0024</t>
        </is>
      </c>
      <c r="B1851" s="9" t="inlineStr">
        <is>
          <t>H</t>
        </is>
      </c>
      <c r="C1851" s="9" t="inlineStr">
        <is>
          <t>BESS</t>
        </is>
      </c>
      <c r="D1851" s="9" t="inlineStr">
        <is>
          <t>Container auxiliary 480 V</t>
        </is>
      </c>
      <c r="E1851" s="9" t="inlineStr"/>
      <c r="F1851" s="9" t="inlineStr">
        <is>
          <t>BESS PCS / MV skid</t>
        </is>
      </c>
      <c r="G1851" s="9" t="inlineStr"/>
      <c r="H1851" s="9" t="inlineStr">
        <is>
          <t>BESS container (ISO 40 ft high cube)</t>
        </is>
      </c>
      <c r="I1851" s="9" t="inlineStr">
        <is>
          <t>LV 600 V</t>
        </is>
      </c>
      <c r="J1851" s="9" t="inlineStr">
        <is>
          <t>Type TC-ER 600 V 3/C Cu XHHW-2 + ground, PVC jacket</t>
        </is>
      </c>
      <c r="K1851" s="9" t="inlineStr">
        <is>
          <t>LV|3/C+G|2</t>
        </is>
      </c>
      <c r="L1851" s="9" t="inlineStr">
        <is>
          <t>3/C+G</t>
        </is>
      </c>
      <c r="M1851" s="9" t="inlineStr">
        <is>
          <t>2</t>
        </is>
      </c>
      <c r="N1851" s="9" t="n">
        <v>1</v>
      </c>
      <c r="O1851" s="9" t="n">
        <v>1</v>
      </c>
      <c r="P1851" s="9" t="n">
        <v>480</v>
      </c>
      <c r="Q1851" s="9" t="n">
        <v>60</v>
      </c>
      <c r="R1851" s="9" t="n">
        <v>85</v>
      </c>
      <c r="S1851" s="9" t="inlineStr">
        <is>
          <t>Tray</t>
        </is>
      </c>
      <c r="T1851" s="10" t="n">
        <v>0</v>
      </c>
      <c r="U1851" s="10" t="n">
        <v>174</v>
      </c>
      <c r="V1851" s="10">
        <f>ROUNDUP((T1851+U1851+2*'Read Me'!$B$13)*(1+'Read Me'!$B$12),-1)</f>
        <v/>
      </c>
      <c r="W1851" s="10">
        <f>V1851*N1851*O1851</f>
        <v/>
      </c>
      <c r="X1851" s="9">
        <f>IF(LEFT(I1851,2)="MV",2*N1851*IF(L1851="1/C",O1851,1),0)</f>
        <v/>
      </c>
      <c r="Y1851" s="9">
        <f>IF(OR(LEFT(K1851,4)="LVAX",LEFT(K1851,6)="MV15AX",LEFT(K1851,4)="CTAX",LEFT(K1851,2)="W|"),2*N1851*O1851,0)</f>
        <v/>
      </c>
      <c r="Z1851" s="9" t="inlineStr"/>
    </row>
    <row r="1852">
      <c r="A1852" s="9" t="inlineStr">
        <is>
          <t>H-P-0025</t>
        </is>
      </c>
      <c r="B1852" s="9" t="inlineStr">
        <is>
          <t>H</t>
        </is>
      </c>
      <c r="C1852" s="9" t="inlineStr">
        <is>
          <t>BESS</t>
        </is>
      </c>
      <c r="D1852" s="9" t="inlineStr">
        <is>
          <t>Container auxiliary 480 V</t>
        </is>
      </c>
      <c r="E1852" s="9" t="inlineStr"/>
      <c r="F1852" s="9" t="inlineStr">
        <is>
          <t>BESS PCS / MV skid</t>
        </is>
      </c>
      <c r="G1852" s="9" t="inlineStr"/>
      <c r="H1852" s="9" t="inlineStr">
        <is>
          <t>BESS container (ISO 40 ft high cube)</t>
        </is>
      </c>
      <c r="I1852" s="9" t="inlineStr">
        <is>
          <t>LV 600 V</t>
        </is>
      </c>
      <c r="J1852" s="9" t="inlineStr">
        <is>
          <t>Type TC-ER 600 V 3/C Cu XHHW-2 + ground, PVC jacket</t>
        </is>
      </c>
      <c r="K1852" s="9" t="inlineStr">
        <is>
          <t>LV|3/C+G|2</t>
        </is>
      </c>
      <c r="L1852" s="9" t="inlineStr">
        <is>
          <t>3/C+G</t>
        </is>
      </c>
      <c r="M1852" s="9" t="inlineStr">
        <is>
          <t>2</t>
        </is>
      </c>
      <c r="N1852" s="9" t="n">
        <v>1</v>
      </c>
      <c r="O1852" s="9" t="n">
        <v>1</v>
      </c>
      <c r="P1852" s="9" t="n">
        <v>480</v>
      </c>
      <c r="Q1852" s="9" t="n">
        <v>60</v>
      </c>
      <c r="R1852" s="9" t="n">
        <v>85</v>
      </c>
      <c r="S1852" s="9" t="inlineStr">
        <is>
          <t>Tray</t>
        </is>
      </c>
      <c r="T1852" s="10" t="n">
        <v>0</v>
      </c>
      <c r="U1852" s="10" t="n">
        <v>174</v>
      </c>
      <c r="V1852" s="10">
        <f>ROUNDUP((T1852+U1852+2*'Read Me'!$B$13)*(1+'Read Me'!$B$12),-1)</f>
        <v/>
      </c>
      <c r="W1852" s="10">
        <f>V1852*N1852*O1852</f>
        <v/>
      </c>
      <c r="X1852" s="9">
        <f>IF(LEFT(I1852,2)="MV",2*N1852*IF(L1852="1/C",O1852,1),0)</f>
        <v/>
      </c>
      <c r="Y1852" s="9">
        <f>IF(OR(LEFT(K1852,4)="LVAX",LEFT(K1852,6)="MV15AX",LEFT(K1852,4)="CTAX",LEFT(K1852,2)="W|"),2*N1852*O1852,0)</f>
        <v/>
      </c>
      <c r="Z1852" s="9" t="inlineStr"/>
    </row>
    <row r="1853">
      <c r="A1853" s="9" t="inlineStr">
        <is>
          <t>H-P-0026</t>
        </is>
      </c>
      <c r="B1853" s="9" t="inlineStr">
        <is>
          <t>H</t>
        </is>
      </c>
      <c r="C1853" s="9" t="inlineStr">
        <is>
          <t>BESS</t>
        </is>
      </c>
      <c r="D1853" s="9" t="inlineStr">
        <is>
          <t>Container auxiliary 480 V</t>
        </is>
      </c>
      <c r="E1853" s="9" t="inlineStr"/>
      <c r="F1853" s="9" t="inlineStr">
        <is>
          <t>BESS PCS / MV skid</t>
        </is>
      </c>
      <c r="G1853" s="9" t="inlineStr"/>
      <c r="H1853" s="9" t="inlineStr">
        <is>
          <t>BESS container (ISO 40 ft high cube)</t>
        </is>
      </c>
      <c r="I1853" s="9" t="inlineStr">
        <is>
          <t>LV 600 V</t>
        </is>
      </c>
      <c r="J1853" s="9" t="inlineStr">
        <is>
          <t>Type TC-ER 600 V 3/C Cu XHHW-2 + ground, PVC jacket</t>
        </is>
      </c>
      <c r="K1853" s="9" t="inlineStr">
        <is>
          <t>LV|3/C+G|2</t>
        </is>
      </c>
      <c r="L1853" s="9" t="inlineStr">
        <is>
          <t>3/C+G</t>
        </is>
      </c>
      <c r="M1853" s="9" t="inlineStr">
        <is>
          <t>2</t>
        </is>
      </c>
      <c r="N1853" s="9" t="n">
        <v>1</v>
      </c>
      <c r="O1853" s="9" t="n">
        <v>1</v>
      </c>
      <c r="P1853" s="9" t="n">
        <v>480</v>
      </c>
      <c r="Q1853" s="9" t="n">
        <v>60</v>
      </c>
      <c r="R1853" s="9" t="n">
        <v>85</v>
      </c>
      <c r="S1853" s="9" t="inlineStr">
        <is>
          <t>Tray</t>
        </is>
      </c>
      <c r="T1853" s="10" t="n">
        <v>0</v>
      </c>
      <c r="U1853" s="10" t="n">
        <v>174</v>
      </c>
      <c r="V1853" s="10">
        <f>ROUNDUP((T1853+U1853+2*'Read Me'!$B$13)*(1+'Read Me'!$B$12),-1)</f>
        <v/>
      </c>
      <c r="W1853" s="10">
        <f>V1853*N1853*O1853</f>
        <v/>
      </c>
      <c r="X1853" s="9">
        <f>IF(LEFT(I1853,2)="MV",2*N1853*IF(L1853="1/C",O1853,1),0)</f>
        <v/>
      </c>
      <c r="Y1853" s="9">
        <f>IF(OR(LEFT(K1853,4)="LVAX",LEFT(K1853,6)="MV15AX",LEFT(K1853,4)="CTAX",LEFT(K1853,2)="W|"),2*N1853*O1853,0)</f>
        <v/>
      </c>
      <c r="Z1853" s="9" t="inlineStr"/>
    </row>
    <row r="1854">
      <c r="A1854" s="9" t="inlineStr">
        <is>
          <t>H-P-0027</t>
        </is>
      </c>
      <c r="B1854" s="9" t="inlineStr">
        <is>
          <t>H</t>
        </is>
      </c>
      <c r="C1854" s="9" t="inlineStr">
        <is>
          <t>BESS</t>
        </is>
      </c>
      <c r="D1854" s="9" t="inlineStr">
        <is>
          <t>Container auxiliary 480 V</t>
        </is>
      </c>
      <c r="E1854" s="9" t="inlineStr"/>
      <c r="F1854" s="9" t="inlineStr">
        <is>
          <t>BESS PCS / MV skid</t>
        </is>
      </c>
      <c r="G1854" s="9" t="inlineStr"/>
      <c r="H1854" s="9" t="inlineStr">
        <is>
          <t>BESS container (ISO 40 ft high cube)</t>
        </is>
      </c>
      <c r="I1854" s="9" t="inlineStr">
        <is>
          <t>LV 600 V</t>
        </is>
      </c>
      <c r="J1854" s="9" t="inlineStr">
        <is>
          <t>Type TC-ER 600 V 3/C Cu XHHW-2 + ground, PVC jacket</t>
        </is>
      </c>
      <c r="K1854" s="9" t="inlineStr">
        <is>
          <t>LV|3/C+G|2</t>
        </is>
      </c>
      <c r="L1854" s="9" t="inlineStr">
        <is>
          <t>3/C+G</t>
        </is>
      </c>
      <c r="M1854" s="9" t="inlineStr">
        <is>
          <t>2</t>
        </is>
      </c>
      <c r="N1854" s="9" t="n">
        <v>1</v>
      </c>
      <c r="O1854" s="9" t="n">
        <v>1</v>
      </c>
      <c r="P1854" s="9" t="n">
        <v>480</v>
      </c>
      <c r="Q1854" s="9" t="n">
        <v>60</v>
      </c>
      <c r="R1854" s="9" t="n">
        <v>85</v>
      </c>
      <c r="S1854" s="9" t="inlineStr">
        <is>
          <t>Tray</t>
        </is>
      </c>
      <c r="T1854" s="10" t="n">
        <v>0</v>
      </c>
      <c r="U1854" s="10" t="n">
        <v>62</v>
      </c>
      <c r="V1854" s="10">
        <f>ROUNDUP((T1854+U1854+2*'Read Me'!$B$13)*(1+'Read Me'!$B$12),-1)</f>
        <v/>
      </c>
      <c r="W1854" s="10">
        <f>V1854*N1854*O1854</f>
        <v/>
      </c>
      <c r="X1854" s="9">
        <f>IF(LEFT(I1854,2)="MV",2*N1854*IF(L1854="1/C",O1854,1),0)</f>
        <v/>
      </c>
      <c r="Y1854" s="9">
        <f>IF(OR(LEFT(K1854,4)="LVAX",LEFT(K1854,6)="MV15AX",LEFT(K1854,4)="CTAX",LEFT(K1854,2)="W|"),2*N1854*O1854,0)</f>
        <v/>
      </c>
      <c r="Z1854" s="9" t="inlineStr"/>
    </row>
    <row r="1855">
      <c r="A1855" s="9" t="inlineStr">
        <is>
          <t>H-P-0028</t>
        </is>
      </c>
      <c r="B1855" s="9" t="inlineStr">
        <is>
          <t>H</t>
        </is>
      </c>
      <c r="C1855" s="9" t="inlineStr">
        <is>
          <t>BESS</t>
        </is>
      </c>
      <c r="D1855" s="9" t="inlineStr">
        <is>
          <t>Container auxiliary 480 V</t>
        </is>
      </c>
      <c r="E1855" s="9" t="inlineStr"/>
      <c r="F1855" s="9" t="inlineStr">
        <is>
          <t>BESS PCS / MV skid</t>
        </is>
      </c>
      <c r="G1855" s="9" t="inlineStr"/>
      <c r="H1855" s="9" t="inlineStr">
        <is>
          <t>BESS container (ISO 40 ft high cube)</t>
        </is>
      </c>
      <c r="I1855" s="9" t="inlineStr">
        <is>
          <t>LV 600 V</t>
        </is>
      </c>
      <c r="J1855" s="9" t="inlineStr">
        <is>
          <t>Type TC-ER 600 V 3/C Cu XHHW-2 + ground, PVC jacket</t>
        </is>
      </c>
      <c r="K1855" s="9" t="inlineStr">
        <is>
          <t>LV|3/C+G|2</t>
        </is>
      </c>
      <c r="L1855" s="9" t="inlineStr">
        <is>
          <t>3/C+G</t>
        </is>
      </c>
      <c r="M1855" s="9" t="inlineStr">
        <is>
          <t>2</t>
        </is>
      </c>
      <c r="N1855" s="9" t="n">
        <v>1</v>
      </c>
      <c r="O1855" s="9" t="n">
        <v>1</v>
      </c>
      <c r="P1855" s="9" t="n">
        <v>480</v>
      </c>
      <c r="Q1855" s="9" t="n">
        <v>60</v>
      </c>
      <c r="R1855" s="9" t="n">
        <v>85</v>
      </c>
      <c r="S1855" s="9" t="inlineStr">
        <is>
          <t>Tray</t>
        </is>
      </c>
      <c r="T1855" s="10" t="n">
        <v>0</v>
      </c>
      <c r="U1855" s="10" t="n">
        <v>62</v>
      </c>
      <c r="V1855" s="10">
        <f>ROUNDUP((T1855+U1855+2*'Read Me'!$B$13)*(1+'Read Me'!$B$12),-1)</f>
        <v/>
      </c>
      <c r="W1855" s="10">
        <f>V1855*N1855*O1855</f>
        <v/>
      </c>
      <c r="X1855" s="9">
        <f>IF(LEFT(I1855,2)="MV",2*N1855*IF(L1855="1/C",O1855,1),0)</f>
        <v/>
      </c>
      <c r="Y1855" s="9">
        <f>IF(OR(LEFT(K1855,4)="LVAX",LEFT(K1855,6)="MV15AX",LEFT(K1855,4)="CTAX",LEFT(K1855,2)="W|"),2*N1855*O1855,0)</f>
        <v/>
      </c>
      <c r="Z1855" s="9" t="inlineStr"/>
    </row>
    <row r="1856">
      <c r="A1856" s="9" t="inlineStr">
        <is>
          <t>H-P-0029</t>
        </is>
      </c>
      <c r="B1856" s="9" t="inlineStr">
        <is>
          <t>H</t>
        </is>
      </c>
      <c r="C1856" s="9" t="inlineStr">
        <is>
          <t>BESS</t>
        </is>
      </c>
      <c r="D1856" s="9" t="inlineStr">
        <is>
          <t>Container auxiliary 480 V</t>
        </is>
      </c>
      <c r="E1856" s="9" t="inlineStr"/>
      <c r="F1856" s="9" t="inlineStr">
        <is>
          <t>BESS PCS / MV skid</t>
        </is>
      </c>
      <c r="G1856" s="9" t="inlineStr"/>
      <c r="H1856" s="9" t="inlineStr">
        <is>
          <t>BESS container (ISO 40 ft high cube)</t>
        </is>
      </c>
      <c r="I1856" s="9" t="inlineStr">
        <is>
          <t>LV 600 V</t>
        </is>
      </c>
      <c r="J1856" s="9" t="inlineStr">
        <is>
          <t>Type TC-ER 600 V 3/C Cu XHHW-2 + ground, PVC jacket</t>
        </is>
      </c>
      <c r="K1856" s="9" t="inlineStr">
        <is>
          <t>LV|3/C+G|2</t>
        </is>
      </c>
      <c r="L1856" s="9" t="inlineStr">
        <is>
          <t>3/C+G</t>
        </is>
      </c>
      <c r="M1856" s="9" t="inlineStr">
        <is>
          <t>2</t>
        </is>
      </c>
      <c r="N1856" s="9" t="n">
        <v>1</v>
      </c>
      <c r="O1856" s="9" t="n">
        <v>1</v>
      </c>
      <c r="P1856" s="9" t="n">
        <v>480</v>
      </c>
      <c r="Q1856" s="9" t="n">
        <v>60</v>
      </c>
      <c r="R1856" s="9" t="n">
        <v>85</v>
      </c>
      <c r="S1856" s="9" t="inlineStr">
        <is>
          <t>Tray</t>
        </is>
      </c>
      <c r="T1856" s="10" t="n">
        <v>0</v>
      </c>
      <c r="U1856" s="10" t="n">
        <v>62</v>
      </c>
      <c r="V1856" s="10">
        <f>ROUNDUP((T1856+U1856+2*'Read Me'!$B$13)*(1+'Read Me'!$B$12),-1)</f>
        <v/>
      </c>
      <c r="W1856" s="10">
        <f>V1856*N1856*O1856</f>
        <v/>
      </c>
      <c r="X1856" s="9">
        <f>IF(LEFT(I1856,2)="MV",2*N1856*IF(L1856="1/C",O1856,1),0)</f>
        <v/>
      </c>
      <c r="Y1856" s="9">
        <f>IF(OR(LEFT(K1856,4)="LVAX",LEFT(K1856,6)="MV15AX",LEFT(K1856,4)="CTAX",LEFT(K1856,2)="W|"),2*N1856*O1856,0)</f>
        <v/>
      </c>
      <c r="Z1856" s="9" t="inlineStr"/>
    </row>
    <row r="1857">
      <c r="A1857" s="9" t="inlineStr">
        <is>
          <t>H-P-0030</t>
        </is>
      </c>
      <c r="B1857" s="9" t="inlineStr">
        <is>
          <t>H</t>
        </is>
      </c>
      <c r="C1857" s="9" t="inlineStr">
        <is>
          <t>BESS</t>
        </is>
      </c>
      <c r="D1857" s="9" t="inlineStr">
        <is>
          <t>Container auxiliary 480 V</t>
        </is>
      </c>
      <c r="E1857" s="9" t="inlineStr"/>
      <c r="F1857" s="9" t="inlineStr">
        <is>
          <t>BESS PCS / MV skid</t>
        </is>
      </c>
      <c r="G1857" s="9" t="inlineStr"/>
      <c r="H1857" s="9" t="inlineStr">
        <is>
          <t>BESS container (ISO 40 ft high cube)</t>
        </is>
      </c>
      <c r="I1857" s="9" t="inlineStr">
        <is>
          <t>LV 600 V</t>
        </is>
      </c>
      <c r="J1857" s="9" t="inlineStr">
        <is>
          <t>Type TC-ER 600 V 3/C Cu XHHW-2 + ground, PVC jacket</t>
        </is>
      </c>
      <c r="K1857" s="9" t="inlineStr">
        <is>
          <t>LV|3/C+G|2</t>
        </is>
      </c>
      <c r="L1857" s="9" t="inlineStr">
        <is>
          <t>3/C+G</t>
        </is>
      </c>
      <c r="M1857" s="9" t="inlineStr">
        <is>
          <t>2</t>
        </is>
      </c>
      <c r="N1857" s="9" t="n">
        <v>1</v>
      </c>
      <c r="O1857" s="9" t="n">
        <v>1</v>
      </c>
      <c r="P1857" s="9" t="n">
        <v>480</v>
      </c>
      <c r="Q1857" s="9" t="n">
        <v>60</v>
      </c>
      <c r="R1857" s="9" t="n">
        <v>85</v>
      </c>
      <c r="S1857" s="9" t="inlineStr">
        <is>
          <t>Tray</t>
        </is>
      </c>
      <c r="T1857" s="10" t="n">
        <v>0</v>
      </c>
      <c r="U1857" s="10" t="n">
        <v>62</v>
      </c>
      <c r="V1857" s="10">
        <f>ROUNDUP((T1857+U1857+2*'Read Me'!$B$13)*(1+'Read Me'!$B$12),-1)</f>
        <v/>
      </c>
      <c r="W1857" s="10">
        <f>V1857*N1857*O1857</f>
        <v/>
      </c>
      <c r="X1857" s="9">
        <f>IF(LEFT(I1857,2)="MV",2*N1857*IF(L1857="1/C",O1857,1),0)</f>
        <v/>
      </c>
      <c r="Y1857" s="9">
        <f>IF(OR(LEFT(K1857,4)="LVAX",LEFT(K1857,6)="MV15AX",LEFT(K1857,4)="CTAX",LEFT(K1857,2)="W|"),2*N1857*O1857,0)</f>
        <v/>
      </c>
      <c r="Z1857" s="9" t="inlineStr"/>
    </row>
    <row r="1858">
      <c r="A1858" s="9" t="inlineStr">
        <is>
          <t>H-P-0031</t>
        </is>
      </c>
      <c r="B1858" s="9" t="inlineStr">
        <is>
          <t>H</t>
        </is>
      </c>
      <c r="C1858" s="9" t="inlineStr">
        <is>
          <t>BESS</t>
        </is>
      </c>
      <c r="D1858" s="9" t="inlineStr">
        <is>
          <t>Container auxiliary 480 V</t>
        </is>
      </c>
      <c r="E1858" s="9" t="inlineStr"/>
      <c r="F1858" s="9" t="inlineStr">
        <is>
          <t>BESS PCS / MV skid</t>
        </is>
      </c>
      <c r="G1858" s="9" t="inlineStr"/>
      <c r="H1858" s="9" t="inlineStr">
        <is>
          <t>BESS container (ISO 40 ft high cube)</t>
        </is>
      </c>
      <c r="I1858" s="9" t="inlineStr">
        <is>
          <t>LV 600 V</t>
        </is>
      </c>
      <c r="J1858" s="9" t="inlineStr">
        <is>
          <t>Type TC-ER 600 V 3/C Cu XHHW-2 + ground, PVC jacket</t>
        </is>
      </c>
      <c r="K1858" s="9" t="inlineStr">
        <is>
          <t>LV|3/C+G|2</t>
        </is>
      </c>
      <c r="L1858" s="9" t="inlineStr">
        <is>
          <t>3/C+G</t>
        </is>
      </c>
      <c r="M1858" s="9" t="inlineStr">
        <is>
          <t>2</t>
        </is>
      </c>
      <c r="N1858" s="9" t="n">
        <v>1</v>
      </c>
      <c r="O1858" s="9" t="n">
        <v>1</v>
      </c>
      <c r="P1858" s="9" t="n">
        <v>480</v>
      </c>
      <c r="Q1858" s="9" t="n">
        <v>60</v>
      </c>
      <c r="R1858" s="9" t="n">
        <v>85</v>
      </c>
      <c r="S1858" s="9" t="inlineStr">
        <is>
          <t>Tray</t>
        </is>
      </c>
      <c r="T1858" s="10" t="n">
        <v>0</v>
      </c>
      <c r="U1858" s="10" t="n">
        <v>62</v>
      </c>
      <c r="V1858" s="10">
        <f>ROUNDUP((T1858+U1858+2*'Read Me'!$B$13)*(1+'Read Me'!$B$12),-1)</f>
        <v/>
      </c>
      <c r="W1858" s="10">
        <f>V1858*N1858*O1858</f>
        <v/>
      </c>
      <c r="X1858" s="9">
        <f>IF(LEFT(I1858,2)="MV",2*N1858*IF(L1858="1/C",O1858,1),0)</f>
        <v/>
      </c>
      <c r="Y1858" s="9">
        <f>IF(OR(LEFT(K1858,4)="LVAX",LEFT(K1858,6)="MV15AX",LEFT(K1858,4)="CTAX",LEFT(K1858,2)="W|"),2*N1858*O1858,0)</f>
        <v/>
      </c>
      <c r="Z1858" s="9" t="inlineStr"/>
    </row>
    <row r="1859">
      <c r="A1859" s="9" t="inlineStr">
        <is>
          <t>H-P-0032</t>
        </is>
      </c>
      <c r="B1859" s="9" t="inlineStr">
        <is>
          <t>H</t>
        </is>
      </c>
      <c r="C1859" s="9" t="inlineStr">
        <is>
          <t>BESS</t>
        </is>
      </c>
      <c r="D1859" s="9" t="inlineStr">
        <is>
          <t>Container auxiliary 480 V</t>
        </is>
      </c>
      <c r="E1859" s="9" t="inlineStr"/>
      <c r="F1859" s="9" t="inlineStr">
        <is>
          <t>BESS PCS / MV skid</t>
        </is>
      </c>
      <c r="G1859" s="9" t="inlineStr"/>
      <c r="H1859" s="9" t="inlineStr">
        <is>
          <t>BESS container (ISO 40 ft high cube)</t>
        </is>
      </c>
      <c r="I1859" s="9" t="inlineStr">
        <is>
          <t>LV 600 V</t>
        </is>
      </c>
      <c r="J1859" s="9" t="inlineStr">
        <is>
          <t>Type TC-ER 600 V 3/C Cu XHHW-2 + ground, PVC jacket</t>
        </is>
      </c>
      <c r="K1859" s="9" t="inlineStr">
        <is>
          <t>LV|3/C+G|2</t>
        </is>
      </c>
      <c r="L1859" s="9" t="inlineStr">
        <is>
          <t>3/C+G</t>
        </is>
      </c>
      <c r="M1859" s="9" t="inlineStr">
        <is>
          <t>2</t>
        </is>
      </c>
      <c r="N1859" s="9" t="n">
        <v>1</v>
      </c>
      <c r="O1859" s="9" t="n">
        <v>1</v>
      </c>
      <c r="P1859" s="9" t="n">
        <v>480</v>
      </c>
      <c r="Q1859" s="9" t="n">
        <v>60</v>
      </c>
      <c r="R1859" s="9" t="n">
        <v>85</v>
      </c>
      <c r="S1859" s="9" t="inlineStr">
        <is>
          <t>Tray</t>
        </is>
      </c>
      <c r="T1859" s="10" t="n">
        <v>0</v>
      </c>
      <c r="U1859" s="10" t="n">
        <v>62</v>
      </c>
      <c r="V1859" s="10">
        <f>ROUNDUP((T1859+U1859+2*'Read Me'!$B$13)*(1+'Read Me'!$B$12),-1)</f>
        <v/>
      </c>
      <c r="W1859" s="10">
        <f>V1859*N1859*O1859</f>
        <v/>
      </c>
      <c r="X1859" s="9">
        <f>IF(LEFT(I1859,2)="MV",2*N1859*IF(L1859="1/C",O1859,1),0)</f>
        <v/>
      </c>
      <c r="Y1859" s="9">
        <f>IF(OR(LEFT(K1859,4)="LVAX",LEFT(K1859,6)="MV15AX",LEFT(K1859,4)="CTAX",LEFT(K1859,2)="W|"),2*N1859*O1859,0)</f>
        <v/>
      </c>
      <c r="Z1859" s="9" t="inlineStr"/>
    </row>
    <row r="1860">
      <c r="A1860" s="9" t="inlineStr">
        <is>
          <t>H-MV-0001</t>
        </is>
      </c>
      <c r="B1860" s="9" t="inlineStr">
        <is>
          <t>H</t>
        </is>
      </c>
      <c r="C1860" s="9" t="inlineStr">
        <is>
          <t>BESS</t>
        </is>
      </c>
      <c r="D1860" s="9" t="inlineStr">
        <is>
          <t>34.5 kV collection loop 1</t>
        </is>
      </c>
      <c r="E1860" s="9" t="inlineStr"/>
      <c r="F1860" s="9" t="inlineStr">
        <is>
          <t>BESS PCS / MV skid</t>
        </is>
      </c>
      <c r="G1860" s="9" t="inlineStr"/>
      <c r="H1860" s="9" t="inlineStr">
        <is>
          <t>34.5 kV collector e-house (arc-resistant)</t>
        </is>
      </c>
      <c r="I1860" s="9" t="inlineStr">
        <is>
          <t>MV 35 kV</t>
        </is>
      </c>
      <c r="J1860" s="9" t="inlineStr">
        <is>
          <t>MV-105 35 kV 1/C Al, EPR 133%, 1/3 concentric neutral, LLDPE jacket</t>
        </is>
      </c>
      <c r="K1860" s="9" t="inlineStr">
        <is>
          <t>MV35|1/C|350</t>
        </is>
      </c>
      <c r="L1860" s="9" t="inlineStr">
        <is>
          <t>1/C</t>
        </is>
      </c>
      <c r="M1860" s="9" t="inlineStr">
        <is>
          <t>350 kcmil</t>
        </is>
      </c>
      <c r="N1860" s="9" t="n">
        <v>2</v>
      </c>
      <c r="O1860" s="9" t="n">
        <v>3</v>
      </c>
      <c r="P1860" s="9" t="n">
        <v>34500</v>
      </c>
      <c r="Q1860" s="9" t="n">
        <v>25000</v>
      </c>
      <c r="R1860" s="9" t="n">
        <v>418</v>
      </c>
      <c r="S1860" s="9" t="inlineStr">
        <is>
          <t>Duct bank</t>
        </is>
      </c>
      <c r="T1860" s="10" t="n">
        <v>556</v>
      </c>
      <c r="U1860" s="10" t="n">
        <v>37</v>
      </c>
      <c r="V1860" s="10">
        <f>ROUNDUP((T1860+U1860+2*'Read Me'!$B$13)*(1+'Read Me'!$B$12),-1)</f>
        <v/>
      </c>
      <c r="W1860" s="10">
        <f>V1860*N1860*O1860</f>
        <v/>
      </c>
      <c r="X1860" s="9">
        <f>IF(LEFT(I1860,2)="MV",2*N1860*IF(L1860="1/C",O1860,1),0)</f>
        <v/>
      </c>
      <c r="Y1860" s="9">
        <f>IF(OR(LEFT(K1860,4)="LVAX",LEFT(K1860,6)="MV15AX",LEFT(K1860,4)="CTAX",LEFT(K1860,2)="W|"),2*N1860*O1860,0)</f>
        <v/>
      </c>
      <c r="Z1860" s="9" t="inlineStr"/>
    </row>
    <row r="1861">
      <c r="A1861" s="9" t="inlineStr">
        <is>
          <t>H-MV-0002</t>
        </is>
      </c>
      <c r="B1861" s="9" t="inlineStr">
        <is>
          <t>H</t>
        </is>
      </c>
      <c r="C1861" s="9" t="inlineStr">
        <is>
          <t>BESS</t>
        </is>
      </c>
      <c r="D1861" s="9" t="inlineStr">
        <is>
          <t>34.5 kV collection loop 2</t>
        </is>
      </c>
      <c r="E1861" s="9" t="inlineStr"/>
      <c r="F1861" s="9" t="inlineStr">
        <is>
          <t>BESS PCS / MV skid</t>
        </is>
      </c>
      <c r="G1861" s="9" t="inlineStr"/>
      <c r="H1861" s="9" t="inlineStr">
        <is>
          <t>34.5 kV collector e-house (arc-resistant)</t>
        </is>
      </c>
      <c r="I1861" s="9" t="inlineStr">
        <is>
          <t>MV 35 kV</t>
        </is>
      </c>
      <c r="J1861" s="9" t="inlineStr">
        <is>
          <t>MV-105 35 kV 1/C Al, EPR 133%, 1/3 concentric neutral, LLDPE jacket</t>
        </is>
      </c>
      <c r="K1861" s="9" t="inlineStr">
        <is>
          <t>MV35|1/C|350</t>
        </is>
      </c>
      <c r="L1861" s="9" t="inlineStr">
        <is>
          <t>1/C</t>
        </is>
      </c>
      <c r="M1861" s="9" t="inlineStr">
        <is>
          <t>350 kcmil</t>
        </is>
      </c>
      <c r="N1861" s="9" t="n">
        <v>2</v>
      </c>
      <c r="O1861" s="9" t="n">
        <v>3</v>
      </c>
      <c r="P1861" s="9" t="n">
        <v>34500</v>
      </c>
      <c r="Q1861" s="9" t="n">
        <v>25000</v>
      </c>
      <c r="R1861" s="9" t="n">
        <v>418</v>
      </c>
      <c r="S1861" s="9" t="inlineStr">
        <is>
          <t>Duct bank</t>
        </is>
      </c>
      <c r="T1861" s="10" t="n">
        <v>436</v>
      </c>
      <c r="U1861" s="10" t="n">
        <v>37</v>
      </c>
      <c r="V1861" s="10">
        <f>ROUNDUP((T1861+U1861+2*'Read Me'!$B$13)*(1+'Read Me'!$B$12),-1)</f>
        <v/>
      </c>
      <c r="W1861" s="10">
        <f>V1861*N1861*O1861</f>
        <v/>
      </c>
      <c r="X1861" s="9">
        <f>IF(LEFT(I1861,2)="MV",2*N1861*IF(L1861="1/C",O1861,1),0)</f>
        <v/>
      </c>
      <c r="Y1861" s="9">
        <f>IF(OR(LEFT(K1861,4)="LVAX",LEFT(K1861,6)="MV15AX",LEFT(K1861,4)="CTAX",LEFT(K1861,2)="W|"),2*N1861*O1861,0)</f>
        <v/>
      </c>
      <c r="Z1861" s="9" t="inlineStr"/>
    </row>
    <row r="1862">
      <c r="A1862" s="9" t="inlineStr">
        <is>
          <t>H-MV-0003</t>
        </is>
      </c>
      <c r="B1862" s="9" t="inlineStr">
        <is>
          <t>H</t>
        </is>
      </c>
      <c r="C1862" s="9" t="inlineStr">
        <is>
          <t>BESS</t>
        </is>
      </c>
      <c r="D1862" s="9" t="inlineStr">
        <is>
          <t>34.5 kV collection loop 3</t>
        </is>
      </c>
      <c r="E1862" s="9" t="inlineStr"/>
      <c r="F1862" s="9" t="inlineStr">
        <is>
          <t>BESS PCS / MV skid</t>
        </is>
      </c>
      <c r="G1862" s="9" t="inlineStr"/>
      <c r="H1862" s="9" t="inlineStr">
        <is>
          <t>34.5 kV collector e-house (arc-resistant)</t>
        </is>
      </c>
      <c r="I1862" s="9" t="inlineStr">
        <is>
          <t>MV 35 kV</t>
        </is>
      </c>
      <c r="J1862" s="9" t="inlineStr">
        <is>
          <t>MV-105 35 kV 1/C Al, EPR 133%, 1/3 concentric neutral, LLDPE jacket</t>
        </is>
      </c>
      <c r="K1862" s="9" t="inlineStr">
        <is>
          <t>MV35|1/C|350</t>
        </is>
      </c>
      <c r="L1862" s="9" t="inlineStr">
        <is>
          <t>1/C</t>
        </is>
      </c>
      <c r="M1862" s="9" t="inlineStr">
        <is>
          <t>350 kcmil</t>
        </is>
      </c>
      <c r="N1862" s="9" t="n">
        <v>2</v>
      </c>
      <c r="O1862" s="9" t="n">
        <v>3</v>
      </c>
      <c r="P1862" s="9" t="n">
        <v>34500</v>
      </c>
      <c r="Q1862" s="9" t="n">
        <v>25000</v>
      </c>
      <c r="R1862" s="9" t="n">
        <v>418</v>
      </c>
      <c r="S1862" s="9" t="inlineStr">
        <is>
          <t>Duct bank</t>
        </is>
      </c>
      <c r="T1862" s="10" t="n">
        <v>350</v>
      </c>
      <c r="U1862" s="10" t="n">
        <v>42</v>
      </c>
      <c r="V1862" s="10">
        <f>ROUNDUP((T1862+U1862+2*'Read Me'!$B$13)*(1+'Read Me'!$B$12),-1)</f>
        <v/>
      </c>
      <c r="W1862" s="10">
        <f>V1862*N1862*O1862</f>
        <v/>
      </c>
      <c r="X1862" s="9">
        <f>IF(LEFT(I1862,2)="MV",2*N1862*IF(L1862="1/C",O1862,1),0)</f>
        <v/>
      </c>
      <c r="Y1862" s="9">
        <f>IF(OR(LEFT(K1862,4)="LVAX",LEFT(K1862,6)="MV15AX",LEFT(K1862,4)="CTAX",LEFT(K1862,2)="W|"),2*N1862*O1862,0)</f>
        <v/>
      </c>
      <c r="Z1862" s="9" t="inlineStr"/>
    </row>
    <row r="1863">
      <c r="A1863" s="9" t="inlineStr">
        <is>
          <t>H-MV-0004</t>
        </is>
      </c>
      <c r="B1863" s="9" t="inlineStr">
        <is>
          <t>H</t>
        </is>
      </c>
      <c r="C1863" s="9" t="inlineStr">
        <is>
          <t>BESS</t>
        </is>
      </c>
      <c r="D1863" s="9" t="inlineStr">
        <is>
          <t>34.5 kV collection loop 1</t>
        </is>
      </c>
      <c r="E1863" s="9" t="inlineStr"/>
      <c r="F1863" s="9" t="inlineStr">
        <is>
          <t>34.5 kV collector e-house (arc-resistant)</t>
        </is>
      </c>
      <c r="G1863" s="9" t="inlineStr"/>
      <c r="H1863" s="9" t="inlineStr">
        <is>
          <t>BESS PCS / MV skid</t>
        </is>
      </c>
      <c r="I1863" s="9" t="inlineStr">
        <is>
          <t>MV 35 kV</t>
        </is>
      </c>
      <c r="J1863" s="9" t="inlineStr">
        <is>
          <t>MV-105 35 kV 1/C Al, EPR 133%, 1/3 concentric neutral, LLDPE jacket</t>
        </is>
      </c>
      <c r="K1863" s="9" t="inlineStr">
        <is>
          <t>MV35|1/C|350</t>
        </is>
      </c>
      <c r="L1863" s="9" t="inlineStr">
        <is>
          <t>1/C</t>
        </is>
      </c>
      <c r="M1863" s="9" t="inlineStr">
        <is>
          <t>350 kcmil</t>
        </is>
      </c>
      <c r="N1863" s="9" t="n">
        <v>2</v>
      </c>
      <c r="O1863" s="9" t="n">
        <v>3</v>
      </c>
      <c r="P1863" s="9" t="n">
        <v>34500</v>
      </c>
      <c r="Q1863" s="9" t="n">
        <v>25000</v>
      </c>
      <c r="R1863" s="9" t="n">
        <v>418</v>
      </c>
      <c r="S1863" s="9" t="inlineStr">
        <is>
          <t>Duct bank</t>
        </is>
      </c>
      <c r="T1863" s="10" t="n">
        <v>254</v>
      </c>
      <c r="U1863" s="10" t="n">
        <v>103</v>
      </c>
      <c r="V1863" s="10">
        <f>ROUNDUP((T1863+U1863+2*'Read Me'!$B$13)*(1+'Read Me'!$B$12),-1)</f>
        <v/>
      </c>
      <c r="W1863" s="10">
        <f>V1863*N1863*O1863</f>
        <v/>
      </c>
      <c r="X1863" s="9">
        <f>IF(LEFT(I1863,2)="MV",2*N1863*IF(L1863="1/C",O1863,1),0)</f>
        <v/>
      </c>
      <c r="Y1863" s="9">
        <f>IF(OR(LEFT(K1863,4)="LVAX",LEFT(K1863,6)="MV15AX",LEFT(K1863,4)="CTAX",LEFT(K1863,2)="W|"),2*N1863*O1863,0)</f>
        <v/>
      </c>
      <c r="Z1863" s="9" t="inlineStr"/>
    </row>
    <row r="1864">
      <c r="A1864" s="9" t="inlineStr">
        <is>
          <t>H-MV-0005</t>
        </is>
      </c>
      <c r="B1864" s="9" t="inlineStr">
        <is>
          <t>H</t>
        </is>
      </c>
      <c r="C1864" s="9" t="inlineStr">
        <is>
          <t>BESS</t>
        </is>
      </c>
      <c r="D1864" s="9" t="inlineStr">
        <is>
          <t>34.5 kV collection loop 1</t>
        </is>
      </c>
      <c r="E1864" s="9" t="inlineStr"/>
      <c r="F1864" s="9" t="inlineStr">
        <is>
          <t>BESS PCS / MV skid</t>
        </is>
      </c>
      <c r="G1864" s="9" t="inlineStr"/>
      <c r="H1864" s="9" t="inlineStr">
        <is>
          <t>BESS PCS / MV skid</t>
        </is>
      </c>
      <c r="I1864" s="9" t="inlineStr">
        <is>
          <t>MV 35 kV</t>
        </is>
      </c>
      <c r="J1864" s="9" t="inlineStr">
        <is>
          <t>MV-105 35 kV 1/C Al, EPR 133%, 1/3 concentric neutral, LLDPE jacket</t>
        </is>
      </c>
      <c r="K1864" s="9" t="inlineStr">
        <is>
          <t>MV35|1/C|350</t>
        </is>
      </c>
      <c r="L1864" s="9" t="inlineStr">
        <is>
          <t>1/C</t>
        </is>
      </c>
      <c r="M1864" s="9" t="inlineStr">
        <is>
          <t>350 kcmil</t>
        </is>
      </c>
      <c r="N1864" s="9" t="n">
        <v>2</v>
      </c>
      <c r="O1864" s="9" t="n">
        <v>3</v>
      </c>
      <c r="P1864" s="9" t="n">
        <v>34500</v>
      </c>
      <c r="Q1864" s="9" t="n">
        <v>25000</v>
      </c>
      <c r="R1864" s="9" t="n">
        <v>418</v>
      </c>
      <c r="S1864" s="9" t="inlineStr">
        <is>
          <t>Tray</t>
        </is>
      </c>
      <c r="T1864" s="10" t="n">
        <v>0</v>
      </c>
      <c r="U1864" s="10" t="n">
        <v>232</v>
      </c>
      <c r="V1864" s="10">
        <f>ROUNDUP((T1864+U1864+2*'Read Me'!$B$13)*(1+'Read Me'!$B$12),-1)</f>
        <v/>
      </c>
      <c r="W1864" s="10">
        <f>V1864*N1864*O1864</f>
        <v/>
      </c>
      <c r="X1864" s="9">
        <f>IF(LEFT(I1864,2)="MV",2*N1864*IF(L1864="1/C",O1864,1),0)</f>
        <v/>
      </c>
      <c r="Y1864" s="9">
        <f>IF(OR(LEFT(K1864,4)="LVAX",LEFT(K1864,6)="MV15AX",LEFT(K1864,4)="CTAX",LEFT(K1864,2)="W|"),2*N1864*O1864,0)</f>
        <v/>
      </c>
      <c r="Z1864" s="9" t="inlineStr"/>
    </row>
    <row r="1865">
      <c r="A1865" s="9" t="inlineStr">
        <is>
          <t>H-MV-0006</t>
        </is>
      </c>
      <c r="B1865" s="9" t="inlineStr">
        <is>
          <t>H</t>
        </is>
      </c>
      <c r="C1865" s="9" t="inlineStr">
        <is>
          <t>BESS</t>
        </is>
      </c>
      <c r="D1865" s="9" t="inlineStr">
        <is>
          <t>34.5 kV collection loop 1</t>
        </is>
      </c>
      <c r="E1865" s="9" t="inlineStr"/>
      <c r="F1865" s="9" t="inlineStr">
        <is>
          <t>BESS PCS / MV skid</t>
        </is>
      </c>
      <c r="G1865" s="9" t="inlineStr"/>
      <c r="H1865" s="9" t="inlineStr">
        <is>
          <t>BESS PCS / MV skid</t>
        </is>
      </c>
      <c r="I1865" s="9" t="inlineStr">
        <is>
          <t>MV 35 kV</t>
        </is>
      </c>
      <c r="J1865" s="9" t="inlineStr">
        <is>
          <t>MV-105 35 kV 1/C Al, EPR 133%, 1/3 concentric neutral, LLDPE jacket</t>
        </is>
      </c>
      <c r="K1865" s="9" t="inlineStr">
        <is>
          <t>MV35|1/C|350</t>
        </is>
      </c>
      <c r="L1865" s="9" t="inlineStr">
        <is>
          <t>1/C</t>
        </is>
      </c>
      <c r="M1865" s="9" t="inlineStr">
        <is>
          <t>350 kcmil</t>
        </is>
      </c>
      <c r="N1865" s="9" t="n">
        <v>2</v>
      </c>
      <c r="O1865" s="9" t="n">
        <v>3</v>
      </c>
      <c r="P1865" s="9" t="n">
        <v>34500</v>
      </c>
      <c r="Q1865" s="9" t="n">
        <v>25000</v>
      </c>
      <c r="R1865" s="9" t="n">
        <v>418</v>
      </c>
      <c r="S1865" s="9" t="inlineStr">
        <is>
          <t>Tray</t>
        </is>
      </c>
      <c r="T1865" s="10" t="n">
        <v>0</v>
      </c>
      <c r="U1865" s="10" t="n">
        <v>348</v>
      </c>
      <c r="V1865" s="10">
        <f>ROUNDUP((T1865+U1865+2*'Read Me'!$B$13)*(1+'Read Me'!$B$12),-1)</f>
        <v/>
      </c>
      <c r="W1865" s="10">
        <f>V1865*N1865*O1865</f>
        <v/>
      </c>
      <c r="X1865" s="9">
        <f>IF(LEFT(I1865,2)="MV",2*N1865*IF(L1865="1/C",O1865,1),0)</f>
        <v/>
      </c>
      <c r="Y1865" s="9">
        <f>IF(OR(LEFT(K1865,4)="LVAX",LEFT(K1865,6)="MV15AX",LEFT(K1865,4)="CTAX",LEFT(K1865,2)="W|"),2*N1865*O1865,0)</f>
        <v/>
      </c>
      <c r="Z1865" s="9" t="inlineStr"/>
    </row>
    <row r="1866">
      <c r="A1866" s="9" t="inlineStr">
        <is>
          <t>H-MV-0007</t>
        </is>
      </c>
      <c r="B1866" s="9" t="inlineStr">
        <is>
          <t>H</t>
        </is>
      </c>
      <c r="C1866" s="9" t="inlineStr">
        <is>
          <t>BESS</t>
        </is>
      </c>
      <c r="D1866" s="9" t="inlineStr">
        <is>
          <t>34.5 kV collection loop 1</t>
        </is>
      </c>
      <c r="E1866" s="9" t="inlineStr"/>
      <c r="F1866" s="9" t="inlineStr">
        <is>
          <t>BESS PCS / MV skid</t>
        </is>
      </c>
      <c r="G1866" s="9" t="inlineStr"/>
      <c r="H1866" s="9" t="inlineStr">
        <is>
          <t>BESS PCS / MV skid</t>
        </is>
      </c>
      <c r="I1866" s="9" t="inlineStr">
        <is>
          <t>MV 35 kV</t>
        </is>
      </c>
      <c r="J1866" s="9" t="inlineStr">
        <is>
          <t>MV-105 35 kV 1/C Al, EPR 133%, 1/3 concentric neutral, LLDPE jacket</t>
        </is>
      </c>
      <c r="K1866" s="9" t="inlineStr">
        <is>
          <t>MV35|1/C|350</t>
        </is>
      </c>
      <c r="L1866" s="9" t="inlineStr">
        <is>
          <t>1/C</t>
        </is>
      </c>
      <c r="M1866" s="9" t="inlineStr">
        <is>
          <t>350 kcmil</t>
        </is>
      </c>
      <c r="N1866" s="9" t="n">
        <v>2</v>
      </c>
      <c r="O1866" s="9" t="n">
        <v>3</v>
      </c>
      <c r="P1866" s="9" t="n">
        <v>34500</v>
      </c>
      <c r="Q1866" s="9" t="n">
        <v>25000</v>
      </c>
      <c r="R1866" s="9" t="n">
        <v>418</v>
      </c>
      <c r="S1866" s="9" t="inlineStr">
        <is>
          <t>Tray</t>
        </is>
      </c>
      <c r="T1866" s="10" t="n">
        <v>0</v>
      </c>
      <c r="U1866" s="10" t="n">
        <v>208</v>
      </c>
      <c r="V1866" s="10">
        <f>ROUNDUP((T1866+U1866+2*'Read Me'!$B$13)*(1+'Read Me'!$B$12),-1)</f>
        <v/>
      </c>
      <c r="W1866" s="10">
        <f>V1866*N1866*O1866</f>
        <v/>
      </c>
      <c r="X1866" s="9">
        <f>IF(LEFT(I1866,2)="MV",2*N1866*IF(L1866="1/C",O1866,1),0)</f>
        <v/>
      </c>
      <c r="Y1866" s="9">
        <f>IF(OR(LEFT(K1866,4)="LVAX",LEFT(K1866,6)="MV15AX",LEFT(K1866,4)="CTAX",LEFT(K1866,2)="W|"),2*N1866*O1866,0)</f>
        <v/>
      </c>
      <c r="Z1866" s="9" t="inlineStr"/>
    </row>
    <row r="1867">
      <c r="A1867" s="9" t="inlineStr">
        <is>
          <t>H-MV-0008</t>
        </is>
      </c>
      <c r="B1867" s="9" t="inlineStr">
        <is>
          <t>H</t>
        </is>
      </c>
      <c r="C1867" s="9" t="inlineStr">
        <is>
          <t>BESS</t>
        </is>
      </c>
      <c r="D1867" s="9" t="inlineStr">
        <is>
          <t>34.5 kV collection loop 1</t>
        </is>
      </c>
      <c r="E1867" s="9" t="inlineStr"/>
      <c r="F1867" s="9" t="inlineStr">
        <is>
          <t>BESS PCS / MV skid</t>
        </is>
      </c>
      <c r="G1867" s="9" t="inlineStr"/>
      <c r="H1867" s="9" t="inlineStr">
        <is>
          <t>BESS PCS / MV skid</t>
        </is>
      </c>
      <c r="I1867" s="9" t="inlineStr">
        <is>
          <t>MV 35 kV</t>
        </is>
      </c>
      <c r="J1867" s="9" t="inlineStr">
        <is>
          <t>MV-105 35 kV 1/C Al, EPR 133%, 1/3 concentric neutral, LLDPE jacket</t>
        </is>
      </c>
      <c r="K1867" s="9" t="inlineStr">
        <is>
          <t>MV35|1/C|350</t>
        </is>
      </c>
      <c r="L1867" s="9" t="inlineStr">
        <is>
          <t>1/C</t>
        </is>
      </c>
      <c r="M1867" s="9" t="inlineStr">
        <is>
          <t>350 kcmil</t>
        </is>
      </c>
      <c r="N1867" s="9" t="n">
        <v>2</v>
      </c>
      <c r="O1867" s="9" t="n">
        <v>3</v>
      </c>
      <c r="P1867" s="9" t="n">
        <v>34500</v>
      </c>
      <c r="Q1867" s="9" t="n">
        <v>25000</v>
      </c>
      <c r="R1867" s="9" t="n">
        <v>418</v>
      </c>
      <c r="S1867" s="9" t="inlineStr">
        <is>
          <t>Tray</t>
        </is>
      </c>
      <c r="T1867" s="10" t="n">
        <v>0</v>
      </c>
      <c r="U1867" s="10" t="n">
        <v>96</v>
      </c>
      <c r="V1867" s="10">
        <f>ROUNDUP((T1867+U1867+2*'Read Me'!$B$13)*(1+'Read Me'!$B$12),-1)</f>
        <v/>
      </c>
      <c r="W1867" s="10">
        <f>V1867*N1867*O1867</f>
        <v/>
      </c>
      <c r="X1867" s="9">
        <f>IF(LEFT(I1867,2)="MV",2*N1867*IF(L1867="1/C",O1867,1),0)</f>
        <v/>
      </c>
      <c r="Y1867" s="9">
        <f>IF(OR(LEFT(K1867,4)="LVAX",LEFT(K1867,6)="MV15AX",LEFT(K1867,4)="CTAX",LEFT(K1867,2)="W|"),2*N1867*O1867,0)</f>
        <v/>
      </c>
      <c r="Z1867" s="9" t="inlineStr"/>
    </row>
    <row r="1868">
      <c r="A1868" s="9" t="inlineStr">
        <is>
          <t>H-MV-0009</t>
        </is>
      </c>
      <c r="B1868" s="9" t="inlineStr">
        <is>
          <t>H</t>
        </is>
      </c>
      <c r="C1868" s="9" t="inlineStr">
        <is>
          <t>BESS</t>
        </is>
      </c>
      <c r="D1868" s="9" t="inlineStr">
        <is>
          <t>34.5 kV collection loop 2</t>
        </is>
      </c>
      <c r="E1868" s="9" t="inlineStr"/>
      <c r="F1868" s="9" t="inlineStr">
        <is>
          <t>34.5 kV collector e-house (arc-resistant)</t>
        </is>
      </c>
      <c r="G1868" s="9" t="inlineStr"/>
      <c r="H1868" s="9" t="inlineStr">
        <is>
          <t>BESS PCS / MV skid</t>
        </is>
      </c>
      <c r="I1868" s="9" t="inlineStr">
        <is>
          <t>MV 35 kV</t>
        </is>
      </c>
      <c r="J1868" s="9" t="inlineStr">
        <is>
          <t>MV-105 35 kV 1/C Al, EPR 133%, 1/3 concentric neutral, LLDPE jacket</t>
        </is>
      </c>
      <c r="K1868" s="9" t="inlineStr">
        <is>
          <t>MV35|1/C|350</t>
        </is>
      </c>
      <c r="L1868" s="9" t="inlineStr">
        <is>
          <t>1/C</t>
        </is>
      </c>
      <c r="M1868" s="9" t="inlineStr">
        <is>
          <t>350 kcmil</t>
        </is>
      </c>
      <c r="N1868" s="9" t="n">
        <v>2</v>
      </c>
      <c r="O1868" s="9" t="n">
        <v>3</v>
      </c>
      <c r="P1868" s="9" t="n">
        <v>34500</v>
      </c>
      <c r="Q1868" s="9" t="n">
        <v>25000</v>
      </c>
      <c r="R1868" s="9" t="n">
        <v>418</v>
      </c>
      <c r="S1868" s="9" t="inlineStr">
        <is>
          <t>Duct bank</t>
        </is>
      </c>
      <c r="T1868" s="10" t="n">
        <v>35</v>
      </c>
      <c r="U1868" s="10" t="n">
        <v>185</v>
      </c>
      <c r="V1868" s="10">
        <f>ROUNDUP((T1868+U1868+2*'Read Me'!$B$13)*(1+'Read Me'!$B$12),-1)</f>
        <v/>
      </c>
      <c r="W1868" s="10">
        <f>V1868*N1868*O1868</f>
        <v/>
      </c>
      <c r="X1868" s="9">
        <f>IF(LEFT(I1868,2)="MV",2*N1868*IF(L1868="1/C",O1868,1),0)</f>
        <v/>
      </c>
      <c r="Y1868" s="9">
        <f>IF(OR(LEFT(K1868,4)="LVAX",LEFT(K1868,6)="MV15AX",LEFT(K1868,4)="CTAX",LEFT(K1868,2)="W|"),2*N1868*O1868,0)</f>
        <v/>
      </c>
      <c r="Z1868" s="9" t="inlineStr"/>
    </row>
    <row r="1869">
      <c r="A1869" s="9" t="inlineStr">
        <is>
          <t>H-MV-0010</t>
        </is>
      </c>
      <c r="B1869" s="9" t="inlineStr">
        <is>
          <t>H</t>
        </is>
      </c>
      <c r="C1869" s="9" t="inlineStr">
        <is>
          <t>BESS</t>
        </is>
      </c>
      <c r="D1869" s="9" t="inlineStr">
        <is>
          <t>34.5 kV collection loop 2</t>
        </is>
      </c>
      <c r="E1869" s="9" t="inlineStr"/>
      <c r="F1869" s="9" t="inlineStr">
        <is>
          <t>BESS PCS / MV skid</t>
        </is>
      </c>
      <c r="G1869" s="9" t="inlineStr"/>
      <c r="H1869" s="9" t="inlineStr">
        <is>
          <t>BESS PCS / MV skid</t>
        </is>
      </c>
      <c r="I1869" s="9" t="inlineStr">
        <is>
          <t>MV 35 kV</t>
        </is>
      </c>
      <c r="J1869" s="9" t="inlineStr">
        <is>
          <t>MV-105 35 kV 1/C Al, EPR 133%, 1/3 concentric neutral, LLDPE jacket</t>
        </is>
      </c>
      <c r="K1869" s="9" t="inlineStr">
        <is>
          <t>MV35|1/C|350</t>
        </is>
      </c>
      <c r="L1869" s="9" t="inlineStr">
        <is>
          <t>1/C</t>
        </is>
      </c>
      <c r="M1869" s="9" t="inlineStr">
        <is>
          <t>350 kcmil</t>
        </is>
      </c>
      <c r="N1869" s="9" t="n">
        <v>2</v>
      </c>
      <c r="O1869" s="9" t="n">
        <v>3</v>
      </c>
      <c r="P1869" s="9" t="n">
        <v>34500</v>
      </c>
      <c r="Q1869" s="9" t="n">
        <v>25000</v>
      </c>
      <c r="R1869" s="9" t="n">
        <v>418</v>
      </c>
      <c r="S1869" s="9" t="inlineStr">
        <is>
          <t>Tray</t>
        </is>
      </c>
      <c r="T1869" s="10" t="n">
        <v>0</v>
      </c>
      <c r="U1869" s="10" t="n">
        <v>272</v>
      </c>
      <c r="V1869" s="10">
        <f>ROUNDUP((T1869+U1869+2*'Read Me'!$B$13)*(1+'Read Me'!$B$12),-1)</f>
        <v/>
      </c>
      <c r="W1869" s="10">
        <f>V1869*N1869*O1869</f>
        <v/>
      </c>
      <c r="X1869" s="9">
        <f>IF(LEFT(I1869,2)="MV",2*N1869*IF(L1869="1/C",O1869,1),0)</f>
        <v/>
      </c>
      <c r="Y1869" s="9">
        <f>IF(OR(LEFT(K1869,4)="LVAX",LEFT(K1869,6)="MV15AX",LEFT(K1869,4)="CTAX",LEFT(K1869,2)="W|"),2*N1869*O1869,0)</f>
        <v/>
      </c>
      <c r="Z1869" s="9" t="inlineStr"/>
    </row>
    <row r="1870">
      <c r="A1870" s="9" t="inlineStr">
        <is>
          <t>H-MV-0011</t>
        </is>
      </c>
      <c r="B1870" s="9" t="inlineStr">
        <is>
          <t>H</t>
        </is>
      </c>
      <c r="C1870" s="9" t="inlineStr">
        <is>
          <t>BESS</t>
        </is>
      </c>
      <c r="D1870" s="9" t="inlineStr">
        <is>
          <t>34.5 kV collection loop 2</t>
        </is>
      </c>
      <c r="E1870" s="9" t="inlineStr"/>
      <c r="F1870" s="9" t="inlineStr">
        <is>
          <t>BESS PCS / MV skid</t>
        </is>
      </c>
      <c r="G1870" s="9" t="inlineStr"/>
      <c r="H1870" s="9" t="inlineStr">
        <is>
          <t>BESS PCS / MV skid</t>
        </is>
      </c>
      <c r="I1870" s="9" t="inlineStr">
        <is>
          <t>MV 35 kV</t>
        </is>
      </c>
      <c r="J1870" s="9" t="inlineStr">
        <is>
          <t>MV-105 35 kV 1/C Al, EPR 133%, 1/3 concentric neutral, LLDPE jacket</t>
        </is>
      </c>
      <c r="K1870" s="9" t="inlineStr">
        <is>
          <t>MV35|1/C|350</t>
        </is>
      </c>
      <c r="L1870" s="9" t="inlineStr">
        <is>
          <t>1/C</t>
        </is>
      </c>
      <c r="M1870" s="9" t="inlineStr">
        <is>
          <t>350 kcmil</t>
        </is>
      </c>
      <c r="N1870" s="9" t="n">
        <v>2</v>
      </c>
      <c r="O1870" s="9" t="n">
        <v>3</v>
      </c>
      <c r="P1870" s="9" t="n">
        <v>34500</v>
      </c>
      <c r="Q1870" s="9" t="n">
        <v>25000</v>
      </c>
      <c r="R1870" s="9" t="n">
        <v>418</v>
      </c>
      <c r="S1870" s="9" t="inlineStr">
        <is>
          <t>Tray</t>
        </is>
      </c>
      <c r="T1870" s="10" t="n">
        <v>0</v>
      </c>
      <c r="U1870" s="10" t="n">
        <v>388</v>
      </c>
      <c r="V1870" s="10">
        <f>ROUNDUP((T1870+U1870+2*'Read Me'!$B$13)*(1+'Read Me'!$B$12),-1)</f>
        <v/>
      </c>
      <c r="W1870" s="10">
        <f>V1870*N1870*O1870</f>
        <v/>
      </c>
      <c r="X1870" s="9">
        <f>IF(LEFT(I1870,2)="MV",2*N1870*IF(L1870="1/C",O1870,1),0)</f>
        <v/>
      </c>
      <c r="Y1870" s="9">
        <f>IF(OR(LEFT(K1870,4)="LVAX",LEFT(K1870,6)="MV15AX",LEFT(K1870,4)="CTAX",LEFT(K1870,2)="W|"),2*N1870*O1870,0)</f>
        <v/>
      </c>
      <c r="Z1870" s="9" t="inlineStr"/>
    </row>
    <row r="1871">
      <c r="A1871" s="9" t="inlineStr">
        <is>
          <t>H-MV-0012</t>
        </is>
      </c>
      <c r="B1871" s="9" t="inlineStr">
        <is>
          <t>H</t>
        </is>
      </c>
      <c r="C1871" s="9" t="inlineStr">
        <is>
          <t>BESS</t>
        </is>
      </c>
      <c r="D1871" s="9" t="inlineStr">
        <is>
          <t>34.5 kV collection loop 2</t>
        </is>
      </c>
      <c r="E1871" s="9" t="inlineStr"/>
      <c r="F1871" s="9" t="inlineStr">
        <is>
          <t>BESS PCS / MV skid</t>
        </is>
      </c>
      <c r="G1871" s="9" t="inlineStr"/>
      <c r="H1871" s="9" t="inlineStr">
        <is>
          <t>BESS PCS / MV skid</t>
        </is>
      </c>
      <c r="I1871" s="9" t="inlineStr">
        <is>
          <t>MV 35 kV</t>
        </is>
      </c>
      <c r="J1871" s="9" t="inlineStr">
        <is>
          <t>MV-105 35 kV 1/C Al, EPR 133%, 1/3 concentric neutral, LLDPE jacket</t>
        </is>
      </c>
      <c r="K1871" s="9" t="inlineStr">
        <is>
          <t>MV35|1/C|350</t>
        </is>
      </c>
      <c r="L1871" s="9" t="inlineStr">
        <is>
          <t>1/C</t>
        </is>
      </c>
      <c r="M1871" s="9" t="inlineStr">
        <is>
          <t>350 kcmil</t>
        </is>
      </c>
      <c r="N1871" s="9" t="n">
        <v>2</v>
      </c>
      <c r="O1871" s="9" t="n">
        <v>3</v>
      </c>
      <c r="P1871" s="9" t="n">
        <v>34500</v>
      </c>
      <c r="Q1871" s="9" t="n">
        <v>25000</v>
      </c>
      <c r="R1871" s="9" t="n">
        <v>418</v>
      </c>
      <c r="S1871" s="9" t="inlineStr">
        <is>
          <t>Tray</t>
        </is>
      </c>
      <c r="T1871" s="10" t="n">
        <v>0</v>
      </c>
      <c r="U1871" s="10" t="n">
        <v>208</v>
      </c>
      <c r="V1871" s="10">
        <f>ROUNDUP((T1871+U1871+2*'Read Me'!$B$13)*(1+'Read Me'!$B$12),-1)</f>
        <v/>
      </c>
      <c r="W1871" s="10">
        <f>V1871*N1871*O1871</f>
        <v/>
      </c>
      <c r="X1871" s="9">
        <f>IF(LEFT(I1871,2)="MV",2*N1871*IF(L1871="1/C",O1871,1),0)</f>
        <v/>
      </c>
      <c r="Y1871" s="9">
        <f>IF(OR(LEFT(K1871,4)="LVAX",LEFT(K1871,6)="MV15AX",LEFT(K1871,4)="CTAX",LEFT(K1871,2)="W|"),2*N1871*O1871,0)</f>
        <v/>
      </c>
      <c r="Z1871" s="9" t="inlineStr"/>
    </row>
    <row r="1872">
      <c r="A1872" s="9" t="inlineStr">
        <is>
          <t>H-MV-0013</t>
        </is>
      </c>
      <c r="B1872" s="9" t="inlineStr">
        <is>
          <t>H</t>
        </is>
      </c>
      <c r="C1872" s="9" t="inlineStr">
        <is>
          <t>BESS</t>
        </is>
      </c>
      <c r="D1872" s="9" t="inlineStr">
        <is>
          <t>34.5 kV collection loop 2</t>
        </is>
      </c>
      <c r="E1872" s="9" t="inlineStr"/>
      <c r="F1872" s="9" t="inlineStr">
        <is>
          <t>BESS PCS / MV skid</t>
        </is>
      </c>
      <c r="G1872" s="9" t="inlineStr"/>
      <c r="H1872" s="9" t="inlineStr">
        <is>
          <t>BESS PCS / MV skid</t>
        </is>
      </c>
      <c r="I1872" s="9" t="inlineStr">
        <is>
          <t>MV 35 kV</t>
        </is>
      </c>
      <c r="J1872" s="9" t="inlineStr">
        <is>
          <t>MV-105 35 kV 1/C Al, EPR 133%, 1/3 concentric neutral, LLDPE jacket</t>
        </is>
      </c>
      <c r="K1872" s="9" t="inlineStr">
        <is>
          <t>MV35|1/C|350</t>
        </is>
      </c>
      <c r="L1872" s="9" t="inlineStr">
        <is>
          <t>1/C</t>
        </is>
      </c>
      <c r="M1872" s="9" t="inlineStr">
        <is>
          <t>350 kcmil</t>
        </is>
      </c>
      <c r="N1872" s="9" t="n">
        <v>2</v>
      </c>
      <c r="O1872" s="9" t="n">
        <v>3</v>
      </c>
      <c r="P1872" s="9" t="n">
        <v>34500</v>
      </c>
      <c r="Q1872" s="9" t="n">
        <v>25000</v>
      </c>
      <c r="R1872" s="9" t="n">
        <v>418</v>
      </c>
      <c r="S1872" s="9" t="inlineStr">
        <is>
          <t>Tray</t>
        </is>
      </c>
      <c r="T1872" s="10" t="n">
        <v>0</v>
      </c>
      <c r="U1872" s="10" t="n">
        <v>96</v>
      </c>
      <c r="V1872" s="10">
        <f>ROUNDUP((T1872+U1872+2*'Read Me'!$B$13)*(1+'Read Me'!$B$12),-1)</f>
        <v/>
      </c>
      <c r="W1872" s="10">
        <f>V1872*N1872*O1872</f>
        <v/>
      </c>
      <c r="X1872" s="9">
        <f>IF(LEFT(I1872,2)="MV",2*N1872*IF(L1872="1/C",O1872,1),0)</f>
        <v/>
      </c>
      <c r="Y1872" s="9">
        <f>IF(OR(LEFT(K1872,4)="LVAX",LEFT(K1872,6)="MV15AX",LEFT(K1872,4)="CTAX",LEFT(K1872,2)="W|"),2*N1872*O1872,0)</f>
        <v/>
      </c>
      <c r="Z1872" s="9" t="inlineStr"/>
    </row>
    <row r="1873">
      <c r="A1873" s="9" t="inlineStr">
        <is>
          <t>H-MV-0014</t>
        </is>
      </c>
      <c r="B1873" s="9" t="inlineStr">
        <is>
          <t>H</t>
        </is>
      </c>
      <c r="C1873" s="9" t="inlineStr">
        <is>
          <t>BESS</t>
        </is>
      </c>
      <c r="D1873" s="9" t="inlineStr">
        <is>
          <t>34.5 kV collection loop 3</t>
        </is>
      </c>
      <c r="E1873" s="9" t="inlineStr"/>
      <c r="F1873" s="9" t="inlineStr">
        <is>
          <t>34.5 kV collector e-house (arc-resistant)</t>
        </is>
      </c>
      <c r="G1873" s="9" t="inlineStr"/>
      <c r="H1873" s="9" t="inlineStr">
        <is>
          <t>BESS PCS / MV skid</t>
        </is>
      </c>
      <c r="I1873" s="9" t="inlineStr">
        <is>
          <t>MV 35 kV</t>
        </is>
      </c>
      <c r="J1873" s="9" t="inlineStr">
        <is>
          <t>MV-105 35 kV 1/C Al, EPR 133%, 1/3 concentric neutral, LLDPE jacket</t>
        </is>
      </c>
      <c r="K1873" s="9" t="inlineStr">
        <is>
          <t>MV35|1/C|350</t>
        </is>
      </c>
      <c r="L1873" s="9" t="inlineStr">
        <is>
          <t>1/C</t>
        </is>
      </c>
      <c r="M1873" s="9" t="inlineStr">
        <is>
          <t>350 kcmil</t>
        </is>
      </c>
      <c r="N1873" s="9" t="n">
        <v>2</v>
      </c>
      <c r="O1873" s="9" t="n">
        <v>3</v>
      </c>
      <c r="P1873" s="9" t="n">
        <v>34500</v>
      </c>
      <c r="Q1873" s="9" t="n">
        <v>25000</v>
      </c>
      <c r="R1873" s="9" t="n">
        <v>418</v>
      </c>
      <c r="S1873" s="9" t="inlineStr">
        <is>
          <t>Conduit link</t>
        </is>
      </c>
      <c r="T1873" s="10" t="n">
        <v>24</v>
      </c>
      <c r="U1873" s="10" t="n">
        <v>123</v>
      </c>
      <c r="V1873" s="10">
        <f>ROUNDUP((T1873+U1873+2*'Read Me'!$B$13)*(1+'Read Me'!$B$12),-1)</f>
        <v/>
      </c>
      <c r="W1873" s="10">
        <f>V1873*N1873*O1873</f>
        <v/>
      </c>
      <c r="X1873" s="9">
        <f>IF(LEFT(I1873,2)="MV",2*N1873*IF(L1873="1/C",O1873,1),0)</f>
        <v/>
      </c>
      <c r="Y1873" s="9">
        <f>IF(OR(LEFT(K1873,4)="LVAX",LEFT(K1873,6)="MV15AX",LEFT(K1873,4)="CTAX",LEFT(K1873,2)="W|"),2*N1873*O1873,0)</f>
        <v/>
      </c>
      <c r="Z1873" s="9" t="inlineStr"/>
    </row>
    <row r="1874">
      <c r="A1874" s="9" t="inlineStr">
        <is>
          <t>H-MV-0015</t>
        </is>
      </c>
      <c r="B1874" s="9" t="inlineStr">
        <is>
          <t>H</t>
        </is>
      </c>
      <c r="C1874" s="9" t="inlineStr">
        <is>
          <t>BESS</t>
        </is>
      </c>
      <c r="D1874" s="9" t="inlineStr">
        <is>
          <t>34.5 kV collection loop 3</t>
        </is>
      </c>
      <c r="E1874" s="9" t="inlineStr"/>
      <c r="F1874" s="9" t="inlineStr">
        <is>
          <t>BESS PCS / MV skid</t>
        </is>
      </c>
      <c r="G1874" s="9" t="inlineStr"/>
      <c r="H1874" s="9" t="inlineStr">
        <is>
          <t>BESS PCS / MV skid</t>
        </is>
      </c>
      <c r="I1874" s="9" t="inlineStr">
        <is>
          <t>MV 35 kV</t>
        </is>
      </c>
      <c r="J1874" s="9" t="inlineStr">
        <is>
          <t>MV-105 35 kV 1/C Al, EPR 133%, 1/3 concentric neutral, LLDPE jacket</t>
        </is>
      </c>
      <c r="K1874" s="9" t="inlineStr">
        <is>
          <t>MV35|1/C|350</t>
        </is>
      </c>
      <c r="L1874" s="9" t="inlineStr">
        <is>
          <t>1/C</t>
        </is>
      </c>
      <c r="M1874" s="9" t="inlineStr">
        <is>
          <t>350 kcmil</t>
        </is>
      </c>
      <c r="N1874" s="9" t="n">
        <v>2</v>
      </c>
      <c r="O1874" s="9" t="n">
        <v>3</v>
      </c>
      <c r="P1874" s="9" t="n">
        <v>34500</v>
      </c>
      <c r="Q1874" s="9" t="n">
        <v>25000</v>
      </c>
      <c r="R1874" s="9" t="n">
        <v>418</v>
      </c>
      <c r="S1874" s="9" t="inlineStr">
        <is>
          <t>Tray</t>
        </is>
      </c>
      <c r="T1874" s="10" t="n">
        <v>0</v>
      </c>
      <c r="U1874" s="10" t="n">
        <v>240</v>
      </c>
      <c r="V1874" s="10">
        <f>ROUNDUP((T1874+U1874+2*'Read Me'!$B$13)*(1+'Read Me'!$B$12),-1)</f>
        <v/>
      </c>
      <c r="W1874" s="10">
        <f>V1874*N1874*O1874</f>
        <v/>
      </c>
      <c r="X1874" s="9">
        <f>IF(LEFT(I1874,2)="MV",2*N1874*IF(L1874="1/C",O1874,1),0)</f>
        <v/>
      </c>
      <c r="Y1874" s="9">
        <f>IF(OR(LEFT(K1874,4)="LVAX",LEFT(K1874,6)="MV15AX",LEFT(K1874,4)="CTAX",LEFT(K1874,2)="W|"),2*N1874*O1874,0)</f>
        <v/>
      </c>
      <c r="Z1874" s="9" t="inlineStr"/>
    </row>
    <row r="1875">
      <c r="A1875" s="9" t="inlineStr">
        <is>
          <t>H-MV-0016</t>
        </is>
      </c>
      <c r="B1875" s="9" t="inlineStr">
        <is>
          <t>H</t>
        </is>
      </c>
      <c r="C1875" s="9" t="inlineStr">
        <is>
          <t>BESS</t>
        </is>
      </c>
      <c r="D1875" s="9" t="inlineStr">
        <is>
          <t>34.5 kV collection loop 3</t>
        </is>
      </c>
      <c r="E1875" s="9" t="inlineStr"/>
      <c r="F1875" s="9" t="inlineStr">
        <is>
          <t>BESS PCS / MV skid</t>
        </is>
      </c>
      <c r="G1875" s="9" t="inlineStr"/>
      <c r="H1875" s="9" t="inlineStr">
        <is>
          <t>BESS PCS / MV skid</t>
        </is>
      </c>
      <c r="I1875" s="9" t="inlineStr">
        <is>
          <t>MV 35 kV</t>
        </is>
      </c>
      <c r="J1875" s="9" t="inlineStr">
        <is>
          <t>MV-105 35 kV 1/C Al, EPR 133%, 1/3 concentric neutral, LLDPE jacket</t>
        </is>
      </c>
      <c r="K1875" s="9" t="inlineStr">
        <is>
          <t>MV35|1/C|350</t>
        </is>
      </c>
      <c r="L1875" s="9" t="inlineStr">
        <is>
          <t>1/C</t>
        </is>
      </c>
      <c r="M1875" s="9" t="inlineStr">
        <is>
          <t>350 kcmil</t>
        </is>
      </c>
      <c r="N1875" s="9" t="n">
        <v>2</v>
      </c>
      <c r="O1875" s="9" t="n">
        <v>3</v>
      </c>
      <c r="P1875" s="9" t="n">
        <v>34500</v>
      </c>
      <c r="Q1875" s="9" t="n">
        <v>25000</v>
      </c>
      <c r="R1875" s="9" t="n">
        <v>418</v>
      </c>
      <c r="S1875" s="9" t="inlineStr">
        <is>
          <t>Duct bank</t>
        </is>
      </c>
      <c r="T1875" s="10" t="n">
        <v>306</v>
      </c>
      <c r="U1875" s="10" t="n">
        <v>282</v>
      </c>
      <c r="V1875" s="10">
        <f>ROUNDUP((T1875+U1875+2*'Read Me'!$B$13)*(1+'Read Me'!$B$12),-1)</f>
        <v/>
      </c>
      <c r="W1875" s="10">
        <f>V1875*N1875*O1875</f>
        <v/>
      </c>
      <c r="X1875" s="9">
        <f>IF(LEFT(I1875,2)="MV",2*N1875*IF(L1875="1/C",O1875,1),0)</f>
        <v/>
      </c>
      <c r="Y1875" s="9">
        <f>IF(OR(LEFT(K1875,4)="LVAX",LEFT(K1875,6)="MV15AX",LEFT(K1875,4)="CTAX",LEFT(K1875,2)="W|"),2*N1875*O1875,0)</f>
        <v/>
      </c>
      <c r="Z1875" s="9" t="inlineStr"/>
    </row>
    <row r="1876">
      <c r="A1876" s="9" t="inlineStr">
        <is>
          <t>H-MV-0017</t>
        </is>
      </c>
      <c r="B1876" s="9" t="inlineStr">
        <is>
          <t>H</t>
        </is>
      </c>
      <c r="C1876" s="9" t="inlineStr">
        <is>
          <t>BESS</t>
        </is>
      </c>
      <c r="D1876" s="9" t="inlineStr">
        <is>
          <t>34.5 kV collection loop 3</t>
        </is>
      </c>
      <c r="E1876" s="9" t="inlineStr"/>
      <c r="F1876" s="9" t="inlineStr">
        <is>
          <t>BESS PCS / MV skid</t>
        </is>
      </c>
      <c r="G1876" s="9" t="inlineStr"/>
      <c r="H1876" s="9" t="inlineStr">
        <is>
          <t>BESS PCS / MV skid</t>
        </is>
      </c>
      <c r="I1876" s="9" t="inlineStr">
        <is>
          <t>MV 35 kV</t>
        </is>
      </c>
      <c r="J1876" s="9" t="inlineStr">
        <is>
          <t>MV-105 35 kV 1/C Al, EPR 133%, 1/3 concentric neutral, LLDPE jacket</t>
        </is>
      </c>
      <c r="K1876" s="9" t="inlineStr">
        <is>
          <t>MV35|1/C|350</t>
        </is>
      </c>
      <c r="L1876" s="9" t="inlineStr">
        <is>
          <t>1/C</t>
        </is>
      </c>
      <c r="M1876" s="9" t="inlineStr">
        <is>
          <t>350 kcmil</t>
        </is>
      </c>
      <c r="N1876" s="9" t="n">
        <v>2</v>
      </c>
      <c r="O1876" s="9" t="n">
        <v>3</v>
      </c>
      <c r="P1876" s="9" t="n">
        <v>34500</v>
      </c>
      <c r="Q1876" s="9" t="n">
        <v>25000</v>
      </c>
      <c r="R1876" s="9" t="n">
        <v>418</v>
      </c>
      <c r="S1876" s="9" t="inlineStr">
        <is>
          <t>Tray</t>
        </is>
      </c>
      <c r="T1876" s="10" t="n">
        <v>0</v>
      </c>
      <c r="U1876" s="10" t="n">
        <v>208</v>
      </c>
      <c r="V1876" s="10">
        <f>ROUNDUP((T1876+U1876+2*'Read Me'!$B$13)*(1+'Read Me'!$B$12),-1)</f>
        <v/>
      </c>
      <c r="W1876" s="10">
        <f>V1876*N1876*O1876</f>
        <v/>
      </c>
      <c r="X1876" s="9">
        <f>IF(LEFT(I1876,2)="MV",2*N1876*IF(L1876="1/C",O1876,1),0)</f>
        <v/>
      </c>
      <c r="Y1876" s="9">
        <f>IF(OR(LEFT(K1876,4)="LVAX",LEFT(K1876,6)="MV15AX",LEFT(K1876,4)="CTAX",LEFT(K1876,2)="W|"),2*N1876*O1876,0)</f>
        <v/>
      </c>
      <c r="Z1876" s="9" t="inlineStr"/>
    </row>
    <row r="1877">
      <c r="A1877" s="9" t="inlineStr">
        <is>
          <t>H-MV-0018</t>
        </is>
      </c>
      <c r="B1877" s="9" t="inlineStr">
        <is>
          <t>H</t>
        </is>
      </c>
      <c r="C1877" s="9" t="inlineStr">
        <is>
          <t>BESS</t>
        </is>
      </c>
      <c r="D1877" s="9" t="inlineStr">
        <is>
          <t>34.5 kV collection loop 3</t>
        </is>
      </c>
      <c r="E1877" s="9" t="inlineStr"/>
      <c r="F1877" s="9" t="inlineStr">
        <is>
          <t>BESS PCS / MV skid</t>
        </is>
      </c>
      <c r="G1877" s="9" t="inlineStr"/>
      <c r="H1877" s="9" t="inlineStr">
        <is>
          <t>BESS PCS / MV skid</t>
        </is>
      </c>
      <c r="I1877" s="9" t="inlineStr">
        <is>
          <t>MV 35 kV</t>
        </is>
      </c>
      <c r="J1877" s="9" t="inlineStr">
        <is>
          <t>MV-105 35 kV 1/C Al, EPR 133%, 1/3 concentric neutral, LLDPE jacket</t>
        </is>
      </c>
      <c r="K1877" s="9" t="inlineStr">
        <is>
          <t>MV35|1/C|350</t>
        </is>
      </c>
      <c r="L1877" s="9" t="inlineStr">
        <is>
          <t>1/C</t>
        </is>
      </c>
      <c r="M1877" s="9" t="inlineStr">
        <is>
          <t>350 kcmil</t>
        </is>
      </c>
      <c r="N1877" s="9" t="n">
        <v>2</v>
      </c>
      <c r="O1877" s="9" t="n">
        <v>3</v>
      </c>
      <c r="P1877" s="9" t="n">
        <v>34500</v>
      </c>
      <c r="Q1877" s="9" t="n">
        <v>25000</v>
      </c>
      <c r="R1877" s="9" t="n">
        <v>418</v>
      </c>
      <c r="S1877" s="9" t="inlineStr">
        <is>
          <t>Tray</t>
        </is>
      </c>
      <c r="T1877" s="10" t="n">
        <v>0</v>
      </c>
      <c r="U1877" s="10" t="n">
        <v>96</v>
      </c>
      <c r="V1877" s="10">
        <f>ROUNDUP((T1877+U1877+2*'Read Me'!$B$13)*(1+'Read Me'!$B$12),-1)</f>
        <v/>
      </c>
      <c r="W1877" s="10">
        <f>V1877*N1877*O1877</f>
        <v/>
      </c>
      <c r="X1877" s="9">
        <f>IF(LEFT(I1877,2)="MV",2*N1877*IF(L1877="1/C",O1877,1),0)</f>
        <v/>
      </c>
      <c r="Y1877" s="9">
        <f>IF(OR(LEFT(K1877,4)="LVAX",LEFT(K1877,6)="MV15AX",LEFT(K1877,4)="CTAX",LEFT(K1877,2)="W|"),2*N1877*O1877,0)</f>
        <v/>
      </c>
      <c r="Z1877" s="9" t="inlineStr"/>
    </row>
    <row r="1878">
      <c r="A1878" s="9" t="inlineStr">
        <is>
          <t>H-MV-0019</t>
        </is>
      </c>
      <c r="B1878" s="9" t="inlineStr">
        <is>
          <t>H</t>
        </is>
      </c>
      <c r="C1878" s="9" t="inlineStr">
        <is>
          <t>BESS</t>
        </is>
      </c>
      <c r="D1878" s="9" t="inlineStr">
        <is>
          <t>BESS MPT 34.5 kV side</t>
        </is>
      </c>
      <c r="E1878" s="9" t="inlineStr"/>
      <c r="F1878" s="9" t="inlineStr">
        <is>
          <t>34.5 kV collector e-house (arc-resistant)</t>
        </is>
      </c>
      <c r="G1878" s="9" t="inlineStr">
        <is>
          <t>BESS MPT</t>
        </is>
      </c>
      <c r="H1878" s="9" t="inlineStr">
        <is>
          <t>BESS main power transformer 34.5/230 kV (to D4 upper)</t>
        </is>
      </c>
      <c r="I1878" s="9" t="inlineStr">
        <is>
          <t>MV 35 kV</t>
        </is>
      </c>
      <c r="J1878" s="9" t="inlineStr">
        <is>
          <t>MV-105 35 kV 1/C Al, EPR 133%, 1/3 concentric neutral, LLDPE jacket</t>
        </is>
      </c>
      <c r="K1878" s="9" t="inlineStr">
        <is>
          <t>MV35|1/C|750</t>
        </is>
      </c>
      <c r="L1878" s="9" t="inlineStr">
        <is>
          <t>1/C</t>
        </is>
      </c>
      <c r="M1878" s="9" t="inlineStr">
        <is>
          <t>750 kcmil</t>
        </is>
      </c>
      <c r="N1878" s="9" t="n">
        <v>5</v>
      </c>
      <c r="O1878" s="9" t="n">
        <v>3</v>
      </c>
      <c r="P1878" s="9" t="n">
        <v>34500</v>
      </c>
      <c r="Q1878" s="9" t="n">
        <v>100000</v>
      </c>
      <c r="R1878" s="9" t="n">
        <v>1674</v>
      </c>
      <c r="S1878" s="9" t="inlineStr">
        <is>
          <t>Duct bank</t>
        </is>
      </c>
      <c r="T1878" s="10" t="n">
        <v>35</v>
      </c>
      <c r="U1878" s="10" t="n">
        <v>32</v>
      </c>
      <c r="V1878" s="10">
        <f>ROUNDUP((T1878+U1878+2*'Read Me'!$B$13)*(1+'Read Me'!$B$12),-1)</f>
        <v/>
      </c>
      <c r="W1878" s="10">
        <f>V1878*N1878*O1878</f>
        <v/>
      </c>
      <c r="X1878" s="9">
        <f>IF(LEFT(I1878,2)="MV",2*N1878*IF(L1878="1/C",O1878,1),0)</f>
        <v/>
      </c>
      <c r="Y1878" s="9">
        <f>IF(OR(LEFT(K1878,4)="LVAX",LEFT(K1878,6)="MV15AX",LEFT(K1878,4)="CTAX",LEFT(K1878,2)="W|"),2*N1878*O1878,0)</f>
        <v/>
      </c>
      <c r="Z1878" s="9" t="inlineStr">
        <is>
          <t>100 MVA (typ.)</t>
        </is>
      </c>
    </row>
    <row r="1879">
      <c r="A1879" s="9" t="inlineStr">
        <is>
          <t>I-L-0001</t>
        </is>
      </c>
      <c r="B1879" s="9" t="inlineStr">
        <is>
          <t>I</t>
        </is>
      </c>
      <c r="C1879" s="9" t="inlineStr">
        <is>
          <t>Modular / portable power</t>
        </is>
      </c>
      <c r="D1879" s="9" t="inlineStr">
        <is>
          <t>Lighting, receptacles and small power branch circuits (allowance)</t>
        </is>
      </c>
      <c r="E1879" s="9" t="inlineStr">
        <is>
          <t>CONT-EH</t>
        </is>
      </c>
      <c r="F1879" s="9" t="inlineStr">
        <is>
          <t>CONT paralleling switchgear e-house</t>
        </is>
      </c>
      <c r="G1879" s="9" t="inlineStr">
        <is>
          <t>CONT-EH</t>
        </is>
      </c>
      <c r="H1879" s="9" t="inlineStr">
        <is>
          <t>CONT paralleling switchgear e-house</t>
        </is>
      </c>
      <c r="I1879" s="9" t="inlineStr">
        <is>
          <t>Building wire</t>
        </is>
      </c>
      <c r="J1879" s="9" t="inlineStr">
        <is>
          <t>SIMpull THHN/THWN-2 600 V 1/C Cu (lighting, receptacles, small power)</t>
        </is>
      </c>
      <c r="K1879" s="9" t="inlineStr">
        <is>
          <t>THHN|1/C|12</t>
        </is>
      </c>
      <c r="L1879" s="9" t="inlineStr">
        <is>
          <t>1/C</t>
        </is>
      </c>
      <c r="M1879" s="9" t="inlineStr">
        <is>
          <t>12</t>
        </is>
      </c>
      <c r="N1879" s="9" t="n">
        <v>1</v>
      </c>
      <c r="O1879" s="9" t="n">
        <v>1</v>
      </c>
      <c r="P1879" s="9" t="n">
        <v>277</v>
      </c>
      <c r="Q1879" s="9" t="n"/>
      <c r="R1879" s="9" t="n"/>
      <c r="S1879" s="9" t="inlineStr">
        <is>
          <t>Conduit</t>
        </is>
      </c>
      <c r="T1879" s="10" t="n">
        <v>1296</v>
      </c>
      <c r="U1879" s="10" t="n">
        <v>0</v>
      </c>
      <c r="V1879" s="10">
        <f>ROUNDUP((T1879+U1879+2*'Read Me'!$B$13)*(1+'Read Me'!$B$12),-1)</f>
        <v/>
      </c>
      <c r="W1879" s="10">
        <f>V1879*N1879*O1879</f>
        <v/>
      </c>
      <c r="X1879" s="9">
        <f>IF(LEFT(I1879,2)="MV",2*N1879*IF(L1879="1/C",O1879,1),0)</f>
        <v/>
      </c>
      <c r="Y1879" s="9">
        <f>IF(OR(LEFT(K1879,4)="LVAX",LEFT(K1879,6)="MV15AX",LEFT(K1879,4)="CTAX",LEFT(K1879,2)="W|"),2*N1879*O1879,0)</f>
        <v/>
      </c>
      <c r="Z1879" s="9" t="inlineStr">
        <is>
          <t>allowance: 1.6 ft of conductor per ft2 of floor</t>
        </is>
      </c>
    </row>
    <row r="1880">
      <c r="A1880" s="9" t="inlineStr">
        <is>
          <t>I-L-0002</t>
        </is>
      </c>
      <c r="B1880" s="9" t="inlineStr">
        <is>
          <t>I</t>
        </is>
      </c>
      <c r="C1880" s="9" t="inlineStr">
        <is>
          <t>Modular / portable power</t>
        </is>
      </c>
      <c r="D1880" s="9" t="inlineStr">
        <is>
          <t>Lighting, receptacles and small power branch circuits (allowance)</t>
        </is>
      </c>
      <c r="E1880" s="9" t="inlineStr"/>
      <c r="F1880" s="9" t="inlineStr">
        <is>
          <t>Lube oil / starting air / oily water building</t>
        </is>
      </c>
      <c r="G1880" s="9" t="inlineStr"/>
      <c r="H1880" s="9" t="inlineStr">
        <is>
          <t>Lube oil / starting air / oily water building</t>
        </is>
      </c>
      <c r="I1880" s="9" t="inlineStr">
        <is>
          <t>Building wire</t>
        </is>
      </c>
      <c r="J1880" s="9" t="inlineStr">
        <is>
          <t>SIMpull THHN/THWN-2 600 V 1/C Cu (lighting, receptacles, small power)</t>
        </is>
      </c>
      <c r="K1880" s="9" t="inlineStr">
        <is>
          <t>THHN|1/C|12</t>
        </is>
      </c>
      <c r="L1880" s="9" t="inlineStr">
        <is>
          <t>1/C</t>
        </is>
      </c>
      <c r="M1880" s="9" t="inlineStr">
        <is>
          <t>12</t>
        </is>
      </c>
      <c r="N1880" s="9" t="n">
        <v>1</v>
      </c>
      <c r="O1880" s="9" t="n">
        <v>1</v>
      </c>
      <c r="P1880" s="9" t="n">
        <v>277</v>
      </c>
      <c r="Q1880" s="9" t="n"/>
      <c r="R1880" s="9" t="n"/>
      <c r="S1880" s="9" t="inlineStr">
        <is>
          <t>Conduit</t>
        </is>
      </c>
      <c r="T1880" s="10" t="n">
        <v>10560</v>
      </c>
      <c r="U1880" s="10" t="n">
        <v>0</v>
      </c>
      <c r="V1880" s="10">
        <f>ROUNDUP((T1880+U1880+2*'Read Me'!$B$13)*(1+'Read Me'!$B$12),-1)</f>
        <v/>
      </c>
      <c r="W1880" s="10">
        <f>V1880*N1880*O1880</f>
        <v/>
      </c>
      <c r="X1880" s="9">
        <f>IF(LEFT(I1880,2)="MV",2*N1880*IF(L1880="1/C",O1880,1),0)</f>
        <v/>
      </c>
      <c r="Y1880" s="9">
        <f>IF(OR(LEFT(K1880,4)="LVAX",LEFT(K1880,6)="MV15AX",LEFT(K1880,4)="CTAX",LEFT(K1880,2)="W|"),2*N1880*O1880,0)</f>
        <v/>
      </c>
      <c r="Z1880" s="9" t="inlineStr">
        <is>
          <t>allowance: 1.6 ft of conductor per ft2 of floor</t>
        </is>
      </c>
    </row>
    <row r="1881">
      <c r="A1881" s="9" t="inlineStr">
        <is>
          <t>I-L-0003</t>
        </is>
      </c>
      <c r="B1881" s="9" t="inlineStr">
        <is>
          <t>I</t>
        </is>
      </c>
      <c r="C1881" s="9" t="inlineStr">
        <is>
          <t>Modular / portable power</t>
        </is>
      </c>
      <c r="D1881" s="9" t="inlineStr">
        <is>
          <t>Lighting, receptacles and small power branch circuits (allowance)</t>
        </is>
      </c>
      <c r="E1881" s="9" t="inlineStr">
        <is>
          <t>MOD-EH</t>
        </is>
      </c>
      <c r="F1881" s="9" t="inlineStr">
        <is>
          <t>MOD-EH: 13.8 kV modular collector e-house</t>
        </is>
      </c>
      <c r="G1881" s="9" t="inlineStr">
        <is>
          <t>MOD-EH</t>
        </is>
      </c>
      <c r="H1881" s="9" t="inlineStr">
        <is>
          <t>MOD-EH: 13.8 kV modular collector e-house</t>
        </is>
      </c>
      <c r="I1881" s="9" t="inlineStr">
        <is>
          <t>Building wire</t>
        </is>
      </c>
      <c r="J1881" s="9" t="inlineStr">
        <is>
          <t>SIMpull THHN/THWN-2 600 V 1/C Cu (lighting, receptacles, small power)</t>
        </is>
      </c>
      <c r="K1881" s="9" t="inlineStr">
        <is>
          <t>THHN|1/C|12</t>
        </is>
      </c>
      <c r="L1881" s="9" t="inlineStr">
        <is>
          <t>1/C</t>
        </is>
      </c>
      <c r="M1881" s="9" t="inlineStr">
        <is>
          <t>12</t>
        </is>
      </c>
      <c r="N1881" s="9" t="n">
        <v>1</v>
      </c>
      <c r="O1881" s="9" t="n">
        <v>1</v>
      </c>
      <c r="P1881" s="9" t="n">
        <v>277</v>
      </c>
      <c r="Q1881" s="9" t="n"/>
      <c r="R1881" s="9" t="n"/>
      <c r="S1881" s="9" t="inlineStr">
        <is>
          <t>Conduit</t>
        </is>
      </c>
      <c r="T1881" s="10" t="n">
        <v>2560</v>
      </c>
      <c r="U1881" s="10" t="n">
        <v>0</v>
      </c>
      <c r="V1881" s="10">
        <f>ROUNDUP((T1881+U1881+2*'Read Me'!$B$13)*(1+'Read Me'!$B$12),-1)</f>
        <v/>
      </c>
      <c r="W1881" s="10">
        <f>V1881*N1881*O1881</f>
        <v/>
      </c>
      <c r="X1881" s="9">
        <f>IF(LEFT(I1881,2)="MV",2*N1881*IF(L1881="1/C",O1881,1),0)</f>
        <v/>
      </c>
      <c r="Y1881" s="9">
        <f>IF(OR(LEFT(K1881,4)="LVAX",LEFT(K1881,6)="MV15AX",LEFT(K1881,4)="CTAX",LEFT(K1881,2)="W|"),2*N1881*O1881,0)</f>
        <v/>
      </c>
      <c r="Z1881" s="9" t="inlineStr">
        <is>
          <t>allowance: 1.6 ft of conductor per ft2 of floor</t>
        </is>
      </c>
    </row>
    <row r="1882">
      <c r="A1882" s="9" t="inlineStr">
        <is>
          <t>I-L-0004</t>
        </is>
      </c>
      <c r="B1882" s="9" t="inlineStr">
        <is>
          <t>I</t>
        </is>
      </c>
      <c r="C1882" s="9" t="inlineStr">
        <is>
          <t>Modular / portable power</t>
        </is>
      </c>
      <c r="D1882" s="9" t="inlineStr">
        <is>
          <t>Lighting, receptacles and small power branch circuits (allowance)</t>
        </is>
      </c>
      <c r="E1882" s="9" t="inlineStr"/>
      <c r="F1882" s="9" t="inlineStr">
        <is>
          <t>PCM: power control module</t>
        </is>
      </c>
      <c r="G1882" s="9" t="inlineStr"/>
      <c r="H1882" s="9" t="inlineStr">
        <is>
          <t>PCM: power control module</t>
        </is>
      </c>
      <c r="I1882" s="9" t="inlineStr">
        <is>
          <t>Building wire</t>
        </is>
      </c>
      <c r="J1882" s="9" t="inlineStr">
        <is>
          <t>SIMpull THHN/THWN-2 600 V 1/C Cu (lighting, receptacles, small power)</t>
        </is>
      </c>
      <c r="K1882" s="9" t="inlineStr">
        <is>
          <t>THHN|1/C|12</t>
        </is>
      </c>
      <c r="L1882" s="9" t="inlineStr">
        <is>
          <t>1/C</t>
        </is>
      </c>
      <c r="M1882" s="9" t="inlineStr">
        <is>
          <t>12</t>
        </is>
      </c>
      <c r="N1882" s="9" t="n">
        <v>1</v>
      </c>
      <c r="O1882" s="9" t="n">
        <v>1</v>
      </c>
      <c r="P1882" s="9" t="n">
        <v>277</v>
      </c>
      <c r="Q1882" s="9" t="n"/>
      <c r="R1882" s="9" t="n"/>
      <c r="S1882" s="9" t="inlineStr">
        <is>
          <t>Conduit</t>
        </is>
      </c>
      <c r="T1882" s="10" t="n">
        <v>5120</v>
      </c>
      <c r="U1882" s="10" t="n">
        <v>0</v>
      </c>
      <c r="V1882" s="10">
        <f>ROUNDUP((T1882+U1882+2*'Read Me'!$B$13)*(1+'Read Me'!$B$12),-1)</f>
        <v/>
      </c>
      <c r="W1882" s="10">
        <f>V1882*N1882*O1882</f>
        <v/>
      </c>
      <c r="X1882" s="9">
        <f>IF(LEFT(I1882,2)="MV",2*N1882*IF(L1882="1/C",O1882,1),0)</f>
        <v/>
      </c>
      <c r="Y1882" s="9">
        <f>IF(OR(LEFT(K1882,4)="LVAX",LEFT(K1882,6)="MV15AX",LEFT(K1882,4)="CTAX",LEFT(K1882,2)="W|"),2*N1882*O1882,0)</f>
        <v/>
      </c>
      <c r="Z1882" s="9" t="inlineStr">
        <is>
          <t>allowance: 1.6 ft of conductor per ft2 of floor</t>
        </is>
      </c>
    </row>
    <row r="1883">
      <c r="A1883" s="9" t="inlineStr">
        <is>
          <t>I-L-0005</t>
        </is>
      </c>
      <c r="B1883" s="9" t="inlineStr">
        <is>
          <t>I</t>
        </is>
      </c>
      <c r="C1883" s="9" t="inlineStr">
        <is>
          <t>Modular / portable power</t>
        </is>
      </c>
      <c r="D1883" s="9" t="inlineStr">
        <is>
          <t>Lighting, receptacles and small power branch circuits (allowance)</t>
        </is>
      </c>
      <c r="E1883" s="9" t="inlineStr"/>
      <c r="F1883" s="9" t="inlineStr">
        <is>
          <t>RICE CEMS</t>
        </is>
      </c>
      <c r="G1883" s="9" t="inlineStr"/>
      <c r="H1883" s="9" t="inlineStr">
        <is>
          <t>RICE CEMS</t>
        </is>
      </c>
      <c r="I1883" s="9" t="inlineStr">
        <is>
          <t>Building wire</t>
        </is>
      </c>
      <c r="J1883" s="9" t="inlineStr">
        <is>
          <t>SIMpull THHN/THWN-2 600 V 1/C Cu (lighting, receptacles, small power)</t>
        </is>
      </c>
      <c r="K1883" s="9" t="inlineStr">
        <is>
          <t>THHN|1/C|12</t>
        </is>
      </c>
      <c r="L1883" s="9" t="inlineStr">
        <is>
          <t>1/C</t>
        </is>
      </c>
      <c r="M1883" s="9" t="inlineStr">
        <is>
          <t>12</t>
        </is>
      </c>
      <c r="N1883" s="9" t="n">
        <v>1</v>
      </c>
      <c r="O1883" s="9" t="n">
        <v>1</v>
      </c>
      <c r="P1883" s="9" t="n">
        <v>277</v>
      </c>
      <c r="Q1883" s="9" t="n"/>
      <c r="R1883" s="9" t="n"/>
      <c r="S1883" s="9" t="inlineStr">
        <is>
          <t>Conduit</t>
        </is>
      </c>
      <c r="T1883" s="10" t="n">
        <v>256</v>
      </c>
      <c r="U1883" s="10" t="n">
        <v>0</v>
      </c>
      <c r="V1883" s="10">
        <f>ROUNDUP((T1883+U1883+2*'Read Me'!$B$13)*(1+'Read Me'!$B$12),-1)</f>
        <v/>
      </c>
      <c r="W1883" s="10">
        <f>V1883*N1883*O1883</f>
        <v/>
      </c>
      <c r="X1883" s="9">
        <f>IF(LEFT(I1883,2)="MV",2*N1883*IF(L1883="1/C",O1883,1),0)</f>
        <v/>
      </c>
      <c r="Y1883" s="9">
        <f>IF(OR(LEFT(K1883,4)="LVAX",LEFT(K1883,6)="MV15AX",LEFT(K1883,4)="CTAX",LEFT(K1883,2)="W|"),2*N1883*O1883,0)</f>
        <v/>
      </c>
      <c r="Z1883" s="9" t="inlineStr">
        <is>
          <t>allowance: 1.6 ft of conductor per ft2 of floor</t>
        </is>
      </c>
    </row>
    <row r="1884">
      <c r="A1884" s="9" t="inlineStr">
        <is>
          <t>I-C-0001</t>
        </is>
      </c>
      <c r="B1884" s="9" t="inlineStr">
        <is>
          <t>I</t>
        </is>
      </c>
      <c r="C1884" s="9" t="inlineStr">
        <is>
          <t>Modular / portable power</t>
        </is>
      </c>
      <c r="D1884" s="9" t="inlineStr">
        <is>
          <t>Control</t>
        </is>
      </c>
      <c r="E1884" s="9" t="inlineStr"/>
      <c r="F1884" s="9" t="inlineStr">
        <is>
          <t>PCM: power control module</t>
        </is>
      </c>
      <c r="G1884" s="9" t="inlineStr"/>
      <c r="H1884" s="9" t="inlineStr">
        <is>
          <t>BS black-start switchgear</t>
        </is>
      </c>
      <c r="I1884" s="9" t="inlineStr">
        <is>
          <t>Control</t>
        </is>
      </c>
      <c r="J1884" s="9" t="inlineStr">
        <is>
          <t>Control cable 600 V Type TC-ER, Cu #14 AWG, PVC jacket</t>
        </is>
      </c>
      <c r="K1884" s="9" t="inlineStr">
        <is>
          <t>CT|7/C|14</t>
        </is>
      </c>
      <c r="L1884" s="9" t="inlineStr">
        <is>
          <t>7/C</t>
        </is>
      </c>
      <c r="M1884" s="9" t="inlineStr">
        <is>
          <t>14</t>
        </is>
      </c>
      <c r="N1884" s="9" t="n">
        <v>1</v>
      </c>
      <c r="O1884" s="9" t="n">
        <v>1</v>
      </c>
      <c r="P1884" s="9" t="n"/>
      <c r="Q1884" s="9" t="n"/>
      <c r="R1884" s="9" t="n"/>
      <c r="S1884" s="9" t="inlineStr">
        <is>
          <t>Duct bank</t>
        </is>
      </c>
      <c r="T1884" s="10" t="n">
        <v>550</v>
      </c>
      <c r="U1884" s="10" t="n">
        <v>77</v>
      </c>
      <c r="V1884" s="10">
        <f>ROUNDUP((T1884+U1884+2*'Read Me'!$B$13)*(1+'Read Me'!$B$12),-1)</f>
        <v/>
      </c>
      <c r="W1884" s="10">
        <f>V1884*N1884*O1884</f>
        <v/>
      </c>
      <c r="X1884" s="9">
        <f>IF(LEFT(I1884,2)="MV",2*N1884*IF(L1884="1/C",O1884,1),0)</f>
        <v/>
      </c>
      <c r="Y1884" s="9">
        <f>IF(OR(LEFT(K1884,4)="LVAX",LEFT(K1884,6)="MV15AX",LEFT(K1884,4)="CTAX",LEFT(K1884,2)="W|"),2*N1884*O1884,0)</f>
        <v/>
      </c>
      <c r="Z1884" s="9" t="inlineStr"/>
    </row>
    <row r="1885">
      <c r="A1885" s="9" t="inlineStr">
        <is>
          <t>I-C-0002</t>
        </is>
      </c>
      <c r="B1885" s="9" t="inlineStr">
        <is>
          <t>I</t>
        </is>
      </c>
      <c r="C1885" s="9" t="inlineStr">
        <is>
          <t>Modular / portable power</t>
        </is>
      </c>
      <c r="D1885" s="9" t="inlineStr">
        <is>
          <t>Control</t>
        </is>
      </c>
      <c r="E1885" s="9" t="inlineStr"/>
      <c r="F1885" s="9" t="inlineStr">
        <is>
          <t>PCM: power control module</t>
        </is>
      </c>
      <c r="G1885" s="9" t="inlineStr"/>
      <c r="H1885" s="9" t="inlineStr">
        <is>
          <t>Black-start genset (proposed; requires study)</t>
        </is>
      </c>
      <c r="I1885" s="9" t="inlineStr">
        <is>
          <t>Control</t>
        </is>
      </c>
      <c r="J1885" s="9" t="inlineStr">
        <is>
          <t>Control cable 600 V Type TC-ER, Cu #14 AWG, PVC jacket</t>
        </is>
      </c>
      <c r="K1885" s="9" t="inlineStr">
        <is>
          <t>CT|7/C|14</t>
        </is>
      </c>
      <c r="L1885" s="9" t="inlineStr">
        <is>
          <t>7/C</t>
        </is>
      </c>
      <c r="M1885" s="9" t="inlineStr">
        <is>
          <t>14</t>
        </is>
      </c>
      <c r="N1885" s="9" t="n">
        <v>1</v>
      </c>
      <c r="O1885" s="9" t="n">
        <v>1</v>
      </c>
      <c r="P1885" s="9" t="n"/>
      <c r="Q1885" s="9" t="n"/>
      <c r="R1885" s="9" t="n"/>
      <c r="S1885" s="9" t="inlineStr">
        <is>
          <t>Duct bank</t>
        </is>
      </c>
      <c r="T1885" s="10" t="n">
        <v>624</v>
      </c>
      <c r="U1885" s="10" t="n">
        <v>32</v>
      </c>
      <c r="V1885" s="10">
        <f>ROUNDUP((T1885+U1885+2*'Read Me'!$B$13)*(1+'Read Me'!$B$12),-1)</f>
        <v/>
      </c>
      <c r="W1885" s="10">
        <f>V1885*N1885*O1885</f>
        <v/>
      </c>
      <c r="X1885" s="9">
        <f>IF(LEFT(I1885,2)="MV",2*N1885*IF(L1885="1/C",O1885,1),0)</f>
        <v/>
      </c>
      <c r="Y1885" s="9">
        <f>IF(OR(LEFT(K1885,4)="LVAX",LEFT(K1885,6)="MV15AX",LEFT(K1885,4)="CTAX",LEFT(K1885,2)="W|"),2*N1885*O1885,0)</f>
        <v/>
      </c>
      <c r="Z1885" s="9" t="inlineStr"/>
    </row>
    <row r="1886">
      <c r="A1886" s="9" t="inlineStr">
        <is>
          <t>I-C-0003</t>
        </is>
      </c>
      <c r="B1886" s="9" t="inlineStr">
        <is>
          <t>I</t>
        </is>
      </c>
      <c r="C1886" s="9" t="inlineStr">
        <is>
          <t>Modular / portable power</t>
        </is>
      </c>
      <c r="D1886" s="9" t="inlineStr">
        <is>
          <t>Control</t>
        </is>
      </c>
      <c r="E1886" s="9" t="inlineStr"/>
      <c r="F1886" s="9" t="inlineStr">
        <is>
          <t>PCM: power control module</t>
        </is>
      </c>
      <c r="G1886" s="9" t="inlineStr"/>
      <c r="H1886" s="9" t="inlineStr">
        <is>
          <t>Black-start genset (proposed; requires study)</t>
        </is>
      </c>
      <c r="I1886" s="9" t="inlineStr">
        <is>
          <t>Control</t>
        </is>
      </c>
      <c r="J1886" s="9" t="inlineStr">
        <is>
          <t>Control cable 600 V Type TC-ER, Cu #14 AWG, PVC jacket</t>
        </is>
      </c>
      <c r="K1886" s="9" t="inlineStr">
        <is>
          <t>CT|7/C|14</t>
        </is>
      </c>
      <c r="L1886" s="9" t="inlineStr">
        <is>
          <t>7/C</t>
        </is>
      </c>
      <c r="M1886" s="9" t="inlineStr">
        <is>
          <t>14</t>
        </is>
      </c>
      <c r="N1886" s="9" t="n">
        <v>1</v>
      </c>
      <c r="O1886" s="9" t="n">
        <v>1</v>
      </c>
      <c r="P1886" s="9" t="n"/>
      <c r="Q1886" s="9" t="n"/>
      <c r="R1886" s="9" t="n"/>
      <c r="S1886" s="9" t="inlineStr">
        <is>
          <t>Duct bank</t>
        </is>
      </c>
      <c r="T1886" s="10" t="n">
        <v>624</v>
      </c>
      <c r="U1886" s="10" t="n">
        <v>40</v>
      </c>
      <c r="V1886" s="10">
        <f>ROUNDUP((T1886+U1886+2*'Read Me'!$B$13)*(1+'Read Me'!$B$12),-1)</f>
        <v/>
      </c>
      <c r="W1886" s="10">
        <f>V1886*N1886*O1886</f>
        <v/>
      </c>
      <c r="X1886" s="9">
        <f>IF(LEFT(I1886,2)="MV",2*N1886*IF(L1886="1/C",O1886,1),0)</f>
        <v/>
      </c>
      <c r="Y1886" s="9">
        <f>IF(OR(LEFT(K1886,4)="LVAX",LEFT(K1886,6)="MV15AX",LEFT(K1886,4)="CTAX",LEFT(K1886,2)="W|"),2*N1886*O1886,0)</f>
        <v/>
      </c>
      <c r="Z1886" s="9" t="inlineStr"/>
    </row>
    <row r="1887">
      <c r="A1887" s="9" t="inlineStr">
        <is>
          <t>I-C-0004</t>
        </is>
      </c>
      <c r="B1887" s="9" t="inlineStr">
        <is>
          <t>I</t>
        </is>
      </c>
      <c r="C1887" s="9" t="inlineStr">
        <is>
          <t>Modular / portable power</t>
        </is>
      </c>
      <c r="D1887" s="9" t="inlineStr">
        <is>
          <t>Control</t>
        </is>
      </c>
      <c r="E1887" s="9" t="inlineStr"/>
      <c r="F1887" s="9" t="inlineStr">
        <is>
          <t>PCM: power control module</t>
        </is>
      </c>
      <c r="G1887" s="9" t="inlineStr"/>
      <c r="H1887" s="9" t="inlineStr">
        <is>
          <t>CONDITIONAL: BESS black-start alternative</t>
        </is>
      </c>
      <c r="I1887" s="9" t="inlineStr">
        <is>
          <t>Control</t>
        </is>
      </c>
      <c r="J1887" s="9" t="inlineStr">
        <is>
          <t>Control cable 600 V Type TC-ER, Cu #14 AWG, PVC jacket</t>
        </is>
      </c>
      <c r="K1887" s="9" t="inlineStr">
        <is>
          <t>CT|7/C|14</t>
        </is>
      </c>
      <c r="L1887" s="9" t="inlineStr">
        <is>
          <t>7/C</t>
        </is>
      </c>
      <c r="M1887" s="9" t="inlineStr">
        <is>
          <t>14</t>
        </is>
      </c>
      <c r="N1887" s="9" t="n">
        <v>1</v>
      </c>
      <c r="O1887" s="9" t="n">
        <v>1</v>
      </c>
      <c r="P1887" s="9" t="n"/>
      <c r="Q1887" s="9" t="n"/>
      <c r="R1887" s="9" t="n"/>
      <c r="S1887" s="9" t="inlineStr">
        <is>
          <t>Duct bank</t>
        </is>
      </c>
      <c r="T1887" s="10" t="n">
        <v>550</v>
      </c>
      <c r="U1887" s="10" t="n">
        <v>32</v>
      </c>
      <c r="V1887" s="10">
        <f>ROUNDUP((T1887+U1887+2*'Read Me'!$B$13)*(1+'Read Me'!$B$12),-1)</f>
        <v/>
      </c>
      <c r="W1887" s="10">
        <f>V1887*N1887*O1887</f>
        <v/>
      </c>
      <c r="X1887" s="9">
        <f>IF(LEFT(I1887,2)="MV",2*N1887*IF(L1887="1/C",O1887,1),0)</f>
        <v/>
      </c>
      <c r="Y1887" s="9">
        <f>IF(OR(LEFT(K1887,4)="LVAX",LEFT(K1887,6)="MV15AX",LEFT(K1887,4)="CTAX",LEFT(K1887,2)="W|"),2*N1887*O1887,0)</f>
        <v/>
      </c>
      <c r="Z1887" s="9" t="inlineStr"/>
    </row>
    <row r="1888">
      <c r="A1888" s="9" t="inlineStr">
        <is>
          <t>I-C-0005</t>
        </is>
      </c>
      <c r="B1888" s="9" t="inlineStr">
        <is>
          <t>I</t>
        </is>
      </c>
      <c r="C1888" s="9" t="inlineStr">
        <is>
          <t>Modular / portable power</t>
        </is>
      </c>
      <c r="D1888" s="9" t="inlineStr">
        <is>
          <t>Control</t>
        </is>
      </c>
      <c r="E1888" s="9" t="inlineStr"/>
      <c r="F1888" s="9" t="inlineStr">
        <is>
          <t>PCM: power control module</t>
        </is>
      </c>
      <c r="G1888" s="9" t="inlineStr"/>
      <c r="H1888" s="9" t="inlineStr">
        <is>
          <t>CONDITIONAL: SC-1 inlet chiller / evaporative cooler</t>
        </is>
      </c>
      <c r="I1888" s="9" t="inlineStr">
        <is>
          <t>Control</t>
        </is>
      </c>
      <c r="J1888" s="9" t="inlineStr">
        <is>
          <t>Control cable 600 V Type TC-ER, Cu #14 AWG, PVC jacket</t>
        </is>
      </c>
      <c r="K1888" s="9" t="inlineStr">
        <is>
          <t>CT|7/C|14</t>
        </is>
      </c>
      <c r="L1888" s="9" t="inlineStr">
        <is>
          <t>7/C</t>
        </is>
      </c>
      <c r="M1888" s="9" t="inlineStr">
        <is>
          <t>14</t>
        </is>
      </c>
      <c r="N1888" s="9" t="n">
        <v>1</v>
      </c>
      <c r="O1888" s="9" t="n">
        <v>1</v>
      </c>
      <c r="P1888" s="9" t="n"/>
      <c r="Q1888" s="9" t="n"/>
      <c r="R1888" s="9" t="n"/>
      <c r="S1888" s="9" t="inlineStr">
        <is>
          <t>Duct bank</t>
        </is>
      </c>
      <c r="T1888" s="10" t="n">
        <v>40</v>
      </c>
      <c r="U1888" s="10" t="n">
        <v>52</v>
      </c>
      <c r="V1888" s="10">
        <f>ROUNDUP((T1888+U1888+2*'Read Me'!$B$13)*(1+'Read Me'!$B$12),-1)</f>
        <v/>
      </c>
      <c r="W1888" s="10">
        <f>V1888*N1888*O1888</f>
        <v/>
      </c>
      <c r="X1888" s="9">
        <f>IF(LEFT(I1888,2)="MV",2*N1888*IF(L1888="1/C",O1888,1),0)</f>
        <v/>
      </c>
      <c r="Y1888" s="9">
        <f>IF(OR(LEFT(K1888,4)="LVAX",LEFT(K1888,6)="MV15AX",LEFT(K1888,4)="CTAX",LEFT(K1888,2)="W|"),2*N1888*O1888,0)</f>
        <v/>
      </c>
      <c r="Z1888" s="9" t="inlineStr"/>
    </row>
    <row r="1889">
      <c r="A1889" s="9" t="inlineStr">
        <is>
          <t>I-C-0006</t>
        </is>
      </c>
      <c r="B1889" s="9" t="inlineStr">
        <is>
          <t>I</t>
        </is>
      </c>
      <c r="C1889" s="9" t="inlineStr">
        <is>
          <t>Modular / portable power</t>
        </is>
      </c>
      <c r="D1889" s="9" t="inlineStr">
        <is>
          <t>Control</t>
        </is>
      </c>
      <c r="E1889" s="9" t="inlineStr"/>
      <c r="F1889" s="9" t="inlineStr">
        <is>
          <t>PCM: power control module</t>
        </is>
      </c>
      <c r="G1889" s="9" t="inlineStr"/>
      <c r="H1889" s="9" t="inlineStr">
        <is>
          <t>CONDITIONAL: SC-2 inlet chiller / evaporative cooler</t>
        </is>
      </c>
      <c r="I1889" s="9" t="inlineStr">
        <is>
          <t>Control</t>
        </is>
      </c>
      <c r="J1889" s="9" t="inlineStr">
        <is>
          <t>Control cable 600 V Type TC-ER, Cu #14 AWG, PVC jacket</t>
        </is>
      </c>
      <c r="K1889" s="9" t="inlineStr">
        <is>
          <t>CT|7/C|14</t>
        </is>
      </c>
      <c r="L1889" s="9" t="inlineStr">
        <is>
          <t>7/C</t>
        </is>
      </c>
      <c r="M1889" s="9" t="inlineStr">
        <is>
          <t>14</t>
        </is>
      </c>
      <c r="N1889" s="9" t="n">
        <v>1</v>
      </c>
      <c r="O1889" s="9" t="n">
        <v>1</v>
      </c>
      <c r="P1889" s="9" t="n"/>
      <c r="Q1889" s="9" t="n"/>
      <c r="R1889" s="9" t="n"/>
      <c r="S1889" s="9" t="inlineStr">
        <is>
          <t>Duct bank</t>
        </is>
      </c>
      <c r="T1889" s="10" t="n">
        <v>1050</v>
      </c>
      <c r="U1889" s="10" t="n">
        <v>119</v>
      </c>
      <c r="V1889" s="10">
        <f>ROUNDUP((T1889+U1889+2*'Read Me'!$B$13)*(1+'Read Me'!$B$12),-1)</f>
        <v/>
      </c>
      <c r="W1889" s="10">
        <f>V1889*N1889*O1889</f>
        <v/>
      </c>
      <c r="X1889" s="9">
        <f>IF(LEFT(I1889,2)="MV",2*N1889*IF(L1889="1/C",O1889,1),0)</f>
        <v/>
      </c>
      <c r="Y1889" s="9">
        <f>IF(OR(LEFT(K1889,4)="LVAX",LEFT(K1889,6)="MV15AX",LEFT(K1889,4)="CTAX",LEFT(K1889,2)="W|"),2*N1889*O1889,0)</f>
        <v/>
      </c>
      <c r="Z1889" s="9" t="inlineStr"/>
    </row>
    <row r="1890">
      <c r="A1890" s="9" t="inlineStr">
        <is>
          <t>I-C-0007</t>
        </is>
      </c>
      <c r="B1890" s="9" t="inlineStr">
        <is>
          <t>I</t>
        </is>
      </c>
      <c r="C1890" s="9" t="inlineStr">
        <is>
          <t>Modular / portable power</t>
        </is>
      </c>
      <c r="D1890" s="9" t="inlineStr">
        <is>
          <t>Control</t>
        </is>
      </c>
      <c r="E1890" s="9" t="inlineStr">
        <is>
          <t>PAD-EH</t>
        </is>
      </c>
      <c r="F1890" s="9" t="inlineStr">
        <is>
          <t>PAD-EH 13.8 kV switchgear e-house</t>
        </is>
      </c>
      <c r="G1890" s="9" t="inlineStr">
        <is>
          <t>CONT-EH</t>
        </is>
      </c>
      <c r="H1890" s="9" t="inlineStr">
        <is>
          <t>CONT paralleling switchgear e-house</t>
        </is>
      </c>
      <c r="I1890" s="9" t="inlineStr">
        <is>
          <t>Control</t>
        </is>
      </c>
      <c r="J1890" s="9" t="inlineStr">
        <is>
          <t>Control cable 600 V Type TC-ER, Cu #14 AWG, PVC jacket</t>
        </is>
      </c>
      <c r="K1890" s="9" t="inlineStr">
        <is>
          <t>CT|7/C|14</t>
        </is>
      </c>
      <c r="L1890" s="9" t="inlineStr">
        <is>
          <t>7/C</t>
        </is>
      </c>
      <c r="M1890" s="9" t="inlineStr">
        <is>
          <t>14</t>
        </is>
      </c>
      <c r="N1890" s="9" t="n">
        <v>1</v>
      </c>
      <c r="O1890" s="9" t="n">
        <v>1</v>
      </c>
      <c r="P1890" s="9" t="n"/>
      <c r="Q1890" s="9" t="n"/>
      <c r="R1890" s="9" t="n"/>
      <c r="S1890" s="9" t="inlineStr">
        <is>
          <t>Conduit link</t>
        </is>
      </c>
      <c r="T1890" s="10" t="n">
        <v>25</v>
      </c>
      <c r="U1890" s="10" t="n">
        <v>58</v>
      </c>
      <c r="V1890" s="10">
        <f>ROUNDUP((T1890+U1890+2*'Read Me'!$B$13)*(1+'Read Me'!$B$12),-1)</f>
        <v/>
      </c>
      <c r="W1890" s="10">
        <f>V1890*N1890*O1890</f>
        <v/>
      </c>
      <c r="X1890" s="9">
        <f>IF(LEFT(I1890,2)="MV",2*N1890*IF(L1890="1/C",O1890,1),0)</f>
        <v/>
      </c>
      <c r="Y1890" s="9">
        <f>IF(OR(LEFT(K1890,4)="LVAX",LEFT(K1890,6)="MV15AX",LEFT(K1890,4)="CTAX",LEFT(K1890,2)="W|"),2*N1890*O1890,0)</f>
        <v/>
      </c>
      <c r="Z1890" s="9" t="inlineStr"/>
    </row>
    <row r="1891">
      <c r="A1891" s="9" t="inlineStr">
        <is>
          <t>I-C-0008</t>
        </is>
      </c>
      <c r="B1891" s="9" t="inlineStr">
        <is>
          <t>I</t>
        </is>
      </c>
      <c r="C1891" s="9" t="inlineStr">
        <is>
          <t>Modular / portable power</t>
        </is>
      </c>
      <c r="D1891" s="9" t="inlineStr">
        <is>
          <t>Control</t>
        </is>
      </c>
      <c r="E1891" s="9" t="inlineStr">
        <is>
          <t>PAD-EH</t>
        </is>
      </c>
      <c r="F1891" s="9" t="inlineStr">
        <is>
          <t>PAD-EH 13.8 kV switchgear e-house</t>
        </is>
      </c>
      <c r="G1891" s="9" t="inlineStr">
        <is>
          <t>CONT-1</t>
        </is>
      </c>
      <c r="H1891" s="9" t="inlineStr">
        <is>
          <t>CONT-1: containerized genset 13.8 kV (40 ft)</t>
        </is>
      </c>
      <c r="I1891" s="9" t="inlineStr">
        <is>
          <t>Control</t>
        </is>
      </c>
      <c r="J1891" s="9" t="inlineStr">
        <is>
          <t>Control cable 600 V Type TC-ER, Cu #14 AWG, PVC jacket</t>
        </is>
      </c>
      <c r="K1891" s="9" t="inlineStr">
        <is>
          <t>CT|7/C|14</t>
        </is>
      </c>
      <c r="L1891" s="9" t="inlineStr">
        <is>
          <t>7/C</t>
        </is>
      </c>
      <c r="M1891" s="9" t="inlineStr">
        <is>
          <t>14</t>
        </is>
      </c>
      <c r="N1891" s="9" t="n">
        <v>1</v>
      </c>
      <c r="O1891" s="9" t="n">
        <v>1</v>
      </c>
      <c r="P1891" s="9" t="n"/>
      <c r="Q1891" s="9" t="n"/>
      <c r="R1891" s="9" t="n"/>
      <c r="S1891" s="9" t="inlineStr">
        <is>
          <t>Surface</t>
        </is>
      </c>
      <c r="T1891" s="10" t="n">
        <v>380</v>
      </c>
      <c r="U1891" s="10" t="n">
        <v>27</v>
      </c>
      <c r="V1891" s="10">
        <f>ROUNDUP((T1891+U1891+2*'Read Me'!$B$13)*(1+'Read Me'!$B$12),-1)</f>
        <v/>
      </c>
      <c r="W1891" s="10">
        <f>V1891*N1891*O1891</f>
        <v/>
      </c>
      <c r="X1891" s="9">
        <f>IF(LEFT(I1891,2)="MV",2*N1891*IF(L1891="1/C",O1891,1),0)</f>
        <v/>
      </c>
      <c r="Y1891" s="9">
        <f>IF(OR(LEFT(K1891,4)="LVAX",LEFT(K1891,6)="MV15AX",LEFT(K1891,4)="CTAX",LEFT(K1891,2)="W|"),2*N1891*O1891,0)</f>
        <v/>
      </c>
      <c r="Z1891" s="9" t="inlineStr"/>
    </row>
    <row r="1892">
      <c r="A1892" s="9" t="inlineStr">
        <is>
          <t>I-C-0009</t>
        </is>
      </c>
      <c r="B1892" s="9" t="inlineStr">
        <is>
          <t>I</t>
        </is>
      </c>
      <c r="C1892" s="9" t="inlineStr">
        <is>
          <t>Modular / portable power</t>
        </is>
      </c>
      <c r="D1892" s="9" t="inlineStr">
        <is>
          <t>Control</t>
        </is>
      </c>
      <c r="E1892" s="9" t="inlineStr">
        <is>
          <t>PAD-EH</t>
        </is>
      </c>
      <c r="F1892" s="9" t="inlineStr">
        <is>
          <t>PAD-EH 13.8 kV switchgear e-house</t>
        </is>
      </c>
      <c r="G1892" s="9" t="inlineStr">
        <is>
          <t>CONT-1</t>
        </is>
      </c>
      <c r="H1892" s="9" t="inlineStr">
        <is>
          <t>CONT-1: containerized genset 13.8 kV (40 ft)</t>
        </is>
      </c>
      <c r="I1892" s="9" t="inlineStr">
        <is>
          <t>Control</t>
        </is>
      </c>
      <c r="J1892" s="9" t="inlineStr">
        <is>
          <t>Control cable 600 V Type TC-ER, Cu #14 AWG, PVC jacket</t>
        </is>
      </c>
      <c r="K1892" s="9" t="inlineStr">
        <is>
          <t>CT|12/C|14</t>
        </is>
      </c>
      <c r="L1892" s="9" t="inlineStr">
        <is>
          <t>12/C</t>
        </is>
      </c>
      <c r="M1892" s="9" t="inlineStr">
        <is>
          <t>14</t>
        </is>
      </c>
      <c r="N1892" s="9" t="n">
        <v>1</v>
      </c>
      <c r="O1892" s="9" t="n">
        <v>1</v>
      </c>
      <c r="P1892" s="9" t="n"/>
      <c r="Q1892" s="9" t="n"/>
      <c r="R1892" s="9" t="n"/>
      <c r="S1892" s="9" t="inlineStr">
        <is>
          <t>Surface</t>
        </is>
      </c>
      <c r="T1892" s="10" t="n">
        <v>380</v>
      </c>
      <c r="U1892" s="10" t="n">
        <v>27</v>
      </c>
      <c r="V1892" s="10">
        <f>ROUNDUP((T1892+U1892+2*'Read Me'!$B$13)*(1+'Read Me'!$B$12),-1)</f>
        <v/>
      </c>
      <c r="W1892" s="10">
        <f>V1892*N1892*O1892</f>
        <v/>
      </c>
      <c r="X1892" s="9">
        <f>IF(LEFT(I1892,2)="MV",2*N1892*IF(L1892="1/C",O1892,1),0)</f>
        <v/>
      </c>
      <c r="Y1892" s="9">
        <f>IF(OR(LEFT(K1892,4)="LVAX",LEFT(K1892,6)="MV15AX",LEFT(K1892,4)="CTAX",LEFT(K1892,2)="W|"),2*N1892*O1892,0)</f>
        <v/>
      </c>
      <c r="Z1892" s="9" t="inlineStr"/>
    </row>
    <row r="1893">
      <c r="A1893" s="9" t="inlineStr">
        <is>
          <t>I-C-0010</t>
        </is>
      </c>
      <c r="B1893" s="9" t="inlineStr">
        <is>
          <t>I</t>
        </is>
      </c>
      <c r="C1893" s="9" t="inlineStr">
        <is>
          <t>Modular / portable power</t>
        </is>
      </c>
      <c r="D1893" s="9" t="inlineStr">
        <is>
          <t>CT / VT</t>
        </is>
      </c>
      <c r="E1893" s="9" t="inlineStr">
        <is>
          <t>PAD-EH</t>
        </is>
      </c>
      <c r="F1893" s="9" t="inlineStr">
        <is>
          <t>PAD-EH 13.8 kV switchgear e-house</t>
        </is>
      </c>
      <c r="G1893" s="9" t="inlineStr">
        <is>
          <t>CONT-1</t>
        </is>
      </c>
      <c r="H1893" s="9" t="inlineStr">
        <is>
          <t>CONT-1: containerized genset 13.8 kV (40 ft)</t>
        </is>
      </c>
      <c r="I1893" s="9" t="inlineStr">
        <is>
          <t>Control</t>
        </is>
      </c>
      <c r="J1893" s="9" t="inlineStr">
        <is>
          <t>Control cable 600 V Type TC-ER, Cu #10 AWG (CT / VT circuits)</t>
        </is>
      </c>
      <c r="K1893" s="9" t="inlineStr">
        <is>
          <t>CTCT|4/C|10</t>
        </is>
      </c>
      <c r="L1893" s="9" t="inlineStr">
        <is>
          <t>4/C</t>
        </is>
      </c>
      <c r="M1893" s="9" t="inlineStr">
        <is>
          <t>10</t>
        </is>
      </c>
      <c r="N1893" s="9" t="n">
        <v>1</v>
      </c>
      <c r="O1893" s="9" t="n">
        <v>1</v>
      </c>
      <c r="P1893" s="9" t="n"/>
      <c r="Q1893" s="9" t="n"/>
      <c r="R1893" s="9" t="n"/>
      <c r="S1893" s="9" t="inlineStr">
        <is>
          <t>Surface</t>
        </is>
      </c>
      <c r="T1893" s="10" t="n">
        <v>380</v>
      </c>
      <c r="U1893" s="10" t="n">
        <v>27</v>
      </c>
      <c r="V1893" s="10">
        <f>ROUNDUP((T1893+U1893+2*'Read Me'!$B$13)*(1+'Read Me'!$B$12),-1)</f>
        <v/>
      </c>
      <c r="W1893" s="10">
        <f>V1893*N1893*O1893</f>
        <v/>
      </c>
      <c r="X1893" s="9">
        <f>IF(LEFT(I1893,2)="MV",2*N1893*IF(L1893="1/C",O1893,1),0)</f>
        <v/>
      </c>
      <c r="Y1893" s="9">
        <f>IF(OR(LEFT(K1893,4)="LVAX",LEFT(K1893,6)="MV15AX",LEFT(K1893,4)="CTAX",LEFT(K1893,2)="W|"),2*N1893*O1893,0)</f>
        <v/>
      </c>
      <c r="Z1893" s="9" t="inlineStr"/>
    </row>
    <row r="1894">
      <c r="A1894" s="9" t="inlineStr">
        <is>
          <t>I-C-0011</t>
        </is>
      </c>
      <c r="B1894" s="9" t="inlineStr">
        <is>
          <t>I</t>
        </is>
      </c>
      <c r="C1894" s="9" t="inlineStr">
        <is>
          <t>Modular / portable power</t>
        </is>
      </c>
      <c r="D1894" s="9" t="inlineStr">
        <is>
          <t>CT / VT</t>
        </is>
      </c>
      <c r="E1894" s="9" t="inlineStr">
        <is>
          <t>PAD-EH</t>
        </is>
      </c>
      <c r="F1894" s="9" t="inlineStr">
        <is>
          <t>PAD-EH 13.8 kV switchgear e-house</t>
        </is>
      </c>
      <c r="G1894" s="9" t="inlineStr">
        <is>
          <t>CONT-1</t>
        </is>
      </c>
      <c r="H1894" s="9" t="inlineStr">
        <is>
          <t>CONT-1: containerized genset 13.8 kV (40 ft)</t>
        </is>
      </c>
      <c r="I1894" s="9" t="inlineStr">
        <is>
          <t>Control</t>
        </is>
      </c>
      <c r="J1894" s="9" t="inlineStr">
        <is>
          <t>Control cable 600 V Type TC-ER, Cu #10 AWG (CT / VT circuits)</t>
        </is>
      </c>
      <c r="K1894" s="9" t="inlineStr">
        <is>
          <t>CTCT|4/C|10</t>
        </is>
      </c>
      <c r="L1894" s="9" t="inlineStr">
        <is>
          <t>4/C</t>
        </is>
      </c>
      <c r="M1894" s="9" t="inlineStr">
        <is>
          <t>10</t>
        </is>
      </c>
      <c r="N1894" s="9" t="n">
        <v>1</v>
      </c>
      <c r="O1894" s="9" t="n">
        <v>1</v>
      </c>
      <c r="P1894" s="9" t="n"/>
      <c r="Q1894" s="9" t="n"/>
      <c r="R1894" s="9" t="n"/>
      <c r="S1894" s="9" t="inlineStr">
        <is>
          <t>Surface</t>
        </is>
      </c>
      <c r="T1894" s="10" t="n">
        <v>380</v>
      </c>
      <c r="U1894" s="10" t="n">
        <v>27</v>
      </c>
      <c r="V1894" s="10">
        <f>ROUNDUP((T1894+U1894+2*'Read Me'!$B$13)*(1+'Read Me'!$B$12),-1)</f>
        <v/>
      </c>
      <c r="W1894" s="10">
        <f>V1894*N1894*O1894</f>
        <v/>
      </c>
      <c r="X1894" s="9">
        <f>IF(LEFT(I1894,2)="MV",2*N1894*IF(L1894="1/C",O1894,1),0)</f>
        <v/>
      </c>
      <c r="Y1894" s="9">
        <f>IF(OR(LEFT(K1894,4)="LVAX",LEFT(K1894,6)="MV15AX",LEFT(K1894,4)="CTAX",LEFT(K1894,2)="W|"),2*N1894*O1894,0)</f>
        <v/>
      </c>
      <c r="Z1894" s="9" t="inlineStr"/>
    </row>
    <row r="1895">
      <c r="A1895" s="9" t="inlineStr">
        <is>
          <t>I-C-0012</t>
        </is>
      </c>
      <c r="B1895" s="9" t="inlineStr">
        <is>
          <t>I</t>
        </is>
      </c>
      <c r="C1895" s="9" t="inlineStr">
        <is>
          <t>Modular / portable power</t>
        </is>
      </c>
      <c r="D1895" s="9" t="inlineStr">
        <is>
          <t>Control</t>
        </is>
      </c>
      <c r="E1895" s="9" t="inlineStr">
        <is>
          <t>PAD-EH</t>
        </is>
      </c>
      <c r="F1895" s="9" t="inlineStr">
        <is>
          <t>PAD-EH 13.8 kV switchgear e-house</t>
        </is>
      </c>
      <c r="G1895" s="9" t="inlineStr">
        <is>
          <t>CONT-2</t>
        </is>
      </c>
      <c r="H1895" s="9" t="inlineStr">
        <is>
          <t>CONT-2: containerized genset 13.8 kV (40 ft)</t>
        </is>
      </c>
      <c r="I1895" s="9" t="inlineStr">
        <is>
          <t>Control</t>
        </is>
      </c>
      <c r="J1895" s="9" t="inlineStr">
        <is>
          <t>Control cable 600 V Type TC-ER, Cu #14 AWG, PVC jacket</t>
        </is>
      </c>
      <c r="K1895" s="9" t="inlineStr">
        <is>
          <t>CT|7/C|14</t>
        </is>
      </c>
      <c r="L1895" s="9" t="inlineStr">
        <is>
          <t>7/C</t>
        </is>
      </c>
      <c r="M1895" s="9" t="inlineStr">
        <is>
          <t>14</t>
        </is>
      </c>
      <c r="N1895" s="9" t="n">
        <v>1</v>
      </c>
      <c r="O1895" s="9" t="n">
        <v>1</v>
      </c>
      <c r="P1895" s="9" t="n"/>
      <c r="Q1895" s="9" t="n"/>
      <c r="R1895" s="9" t="n"/>
      <c r="S1895" s="9" t="inlineStr">
        <is>
          <t>Surface</t>
        </is>
      </c>
      <c r="T1895" s="10" t="n">
        <v>380</v>
      </c>
      <c r="U1895" s="10" t="n">
        <v>54</v>
      </c>
      <c r="V1895" s="10">
        <f>ROUNDUP((T1895+U1895+2*'Read Me'!$B$13)*(1+'Read Me'!$B$12),-1)</f>
        <v/>
      </c>
      <c r="W1895" s="10">
        <f>V1895*N1895*O1895</f>
        <v/>
      </c>
      <c r="X1895" s="9">
        <f>IF(LEFT(I1895,2)="MV",2*N1895*IF(L1895="1/C",O1895,1),0)</f>
        <v/>
      </c>
      <c r="Y1895" s="9">
        <f>IF(OR(LEFT(K1895,4)="LVAX",LEFT(K1895,6)="MV15AX",LEFT(K1895,4)="CTAX",LEFT(K1895,2)="W|"),2*N1895*O1895,0)</f>
        <v/>
      </c>
      <c r="Z1895" s="9" t="inlineStr"/>
    </row>
    <row r="1896">
      <c r="A1896" s="9" t="inlineStr">
        <is>
          <t>I-C-0013</t>
        </is>
      </c>
      <c r="B1896" s="9" t="inlineStr">
        <is>
          <t>I</t>
        </is>
      </c>
      <c r="C1896" s="9" t="inlineStr">
        <is>
          <t>Modular / portable power</t>
        </is>
      </c>
      <c r="D1896" s="9" t="inlineStr">
        <is>
          <t>Control</t>
        </is>
      </c>
      <c r="E1896" s="9" t="inlineStr">
        <is>
          <t>PAD-EH</t>
        </is>
      </c>
      <c r="F1896" s="9" t="inlineStr">
        <is>
          <t>PAD-EH 13.8 kV switchgear e-house</t>
        </is>
      </c>
      <c r="G1896" s="9" t="inlineStr">
        <is>
          <t>CONT-2</t>
        </is>
      </c>
      <c r="H1896" s="9" t="inlineStr">
        <is>
          <t>CONT-2: containerized genset 13.8 kV (40 ft)</t>
        </is>
      </c>
      <c r="I1896" s="9" t="inlineStr">
        <is>
          <t>Control</t>
        </is>
      </c>
      <c r="J1896" s="9" t="inlineStr">
        <is>
          <t>Control cable 600 V Type TC-ER, Cu #14 AWG, PVC jacket</t>
        </is>
      </c>
      <c r="K1896" s="9" t="inlineStr">
        <is>
          <t>CT|12/C|14</t>
        </is>
      </c>
      <c r="L1896" s="9" t="inlineStr">
        <is>
          <t>12/C</t>
        </is>
      </c>
      <c r="M1896" s="9" t="inlineStr">
        <is>
          <t>14</t>
        </is>
      </c>
      <c r="N1896" s="9" t="n">
        <v>1</v>
      </c>
      <c r="O1896" s="9" t="n">
        <v>1</v>
      </c>
      <c r="P1896" s="9" t="n"/>
      <c r="Q1896" s="9" t="n"/>
      <c r="R1896" s="9" t="n"/>
      <c r="S1896" s="9" t="inlineStr">
        <is>
          <t>Surface</t>
        </is>
      </c>
      <c r="T1896" s="10" t="n">
        <v>380</v>
      </c>
      <c r="U1896" s="10" t="n">
        <v>54</v>
      </c>
      <c r="V1896" s="10">
        <f>ROUNDUP((T1896+U1896+2*'Read Me'!$B$13)*(1+'Read Me'!$B$12),-1)</f>
        <v/>
      </c>
      <c r="W1896" s="10">
        <f>V1896*N1896*O1896</f>
        <v/>
      </c>
      <c r="X1896" s="9">
        <f>IF(LEFT(I1896,2)="MV",2*N1896*IF(L1896="1/C",O1896,1),0)</f>
        <v/>
      </c>
      <c r="Y1896" s="9">
        <f>IF(OR(LEFT(K1896,4)="LVAX",LEFT(K1896,6)="MV15AX",LEFT(K1896,4)="CTAX",LEFT(K1896,2)="W|"),2*N1896*O1896,0)</f>
        <v/>
      </c>
      <c r="Z1896" s="9" t="inlineStr"/>
    </row>
    <row r="1897">
      <c r="A1897" s="9" t="inlineStr">
        <is>
          <t>I-C-0014</t>
        </is>
      </c>
      <c r="B1897" s="9" t="inlineStr">
        <is>
          <t>I</t>
        </is>
      </c>
      <c r="C1897" s="9" t="inlineStr">
        <is>
          <t>Modular / portable power</t>
        </is>
      </c>
      <c r="D1897" s="9" t="inlineStr">
        <is>
          <t>CT / VT</t>
        </is>
      </c>
      <c r="E1897" s="9" t="inlineStr">
        <is>
          <t>PAD-EH</t>
        </is>
      </c>
      <c r="F1897" s="9" t="inlineStr">
        <is>
          <t>PAD-EH 13.8 kV switchgear e-house</t>
        </is>
      </c>
      <c r="G1897" s="9" t="inlineStr">
        <is>
          <t>CONT-2</t>
        </is>
      </c>
      <c r="H1897" s="9" t="inlineStr">
        <is>
          <t>CONT-2: containerized genset 13.8 kV (40 ft)</t>
        </is>
      </c>
      <c r="I1897" s="9" t="inlineStr">
        <is>
          <t>Control</t>
        </is>
      </c>
      <c r="J1897" s="9" t="inlineStr">
        <is>
          <t>Control cable 600 V Type TC-ER, Cu #10 AWG (CT / VT circuits)</t>
        </is>
      </c>
      <c r="K1897" s="9" t="inlineStr">
        <is>
          <t>CTCT|4/C|10</t>
        </is>
      </c>
      <c r="L1897" s="9" t="inlineStr">
        <is>
          <t>4/C</t>
        </is>
      </c>
      <c r="M1897" s="9" t="inlineStr">
        <is>
          <t>10</t>
        </is>
      </c>
      <c r="N1897" s="9" t="n">
        <v>1</v>
      </c>
      <c r="O1897" s="9" t="n">
        <v>1</v>
      </c>
      <c r="P1897" s="9" t="n"/>
      <c r="Q1897" s="9" t="n"/>
      <c r="R1897" s="9" t="n"/>
      <c r="S1897" s="9" t="inlineStr">
        <is>
          <t>Surface</t>
        </is>
      </c>
      <c r="T1897" s="10" t="n">
        <v>380</v>
      </c>
      <c r="U1897" s="10" t="n">
        <v>54</v>
      </c>
      <c r="V1897" s="10">
        <f>ROUNDUP((T1897+U1897+2*'Read Me'!$B$13)*(1+'Read Me'!$B$12),-1)</f>
        <v/>
      </c>
      <c r="W1897" s="10">
        <f>V1897*N1897*O1897</f>
        <v/>
      </c>
      <c r="X1897" s="9">
        <f>IF(LEFT(I1897,2)="MV",2*N1897*IF(L1897="1/C",O1897,1),0)</f>
        <v/>
      </c>
      <c r="Y1897" s="9">
        <f>IF(OR(LEFT(K1897,4)="LVAX",LEFT(K1897,6)="MV15AX",LEFT(K1897,4)="CTAX",LEFT(K1897,2)="W|"),2*N1897*O1897,0)</f>
        <v/>
      </c>
      <c r="Z1897" s="9" t="inlineStr"/>
    </row>
    <row r="1898">
      <c r="A1898" s="9" t="inlineStr">
        <is>
          <t>I-C-0015</t>
        </is>
      </c>
      <c r="B1898" s="9" t="inlineStr">
        <is>
          <t>I</t>
        </is>
      </c>
      <c r="C1898" s="9" t="inlineStr">
        <is>
          <t>Modular / portable power</t>
        </is>
      </c>
      <c r="D1898" s="9" t="inlineStr">
        <is>
          <t>CT / VT</t>
        </is>
      </c>
      <c r="E1898" s="9" t="inlineStr">
        <is>
          <t>PAD-EH</t>
        </is>
      </c>
      <c r="F1898" s="9" t="inlineStr">
        <is>
          <t>PAD-EH 13.8 kV switchgear e-house</t>
        </is>
      </c>
      <c r="G1898" s="9" t="inlineStr">
        <is>
          <t>CONT-2</t>
        </is>
      </c>
      <c r="H1898" s="9" t="inlineStr">
        <is>
          <t>CONT-2: containerized genset 13.8 kV (40 ft)</t>
        </is>
      </c>
      <c r="I1898" s="9" t="inlineStr">
        <is>
          <t>Control</t>
        </is>
      </c>
      <c r="J1898" s="9" t="inlineStr">
        <is>
          <t>Control cable 600 V Type TC-ER, Cu #10 AWG (CT / VT circuits)</t>
        </is>
      </c>
      <c r="K1898" s="9" t="inlineStr">
        <is>
          <t>CTCT|4/C|10</t>
        </is>
      </c>
      <c r="L1898" s="9" t="inlineStr">
        <is>
          <t>4/C</t>
        </is>
      </c>
      <c r="M1898" s="9" t="inlineStr">
        <is>
          <t>10</t>
        </is>
      </c>
      <c r="N1898" s="9" t="n">
        <v>1</v>
      </c>
      <c r="O1898" s="9" t="n">
        <v>1</v>
      </c>
      <c r="P1898" s="9" t="n"/>
      <c r="Q1898" s="9" t="n"/>
      <c r="R1898" s="9" t="n"/>
      <c r="S1898" s="9" t="inlineStr">
        <is>
          <t>Surface</t>
        </is>
      </c>
      <c r="T1898" s="10" t="n">
        <v>380</v>
      </c>
      <c r="U1898" s="10" t="n">
        <v>54</v>
      </c>
      <c r="V1898" s="10">
        <f>ROUNDUP((T1898+U1898+2*'Read Me'!$B$13)*(1+'Read Me'!$B$12),-1)</f>
        <v/>
      </c>
      <c r="W1898" s="10">
        <f>V1898*N1898*O1898</f>
        <v/>
      </c>
      <c r="X1898" s="9">
        <f>IF(LEFT(I1898,2)="MV",2*N1898*IF(L1898="1/C",O1898,1),0)</f>
        <v/>
      </c>
      <c r="Y1898" s="9">
        <f>IF(OR(LEFT(K1898,4)="LVAX",LEFT(K1898,6)="MV15AX",LEFT(K1898,4)="CTAX",LEFT(K1898,2)="W|"),2*N1898*O1898,0)</f>
        <v/>
      </c>
      <c r="Z1898" s="9" t="inlineStr"/>
    </row>
    <row r="1899">
      <c r="A1899" s="9" t="inlineStr">
        <is>
          <t>I-C-0016</t>
        </is>
      </c>
      <c r="B1899" s="9" t="inlineStr">
        <is>
          <t>I</t>
        </is>
      </c>
      <c r="C1899" s="9" t="inlineStr">
        <is>
          <t>Modular / portable power</t>
        </is>
      </c>
      <c r="D1899" s="9" t="inlineStr">
        <is>
          <t>Control</t>
        </is>
      </c>
      <c r="E1899" s="9" t="inlineStr">
        <is>
          <t>PAD-EH</t>
        </is>
      </c>
      <c r="F1899" s="9" t="inlineStr">
        <is>
          <t>PAD-EH 13.8 kV switchgear e-house</t>
        </is>
      </c>
      <c r="G1899" s="9" t="inlineStr">
        <is>
          <t>CONT-3</t>
        </is>
      </c>
      <c r="H1899" s="9" t="inlineStr">
        <is>
          <t>CONT-3: containerized gas genset 13.8 kV (40 ft)</t>
        </is>
      </c>
      <c r="I1899" s="9" t="inlineStr">
        <is>
          <t>Control</t>
        </is>
      </c>
      <c r="J1899" s="9" t="inlineStr">
        <is>
          <t>Control cable 600 V Type TC-ER, Cu #14 AWG, PVC jacket</t>
        </is>
      </c>
      <c r="K1899" s="9" t="inlineStr">
        <is>
          <t>CT|7/C|14</t>
        </is>
      </c>
      <c r="L1899" s="9" t="inlineStr">
        <is>
          <t>7/C</t>
        </is>
      </c>
      <c r="M1899" s="9" t="inlineStr">
        <is>
          <t>14</t>
        </is>
      </c>
      <c r="N1899" s="9" t="n">
        <v>1</v>
      </c>
      <c r="O1899" s="9" t="n">
        <v>1</v>
      </c>
      <c r="P1899" s="9" t="n"/>
      <c r="Q1899" s="9" t="n"/>
      <c r="R1899" s="9" t="n"/>
      <c r="S1899" s="9" t="inlineStr">
        <is>
          <t>Surface</t>
        </is>
      </c>
      <c r="T1899" s="10" t="n">
        <v>209</v>
      </c>
      <c r="U1899" s="10" t="n">
        <v>27</v>
      </c>
      <c r="V1899" s="10">
        <f>ROUNDUP((T1899+U1899+2*'Read Me'!$B$13)*(1+'Read Me'!$B$12),-1)</f>
        <v/>
      </c>
      <c r="W1899" s="10">
        <f>V1899*N1899*O1899</f>
        <v/>
      </c>
      <c r="X1899" s="9">
        <f>IF(LEFT(I1899,2)="MV",2*N1899*IF(L1899="1/C",O1899,1),0)</f>
        <v/>
      </c>
      <c r="Y1899" s="9">
        <f>IF(OR(LEFT(K1899,4)="LVAX",LEFT(K1899,6)="MV15AX",LEFT(K1899,4)="CTAX",LEFT(K1899,2)="W|"),2*N1899*O1899,0)</f>
        <v/>
      </c>
      <c r="Z1899" s="9" t="inlineStr"/>
    </row>
    <row r="1900">
      <c r="A1900" s="9" t="inlineStr">
        <is>
          <t>I-C-0017</t>
        </is>
      </c>
      <c r="B1900" s="9" t="inlineStr">
        <is>
          <t>I</t>
        </is>
      </c>
      <c r="C1900" s="9" t="inlineStr">
        <is>
          <t>Modular / portable power</t>
        </is>
      </c>
      <c r="D1900" s="9" t="inlineStr">
        <is>
          <t>Control</t>
        </is>
      </c>
      <c r="E1900" s="9" t="inlineStr">
        <is>
          <t>PAD-EH</t>
        </is>
      </c>
      <c r="F1900" s="9" t="inlineStr">
        <is>
          <t>PAD-EH 13.8 kV switchgear e-house</t>
        </is>
      </c>
      <c r="G1900" s="9" t="inlineStr">
        <is>
          <t>CONT-3</t>
        </is>
      </c>
      <c r="H1900" s="9" t="inlineStr">
        <is>
          <t>CONT-3: containerized gas genset 13.8 kV (40 ft)</t>
        </is>
      </c>
      <c r="I1900" s="9" t="inlineStr">
        <is>
          <t>Control</t>
        </is>
      </c>
      <c r="J1900" s="9" t="inlineStr">
        <is>
          <t>Control cable 600 V Type TC-ER, Cu #14 AWG, PVC jacket</t>
        </is>
      </c>
      <c r="K1900" s="9" t="inlineStr">
        <is>
          <t>CT|12/C|14</t>
        </is>
      </c>
      <c r="L1900" s="9" t="inlineStr">
        <is>
          <t>12/C</t>
        </is>
      </c>
      <c r="M1900" s="9" t="inlineStr">
        <is>
          <t>14</t>
        </is>
      </c>
      <c r="N1900" s="9" t="n">
        <v>1</v>
      </c>
      <c r="O1900" s="9" t="n">
        <v>1</v>
      </c>
      <c r="P1900" s="9" t="n"/>
      <c r="Q1900" s="9" t="n"/>
      <c r="R1900" s="9" t="n"/>
      <c r="S1900" s="9" t="inlineStr">
        <is>
          <t>Surface</t>
        </is>
      </c>
      <c r="T1900" s="10" t="n">
        <v>209</v>
      </c>
      <c r="U1900" s="10" t="n">
        <v>27</v>
      </c>
      <c r="V1900" s="10">
        <f>ROUNDUP((T1900+U1900+2*'Read Me'!$B$13)*(1+'Read Me'!$B$12),-1)</f>
        <v/>
      </c>
      <c r="W1900" s="10">
        <f>V1900*N1900*O1900</f>
        <v/>
      </c>
      <c r="X1900" s="9">
        <f>IF(LEFT(I1900,2)="MV",2*N1900*IF(L1900="1/C",O1900,1),0)</f>
        <v/>
      </c>
      <c r="Y1900" s="9">
        <f>IF(OR(LEFT(K1900,4)="LVAX",LEFT(K1900,6)="MV15AX",LEFT(K1900,4)="CTAX",LEFT(K1900,2)="W|"),2*N1900*O1900,0)</f>
        <v/>
      </c>
      <c r="Z1900" s="9" t="inlineStr"/>
    </row>
    <row r="1901">
      <c r="A1901" s="9" t="inlineStr">
        <is>
          <t>I-C-0018</t>
        </is>
      </c>
      <c r="B1901" s="9" t="inlineStr">
        <is>
          <t>I</t>
        </is>
      </c>
      <c r="C1901" s="9" t="inlineStr">
        <is>
          <t>Modular / portable power</t>
        </is>
      </c>
      <c r="D1901" s="9" t="inlineStr">
        <is>
          <t>CT / VT</t>
        </is>
      </c>
      <c r="E1901" s="9" t="inlineStr">
        <is>
          <t>PAD-EH</t>
        </is>
      </c>
      <c r="F1901" s="9" t="inlineStr">
        <is>
          <t>PAD-EH 13.8 kV switchgear e-house</t>
        </is>
      </c>
      <c r="G1901" s="9" t="inlineStr">
        <is>
          <t>CONT-3</t>
        </is>
      </c>
      <c r="H1901" s="9" t="inlineStr">
        <is>
          <t>CONT-3: containerized gas genset 13.8 kV (40 ft)</t>
        </is>
      </c>
      <c r="I1901" s="9" t="inlineStr">
        <is>
          <t>Control</t>
        </is>
      </c>
      <c r="J1901" s="9" t="inlineStr">
        <is>
          <t>Control cable 600 V Type TC-ER, Cu #10 AWG (CT / VT circuits)</t>
        </is>
      </c>
      <c r="K1901" s="9" t="inlineStr">
        <is>
          <t>CTCT|4/C|10</t>
        </is>
      </c>
      <c r="L1901" s="9" t="inlineStr">
        <is>
          <t>4/C</t>
        </is>
      </c>
      <c r="M1901" s="9" t="inlineStr">
        <is>
          <t>10</t>
        </is>
      </c>
      <c r="N1901" s="9" t="n">
        <v>1</v>
      </c>
      <c r="O1901" s="9" t="n">
        <v>1</v>
      </c>
      <c r="P1901" s="9" t="n"/>
      <c r="Q1901" s="9" t="n"/>
      <c r="R1901" s="9" t="n"/>
      <c r="S1901" s="9" t="inlineStr">
        <is>
          <t>Surface</t>
        </is>
      </c>
      <c r="T1901" s="10" t="n">
        <v>209</v>
      </c>
      <c r="U1901" s="10" t="n">
        <v>27</v>
      </c>
      <c r="V1901" s="10">
        <f>ROUNDUP((T1901+U1901+2*'Read Me'!$B$13)*(1+'Read Me'!$B$12),-1)</f>
        <v/>
      </c>
      <c r="W1901" s="10">
        <f>V1901*N1901*O1901</f>
        <v/>
      </c>
      <c r="X1901" s="9">
        <f>IF(LEFT(I1901,2)="MV",2*N1901*IF(L1901="1/C",O1901,1),0)</f>
        <v/>
      </c>
      <c r="Y1901" s="9">
        <f>IF(OR(LEFT(K1901,4)="LVAX",LEFT(K1901,6)="MV15AX",LEFT(K1901,4)="CTAX",LEFT(K1901,2)="W|"),2*N1901*O1901,0)</f>
        <v/>
      </c>
      <c r="Z1901" s="9" t="inlineStr"/>
    </row>
    <row r="1902">
      <c r="A1902" s="9" t="inlineStr">
        <is>
          <t>I-C-0019</t>
        </is>
      </c>
      <c r="B1902" s="9" t="inlineStr">
        <is>
          <t>I</t>
        </is>
      </c>
      <c r="C1902" s="9" t="inlineStr">
        <is>
          <t>Modular / portable power</t>
        </is>
      </c>
      <c r="D1902" s="9" t="inlineStr">
        <is>
          <t>CT / VT</t>
        </is>
      </c>
      <c r="E1902" s="9" t="inlineStr">
        <is>
          <t>PAD-EH</t>
        </is>
      </c>
      <c r="F1902" s="9" t="inlineStr">
        <is>
          <t>PAD-EH 13.8 kV switchgear e-house</t>
        </is>
      </c>
      <c r="G1902" s="9" t="inlineStr">
        <is>
          <t>CONT-3</t>
        </is>
      </c>
      <c r="H1902" s="9" t="inlineStr">
        <is>
          <t>CONT-3: containerized gas genset 13.8 kV (40 ft)</t>
        </is>
      </c>
      <c r="I1902" s="9" t="inlineStr">
        <is>
          <t>Control</t>
        </is>
      </c>
      <c r="J1902" s="9" t="inlineStr">
        <is>
          <t>Control cable 600 V Type TC-ER, Cu #10 AWG (CT / VT circuits)</t>
        </is>
      </c>
      <c r="K1902" s="9" t="inlineStr">
        <is>
          <t>CTCT|4/C|10</t>
        </is>
      </c>
      <c r="L1902" s="9" t="inlineStr">
        <is>
          <t>4/C</t>
        </is>
      </c>
      <c r="M1902" s="9" t="inlineStr">
        <is>
          <t>10</t>
        </is>
      </c>
      <c r="N1902" s="9" t="n">
        <v>1</v>
      </c>
      <c r="O1902" s="9" t="n">
        <v>1</v>
      </c>
      <c r="P1902" s="9" t="n"/>
      <c r="Q1902" s="9" t="n"/>
      <c r="R1902" s="9" t="n"/>
      <c r="S1902" s="9" t="inlineStr">
        <is>
          <t>Surface</t>
        </is>
      </c>
      <c r="T1902" s="10" t="n">
        <v>209</v>
      </c>
      <c r="U1902" s="10" t="n">
        <v>27</v>
      </c>
      <c r="V1902" s="10">
        <f>ROUNDUP((T1902+U1902+2*'Read Me'!$B$13)*(1+'Read Me'!$B$12),-1)</f>
        <v/>
      </c>
      <c r="W1902" s="10">
        <f>V1902*N1902*O1902</f>
        <v/>
      </c>
      <c r="X1902" s="9">
        <f>IF(LEFT(I1902,2)="MV",2*N1902*IF(L1902="1/C",O1902,1),0)</f>
        <v/>
      </c>
      <c r="Y1902" s="9">
        <f>IF(OR(LEFT(K1902,4)="LVAX",LEFT(K1902,6)="MV15AX",LEFT(K1902,4)="CTAX",LEFT(K1902,2)="W|"),2*N1902*O1902,0)</f>
        <v/>
      </c>
      <c r="Z1902" s="9" t="inlineStr"/>
    </row>
    <row r="1903">
      <c r="A1903" s="9" t="inlineStr">
        <is>
          <t>I-C-0020</t>
        </is>
      </c>
      <c r="B1903" s="9" t="inlineStr">
        <is>
          <t>I</t>
        </is>
      </c>
      <c r="C1903" s="9" t="inlineStr">
        <is>
          <t>Modular / portable power</t>
        </is>
      </c>
      <c r="D1903" s="9" t="inlineStr">
        <is>
          <t>Control</t>
        </is>
      </c>
      <c r="E1903" s="9" t="inlineStr">
        <is>
          <t>PAD-EH</t>
        </is>
      </c>
      <c r="F1903" s="9" t="inlineStr">
        <is>
          <t>PAD-EH 13.8 kV switchgear e-house</t>
        </is>
      </c>
      <c r="G1903" s="9" t="inlineStr">
        <is>
          <t>CONT-4</t>
        </is>
      </c>
      <c r="H1903" s="9" t="inlineStr">
        <is>
          <t>CONT-4: containerized gas genset 13.8 kV (40 ft)</t>
        </is>
      </c>
      <c r="I1903" s="9" t="inlineStr">
        <is>
          <t>Control</t>
        </is>
      </c>
      <c r="J1903" s="9" t="inlineStr">
        <is>
          <t>Control cable 600 V Type TC-ER, Cu #14 AWG, PVC jacket</t>
        </is>
      </c>
      <c r="K1903" s="9" t="inlineStr">
        <is>
          <t>CT|7/C|14</t>
        </is>
      </c>
      <c r="L1903" s="9" t="inlineStr">
        <is>
          <t>7/C</t>
        </is>
      </c>
      <c r="M1903" s="9" t="inlineStr">
        <is>
          <t>14</t>
        </is>
      </c>
      <c r="N1903" s="9" t="n">
        <v>1</v>
      </c>
      <c r="O1903" s="9" t="n">
        <v>1</v>
      </c>
      <c r="P1903" s="9" t="n"/>
      <c r="Q1903" s="9" t="n"/>
      <c r="R1903" s="9" t="n"/>
      <c r="S1903" s="9" t="inlineStr">
        <is>
          <t>Surface</t>
        </is>
      </c>
      <c r="T1903" s="10" t="n">
        <v>103</v>
      </c>
      <c r="U1903" s="10" t="n">
        <v>117</v>
      </c>
      <c r="V1903" s="10">
        <f>ROUNDUP((T1903+U1903+2*'Read Me'!$B$13)*(1+'Read Me'!$B$12),-1)</f>
        <v/>
      </c>
      <c r="W1903" s="10">
        <f>V1903*N1903*O1903</f>
        <v/>
      </c>
      <c r="X1903" s="9">
        <f>IF(LEFT(I1903,2)="MV",2*N1903*IF(L1903="1/C",O1903,1),0)</f>
        <v/>
      </c>
      <c r="Y1903" s="9">
        <f>IF(OR(LEFT(K1903,4)="LVAX",LEFT(K1903,6)="MV15AX",LEFT(K1903,4)="CTAX",LEFT(K1903,2)="W|"),2*N1903*O1903,0)</f>
        <v/>
      </c>
      <c r="Z1903" s="9" t="inlineStr"/>
    </row>
    <row r="1904">
      <c r="A1904" s="9" t="inlineStr">
        <is>
          <t>I-C-0021</t>
        </is>
      </c>
      <c r="B1904" s="9" t="inlineStr">
        <is>
          <t>I</t>
        </is>
      </c>
      <c r="C1904" s="9" t="inlineStr">
        <is>
          <t>Modular / portable power</t>
        </is>
      </c>
      <c r="D1904" s="9" t="inlineStr">
        <is>
          <t>Control</t>
        </is>
      </c>
      <c r="E1904" s="9" t="inlineStr">
        <is>
          <t>PAD-EH</t>
        </is>
      </c>
      <c r="F1904" s="9" t="inlineStr">
        <is>
          <t>PAD-EH 13.8 kV switchgear e-house</t>
        </is>
      </c>
      <c r="G1904" s="9" t="inlineStr">
        <is>
          <t>CONT-4</t>
        </is>
      </c>
      <c r="H1904" s="9" t="inlineStr">
        <is>
          <t>CONT-4: containerized gas genset 13.8 kV (40 ft)</t>
        </is>
      </c>
      <c r="I1904" s="9" t="inlineStr">
        <is>
          <t>Control</t>
        </is>
      </c>
      <c r="J1904" s="9" t="inlineStr">
        <is>
          <t>Control cable 600 V Type TC-ER, Cu #14 AWG, PVC jacket</t>
        </is>
      </c>
      <c r="K1904" s="9" t="inlineStr">
        <is>
          <t>CT|12/C|14</t>
        </is>
      </c>
      <c r="L1904" s="9" t="inlineStr">
        <is>
          <t>12/C</t>
        </is>
      </c>
      <c r="M1904" s="9" t="inlineStr">
        <is>
          <t>14</t>
        </is>
      </c>
      <c r="N1904" s="9" t="n">
        <v>1</v>
      </c>
      <c r="O1904" s="9" t="n">
        <v>1</v>
      </c>
      <c r="P1904" s="9" t="n"/>
      <c r="Q1904" s="9" t="n"/>
      <c r="R1904" s="9" t="n"/>
      <c r="S1904" s="9" t="inlineStr">
        <is>
          <t>Surface</t>
        </is>
      </c>
      <c r="T1904" s="10" t="n">
        <v>103</v>
      </c>
      <c r="U1904" s="10" t="n">
        <v>117</v>
      </c>
      <c r="V1904" s="10">
        <f>ROUNDUP((T1904+U1904+2*'Read Me'!$B$13)*(1+'Read Me'!$B$12),-1)</f>
        <v/>
      </c>
      <c r="W1904" s="10">
        <f>V1904*N1904*O1904</f>
        <v/>
      </c>
      <c r="X1904" s="9">
        <f>IF(LEFT(I1904,2)="MV",2*N1904*IF(L1904="1/C",O1904,1),0)</f>
        <v/>
      </c>
      <c r="Y1904" s="9">
        <f>IF(OR(LEFT(K1904,4)="LVAX",LEFT(K1904,6)="MV15AX",LEFT(K1904,4)="CTAX",LEFT(K1904,2)="W|"),2*N1904*O1904,0)</f>
        <v/>
      </c>
      <c r="Z1904" s="9" t="inlineStr"/>
    </row>
    <row r="1905">
      <c r="A1905" s="9" t="inlineStr">
        <is>
          <t>I-C-0022</t>
        </is>
      </c>
      <c r="B1905" s="9" t="inlineStr">
        <is>
          <t>I</t>
        </is>
      </c>
      <c r="C1905" s="9" t="inlineStr">
        <is>
          <t>Modular / portable power</t>
        </is>
      </c>
      <c r="D1905" s="9" t="inlineStr">
        <is>
          <t>CT / VT</t>
        </is>
      </c>
      <c r="E1905" s="9" t="inlineStr">
        <is>
          <t>PAD-EH</t>
        </is>
      </c>
      <c r="F1905" s="9" t="inlineStr">
        <is>
          <t>PAD-EH 13.8 kV switchgear e-house</t>
        </is>
      </c>
      <c r="G1905" s="9" t="inlineStr">
        <is>
          <t>CONT-4</t>
        </is>
      </c>
      <c r="H1905" s="9" t="inlineStr">
        <is>
          <t>CONT-4: containerized gas genset 13.8 kV (40 ft)</t>
        </is>
      </c>
      <c r="I1905" s="9" t="inlineStr">
        <is>
          <t>Control</t>
        </is>
      </c>
      <c r="J1905" s="9" t="inlineStr">
        <is>
          <t>Control cable 600 V Type TC-ER, Cu #10 AWG (CT / VT circuits)</t>
        </is>
      </c>
      <c r="K1905" s="9" t="inlineStr">
        <is>
          <t>CTCT|4/C|10</t>
        </is>
      </c>
      <c r="L1905" s="9" t="inlineStr">
        <is>
          <t>4/C</t>
        </is>
      </c>
      <c r="M1905" s="9" t="inlineStr">
        <is>
          <t>10</t>
        </is>
      </c>
      <c r="N1905" s="9" t="n">
        <v>1</v>
      </c>
      <c r="O1905" s="9" t="n">
        <v>1</v>
      </c>
      <c r="P1905" s="9" t="n"/>
      <c r="Q1905" s="9" t="n"/>
      <c r="R1905" s="9" t="n"/>
      <c r="S1905" s="9" t="inlineStr">
        <is>
          <t>Surface</t>
        </is>
      </c>
      <c r="T1905" s="10" t="n">
        <v>103</v>
      </c>
      <c r="U1905" s="10" t="n">
        <v>117</v>
      </c>
      <c r="V1905" s="10">
        <f>ROUNDUP((T1905+U1905+2*'Read Me'!$B$13)*(1+'Read Me'!$B$12),-1)</f>
        <v/>
      </c>
      <c r="W1905" s="10">
        <f>V1905*N1905*O1905</f>
        <v/>
      </c>
      <c r="X1905" s="9">
        <f>IF(LEFT(I1905,2)="MV",2*N1905*IF(L1905="1/C",O1905,1),0)</f>
        <v/>
      </c>
      <c r="Y1905" s="9">
        <f>IF(OR(LEFT(K1905,4)="LVAX",LEFT(K1905,6)="MV15AX",LEFT(K1905,4)="CTAX",LEFT(K1905,2)="W|"),2*N1905*O1905,0)</f>
        <v/>
      </c>
      <c r="Z1905" s="9" t="inlineStr"/>
    </row>
    <row r="1906">
      <c r="A1906" s="9" t="inlineStr">
        <is>
          <t>I-C-0023</t>
        </is>
      </c>
      <c r="B1906" s="9" t="inlineStr">
        <is>
          <t>I</t>
        </is>
      </c>
      <c r="C1906" s="9" t="inlineStr">
        <is>
          <t>Modular / portable power</t>
        </is>
      </c>
      <c r="D1906" s="9" t="inlineStr">
        <is>
          <t>CT / VT</t>
        </is>
      </c>
      <c r="E1906" s="9" t="inlineStr">
        <is>
          <t>PAD-EH</t>
        </is>
      </c>
      <c r="F1906" s="9" t="inlineStr">
        <is>
          <t>PAD-EH 13.8 kV switchgear e-house</t>
        </is>
      </c>
      <c r="G1906" s="9" t="inlineStr">
        <is>
          <t>CONT-4</t>
        </is>
      </c>
      <c r="H1906" s="9" t="inlineStr">
        <is>
          <t>CONT-4: containerized gas genset 13.8 kV (40 ft)</t>
        </is>
      </c>
      <c r="I1906" s="9" t="inlineStr">
        <is>
          <t>Control</t>
        </is>
      </c>
      <c r="J1906" s="9" t="inlineStr">
        <is>
          <t>Control cable 600 V Type TC-ER, Cu #10 AWG (CT / VT circuits)</t>
        </is>
      </c>
      <c r="K1906" s="9" t="inlineStr">
        <is>
          <t>CTCT|4/C|10</t>
        </is>
      </c>
      <c r="L1906" s="9" t="inlineStr">
        <is>
          <t>4/C</t>
        </is>
      </c>
      <c r="M1906" s="9" t="inlineStr">
        <is>
          <t>10</t>
        </is>
      </c>
      <c r="N1906" s="9" t="n">
        <v>1</v>
      </c>
      <c r="O1906" s="9" t="n">
        <v>1</v>
      </c>
      <c r="P1906" s="9" t="n"/>
      <c r="Q1906" s="9" t="n"/>
      <c r="R1906" s="9" t="n"/>
      <c r="S1906" s="9" t="inlineStr">
        <is>
          <t>Surface</t>
        </is>
      </c>
      <c r="T1906" s="10" t="n">
        <v>103</v>
      </c>
      <c r="U1906" s="10" t="n">
        <v>117</v>
      </c>
      <c r="V1906" s="10">
        <f>ROUNDUP((T1906+U1906+2*'Read Me'!$B$13)*(1+'Read Me'!$B$12),-1)</f>
        <v/>
      </c>
      <c r="W1906" s="10">
        <f>V1906*N1906*O1906</f>
        <v/>
      </c>
      <c r="X1906" s="9">
        <f>IF(LEFT(I1906,2)="MV",2*N1906*IF(L1906="1/C",O1906,1),0)</f>
        <v/>
      </c>
      <c r="Y1906" s="9">
        <f>IF(OR(LEFT(K1906,4)="LVAX",LEFT(K1906,6)="MV15AX",LEFT(K1906,4)="CTAX",LEFT(K1906,2)="W|"),2*N1906*O1906,0)</f>
        <v/>
      </c>
      <c r="Z1906" s="9" t="inlineStr"/>
    </row>
    <row r="1907">
      <c r="A1907" s="9" t="inlineStr">
        <is>
          <t>I-C-0024</t>
        </is>
      </c>
      <c r="B1907" s="9" t="inlineStr">
        <is>
          <t>I</t>
        </is>
      </c>
      <c r="C1907" s="9" t="inlineStr">
        <is>
          <t>Modular / portable power</t>
        </is>
      </c>
      <c r="D1907" s="9" t="inlineStr">
        <is>
          <t>Control</t>
        </is>
      </c>
      <c r="E1907" s="9" t="inlineStr">
        <is>
          <t>PAD-EH</t>
        </is>
      </c>
      <c r="F1907" s="9" t="inlineStr">
        <is>
          <t>PAD-EH 13.8 kV switchgear e-house</t>
        </is>
      </c>
      <c r="G1907" s="9" t="inlineStr">
        <is>
          <t>CONT-5</t>
        </is>
      </c>
      <c r="H1907" s="9" t="inlineStr">
        <is>
          <t>CONT-5: containerized gas genset 13.8 kV (40 ft)</t>
        </is>
      </c>
      <c r="I1907" s="9" t="inlineStr">
        <is>
          <t>Control</t>
        </is>
      </c>
      <c r="J1907" s="9" t="inlineStr">
        <is>
          <t>Control cable 600 V Type TC-ER, Cu #14 AWG, PVC jacket</t>
        </is>
      </c>
      <c r="K1907" s="9" t="inlineStr">
        <is>
          <t>CT|7/C|14</t>
        </is>
      </c>
      <c r="L1907" s="9" t="inlineStr">
        <is>
          <t>7/C</t>
        </is>
      </c>
      <c r="M1907" s="9" t="inlineStr">
        <is>
          <t>14</t>
        </is>
      </c>
      <c r="N1907" s="9" t="n">
        <v>1</v>
      </c>
      <c r="O1907" s="9" t="n">
        <v>1</v>
      </c>
      <c r="P1907" s="9" t="n"/>
      <c r="Q1907" s="9" t="n"/>
      <c r="R1907" s="9" t="n"/>
      <c r="S1907" s="9" t="inlineStr">
        <is>
          <t>Tray</t>
        </is>
      </c>
      <c r="T1907" s="10" t="n">
        <v>0</v>
      </c>
      <c r="U1907" s="10" t="n">
        <v>77</v>
      </c>
      <c r="V1907" s="10">
        <f>ROUNDUP((T1907+U1907+2*'Read Me'!$B$13)*(1+'Read Me'!$B$12),-1)</f>
        <v/>
      </c>
      <c r="W1907" s="10">
        <f>V1907*N1907*O1907</f>
        <v/>
      </c>
      <c r="X1907" s="9">
        <f>IF(LEFT(I1907,2)="MV",2*N1907*IF(L1907="1/C",O1907,1),0)</f>
        <v/>
      </c>
      <c r="Y1907" s="9">
        <f>IF(OR(LEFT(K1907,4)="LVAX",LEFT(K1907,6)="MV15AX",LEFT(K1907,4)="CTAX",LEFT(K1907,2)="W|"),2*N1907*O1907,0)</f>
        <v/>
      </c>
      <c r="Z1907" s="9" t="inlineStr"/>
    </row>
    <row r="1908">
      <c r="A1908" s="9" t="inlineStr">
        <is>
          <t>I-C-0025</t>
        </is>
      </c>
      <c r="B1908" s="9" t="inlineStr">
        <is>
          <t>I</t>
        </is>
      </c>
      <c r="C1908" s="9" t="inlineStr">
        <is>
          <t>Modular / portable power</t>
        </is>
      </c>
      <c r="D1908" s="9" t="inlineStr">
        <is>
          <t>Control</t>
        </is>
      </c>
      <c r="E1908" s="9" t="inlineStr">
        <is>
          <t>PAD-EH</t>
        </is>
      </c>
      <c r="F1908" s="9" t="inlineStr">
        <is>
          <t>PAD-EH 13.8 kV switchgear e-house</t>
        </is>
      </c>
      <c r="G1908" s="9" t="inlineStr">
        <is>
          <t>CONT-5</t>
        </is>
      </c>
      <c r="H1908" s="9" t="inlineStr">
        <is>
          <t>CONT-5: containerized gas genset 13.8 kV (40 ft)</t>
        </is>
      </c>
      <c r="I1908" s="9" t="inlineStr">
        <is>
          <t>Control</t>
        </is>
      </c>
      <c r="J1908" s="9" t="inlineStr">
        <is>
          <t>Control cable 600 V Type TC-ER, Cu #14 AWG, PVC jacket</t>
        </is>
      </c>
      <c r="K1908" s="9" t="inlineStr">
        <is>
          <t>CT|12/C|14</t>
        </is>
      </c>
      <c r="L1908" s="9" t="inlineStr">
        <is>
          <t>12/C</t>
        </is>
      </c>
      <c r="M1908" s="9" t="inlineStr">
        <is>
          <t>14</t>
        </is>
      </c>
      <c r="N1908" s="9" t="n">
        <v>1</v>
      </c>
      <c r="O1908" s="9" t="n">
        <v>1</v>
      </c>
      <c r="P1908" s="9" t="n"/>
      <c r="Q1908" s="9" t="n"/>
      <c r="R1908" s="9" t="n"/>
      <c r="S1908" s="9" t="inlineStr">
        <is>
          <t>Tray</t>
        </is>
      </c>
      <c r="T1908" s="10" t="n">
        <v>0</v>
      </c>
      <c r="U1908" s="10" t="n">
        <v>77</v>
      </c>
      <c r="V1908" s="10">
        <f>ROUNDUP((T1908+U1908+2*'Read Me'!$B$13)*(1+'Read Me'!$B$12),-1)</f>
        <v/>
      </c>
      <c r="W1908" s="10">
        <f>V1908*N1908*O1908</f>
        <v/>
      </c>
      <c r="X1908" s="9">
        <f>IF(LEFT(I1908,2)="MV",2*N1908*IF(L1908="1/C",O1908,1),0)</f>
        <v/>
      </c>
      <c r="Y1908" s="9">
        <f>IF(OR(LEFT(K1908,4)="LVAX",LEFT(K1908,6)="MV15AX",LEFT(K1908,4)="CTAX",LEFT(K1908,2)="W|"),2*N1908*O1908,0)</f>
        <v/>
      </c>
      <c r="Z1908" s="9" t="inlineStr"/>
    </row>
    <row r="1909">
      <c r="A1909" s="9" t="inlineStr">
        <is>
          <t>I-C-0026</t>
        </is>
      </c>
      <c r="B1909" s="9" t="inlineStr">
        <is>
          <t>I</t>
        </is>
      </c>
      <c r="C1909" s="9" t="inlineStr">
        <is>
          <t>Modular / portable power</t>
        </is>
      </c>
      <c r="D1909" s="9" t="inlineStr">
        <is>
          <t>CT / VT</t>
        </is>
      </c>
      <c r="E1909" s="9" t="inlineStr">
        <is>
          <t>PAD-EH</t>
        </is>
      </c>
      <c r="F1909" s="9" t="inlineStr">
        <is>
          <t>PAD-EH 13.8 kV switchgear e-house</t>
        </is>
      </c>
      <c r="G1909" s="9" t="inlineStr">
        <is>
          <t>CONT-5</t>
        </is>
      </c>
      <c r="H1909" s="9" t="inlineStr">
        <is>
          <t>CONT-5: containerized gas genset 13.8 kV (40 ft)</t>
        </is>
      </c>
      <c r="I1909" s="9" t="inlineStr">
        <is>
          <t>Control</t>
        </is>
      </c>
      <c r="J1909" s="9" t="inlineStr">
        <is>
          <t>Control cable 600 V Type TC-ER, Cu #10 AWG (CT / VT circuits)</t>
        </is>
      </c>
      <c r="K1909" s="9" t="inlineStr">
        <is>
          <t>CTCT|4/C|10</t>
        </is>
      </c>
      <c r="L1909" s="9" t="inlineStr">
        <is>
          <t>4/C</t>
        </is>
      </c>
      <c r="M1909" s="9" t="inlineStr">
        <is>
          <t>10</t>
        </is>
      </c>
      <c r="N1909" s="9" t="n">
        <v>1</v>
      </c>
      <c r="O1909" s="9" t="n">
        <v>1</v>
      </c>
      <c r="P1909" s="9" t="n"/>
      <c r="Q1909" s="9" t="n"/>
      <c r="R1909" s="9" t="n"/>
      <c r="S1909" s="9" t="inlineStr">
        <is>
          <t>Tray</t>
        </is>
      </c>
      <c r="T1909" s="10" t="n">
        <v>0</v>
      </c>
      <c r="U1909" s="10" t="n">
        <v>77</v>
      </c>
      <c r="V1909" s="10">
        <f>ROUNDUP((T1909+U1909+2*'Read Me'!$B$13)*(1+'Read Me'!$B$12),-1)</f>
        <v/>
      </c>
      <c r="W1909" s="10">
        <f>V1909*N1909*O1909</f>
        <v/>
      </c>
      <c r="X1909" s="9">
        <f>IF(LEFT(I1909,2)="MV",2*N1909*IF(L1909="1/C",O1909,1),0)</f>
        <v/>
      </c>
      <c r="Y1909" s="9">
        <f>IF(OR(LEFT(K1909,4)="LVAX",LEFT(K1909,6)="MV15AX",LEFT(K1909,4)="CTAX",LEFT(K1909,2)="W|"),2*N1909*O1909,0)</f>
        <v/>
      </c>
      <c r="Z1909" s="9" t="inlineStr"/>
    </row>
    <row r="1910">
      <c r="A1910" s="9" t="inlineStr">
        <is>
          <t>I-C-0027</t>
        </is>
      </c>
      <c r="B1910" s="9" t="inlineStr">
        <is>
          <t>I</t>
        </is>
      </c>
      <c r="C1910" s="9" t="inlineStr">
        <is>
          <t>Modular / portable power</t>
        </is>
      </c>
      <c r="D1910" s="9" t="inlineStr">
        <is>
          <t>CT / VT</t>
        </is>
      </c>
      <c r="E1910" s="9" t="inlineStr">
        <is>
          <t>PAD-EH</t>
        </is>
      </c>
      <c r="F1910" s="9" t="inlineStr">
        <is>
          <t>PAD-EH 13.8 kV switchgear e-house</t>
        </is>
      </c>
      <c r="G1910" s="9" t="inlineStr">
        <is>
          <t>CONT-5</t>
        </is>
      </c>
      <c r="H1910" s="9" t="inlineStr">
        <is>
          <t>CONT-5: containerized gas genset 13.8 kV (40 ft)</t>
        </is>
      </c>
      <c r="I1910" s="9" t="inlineStr">
        <is>
          <t>Control</t>
        </is>
      </c>
      <c r="J1910" s="9" t="inlineStr">
        <is>
          <t>Control cable 600 V Type TC-ER, Cu #10 AWG (CT / VT circuits)</t>
        </is>
      </c>
      <c r="K1910" s="9" t="inlineStr">
        <is>
          <t>CTCT|4/C|10</t>
        </is>
      </c>
      <c r="L1910" s="9" t="inlineStr">
        <is>
          <t>4/C</t>
        </is>
      </c>
      <c r="M1910" s="9" t="inlineStr">
        <is>
          <t>10</t>
        </is>
      </c>
      <c r="N1910" s="9" t="n">
        <v>1</v>
      </c>
      <c r="O1910" s="9" t="n">
        <v>1</v>
      </c>
      <c r="P1910" s="9" t="n"/>
      <c r="Q1910" s="9" t="n"/>
      <c r="R1910" s="9" t="n"/>
      <c r="S1910" s="9" t="inlineStr">
        <is>
          <t>Tray</t>
        </is>
      </c>
      <c r="T1910" s="10" t="n">
        <v>0</v>
      </c>
      <c r="U1910" s="10" t="n">
        <v>77</v>
      </c>
      <c r="V1910" s="10">
        <f>ROUNDUP((T1910+U1910+2*'Read Me'!$B$13)*(1+'Read Me'!$B$12),-1)</f>
        <v/>
      </c>
      <c r="W1910" s="10">
        <f>V1910*N1910*O1910</f>
        <v/>
      </c>
      <c r="X1910" s="9">
        <f>IF(LEFT(I1910,2)="MV",2*N1910*IF(L1910="1/C",O1910,1),0)</f>
        <v/>
      </c>
      <c r="Y1910" s="9">
        <f>IF(OR(LEFT(K1910,4)="LVAX",LEFT(K1910,6)="MV15AX",LEFT(K1910,4)="CTAX",LEFT(K1910,2)="W|"),2*N1910*O1910,0)</f>
        <v/>
      </c>
      <c r="Z1910" s="9" t="inlineStr"/>
    </row>
    <row r="1911">
      <c r="A1911" s="9" t="inlineStr">
        <is>
          <t>I-C-0028</t>
        </is>
      </c>
      <c r="B1911" s="9" t="inlineStr">
        <is>
          <t>I</t>
        </is>
      </c>
      <c r="C1911" s="9" t="inlineStr">
        <is>
          <t>Modular / portable power</t>
        </is>
      </c>
      <c r="D1911" s="9" t="inlineStr">
        <is>
          <t>Control</t>
        </is>
      </c>
      <c r="E1911" s="9" t="inlineStr">
        <is>
          <t>PAD-EH</t>
        </is>
      </c>
      <c r="F1911" s="9" t="inlineStr">
        <is>
          <t>PAD-EH 13.8 kV switchgear e-house</t>
        </is>
      </c>
      <c r="G1911" s="9" t="inlineStr">
        <is>
          <t>CONT-6</t>
        </is>
      </c>
      <c r="H1911" s="9" t="inlineStr">
        <is>
          <t>CONT-6: containerized gas genset 13.8 kV (40 ft)</t>
        </is>
      </c>
      <c r="I1911" s="9" t="inlineStr">
        <is>
          <t>Control</t>
        </is>
      </c>
      <c r="J1911" s="9" t="inlineStr">
        <is>
          <t>Control cable 600 V Type TC-ER, Cu #14 AWG, PVC jacket</t>
        </is>
      </c>
      <c r="K1911" s="9" t="inlineStr">
        <is>
          <t>CT|7/C|14</t>
        </is>
      </c>
      <c r="L1911" s="9" t="inlineStr">
        <is>
          <t>7/C</t>
        </is>
      </c>
      <c r="M1911" s="9" t="inlineStr">
        <is>
          <t>14</t>
        </is>
      </c>
      <c r="N1911" s="9" t="n">
        <v>1</v>
      </c>
      <c r="O1911" s="9" t="n">
        <v>1</v>
      </c>
      <c r="P1911" s="9" t="n"/>
      <c r="Q1911" s="9" t="n"/>
      <c r="R1911" s="9" t="n"/>
      <c r="S1911" s="9" t="inlineStr">
        <is>
          <t>Surface</t>
        </is>
      </c>
      <c r="T1911" s="10" t="n">
        <v>209</v>
      </c>
      <c r="U1911" s="10" t="n">
        <v>82</v>
      </c>
      <c r="V1911" s="10">
        <f>ROUNDUP((T1911+U1911+2*'Read Me'!$B$13)*(1+'Read Me'!$B$12),-1)</f>
        <v/>
      </c>
      <c r="W1911" s="10">
        <f>V1911*N1911*O1911</f>
        <v/>
      </c>
      <c r="X1911" s="9">
        <f>IF(LEFT(I1911,2)="MV",2*N1911*IF(L1911="1/C",O1911,1),0)</f>
        <v/>
      </c>
      <c r="Y1911" s="9">
        <f>IF(OR(LEFT(K1911,4)="LVAX",LEFT(K1911,6)="MV15AX",LEFT(K1911,4)="CTAX",LEFT(K1911,2)="W|"),2*N1911*O1911,0)</f>
        <v/>
      </c>
      <c r="Z1911" s="9" t="inlineStr"/>
    </row>
    <row r="1912">
      <c r="A1912" s="9" t="inlineStr">
        <is>
          <t>I-C-0029</t>
        </is>
      </c>
      <c r="B1912" s="9" t="inlineStr">
        <is>
          <t>I</t>
        </is>
      </c>
      <c r="C1912" s="9" t="inlineStr">
        <is>
          <t>Modular / portable power</t>
        </is>
      </c>
      <c r="D1912" s="9" t="inlineStr">
        <is>
          <t>Control</t>
        </is>
      </c>
      <c r="E1912" s="9" t="inlineStr">
        <is>
          <t>PAD-EH</t>
        </is>
      </c>
      <c r="F1912" s="9" t="inlineStr">
        <is>
          <t>PAD-EH 13.8 kV switchgear e-house</t>
        </is>
      </c>
      <c r="G1912" s="9" t="inlineStr">
        <is>
          <t>CONT-6</t>
        </is>
      </c>
      <c r="H1912" s="9" t="inlineStr">
        <is>
          <t>CONT-6: containerized gas genset 13.8 kV (40 ft)</t>
        </is>
      </c>
      <c r="I1912" s="9" t="inlineStr">
        <is>
          <t>Control</t>
        </is>
      </c>
      <c r="J1912" s="9" t="inlineStr">
        <is>
          <t>Control cable 600 V Type TC-ER, Cu #14 AWG, PVC jacket</t>
        </is>
      </c>
      <c r="K1912" s="9" t="inlineStr">
        <is>
          <t>CT|12/C|14</t>
        </is>
      </c>
      <c r="L1912" s="9" t="inlineStr">
        <is>
          <t>12/C</t>
        </is>
      </c>
      <c r="M1912" s="9" t="inlineStr">
        <is>
          <t>14</t>
        </is>
      </c>
      <c r="N1912" s="9" t="n">
        <v>1</v>
      </c>
      <c r="O1912" s="9" t="n">
        <v>1</v>
      </c>
      <c r="P1912" s="9" t="n"/>
      <c r="Q1912" s="9" t="n"/>
      <c r="R1912" s="9" t="n"/>
      <c r="S1912" s="9" t="inlineStr">
        <is>
          <t>Surface</t>
        </is>
      </c>
      <c r="T1912" s="10" t="n">
        <v>209</v>
      </c>
      <c r="U1912" s="10" t="n">
        <v>82</v>
      </c>
      <c r="V1912" s="10">
        <f>ROUNDUP((T1912+U1912+2*'Read Me'!$B$13)*(1+'Read Me'!$B$12),-1)</f>
        <v/>
      </c>
      <c r="W1912" s="10">
        <f>V1912*N1912*O1912</f>
        <v/>
      </c>
      <c r="X1912" s="9">
        <f>IF(LEFT(I1912,2)="MV",2*N1912*IF(L1912="1/C",O1912,1),0)</f>
        <v/>
      </c>
      <c r="Y1912" s="9">
        <f>IF(OR(LEFT(K1912,4)="LVAX",LEFT(K1912,6)="MV15AX",LEFT(K1912,4)="CTAX",LEFT(K1912,2)="W|"),2*N1912*O1912,0)</f>
        <v/>
      </c>
      <c r="Z1912" s="9" t="inlineStr"/>
    </row>
    <row r="1913">
      <c r="A1913" s="9" t="inlineStr">
        <is>
          <t>I-C-0030</t>
        </is>
      </c>
      <c r="B1913" s="9" t="inlineStr">
        <is>
          <t>I</t>
        </is>
      </c>
      <c r="C1913" s="9" t="inlineStr">
        <is>
          <t>Modular / portable power</t>
        </is>
      </c>
      <c r="D1913" s="9" t="inlineStr">
        <is>
          <t>CT / VT</t>
        </is>
      </c>
      <c r="E1913" s="9" t="inlineStr">
        <is>
          <t>PAD-EH</t>
        </is>
      </c>
      <c r="F1913" s="9" t="inlineStr">
        <is>
          <t>PAD-EH 13.8 kV switchgear e-house</t>
        </is>
      </c>
      <c r="G1913" s="9" t="inlineStr">
        <is>
          <t>CONT-6</t>
        </is>
      </c>
      <c r="H1913" s="9" t="inlineStr">
        <is>
          <t>CONT-6: containerized gas genset 13.8 kV (40 ft)</t>
        </is>
      </c>
      <c r="I1913" s="9" t="inlineStr">
        <is>
          <t>Control</t>
        </is>
      </c>
      <c r="J1913" s="9" t="inlineStr">
        <is>
          <t>Control cable 600 V Type TC-ER, Cu #10 AWG (CT / VT circuits)</t>
        </is>
      </c>
      <c r="K1913" s="9" t="inlineStr">
        <is>
          <t>CTCT|4/C|10</t>
        </is>
      </c>
      <c r="L1913" s="9" t="inlineStr">
        <is>
          <t>4/C</t>
        </is>
      </c>
      <c r="M1913" s="9" t="inlineStr">
        <is>
          <t>10</t>
        </is>
      </c>
      <c r="N1913" s="9" t="n">
        <v>1</v>
      </c>
      <c r="O1913" s="9" t="n">
        <v>1</v>
      </c>
      <c r="P1913" s="9" t="n"/>
      <c r="Q1913" s="9" t="n"/>
      <c r="R1913" s="9" t="n"/>
      <c r="S1913" s="9" t="inlineStr">
        <is>
          <t>Surface</t>
        </is>
      </c>
      <c r="T1913" s="10" t="n">
        <v>209</v>
      </c>
      <c r="U1913" s="10" t="n">
        <v>82</v>
      </c>
      <c r="V1913" s="10">
        <f>ROUNDUP((T1913+U1913+2*'Read Me'!$B$13)*(1+'Read Me'!$B$12),-1)</f>
        <v/>
      </c>
      <c r="W1913" s="10">
        <f>V1913*N1913*O1913</f>
        <v/>
      </c>
      <c r="X1913" s="9">
        <f>IF(LEFT(I1913,2)="MV",2*N1913*IF(L1913="1/C",O1913,1),0)</f>
        <v/>
      </c>
      <c r="Y1913" s="9">
        <f>IF(OR(LEFT(K1913,4)="LVAX",LEFT(K1913,6)="MV15AX",LEFT(K1913,4)="CTAX",LEFT(K1913,2)="W|"),2*N1913*O1913,0)</f>
        <v/>
      </c>
      <c r="Z1913" s="9" t="inlineStr"/>
    </row>
    <row r="1914">
      <c r="A1914" s="9" t="inlineStr">
        <is>
          <t>I-C-0031</t>
        </is>
      </c>
      <c r="B1914" s="9" t="inlineStr">
        <is>
          <t>I</t>
        </is>
      </c>
      <c r="C1914" s="9" t="inlineStr">
        <is>
          <t>Modular / portable power</t>
        </is>
      </c>
      <c r="D1914" s="9" t="inlineStr">
        <is>
          <t>CT / VT</t>
        </is>
      </c>
      <c r="E1914" s="9" t="inlineStr">
        <is>
          <t>PAD-EH</t>
        </is>
      </c>
      <c r="F1914" s="9" t="inlineStr">
        <is>
          <t>PAD-EH 13.8 kV switchgear e-house</t>
        </is>
      </c>
      <c r="G1914" s="9" t="inlineStr">
        <is>
          <t>CONT-6</t>
        </is>
      </c>
      <c r="H1914" s="9" t="inlineStr">
        <is>
          <t>CONT-6: containerized gas genset 13.8 kV (40 ft)</t>
        </is>
      </c>
      <c r="I1914" s="9" t="inlineStr">
        <is>
          <t>Control</t>
        </is>
      </c>
      <c r="J1914" s="9" t="inlineStr">
        <is>
          <t>Control cable 600 V Type TC-ER, Cu #10 AWG (CT / VT circuits)</t>
        </is>
      </c>
      <c r="K1914" s="9" t="inlineStr">
        <is>
          <t>CTCT|4/C|10</t>
        </is>
      </c>
      <c r="L1914" s="9" t="inlineStr">
        <is>
          <t>4/C</t>
        </is>
      </c>
      <c r="M1914" s="9" t="inlineStr">
        <is>
          <t>10</t>
        </is>
      </c>
      <c r="N1914" s="9" t="n">
        <v>1</v>
      </c>
      <c r="O1914" s="9" t="n">
        <v>1</v>
      </c>
      <c r="P1914" s="9" t="n"/>
      <c r="Q1914" s="9" t="n"/>
      <c r="R1914" s="9" t="n"/>
      <c r="S1914" s="9" t="inlineStr">
        <is>
          <t>Surface</t>
        </is>
      </c>
      <c r="T1914" s="10" t="n">
        <v>209</v>
      </c>
      <c r="U1914" s="10" t="n">
        <v>82</v>
      </c>
      <c r="V1914" s="10">
        <f>ROUNDUP((T1914+U1914+2*'Read Me'!$B$13)*(1+'Read Me'!$B$12),-1)</f>
        <v/>
      </c>
      <c r="W1914" s="10">
        <f>V1914*N1914*O1914</f>
        <v/>
      </c>
      <c r="X1914" s="9">
        <f>IF(LEFT(I1914,2)="MV",2*N1914*IF(L1914="1/C",O1914,1),0)</f>
        <v/>
      </c>
      <c r="Y1914" s="9">
        <f>IF(OR(LEFT(K1914,4)="LVAX",LEFT(K1914,6)="MV15AX",LEFT(K1914,4)="CTAX",LEFT(K1914,2)="W|"),2*N1914*O1914,0)</f>
        <v/>
      </c>
      <c r="Z1914" s="9" t="inlineStr"/>
    </row>
    <row r="1915">
      <c r="A1915" s="9" t="inlineStr">
        <is>
          <t>I-C-0032</t>
        </is>
      </c>
      <c r="B1915" s="9" t="inlineStr">
        <is>
          <t>I</t>
        </is>
      </c>
      <c r="C1915" s="9" t="inlineStr">
        <is>
          <t>Modular / portable power</t>
        </is>
      </c>
      <c r="D1915" s="9" t="inlineStr">
        <is>
          <t>Control</t>
        </is>
      </c>
      <c r="E1915" s="9" t="inlineStr">
        <is>
          <t>PAD-EH</t>
        </is>
      </c>
      <c r="F1915" s="9" t="inlineStr">
        <is>
          <t>PAD-EH 13.8 kV switchgear e-house</t>
        </is>
      </c>
      <c r="G1915" s="9" t="inlineStr">
        <is>
          <t>CONT-7</t>
        </is>
      </c>
      <c r="H1915" s="9" t="inlineStr">
        <is>
          <t>CONT-7: containerized gas genset 13.8 kV (40 ft)</t>
        </is>
      </c>
      <c r="I1915" s="9" t="inlineStr">
        <is>
          <t>Control</t>
        </is>
      </c>
      <c r="J1915" s="9" t="inlineStr">
        <is>
          <t>Control cable 600 V Type TC-ER, Cu #14 AWG, PVC jacket</t>
        </is>
      </c>
      <c r="K1915" s="9" t="inlineStr">
        <is>
          <t>CT|7/C|14</t>
        </is>
      </c>
      <c r="L1915" s="9" t="inlineStr">
        <is>
          <t>7/C</t>
        </is>
      </c>
      <c r="M1915" s="9" t="inlineStr">
        <is>
          <t>14</t>
        </is>
      </c>
      <c r="N1915" s="9" t="n">
        <v>1</v>
      </c>
      <c r="O1915" s="9" t="n">
        <v>1</v>
      </c>
      <c r="P1915" s="9" t="n"/>
      <c r="Q1915" s="9" t="n"/>
      <c r="R1915" s="9" t="n"/>
      <c r="S1915" s="9" t="inlineStr">
        <is>
          <t>Surface</t>
        </is>
      </c>
      <c r="T1915" s="10" t="n">
        <v>280</v>
      </c>
      <c r="U1915" s="10" t="n">
        <v>67</v>
      </c>
      <c r="V1915" s="10">
        <f>ROUNDUP((T1915+U1915+2*'Read Me'!$B$13)*(1+'Read Me'!$B$12),-1)</f>
        <v/>
      </c>
      <c r="W1915" s="10">
        <f>V1915*N1915*O1915</f>
        <v/>
      </c>
      <c r="X1915" s="9">
        <f>IF(LEFT(I1915,2)="MV",2*N1915*IF(L1915="1/C",O1915,1),0)</f>
        <v/>
      </c>
      <c r="Y1915" s="9">
        <f>IF(OR(LEFT(K1915,4)="LVAX",LEFT(K1915,6)="MV15AX",LEFT(K1915,4)="CTAX",LEFT(K1915,2)="W|"),2*N1915*O1915,0)</f>
        <v/>
      </c>
      <c r="Z1915" s="9" t="inlineStr"/>
    </row>
    <row r="1916">
      <c r="A1916" s="9" t="inlineStr">
        <is>
          <t>I-C-0033</t>
        </is>
      </c>
      <c r="B1916" s="9" t="inlineStr">
        <is>
          <t>I</t>
        </is>
      </c>
      <c r="C1916" s="9" t="inlineStr">
        <is>
          <t>Modular / portable power</t>
        </is>
      </c>
      <c r="D1916" s="9" t="inlineStr">
        <is>
          <t>Control</t>
        </is>
      </c>
      <c r="E1916" s="9" t="inlineStr">
        <is>
          <t>PAD-EH</t>
        </is>
      </c>
      <c r="F1916" s="9" t="inlineStr">
        <is>
          <t>PAD-EH 13.8 kV switchgear e-house</t>
        </is>
      </c>
      <c r="G1916" s="9" t="inlineStr">
        <is>
          <t>CONT-7</t>
        </is>
      </c>
      <c r="H1916" s="9" t="inlineStr">
        <is>
          <t>CONT-7: containerized gas genset 13.8 kV (40 ft)</t>
        </is>
      </c>
      <c r="I1916" s="9" t="inlineStr">
        <is>
          <t>Control</t>
        </is>
      </c>
      <c r="J1916" s="9" t="inlineStr">
        <is>
          <t>Control cable 600 V Type TC-ER, Cu #14 AWG, PVC jacket</t>
        </is>
      </c>
      <c r="K1916" s="9" t="inlineStr">
        <is>
          <t>CT|12/C|14</t>
        </is>
      </c>
      <c r="L1916" s="9" t="inlineStr">
        <is>
          <t>12/C</t>
        </is>
      </c>
      <c r="M1916" s="9" t="inlineStr">
        <is>
          <t>14</t>
        </is>
      </c>
      <c r="N1916" s="9" t="n">
        <v>1</v>
      </c>
      <c r="O1916" s="9" t="n">
        <v>1</v>
      </c>
      <c r="P1916" s="9" t="n"/>
      <c r="Q1916" s="9" t="n"/>
      <c r="R1916" s="9" t="n"/>
      <c r="S1916" s="9" t="inlineStr">
        <is>
          <t>Surface</t>
        </is>
      </c>
      <c r="T1916" s="10" t="n">
        <v>280</v>
      </c>
      <c r="U1916" s="10" t="n">
        <v>67</v>
      </c>
      <c r="V1916" s="10">
        <f>ROUNDUP((T1916+U1916+2*'Read Me'!$B$13)*(1+'Read Me'!$B$12),-1)</f>
        <v/>
      </c>
      <c r="W1916" s="10">
        <f>V1916*N1916*O1916</f>
        <v/>
      </c>
      <c r="X1916" s="9">
        <f>IF(LEFT(I1916,2)="MV",2*N1916*IF(L1916="1/C",O1916,1),0)</f>
        <v/>
      </c>
      <c r="Y1916" s="9">
        <f>IF(OR(LEFT(K1916,4)="LVAX",LEFT(K1916,6)="MV15AX",LEFT(K1916,4)="CTAX",LEFT(K1916,2)="W|"),2*N1916*O1916,0)</f>
        <v/>
      </c>
      <c r="Z1916" s="9" t="inlineStr"/>
    </row>
    <row r="1917">
      <c r="A1917" s="9" t="inlineStr">
        <is>
          <t>I-C-0034</t>
        </is>
      </c>
      <c r="B1917" s="9" t="inlineStr">
        <is>
          <t>I</t>
        </is>
      </c>
      <c r="C1917" s="9" t="inlineStr">
        <is>
          <t>Modular / portable power</t>
        </is>
      </c>
      <c r="D1917" s="9" t="inlineStr">
        <is>
          <t>CT / VT</t>
        </is>
      </c>
      <c r="E1917" s="9" t="inlineStr">
        <is>
          <t>PAD-EH</t>
        </is>
      </c>
      <c r="F1917" s="9" t="inlineStr">
        <is>
          <t>PAD-EH 13.8 kV switchgear e-house</t>
        </is>
      </c>
      <c r="G1917" s="9" t="inlineStr">
        <is>
          <t>CONT-7</t>
        </is>
      </c>
      <c r="H1917" s="9" t="inlineStr">
        <is>
          <t>CONT-7: containerized gas genset 13.8 kV (40 ft)</t>
        </is>
      </c>
      <c r="I1917" s="9" t="inlineStr">
        <is>
          <t>Control</t>
        </is>
      </c>
      <c r="J1917" s="9" t="inlineStr">
        <is>
          <t>Control cable 600 V Type TC-ER, Cu #10 AWG (CT / VT circuits)</t>
        </is>
      </c>
      <c r="K1917" s="9" t="inlineStr">
        <is>
          <t>CTCT|4/C|10</t>
        </is>
      </c>
      <c r="L1917" s="9" t="inlineStr">
        <is>
          <t>4/C</t>
        </is>
      </c>
      <c r="M1917" s="9" t="inlineStr">
        <is>
          <t>10</t>
        </is>
      </c>
      <c r="N1917" s="9" t="n">
        <v>1</v>
      </c>
      <c r="O1917" s="9" t="n">
        <v>1</v>
      </c>
      <c r="P1917" s="9" t="n"/>
      <c r="Q1917" s="9" t="n"/>
      <c r="R1917" s="9" t="n"/>
      <c r="S1917" s="9" t="inlineStr">
        <is>
          <t>Surface</t>
        </is>
      </c>
      <c r="T1917" s="10" t="n">
        <v>280</v>
      </c>
      <c r="U1917" s="10" t="n">
        <v>67</v>
      </c>
      <c r="V1917" s="10">
        <f>ROUNDUP((T1917+U1917+2*'Read Me'!$B$13)*(1+'Read Me'!$B$12),-1)</f>
        <v/>
      </c>
      <c r="W1917" s="10">
        <f>V1917*N1917*O1917</f>
        <v/>
      </c>
      <c r="X1917" s="9">
        <f>IF(LEFT(I1917,2)="MV",2*N1917*IF(L1917="1/C",O1917,1),0)</f>
        <v/>
      </c>
      <c r="Y1917" s="9">
        <f>IF(OR(LEFT(K1917,4)="LVAX",LEFT(K1917,6)="MV15AX",LEFT(K1917,4)="CTAX",LEFT(K1917,2)="W|"),2*N1917*O1917,0)</f>
        <v/>
      </c>
      <c r="Z1917" s="9" t="inlineStr"/>
    </row>
    <row r="1918">
      <c r="A1918" s="9" t="inlineStr">
        <is>
          <t>I-C-0035</t>
        </is>
      </c>
      <c r="B1918" s="9" t="inlineStr">
        <is>
          <t>I</t>
        </is>
      </c>
      <c r="C1918" s="9" t="inlineStr">
        <is>
          <t>Modular / portable power</t>
        </is>
      </c>
      <c r="D1918" s="9" t="inlineStr">
        <is>
          <t>CT / VT</t>
        </is>
      </c>
      <c r="E1918" s="9" t="inlineStr">
        <is>
          <t>PAD-EH</t>
        </is>
      </c>
      <c r="F1918" s="9" t="inlineStr">
        <is>
          <t>PAD-EH 13.8 kV switchgear e-house</t>
        </is>
      </c>
      <c r="G1918" s="9" t="inlineStr">
        <is>
          <t>CONT-7</t>
        </is>
      </c>
      <c r="H1918" s="9" t="inlineStr">
        <is>
          <t>CONT-7: containerized gas genset 13.8 kV (40 ft)</t>
        </is>
      </c>
      <c r="I1918" s="9" t="inlineStr">
        <is>
          <t>Control</t>
        </is>
      </c>
      <c r="J1918" s="9" t="inlineStr">
        <is>
          <t>Control cable 600 V Type TC-ER, Cu #10 AWG (CT / VT circuits)</t>
        </is>
      </c>
      <c r="K1918" s="9" t="inlineStr">
        <is>
          <t>CTCT|4/C|10</t>
        </is>
      </c>
      <c r="L1918" s="9" t="inlineStr">
        <is>
          <t>4/C</t>
        </is>
      </c>
      <c r="M1918" s="9" t="inlineStr">
        <is>
          <t>10</t>
        </is>
      </c>
      <c r="N1918" s="9" t="n">
        <v>1</v>
      </c>
      <c r="O1918" s="9" t="n">
        <v>1</v>
      </c>
      <c r="P1918" s="9" t="n"/>
      <c r="Q1918" s="9" t="n"/>
      <c r="R1918" s="9" t="n"/>
      <c r="S1918" s="9" t="inlineStr">
        <is>
          <t>Surface</t>
        </is>
      </c>
      <c r="T1918" s="10" t="n">
        <v>280</v>
      </c>
      <c r="U1918" s="10" t="n">
        <v>67</v>
      </c>
      <c r="V1918" s="10">
        <f>ROUNDUP((T1918+U1918+2*'Read Me'!$B$13)*(1+'Read Me'!$B$12),-1)</f>
        <v/>
      </c>
      <c r="W1918" s="10">
        <f>V1918*N1918*O1918</f>
        <v/>
      </c>
      <c r="X1918" s="9">
        <f>IF(LEFT(I1918,2)="MV",2*N1918*IF(L1918="1/C",O1918,1),0)</f>
        <v/>
      </c>
      <c r="Y1918" s="9">
        <f>IF(OR(LEFT(K1918,4)="LVAX",LEFT(K1918,6)="MV15AX",LEFT(K1918,4)="CTAX",LEFT(K1918,2)="W|"),2*N1918*O1918,0)</f>
        <v/>
      </c>
      <c r="Z1918" s="9" t="inlineStr"/>
    </row>
    <row r="1919">
      <c r="A1919" s="9" t="inlineStr">
        <is>
          <t>I-C-0036</t>
        </is>
      </c>
      <c r="B1919" s="9" t="inlineStr">
        <is>
          <t>I</t>
        </is>
      </c>
      <c r="C1919" s="9" t="inlineStr">
        <is>
          <t>Modular / portable power</t>
        </is>
      </c>
      <c r="D1919" s="9" t="inlineStr">
        <is>
          <t>Control</t>
        </is>
      </c>
      <c r="E1919" s="9" t="inlineStr">
        <is>
          <t>PAD-EH</t>
        </is>
      </c>
      <c r="F1919" s="9" t="inlineStr">
        <is>
          <t>PAD-EH 13.8 kV switchgear e-house</t>
        </is>
      </c>
      <c r="G1919" s="9" t="inlineStr">
        <is>
          <t>CONT-8</t>
        </is>
      </c>
      <c r="H1919" s="9" t="inlineStr">
        <is>
          <t>CONT-8: containerized gas genset 13.8 kV (40 ft)</t>
        </is>
      </c>
      <c r="I1919" s="9" t="inlineStr">
        <is>
          <t>Control</t>
        </is>
      </c>
      <c r="J1919" s="9" t="inlineStr">
        <is>
          <t>Control cable 600 V Type TC-ER, Cu #14 AWG, PVC jacket</t>
        </is>
      </c>
      <c r="K1919" s="9" t="inlineStr">
        <is>
          <t>CT|7/C|14</t>
        </is>
      </c>
      <c r="L1919" s="9" t="inlineStr">
        <is>
          <t>7/C</t>
        </is>
      </c>
      <c r="M1919" s="9" t="inlineStr">
        <is>
          <t>14</t>
        </is>
      </c>
      <c r="N1919" s="9" t="n">
        <v>1</v>
      </c>
      <c r="O1919" s="9" t="n">
        <v>1</v>
      </c>
      <c r="P1919" s="9" t="n"/>
      <c r="Q1919" s="9" t="n"/>
      <c r="R1919" s="9" t="n"/>
      <c r="S1919" s="9" t="inlineStr">
        <is>
          <t>Surface</t>
        </is>
      </c>
      <c r="T1919" s="10" t="n">
        <v>60</v>
      </c>
      <c r="U1919" s="10" t="n">
        <v>91</v>
      </c>
      <c r="V1919" s="10">
        <f>ROUNDUP((T1919+U1919+2*'Read Me'!$B$13)*(1+'Read Me'!$B$12),-1)</f>
        <v/>
      </c>
      <c r="W1919" s="10">
        <f>V1919*N1919*O1919</f>
        <v/>
      </c>
      <c r="X1919" s="9">
        <f>IF(LEFT(I1919,2)="MV",2*N1919*IF(L1919="1/C",O1919,1),0)</f>
        <v/>
      </c>
      <c r="Y1919" s="9">
        <f>IF(OR(LEFT(K1919,4)="LVAX",LEFT(K1919,6)="MV15AX",LEFT(K1919,4)="CTAX",LEFT(K1919,2)="W|"),2*N1919*O1919,0)</f>
        <v/>
      </c>
      <c r="Z1919" s="9" t="inlineStr"/>
    </row>
    <row r="1920">
      <c r="A1920" s="9" t="inlineStr">
        <is>
          <t>I-C-0037</t>
        </is>
      </c>
      <c r="B1920" s="9" t="inlineStr">
        <is>
          <t>I</t>
        </is>
      </c>
      <c r="C1920" s="9" t="inlineStr">
        <is>
          <t>Modular / portable power</t>
        </is>
      </c>
      <c r="D1920" s="9" t="inlineStr">
        <is>
          <t>Control</t>
        </is>
      </c>
      <c r="E1920" s="9" t="inlineStr">
        <is>
          <t>PAD-EH</t>
        </is>
      </c>
      <c r="F1920" s="9" t="inlineStr">
        <is>
          <t>PAD-EH 13.8 kV switchgear e-house</t>
        </is>
      </c>
      <c r="G1920" s="9" t="inlineStr">
        <is>
          <t>CONT-8</t>
        </is>
      </c>
      <c r="H1920" s="9" t="inlineStr">
        <is>
          <t>CONT-8: containerized gas genset 13.8 kV (40 ft)</t>
        </is>
      </c>
      <c r="I1920" s="9" t="inlineStr">
        <is>
          <t>Control</t>
        </is>
      </c>
      <c r="J1920" s="9" t="inlineStr">
        <is>
          <t>Control cable 600 V Type TC-ER, Cu #14 AWG, PVC jacket</t>
        </is>
      </c>
      <c r="K1920" s="9" t="inlineStr">
        <is>
          <t>CT|12/C|14</t>
        </is>
      </c>
      <c r="L1920" s="9" t="inlineStr">
        <is>
          <t>12/C</t>
        </is>
      </c>
      <c r="M1920" s="9" t="inlineStr">
        <is>
          <t>14</t>
        </is>
      </c>
      <c r="N1920" s="9" t="n">
        <v>1</v>
      </c>
      <c r="O1920" s="9" t="n">
        <v>1</v>
      </c>
      <c r="P1920" s="9" t="n"/>
      <c r="Q1920" s="9" t="n"/>
      <c r="R1920" s="9" t="n"/>
      <c r="S1920" s="9" t="inlineStr">
        <is>
          <t>Surface</t>
        </is>
      </c>
      <c r="T1920" s="10" t="n">
        <v>60</v>
      </c>
      <c r="U1920" s="10" t="n">
        <v>91</v>
      </c>
      <c r="V1920" s="10">
        <f>ROUNDUP((T1920+U1920+2*'Read Me'!$B$13)*(1+'Read Me'!$B$12),-1)</f>
        <v/>
      </c>
      <c r="W1920" s="10">
        <f>V1920*N1920*O1920</f>
        <v/>
      </c>
      <c r="X1920" s="9">
        <f>IF(LEFT(I1920,2)="MV",2*N1920*IF(L1920="1/C",O1920,1),0)</f>
        <v/>
      </c>
      <c r="Y1920" s="9">
        <f>IF(OR(LEFT(K1920,4)="LVAX",LEFT(K1920,6)="MV15AX",LEFT(K1920,4)="CTAX",LEFT(K1920,2)="W|"),2*N1920*O1920,0)</f>
        <v/>
      </c>
      <c r="Z1920" s="9" t="inlineStr"/>
    </row>
    <row r="1921">
      <c r="A1921" s="9" t="inlineStr">
        <is>
          <t>I-C-0038</t>
        </is>
      </c>
      <c r="B1921" s="9" t="inlineStr">
        <is>
          <t>I</t>
        </is>
      </c>
      <c r="C1921" s="9" t="inlineStr">
        <is>
          <t>Modular / portable power</t>
        </is>
      </c>
      <c r="D1921" s="9" t="inlineStr">
        <is>
          <t>CT / VT</t>
        </is>
      </c>
      <c r="E1921" s="9" t="inlineStr">
        <is>
          <t>PAD-EH</t>
        </is>
      </c>
      <c r="F1921" s="9" t="inlineStr">
        <is>
          <t>PAD-EH 13.8 kV switchgear e-house</t>
        </is>
      </c>
      <c r="G1921" s="9" t="inlineStr">
        <is>
          <t>CONT-8</t>
        </is>
      </c>
      <c r="H1921" s="9" t="inlineStr">
        <is>
          <t>CONT-8: containerized gas genset 13.8 kV (40 ft)</t>
        </is>
      </c>
      <c r="I1921" s="9" t="inlineStr">
        <is>
          <t>Control</t>
        </is>
      </c>
      <c r="J1921" s="9" t="inlineStr">
        <is>
          <t>Control cable 600 V Type TC-ER, Cu #10 AWG (CT / VT circuits)</t>
        </is>
      </c>
      <c r="K1921" s="9" t="inlineStr">
        <is>
          <t>CTCT|4/C|10</t>
        </is>
      </c>
      <c r="L1921" s="9" t="inlineStr">
        <is>
          <t>4/C</t>
        </is>
      </c>
      <c r="M1921" s="9" t="inlineStr">
        <is>
          <t>10</t>
        </is>
      </c>
      <c r="N1921" s="9" t="n">
        <v>1</v>
      </c>
      <c r="O1921" s="9" t="n">
        <v>1</v>
      </c>
      <c r="P1921" s="9" t="n"/>
      <c r="Q1921" s="9" t="n"/>
      <c r="R1921" s="9" t="n"/>
      <c r="S1921" s="9" t="inlineStr">
        <is>
          <t>Surface</t>
        </is>
      </c>
      <c r="T1921" s="10" t="n">
        <v>60</v>
      </c>
      <c r="U1921" s="10" t="n">
        <v>91</v>
      </c>
      <c r="V1921" s="10">
        <f>ROUNDUP((T1921+U1921+2*'Read Me'!$B$13)*(1+'Read Me'!$B$12),-1)</f>
        <v/>
      </c>
      <c r="W1921" s="10">
        <f>V1921*N1921*O1921</f>
        <v/>
      </c>
      <c r="X1921" s="9">
        <f>IF(LEFT(I1921,2)="MV",2*N1921*IF(L1921="1/C",O1921,1),0)</f>
        <v/>
      </c>
      <c r="Y1921" s="9">
        <f>IF(OR(LEFT(K1921,4)="LVAX",LEFT(K1921,6)="MV15AX",LEFT(K1921,4)="CTAX",LEFT(K1921,2)="W|"),2*N1921*O1921,0)</f>
        <v/>
      </c>
      <c r="Z1921" s="9" t="inlineStr"/>
    </row>
    <row r="1922">
      <c r="A1922" s="9" t="inlineStr">
        <is>
          <t>I-C-0039</t>
        </is>
      </c>
      <c r="B1922" s="9" t="inlineStr">
        <is>
          <t>I</t>
        </is>
      </c>
      <c r="C1922" s="9" t="inlineStr">
        <is>
          <t>Modular / portable power</t>
        </is>
      </c>
      <c r="D1922" s="9" t="inlineStr">
        <is>
          <t>CT / VT</t>
        </is>
      </c>
      <c r="E1922" s="9" t="inlineStr">
        <is>
          <t>PAD-EH</t>
        </is>
      </c>
      <c r="F1922" s="9" t="inlineStr">
        <is>
          <t>PAD-EH 13.8 kV switchgear e-house</t>
        </is>
      </c>
      <c r="G1922" s="9" t="inlineStr">
        <is>
          <t>CONT-8</t>
        </is>
      </c>
      <c r="H1922" s="9" t="inlineStr">
        <is>
          <t>CONT-8: containerized gas genset 13.8 kV (40 ft)</t>
        </is>
      </c>
      <c r="I1922" s="9" t="inlineStr">
        <is>
          <t>Control</t>
        </is>
      </c>
      <c r="J1922" s="9" t="inlineStr">
        <is>
          <t>Control cable 600 V Type TC-ER, Cu #10 AWG (CT / VT circuits)</t>
        </is>
      </c>
      <c r="K1922" s="9" t="inlineStr">
        <is>
          <t>CTCT|4/C|10</t>
        </is>
      </c>
      <c r="L1922" s="9" t="inlineStr">
        <is>
          <t>4/C</t>
        </is>
      </c>
      <c r="M1922" s="9" t="inlineStr">
        <is>
          <t>10</t>
        </is>
      </c>
      <c r="N1922" s="9" t="n">
        <v>1</v>
      </c>
      <c r="O1922" s="9" t="n">
        <v>1</v>
      </c>
      <c r="P1922" s="9" t="n"/>
      <c r="Q1922" s="9" t="n"/>
      <c r="R1922" s="9" t="n"/>
      <c r="S1922" s="9" t="inlineStr">
        <is>
          <t>Surface</t>
        </is>
      </c>
      <c r="T1922" s="10" t="n">
        <v>60</v>
      </c>
      <c r="U1922" s="10" t="n">
        <v>91</v>
      </c>
      <c r="V1922" s="10">
        <f>ROUNDUP((T1922+U1922+2*'Read Me'!$B$13)*(1+'Read Me'!$B$12),-1)</f>
        <v/>
      </c>
      <c r="W1922" s="10">
        <f>V1922*N1922*O1922</f>
        <v/>
      </c>
      <c r="X1922" s="9">
        <f>IF(LEFT(I1922,2)="MV",2*N1922*IF(L1922="1/C",O1922,1),0)</f>
        <v/>
      </c>
      <c r="Y1922" s="9">
        <f>IF(OR(LEFT(K1922,4)="LVAX",LEFT(K1922,6)="MV15AX",LEFT(K1922,4)="CTAX",LEFT(K1922,2)="W|"),2*N1922*O1922,0)</f>
        <v/>
      </c>
      <c r="Z1922" s="9" t="inlineStr"/>
    </row>
    <row r="1923">
      <c r="A1923" s="9" t="inlineStr">
        <is>
          <t>I-C-0040</t>
        </is>
      </c>
      <c r="B1923" s="9" t="inlineStr">
        <is>
          <t>I</t>
        </is>
      </c>
      <c r="C1923" s="9" t="inlineStr">
        <is>
          <t>Modular / portable power</t>
        </is>
      </c>
      <c r="D1923" s="9" t="inlineStr">
        <is>
          <t>Control</t>
        </is>
      </c>
      <c r="E1923" s="9" t="inlineStr"/>
      <c r="F1923" s="9" t="inlineStr">
        <is>
          <t>PCM: power control module</t>
        </is>
      </c>
      <c r="G1923" s="9" t="inlineStr">
        <is>
          <t>FC-10</t>
        </is>
      </c>
      <c r="H1923" s="9" t="inlineStr">
        <is>
          <t>FC-10: SOFC module (Bloom ES5 class, 200-300 kW)</t>
        </is>
      </c>
      <c r="I1923" s="9" t="inlineStr">
        <is>
          <t>Control</t>
        </is>
      </c>
      <c r="J1923" s="9" t="inlineStr">
        <is>
          <t>Control cable 600 V Type TC-ER, Cu #14 AWG, PVC jacket</t>
        </is>
      </c>
      <c r="K1923" s="9" t="inlineStr">
        <is>
          <t>CT|7/C|14</t>
        </is>
      </c>
      <c r="L1923" s="9" t="inlineStr">
        <is>
          <t>7/C</t>
        </is>
      </c>
      <c r="M1923" s="9" t="inlineStr">
        <is>
          <t>14</t>
        </is>
      </c>
      <c r="N1923" s="9" t="n">
        <v>1</v>
      </c>
      <c r="O1923" s="9" t="n">
        <v>1</v>
      </c>
      <c r="P1923" s="9" t="n"/>
      <c r="Q1923" s="9" t="n"/>
      <c r="R1923" s="9" t="n"/>
      <c r="S1923" s="9" t="inlineStr">
        <is>
          <t>Duct bank</t>
        </is>
      </c>
      <c r="T1923" s="10" t="n">
        <v>177</v>
      </c>
      <c r="U1923" s="10" t="n">
        <v>42</v>
      </c>
      <c r="V1923" s="10">
        <f>ROUNDUP((T1923+U1923+2*'Read Me'!$B$13)*(1+'Read Me'!$B$12),-1)</f>
        <v/>
      </c>
      <c r="W1923" s="10">
        <f>V1923*N1923*O1923</f>
        <v/>
      </c>
      <c r="X1923" s="9">
        <f>IF(LEFT(I1923,2)="MV",2*N1923*IF(L1923="1/C",O1923,1),0)</f>
        <v/>
      </c>
      <c r="Y1923" s="9">
        <f>IF(OR(LEFT(K1923,4)="LVAX",LEFT(K1923,6)="MV15AX",LEFT(K1923,4)="CTAX",LEFT(K1923,2)="W|"),2*N1923*O1923,0)</f>
        <v/>
      </c>
      <c r="Z1923" s="9" t="inlineStr"/>
    </row>
    <row r="1924">
      <c r="A1924" s="9" t="inlineStr">
        <is>
          <t>I-C-0041</t>
        </is>
      </c>
      <c r="B1924" s="9" t="inlineStr">
        <is>
          <t>I</t>
        </is>
      </c>
      <c r="C1924" s="9" t="inlineStr">
        <is>
          <t>Modular / portable power</t>
        </is>
      </c>
      <c r="D1924" s="9" t="inlineStr">
        <is>
          <t>Control</t>
        </is>
      </c>
      <c r="E1924" s="9" t="inlineStr"/>
      <c r="F1924" s="9" t="inlineStr">
        <is>
          <t>PCM: power control module</t>
        </is>
      </c>
      <c r="G1924" s="9" t="inlineStr">
        <is>
          <t>FC-11</t>
        </is>
      </c>
      <c r="H1924" s="9" t="inlineStr">
        <is>
          <t>FC-11: SOFC module (Bloom ES5 class, 200-300 kW)</t>
        </is>
      </c>
      <c r="I1924" s="9" t="inlineStr">
        <is>
          <t>Control</t>
        </is>
      </c>
      <c r="J1924" s="9" t="inlineStr">
        <is>
          <t>Control cable 600 V Type TC-ER, Cu #14 AWG, PVC jacket</t>
        </is>
      </c>
      <c r="K1924" s="9" t="inlineStr">
        <is>
          <t>CT|7/C|14</t>
        </is>
      </c>
      <c r="L1924" s="9" t="inlineStr">
        <is>
          <t>7/C</t>
        </is>
      </c>
      <c r="M1924" s="9" t="inlineStr">
        <is>
          <t>14</t>
        </is>
      </c>
      <c r="N1924" s="9" t="n">
        <v>1</v>
      </c>
      <c r="O1924" s="9" t="n">
        <v>1</v>
      </c>
      <c r="P1924" s="9" t="n"/>
      <c r="Q1924" s="9" t="n"/>
      <c r="R1924" s="9" t="n"/>
      <c r="S1924" s="9" t="inlineStr">
        <is>
          <t>Duct bank</t>
        </is>
      </c>
      <c r="T1924" s="10" t="n">
        <v>191</v>
      </c>
      <c r="U1924" s="10" t="n">
        <v>42</v>
      </c>
      <c r="V1924" s="10">
        <f>ROUNDUP((T1924+U1924+2*'Read Me'!$B$13)*(1+'Read Me'!$B$12),-1)</f>
        <v/>
      </c>
      <c r="W1924" s="10">
        <f>V1924*N1924*O1924</f>
        <v/>
      </c>
      <c r="X1924" s="9">
        <f>IF(LEFT(I1924,2)="MV",2*N1924*IF(L1924="1/C",O1924,1),0)</f>
        <v/>
      </c>
      <c r="Y1924" s="9">
        <f>IF(OR(LEFT(K1924,4)="LVAX",LEFT(K1924,6)="MV15AX",LEFT(K1924,4)="CTAX",LEFT(K1924,2)="W|"),2*N1924*O1924,0)</f>
        <v/>
      </c>
      <c r="Z1924" s="9" t="inlineStr"/>
    </row>
    <row r="1925">
      <c r="A1925" s="9" t="inlineStr">
        <is>
          <t>I-C-0042</t>
        </is>
      </c>
      <c r="B1925" s="9" t="inlineStr">
        <is>
          <t>I</t>
        </is>
      </c>
      <c r="C1925" s="9" t="inlineStr">
        <is>
          <t>Modular / portable power</t>
        </is>
      </c>
      <c r="D1925" s="9" t="inlineStr">
        <is>
          <t>Control</t>
        </is>
      </c>
      <c r="E1925" s="9" t="inlineStr"/>
      <c r="F1925" s="9" t="inlineStr">
        <is>
          <t>PCM: power control module</t>
        </is>
      </c>
      <c r="G1925" s="9" t="inlineStr">
        <is>
          <t>FC-12</t>
        </is>
      </c>
      <c r="H1925" s="9" t="inlineStr">
        <is>
          <t>FC-12: SOFC module (Bloom ES5 class, 200-300 kW)</t>
        </is>
      </c>
      <c r="I1925" s="9" t="inlineStr">
        <is>
          <t>Control</t>
        </is>
      </c>
      <c r="J1925" s="9" t="inlineStr">
        <is>
          <t>Control cable 600 V Type TC-ER, Cu #14 AWG, PVC jacket</t>
        </is>
      </c>
      <c r="K1925" s="9" t="inlineStr">
        <is>
          <t>CT|7/C|14</t>
        </is>
      </c>
      <c r="L1925" s="9" t="inlineStr">
        <is>
          <t>7/C</t>
        </is>
      </c>
      <c r="M1925" s="9" t="inlineStr">
        <is>
          <t>14</t>
        </is>
      </c>
      <c r="N1925" s="9" t="n">
        <v>1</v>
      </c>
      <c r="O1925" s="9" t="n">
        <v>1</v>
      </c>
      <c r="P1925" s="9" t="n"/>
      <c r="Q1925" s="9" t="n"/>
      <c r="R1925" s="9" t="n"/>
      <c r="S1925" s="9" t="inlineStr">
        <is>
          <t>Duct bank</t>
        </is>
      </c>
      <c r="T1925" s="10" t="n">
        <v>205</v>
      </c>
      <c r="U1925" s="10" t="n">
        <v>42</v>
      </c>
      <c r="V1925" s="10">
        <f>ROUNDUP((T1925+U1925+2*'Read Me'!$B$13)*(1+'Read Me'!$B$12),-1)</f>
        <v/>
      </c>
      <c r="W1925" s="10">
        <f>V1925*N1925*O1925</f>
        <v/>
      </c>
      <c r="X1925" s="9">
        <f>IF(LEFT(I1925,2)="MV",2*N1925*IF(L1925="1/C",O1925,1),0)</f>
        <v/>
      </c>
      <c r="Y1925" s="9">
        <f>IF(OR(LEFT(K1925,4)="LVAX",LEFT(K1925,6)="MV15AX",LEFT(K1925,4)="CTAX",LEFT(K1925,2)="W|"),2*N1925*O1925,0)</f>
        <v/>
      </c>
      <c r="Z1925" s="9" t="inlineStr"/>
    </row>
    <row r="1926">
      <c r="A1926" s="9" t="inlineStr">
        <is>
          <t>I-C-0043</t>
        </is>
      </c>
      <c r="B1926" s="9" t="inlineStr">
        <is>
          <t>I</t>
        </is>
      </c>
      <c r="C1926" s="9" t="inlineStr">
        <is>
          <t>Modular / portable power</t>
        </is>
      </c>
      <c r="D1926" s="9" t="inlineStr">
        <is>
          <t>Control</t>
        </is>
      </c>
      <c r="E1926" s="9" t="inlineStr"/>
      <c r="F1926" s="9" t="inlineStr">
        <is>
          <t>PCM: power control module</t>
        </is>
      </c>
      <c r="G1926" s="9" t="inlineStr"/>
      <c r="H1926" s="9" t="inlineStr">
        <is>
          <t>FC-1: SOFC module (Bloom ES5 class, 200-300 kW)</t>
        </is>
      </c>
      <c r="I1926" s="9" t="inlineStr">
        <is>
          <t>Control</t>
        </is>
      </c>
      <c r="J1926" s="9" t="inlineStr">
        <is>
          <t>Control cable 600 V Type TC-ER, Cu #14 AWG, PVC jacket</t>
        </is>
      </c>
      <c r="K1926" s="9" t="inlineStr">
        <is>
          <t>CT|7/C|14</t>
        </is>
      </c>
      <c r="L1926" s="9" t="inlineStr">
        <is>
          <t>7/C</t>
        </is>
      </c>
      <c r="M1926" s="9" t="inlineStr">
        <is>
          <t>14</t>
        </is>
      </c>
      <c r="N1926" s="9" t="n">
        <v>1</v>
      </c>
      <c r="O1926" s="9" t="n">
        <v>1</v>
      </c>
      <c r="P1926" s="9" t="n"/>
      <c r="Q1926" s="9" t="n"/>
      <c r="R1926" s="9" t="n"/>
      <c r="S1926" s="9" t="inlineStr">
        <is>
          <t>Duct bank</t>
        </is>
      </c>
      <c r="T1926" s="10" t="n">
        <v>1074</v>
      </c>
      <c r="U1926" s="10" t="n">
        <v>94</v>
      </c>
      <c r="V1926" s="10">
        <f>ROUNDUP((T1926+U1926+2*'Read Me'!$B$13)*(1+'Read Me'!$B$12),-1)</f>
        <v/>
      </c>
      <c r="W1926" s="10">
        <f>V1926*N1926*O1926</f>
        <v/>
      </c>
      <c r="X1926" s="9">
        <f>IF(LEFT(I1926,2)="MV",2*N1926*IF(L1926="1/C",O1926,1),0)</f>
        <v/>
      </c>
      <c r="Y1926" s="9">
        <f>IF(OR(LEFT(K1926,4)="LVAX",LEFT(K1926,6)="MV15AX",LEFT(K1926,4)="CTAX",LEFT(K1926,2)="W|"),2*N1926*O1926,0)</f>
        <v/>
      </c>
      <c r="Z1926" s="9" t="inlineStr"/>
    </row>
    <row r="1927">
      <c r="A1927" s="9" t="inlineStr">
        <is>
          <t>I-C-0044</t>
        </is>
      </c>
      <c r="B1927" s="9" t="inlineStr">
        <is>
          <t>I</t>
        </is>
      </c>
      <c r="C1927" s="9" t="inlineStr">
        <is>
          <t>Modular / portable power</t>
        </is>
      </c>
      <c r="D1927" s="9" t="inlineStr">
        <is>
          <t>Control</t>
        </is>
      </c>
      <c r="E1927" s="9" t="inlineStr"/>
      <c r="F1927" s="9" t="inlineStr">
        <is>
          <t>PCM: power control module</t>
        </is>
      </c>
      <c r="G1927" s="9" t="inlineStr"/>
      <c r="H1927" s="9" t="inlineStr">
        <is>
          <t>FC-2: SOFC module (Bloom ES5 class, 200-300 kW)</t>
        </is>
      </c>
      <c r="I1927" s="9" t="inlineStr">
        <is>
          <t>Control</t>
        </is>
      </c>
      <c r="J1927" s="9" t="inlineStr">
        <is>
          <t>Control cable 600 V Type TC-ER, Cu #14 AWG, PVC jacket</t>
        </is>
      </c>
      <c r="K1927" s="9" t="inlineStr">
        <is>
          <t>CT|7/C|14</t>
        </is>
      </c>
      <c r="L1927" s="9" t="inlineStr">
        <is>
          <t>7/C</t>
        </is>
      </c>
      <c r="M1927" s="9" t="inlineStr">
        <is>
          <t>14</t>
        </is>
      </c>
      <c r="N1927" s="9" t="n">
        <v>1</v>
      </c>
      <c r="O1927" s="9" t="n">
        <v>1</v>
      </c>
      <c r="P1927" s="9" t="n"/>
      <c r="Q1927" s="9" t="n"/>
      <c r="R1927" s="9" t="n"/>
      <c r="S1927" s="9" t="inlineStr">
        <is>
          <t>Duct bank</t>
        </is>
      </c>
      <c r="T1927" s="10" t="n">
        <v>1074</v>
      </c>
      <c r="U1927" s="10" t="n">
        <v>80</v>
      </c>
      <c r="V1927" s="10">
        <f>ROUNDUP((T1927+U1927+2*'Read Me'!$B$13)*(1+'Read Me'!$B$12),-1)</f>
        <v/>
      </c>
      <c r="W1927" s="10">
        <f>V1927*N1927*O1927</f>
        <v/>
      </c>
      <c r="X1927" s="9">
        <f>IF(LEFT(I1927,2)="MV",2*N1927*IF(L1927="1/C",O1927,1),0)</f>
        <v/>
      </c>
      <c r="Y1927" s="9">
        <f>IF(OR(LEFT(K1927,4)="LVAX",LEFT(K1927,6)="MV15AX",LEFT(K1927,4)="CTAX",LEFT(K1927,2)="W|"),2*N1927*O1927,0)</f>
        <v/>
      </c>
      <c r="Z1927" s="9" t="inlineStr"/>
    </row>
    <row r="1928">
      <c r="A1928" s="9" t="inlineStr">
        <is>
          <t>I-C-0045</t>
        </is>
      </c>
      <c r="B1928" s="9" t="inlineStr">
        <is>
          <t>I</t>
        </is>
      </c>
      <c r="C1928" s="9" t="inlineStr">
        <is>
          <t>Modular / portable power</t>
        </is>
      </c>
      <c r="D1928" s="9" t="inlineStr">
        <is>
          <t>Control</t>
        </is>
      </c>
      <c r="E1928" s="9" t="inlineStr"/>
      <c r="F1928" s="9" t="inlineStr">
        <is>
          <t>PCM: power control module</t>
        </is>
      </c>
      <c r="G1928" s="9" t="inlineStr"/>
      <c r="H1928" s="9" t="inlineStr">
        <is>
          <t>FC-3: SOFC module (Bloom ES5 class, 200-300 kW)</t>
        </is>
      </c>
      <c r="I1928" s="9" t="inlineStr">
        <is>
          <t>Control</t>
        </is>
      </c>
      <c r="J1928" s="9" t="inlineStr">
        <is>
          <t>Control cable 600 V Type TC-ER, Cu #14 AWG, PVC jacket</t>
        </is>
      </c>
      <c r="K1928" s="9" t="inlineStr">
        <is>
          <t>CT|7/C|14</t>
        </is>
      </c>
      <c r="L1928" s="9" t="inlineStr">
        <is>
          <t>7/C</t>
        </is>
      </c>
      <c r="M1928" s="9" t="inlineStr">
        <is>
          <t>14</t>
        </is>
      </c>
      <c r="N1928" s="9" t="n">
        <v>1</v>
      </c>
      <c r="O1928" s="9" t="n">
        <v>1</v>
      </c>
      <c r="P1928" s="9" t="n"/>
      <c r="Q1928" s="9" t="n"/>
      <c r="R1928" s="9" t="n"/>
      <c r="S1928" s="9" t="inlineStr">
        <is>
          <t>Duct bank</t>
        </is>
      </c>
      <c r="T1928" s="10" t="n">
        <v>1074</v>
      </c>
      <c r="U1928" s="10" t="n">
        <v>66</v>
      </c>
      <c r="V1928" s="10">
        <f>ROUNDUP((T1928+U1928+2*'Read Me'!$B$13)*(1+'Read Me'!$B$12),-1)</f>
        <v/>
      </c>
      <c r="W1928" s="10">
        <f>V1928*N1928*O1928</f>
        <v/>
      </c>
      <c r="X1928" s="9">
        <f>IF(LEFT(I1928,2)="MV",2*N1928*IF(L1928="1/C",O1928,1),0)</f>
        <v/>
      </c>
      <c r="Y1928" s="9">
        <f>IF(OR(LEFT(K1928,4)="LVAX",LEFT(K1928,6)="MV15AX",LEFT(K1928,4)="CTAX",LEFT(K1928,2)="W|"),2*N1928*O1928,0)</f>
        <v/>
      </c>
      <c r="Z1928" s="9" t="inlineStr"/>
    </row>
    <row r="1929">
      <c r="A1929" s="9" t="inlineStr">
        <is>
          <t>I-C-0046</t>
        </is>
      </c>
      <c r="B1929" s="9" t="inlineStr">
        <is>
          <t>I</t>
        </is>
      </c>
      <c r="C1929" s="9" t="inlineStr">
        <is>
          <t>Modular / portable power</t>
        </is>
      </c>
      <c r="D1929" s="9" t="inlineStr">
        <is>
          <t>Control</t>
        </is>
      </c>
      <c r="E1929" s="9" t="inlineStr"/>
      <c r="F1929" s="9" t="inlineStr">
        <is>
          <t>PCM: power control module</t>
        </is>
      </c>
      <c r="G1929" s="9" t="inlineStr"/>
      <c r="H1929" s="9" t="inlineStr">
        <is>
          <t>FC-4: SOFC module (Bloom ES5 class, 200-300 kW)</t>
        </is>
      </c>
      <c r="I1929" s="9" t="inlineStr">
        <is>
          <t>Control</t>
        </is>
      </c>
      <c r="J1929" s="9" t="inlineStr">
        <is>
          <t>Control cable 600 V Type TC-ER, Cu #14 AWG, PVC jacket</t>
        </is>
      </c>
      <c r="K1929" s="9" t="inlineStr">
        <is>
          <t>CT|7/C|14</t>
        </is>
      </c>
      <c r="L1929" s="9" t="inlineStr">
        <is>
          <t>7/C</t>
        </is>
      </c>
      <c r="M1929" s="9" t="inlineStr">
        <is>
          <t>14</t>
        </is>
      </c>
      <c r="N1929" s="9" t="n">
        <v>1</v>
      </c>
      <c r="O1929" s="9" t="n">
        <v>1</v>
      </c>
      <c r="P1929" s="9" t="n"/>
      <c r="Q1929" s="9" t="n"/>
      <c r="R1929" s="9" t="n"/>
      <c r="S1929" s="9" t="inlineStr">
        <is>
          <t>Duct bank</t>
        </is>
      </c>
      <c r="T1929" s="10" t="n">
        <v>1050</v>
      </c>
      <c r="U1929" s="10" t="n">
        <v>68</v>
      </c>
      <c r="V1929" s="10">
        <f>ROUNDUP((T1929+U1929+2*'Read Me'!$B$13)*(1+'Read Me'!$B$12),-1)</f>
        <v/>
      </c>
      <c r="W1929" s="10">
        <f>V1929*N1929*O1929</f>
        <v/>
      </c>
      <c r="X1929" s="9">
        <f>IF(LEFT(I1929,2)="MV",2*N1929*IF(L1929="1/C",O1929,1),0)</f>
        <v/>
      </c>
      <c r="Y1929" s="9">
        <f>IF(OR(LEFT(K1929,4)="LVAX",LEFT(K1929,6)="MV15AX",LEFT(K1929,4)="CTAX",LEFT(K1929,2)="W|"),2*N1929*O1929,0)</f>
        <v/>
      </c>
      <c r="Z1929" s="9" t="inlineStr"/>
    </row>
    <row r="1930">
      <c r="A1930" s="9" t="inlineStr">
        <is>
          <t>I-C-0047</t>
        </is>
      </c>
      <c r="B1930" s="9" t="inlineStr">
        <is>
          <t>I</t>
        </is>
      </c>
      <c r="C1930" s="9" t="inlineStr">
        <is>
          <t>Modular / portable power</t>
        </is>
      </c>
      <c r="D1930" s="9" t="inlineStr">
        <is>
          <t>Control</t>
        </is>
      </c>
      <c r="E1930" s="9" t="inlineStr"/>
      <c r="F1930" s="9" t="inlineStr">
        <is>
          <t>PCM: power control module</t>
        </is>
      </c>
      <c r="G1930" s="9" t="inlineStr"/>
      <c r="H1930" s="9" t="inlineStr">
        <is>
          <t>FC-5..12 inverter / AC cabinet / desulfurizer</t>
        </is>
      </c>
      <c r="I1930" s="9" t="inlineStr">
        <is>
          <t>Control</t>
        </is>
      </c>
      <c r="J1930" s="9" t="inlineStr">
        <is>
          <t>Control cable 600 V Type TC-ER, Cu #14 AWG, PVC jacket</t>
        </is>
      </c>
      <c r="K1930" s="9" t="inlineStr">
        <is>
          <t>CT|7/C|14</t>
        </is>
      </c>
      <c r="L1930" s="9" t="inlineStr">
        <is>
          <t>7/C</t>
        </is>
      </c>
      <c r="M1930" s="9" t="inlineStr">
        <is>
          <t>14</t>
        </is>
      </c>
      <c r="N1930" s="9" t="n">
        <v>1</v>
      </c>
      <c r="O1930" s="9" t="n">
        <v>1</v>
      </c>
      <c r="P1930" s="9" t="n"/>
      <c r="Q1930" s="9" t="n"/>
      <c r="R1930" s="9" t="n"/>
      <c r="S1930" s="9" t="inlineStr">
        <is>
          <t>Duct bank</t>
        </is>
      </c>
      <c r="T1930" s="10" t="n">
        <v>249</v>
      </c>
      <c r="U1930" s="10" t="n">
        <v>32</v>
      </c>
      <c r="V1930" s="10">
        <f>ROUNDUP((T1930+U1930+2*'Read Me'!$B$13)*(1+'Read Me'!$B$12),-1)</f>
        <v/>
      </c>
      <c r="W1930" s="10">
        <f>V1930*N1930*O1930</f>
        <v/>
      </c>
      <c r="X1930" s="9">
        <f>IF(LEFT(I1930,2)="MV",2*N1930*IF(L1930="1/C",O1930,1),0)</f>
        <v/>
      </c>
      <c r="Y1930" s="9">
        <f>IF(OR(LEFT(K1930,4)="LVAX",LEFT(K1930,6)="MV15AX",LEFT(K1930,4)="CTAX",LEFT(K1930,2)="W|"),2*N1930*O1930,0)</f>
        <v/>
      </c>
      <c r="Z1930" s="9" t="inlineStr"/>
    </row>
    <row r="1931">
      <c r="A1931" s="9" t="inlineStr">
        <is>
          <t>I-C-0048</t>
        </is>
      </c>
      <c r="B1931" s="9" t="inlineStr">
        <is>
          <t>I</t>
        </is>
      </c>
      <c r="C1931" s="9" t="inlineStr">
        <is>
          <t>Modular / portable power</t>
        </is>
      </c>
      <c r="D1931" s="9" t="inlineStr">
        <is>
          <t>Control</t>
        </is>
      </c>
      <c r="E1931" s="9" t="inlineStr"/>
      <c r="F1931" s="9" t="inlineStr">
        <is>
          <t>PCM: power control module</t>
        </is>
      </c>
      <c r="G1931" s="9" t="inlineStr">
        <is>
          <t>FC-5</t>
        </is>
      </c>
      <c r="H1931" s="9" t="inlineStr">
        <is>
          <t>FC-5: SOFC module (Bloom ES5 class, 200-300 kW)</t>
        </is>
      </c>
      <c r="I1931" s="9" t="inlineStr">
        <is>
          <t>Control</t>
        </is>
      </c>
      <c r="J1931" s="9" t="inlineStr">
        <is>
          <t>Control cable 600 V Type TC-ER, Cu #14 AWG, PVC jacket</t>
        </is>
      </c>
      <c r="K1931" s="9" t="inlineStr">
        <is>
          <t>CT|7/C|14</t>
        </is>
      </c>
      <c r="L1931" s="9" t="inlineStr">
        <is>
          <t>7/C</t>
        </is>
      </c>
      <c r="M1931" s="9" t="inlineStr">
        <is>
          <t>14</t>
        </is>
      </c>
      <c r="N1931" s="9" t="n">
        <v>1</v>
      </c>
      <c r="O1931" s="9" t="n">
        <v>1</v>
      </c>
      <c r="P1931" s="9" t="n"/>
      <c r="Q1931" s="9" t="n"/>
      <c r="R1931" s="9" t="n"/>
      <c r="S1931" s="9" t="inlineStr">
        <is>
          <t>Duct bank</t>
        </is>
      </c>
      <c r="T1931" s="10" t="n">
        <v>121</v>
      </c>
      <c r="U1931" s="10" t="n">
        <v>32</v>
      </c>
      <c r="V1931" s="10">
        <f>ROUNDUP((T1931+U1931+2*'Read Me'!$B$13)*(1+'Read Me'!$B$12),-1)</f>
        <v/>
      </c>
      <c r="W1931" s="10">
        <f>V1931*N1931*O1931</f>
        <v/>
      </c>
      <c r="X1931" s="9">
        <f>IF(LEFT(I1931,2)="MV",2*N1931*IF(L1931="1/C",O1931,1),0)</f>
        <v/>
      </c>
      <c r="Y1931" s="9">
        <f>IF(OR(LEFT(K1931,4)="LVAX",LEFT(K1931,6)="MV15AX",LEFT(K1931,4)="CTAX",LEFT(K1931,2)="W|"),2*N1931*O1931,0)</f>
        <v/>
      </c>
      <c r="Z1931" s="9" t="inlineStr"/>
    </row>
    <row r="1932">
      <c r="A1932" s="9" t="inlineStr">
        <is>
          <t>I-C-0049</t>
        </is>
      </c>
      <c r="B1932" s="9" t="inlineStr">
        <is>
          <t>I</t>
        </is>
      </c>
      <c r="C1932" s="9" t="inlineStr">
        <is>
          <t>Modular / portable power</t>
        </is>
      </c>
      <c r="D1932" s="9" t="inlineStr">
        <is>
          <t>Control</t>
        </is>
      </c>
      <c r="E1932" s="9" t="inlineStr"/>
      <c r="F1932" s="9" t="inlineStr">
        <is>
          <t>PCM: power control module</t>
        </is>
      </c>
      <c r="G1932" s="9" t="inlineStr">
        <is>
          <t>FC-6</t>
        </is>
      </c>
      <c r="H1932" s="9" t="inlineStr">
        <is>
          <t>FC-6: SOFC module (Bloom ES5 class, 200-300 kW)</t>
        </is>
      </c>
      <c r="I1932" s="9" t="inlineStr">
        <is>
          <t>Control</t>
        </is>
      </c>
      <c r="J1932" s="9" t="inlineStr">
        <is>
          <t>Control cable 600 V Type TC-ER, Cu #14 AWG, PVC jacket</t>
        </is>
      </c>
      <c r="K1932" s="9" t="inlineStr">
        <is>
          <t>CT|7/C|14</t>
        </is>
      </c>
      <c r="L1932" s="9" t="inlineStr">
        <is>
          <t>7/C</t>
        </is>
      </c>
      <c r="M1932" s="9" t="inlineStr">
        <is>
          <t>14</t>
        </is>
      </c>
      <c r="N1932" s="9" t="n">
        <v>1</v>
      </c>
      <c r="O1932" s="9" t="n">
        <v>1</v>
      </c>
      <c r="P1932" s="9" t="n"/>
      <c r="Q1932" s="9" t="n"/>
      <c r="R1932" s="9" t="n"/>
      <c r="S1932" s="9" t="inlineStr">
        <is>
          <t>Duct bank</t>
        </is>
      </c>
      <c r="T1932" s="10" t="n">
        <v>121</v>
      </c>
      <c r="U1932" s="10" t="n">
        <v>42</v>
      </c>
      <c r="V1932" s="10">
        <f>ROUNDUP((T1932+U1932+2*'Read Me'!$B$13)*(1+'Read Me'!$B$12),-1)</f>
        <v/>
      </c>
      <c r="W1932" s="10">
        <f>V1932*N1932*O1932</f>
        <v/>
      </c>
      <c r="X1932" s="9">
        <f>IF(LEFT(I1932,2)="MV",2*N1932*IF(L1932="1/C",O1932,1),0)</f>
        <v/>
      </c>
      <c r="Y1932" s="9">
        <f>IF(OR(LEFT(K1932,4)="LVAX",LEFT(K1932,6)="MV15AX",LEFT(K1932,4)="CTAX",LEFT(K1932,2)="W|"),2*N1932*O1932,0)</f>
        <v/>
      </c>
      <c r="Z1932" s="9" t="inlineStr"/>
    </row>
    <row r="1933">
      <c r="A1933" s="9" t="inlineStr">
        <is>
          <t>I-C-0050</t>
        </is>
      </c>
      <c r="B1933" s="9" t="inlineStr">
        <is>
          <t>I</t>
        </is>
      </c>
      <c r="C1933" s="9" t="inlineStr">
        <is>
          <t>Modular / portable power</t>
        </is>
      </c>
      <c r="D1933" s="9" t="inlineStr">
        <is>
          <t>Control</t>
        </is>
      </c>
      <c r="E1933" s="9" t="inlineStr"/>
      <c r="F1933" s="9" t="inlineStr">
        <is>
          <t>PCM: power control module</t>
        </is>
      </c>
      <c r="G1933" s="9" t="inlineStr">
        <is>
          <t>FC-7</t>
        </is>
      </c>
      <c r="H1933" s="9" t="inlineStr">
        <is>
          <t>FC-7: SOFC module (Bloom ES5 class, 200-300 kW)</t>
        </is>
      </c>
      <c r="I1933" s="9" t="inlineStr">
        <is>
          <t>Control</t>
        </is>
      </c>
      <c r="J1933" s="9" t="inlineStr">
        <is>
          <t>Control cable 600 V Type TC-ER, Cu #14 AWG, PVC jacket</t>
        </is>
      </c>
      <c r="K1933" s="9" t="inlineStr">
        <is>
          <t>CT|7/C|14</t>
        </is>
      </c>
      <c r="L1933" s="9" t="inlineStr">
        <is>
          <t>7/C</t>
        </is>
      </c>
      <c r="M1933" s="9" t="inlineStr">
        <is>
          <t>14</t>
        </is>
      </c>
      <c r="N1933" s="9" t="n">
        <v>1</v>
      </c>
      <c r="O1933" s="9" t="n">
        <v>1</v>
      </c>
      <c r="P1933" s="9" t="n"/>
      <c r="Q1933" s="9" t="n"/>
      <c r="R1933" s="9" t="n"/>
      <c r="S1933" s="9" t="inlineStr">
        <is>
          <t>Duct bank</t>
        </is>
      </c>
      <c r="T1933" s="10" t="n">
        <v>135</v>
      </c>
      <c r="U1933" s="10" t="n">
        <v>42</v>
      </c>
      <c r="V1933" s="10">
        <f>ROUNDUP((T1933+U1933+2*'Read Me'!$B$13)*(1+'Read Me'!$B$12),-1)</f>
        <v/>
      </c>
      <c r="W1933" s="10">
        <f>V1933*N1933*O1933</f>
        <v/>
      </c>
      <c r="X1933" s="9">
        <f>IF(LEFT(I1933,2)="MV",2*N1933*IF(L1933="1/C",O1933,1),0)</f>
        <v/>
      </c>
      <c r="Y1933" s="9">
        <f>IF(OR(LEFT(K1933,4)="LVAX",LEFT(K1933,6)="MV15AX",LEFT(K1933,4)="CTAX",LEFT(K1933,2)="W|"),2*N1933*O1933,0)</f>
        <v/>
      </c>
      <c r="Z1933" s="9" t="inlineStr"/>
    </row>
    <row r="1934">
      <c r="A1934" s="9" t="inlineStr">
        <is>
          <t>I-C-0051</t>
        </is>
      </c>
      <c r="B1934" s="9" t="inlineStr">
        <is>
          <t>I</t>
        </is>
      </c>
      <c r="C1934" s="9" t="inlineStr">
        <is>
          <t>Modular / portable power</t>
        </is>
      </c>
      <c r="D1934" s="9" t="inlineStr">
        <is>
          <t>Control</t>
        </is>
      </c>
      <c r="E1934" s="9" t="inlineStr"/>
      <c r="F1934" s="9" t="inlineStr">
        <is>
          <t>PCM: power control module</t>
        </is>
      </c>
      <c r="G1934" s="9" t="inlineStr">
        <is>
          <t>FC-8</t>
        </is>
      </c>
      <c r="H1934" s="9" t="inlineStr">
        <is>
          <t>FC-8: SOFC module (Bloom ES5 class, 200-300 kW)</t>
        </is>
      </c>
      <c r="I1934" s="9" t="inlineStr">
        <is>
          <t>Control</t>
        </is>
      </c>
      <c r="J1934" s="9" t="inlineStr">
        <is>
          <t>Control cable 600 V Type TC-ER, Cu #14 AWG, PVC jacket</t>
        </is>
      </c>
      <c r="K1934" s="9" t="inlineStr">
        <is>
          <t>CT|7/C|14</t>
        </is>
      </c>
      <c r="L1934" s="9" t="inlineStr">
        <is>
          <t>7/C</t>
        </is>
      </c>
      <c r="M1934" s="9" t="inlineStr">
        <is>
          <t>14</t>
        </is>
      </c>
      <c r="N1934" s="9" t="n">
        <v>1</v>
      </c>
      <c r="O1934" s="9" t="n">
        <v>1</v>
      </c>
      <c r="P1934" s="9" t="n"/>
      <c r="Q1934" s="9" t="n"/>
      <c r="R1934" s="9" t="n"/>
      <c r="S1934" s="9" t="inlineStr">
        <is>
          <t>Duct bank</t>
        </is>
      </c>
      <c r="T1934" s="10" t="n">
        <v>149</v>
      </c>
      <c r="U1934" s="10" t="n">
        <v>42</v>
      </c>
      <c r="V1934" s="10">
        <f>ROUNDUP((T1934+U1934+2*'Read Me'!$B$13)*(1+'Read Me'!$B$12),-1)</f>
        <v/>
      </c>
      <c r="W1934" s="10">
        <f>V1934*N1934*O1934</f>
        <v/>
      </c>
      <c r="X1934" s="9">
        <f>IF(LEFT(I1934,2)="MV",2*N1934*IF(L1934="1/C",O1934,1),0)</f>
        <v/>
      </c>
      <c r="Y1934" s="9">
        <f>IF(OR(LEFT(K1934,4)="LVAX",LEFT(K1934,6)="MV15AX",LEFT(K1934,4)="CTAX",LEFT(K1934,2)="W|"),2*N1934*O1934,0)</f>
        <v/>
      </c>
      <c r="Z1934" s="9" t="inlineStr"/>
    </row>
    <row r="1935">
      <c r="A1935" s="9" t="inlineStr">
        <is>
          <t>I-C-0052</t>
        </is>
      </c>
      <c r="B1935" s="9" t="inlineStr">
        <is>
          <t>I</t>
        </is>
      </c>
      <c r="C1935" s="9" t="inlineStr">
        <is>
          <t>Modular / portable power</t>
        </is>
      </c>
      <c r="D1935" s="9" t="inlineStr">
        <is>
          <t>Control</t>
        </is>
      </c>
      <c r="E1935" s="9" t="inlineStr"/>
      <c r="F1935" s="9" t="inlineStr">
        <is>
          <t>PCM: power control module</t>
        </is>
      </c>
      <c r="G1935" s="9" t="inlineStr">
        <is>
          <t>FC-9</t>
        </is>
      </c>
      <c r="H1935" s="9" t="inlineStr">
        <is>
          <t>FC-9: SOFC module (Bloom ES5 class, 200-300 kW)</t>
        </is>
      </c>
      <c r="I1935" s="9" t="inlineStr">
        <is>
          <t>Control</t>
        </is>
      </c>
      <c r="J1935" s="9" t="inlineStr">
        <is>
          <t>Control cable 600 V Type TC-ER, Cu #14 AWG, PVC jacket</t>
        </is>
      </c>
      <c r="K1935" s="9" t="inlineStr">
        <is>
          <t>CT|7/C|14</t>
        </is>
      </c>
      <c r="L1935" s="9" t="inlineStr">
        <is>
          <t>7/C</t>
        </is>
      </c>
      <c r="M1935" s="9" t="inlineStr">
        <is>
          <t>14</t>
        </is>
      </c>
      <c r="N1935" s="9" t="n">
        <v>1</v>
      </c>
      <c r="O1935" s="9" t="n">
        <v>1</v>
      </c>
      <c r="P1935" s="9" t="n"/>
      <c r="Q1935" s="9" t="n"/>
      <c r="R1935" s="9" t="n"/>
      <c r="S1935" s="9" t="inlineStr">
        <is>
          <t>Duct bank</t>
        </is>
      </c>
      <c r="T1935" s="10" t="n">
        <v>163</v>
      </c>
      <c r="U1935" s="10" t="n">
        <v>42</v>
      </c>
      <c r="V1935" s="10">
        <f>ROUNDUP((T1935+U1935+2*'Read Me'!$B$13)*(1+'Read Me'!$B$12),-1)</f>
        <v/>
      </c>
      <c r="W1935" s="10">
        <f>V1935*N1935*O1935</f>
        <v/>
      </c>
      <c r="X1935" s="9">
        <f>IF(LEFT(I1935,2)="MV",2*N1935*IF(L1935="1/C",O1935,1),0)</f>
        <v/>
      </c>
      <c r="Y1935" s="9">
        <f>IF(OR(LEFT(K1935,4)="LVAX",LEFT(K1935,6)="MV15AX",LEFT(K1935,4)="CTAX",LEFT(K1935,2)="W|"),2*N1935*O1935,0)</f>
        <v/>
      </c>
      <c r="Z1935" s="9" t="inlineStr"/>
    </row>
    <row r="1936">
      <c r="A1936" s="9" t="inlineStr">
        <is>
          <t>I-C-0053</t>
        </is>
      </c>
      <c r="B1936" s="9" t="inlineStr">
        <is>
          <t>I</t>
        </is>
      </c>
      <c r="C1936" s="9" t="inlineStr">
        <is>
          <t>Modular / portable power</t>
        </is>
      </c>
      <c r="D1936" s="9" t="inlineStr">
        <is>
          <t>Control</t>
        </is>
      </c>
      <c r="E1936" s="9" t="inlineStr"/>
      <c r="F1936" s="9" t="inlineStr">
        <is>
          <t>PCM: power control module</t>
        </is>
      </c>
      <c r="G1936" s="9" t="inlineStr"/>
      <c r="H1936" s="9" t="inlineStr">
        <is>
          <t>Fuel-cell inverter / AC cabinet / desulfurizer</t>
        </is>
      </c>
      <c r="I1936" s="9" t="inlineStr">
        <is>
          <t>Control</t>
        </is>
      </c>
      <c r="J1936" s="9" t="inlineStr">
        <is>
          <t>ARMOR-X MC-HL 600 V control, Cu #14 AWG (Class I Div 2)</t>
        </is>
      </c>
      <c r="K1936" s="9" t="inlineStr">
        <is>
          <t>CTAX|7/C|14</t>
        </is>
      </c>
      <c r="L1936" s="9" t="inlineStr">
        <is>
          <t>7/C</t>
        </is>
      </c>
      <c r="M1936" s="9" t="inlineStr">
        <is>
          <t>14</t>
        </is>
      </c>
      <c r="N1936" s="9" t="n">
        <v>1</v>
      </c>
      <c r="O1936" s="9" t="n">
        <v>1</v>
      </c>
      <c r="P1936" s="9" t="n"/>
      <c r="Q1936" s="9" t="n"/>
      <c r="R1936" s="9" t="n"/>
      <c r="S1936" s="9" t="inlineStr">
        <is>
          <t>Duct bank</t>
        </is>
      </c>
      <c r="T1936" s="10" t="n">
        <v>1050</v>
      </c>
      <c r="U1936" s="10" t="n">
        <v>32</v>
      </c>
      <c r="V1936" s="10">
        <f>ROUNDUP((T1936+U1936+2*'Read Me'!$B$13)*(1+'Read Me'!$B$12),-1)</f>
        <v/>
      </c>
      <c r="W1936" s="10">
        <f>V1936*N1936*O1936</f>
        <v/>
      </c>
      <c r="X1936" s="9">
        <f>IF(LEFT(I1936,2)="MV",2*N1936*IF(L1936="1/C",O1936,1),0)</f>
        <v/>
      </c>
      <c r="Y1936" s="9">
        <f>IF(OR(LEFT(K1936,4)="LVAX",LEFT(K1936,6)="MV15AX",LEFT(K1936,4)="CTAX",LEFT(K1936,2)="W|"),2*N1936*O1936,0)</f>
        <v/>
      </c>
      <c r="Z1936" s="9" t="inlineStr"/>
    </row>
    <row r="1937">
      <c r="A1937" s="9" t="inlineStr">
        <is>
          <t>I-C-0054</t>
        </is>
      </c>
      <c r="B1937" s="9" t="inlineStr">
        <is>
          <t>I</t>
        </is>
      </c>
      <c r="C1937" s="9" t="inlineStr">
        <is>
          <t>Modular / portable power</t>
        </is>
      </c>
      <c r="D1937" s="9" t="inlineStr">
        <is>
          <t>Control</t>
        </is>
      </c>
      <c r="E1937" s="9" t="inlineStr"/>
      <c r="F1937" s="9" t="inlineStr">
        <is>
          <t>PCM: power control module</t>
        </is>
      </c>
      <c r="G1937" s="9" t="inlineStr"/>
      <c r="H1937" s="9" t="inlineStr">
        <is>
          <t>Fuel-gas compressors 3 x 100% electric</t>
        </is>
      </c>
      <c r="I1937" s="9" t="inlineStr">
        <is>
          <t>Control</t>
        </is>
      </c>
      <c r="J1937" s="9" t="inlineStr">
        <is>
          <t>ARMOR-X MC-HL 600 V control, Cu #14 AWG (Class I Div 2)</t>
        </is>
      </c>
      <c r="K1937" s="9" t="inlineStr">
        <is>
          <t>CTAX|7/C|14</t>
        </is>
      </c>
      <c r="L1937" s="9" t="inlineStr">
        <is>
          <t>7/C</t>
        </is>
      </c>
      <c r="M1937" s="9" t="inlineStr">
        <is>
          <t>14</t>
        </is>
      </c>
      <c r="N1937" s="9" t="n">
        <v>1</v>
      </c>
      <c r="O1937" s="9" t="n">
        <v>1</v>
      </c>
      <c r="P1937" s="9" t="n"/>
      <c r="Q1937" s="9" t="n"/>
      <c r="R1937" s="9" t="n"/>
      <c r="S1937" s="9" t="inlineStr">
        <is>
          <t>Duct bank</t>
        </is>
      </c>
      <c r="T1937" s="10" t="n">
        <v>542</v>
      </c>
      <c r="U1937" s="10" t="n">
        <v>119</v>
      </c>
      <c r="V1937" s="10">
        <f>ROUNDUP((T1937+U1937+2*'Read Me'!$B$13)*(1+'Read Me'!$B$12),-1)</f>
        <v/>
      </c>
      <c r="W1937" s="10">
        <f>V1937*N1937*O1937</f>
        <v/>
      </c>
      <c r="X1937" s="9">
        <f>IF(LEFT(I1937,2)="MV",2*N1937*IF(L1937="1/C",O1937,1),0)</f>
        <v/>
      </c>
      <c r="Y1937" s="9">
        <f>IF(OR(LEFT(K1937,4)="LVAX",LEFT(K1937,6)="MV15AX",LEFT(K1937,4)="CTAX",LEFT(K1937,2)="W|"),2*N1937*O1937,0)</f>
        <v/>
      </c>
      <c r="Z1937" s="9" t="inlineStr"/>
    </row>
    <row r="1938">
      <c r="A1938" s="9" t="inlineStr">
        <is>
          <t>I-C-0055</t>
        </is>
      </c>
      <c r="B1938" s="9" t="inlineStr">
        <is>
          <t>I</t>
        </is>
      </c>
      <c r="C1938" s="9" t="inlineStr">
        <is>
          <t>Modular / portable power</t>
        </is>
      </c>
      <c r="D1938" s="9" t="inlineStr">
        <is>
          <t>Control</t>
        </is>
      </c>
      <c r="E1938" s="9" t="inlineStr">
        <is>
          <t>PAD-EH</t>
        </is>
      </c>
      <c r="F1938" s="9" t="inlineStr">
        <is>
          <t>PAD-EH 13.8 kV switchgear e-house</t>
        </is>
      </c>
      <c r="G1938" s="9" t="inlineStr">
        <is>
          <t>GEN-E</t>
        </is>
      </c>
      <c r="H1938" s="9" t="inlineStr">
        <is>
          <t>GEN-E: enclosed industrial gas genset 2 MW</t>
        </is>
      </c>
      <c r="I1938" s="9" t="inlineStr">
        <is>
          <t>Control</t>
        </is>
      </c>
      <c r="J1938" s="9" t="inlineStr">
        <is>
          <t>Control cable 600 V Type TC-ER, Cu #14 AWG, PVC jacket</t>
        </is>
      </c>
      <c r="K1938" s="9" t="inlineStr">
        <is>
          <t>CT|7/C|14</t>
        </is>
      </c>
      <c r="L1938" s="9" t="inlineStr">
        <is>
          <t>7/C</t>
        </is>
      </c>
      <c r="M1938" s="9" t="inlineStr">
        <is>
          <t>14</t>
        </is>
      </c>
      <c r="N1938" s="9" t="n">
        <v>1</v>
      </c>
      <c r="O1938" s="9" t="n">
        <v>1</v>
      </c>
      <c r="P1938" s="9" t="n"/>
      <c r="Q1938" s="9" t="n"/>
      <c r="R1938" s="9" t="n"/>
      <c r="S1938" s="9" t="inlineStr">
        <is>
          <t>Surface</t>
        </is>
      </c>
      <c r="T1938" s="10" t="n">
        <v>197</v>
      </c>
      <c r="U1938" s="10" t="n">
        <v>27</v>
      </c>
      <c r="V1938" s="10">
        <f>ROUNDUP((T1938+U1938+2*'Read Me'!$B$13)*(1+'Read Me'!$B$12),-1)</f>
        <v/>
      </c>
      <c r="W1938" s="10">
        <f>V1938*N1938*O1938</f>
        <v/>
      </c>
      <c r="X1938" s="9">
        <f>IF(LEFT(I1938,2)="MV",2*N1938*IF(L1938="1/C",O1938,1),0)</f>
        <v/>
      </c>
      <c r="Y1938" s="9">
        <f>IF(OR(LEFT(K1938,4)="LVAX",LEFT(K1938,6)="MV15AX",LEFT(K1938,4)="CTAX",LEFT(K1938,2)="W|"),2*N1938*O1938,0)</f>
        <v/>
      </c>
      <c r="Z1938" s="9" t="inlineStr"/>
    </row>
    <row r="1939">
      <c r="A1939" s="9" t="inlineStr">
        <is>
          <t>I-C-0056</t>
        </is>
      </c>
      <c r="B1939" s="9" t="inlineStr">
        <is>
          <t>I</t>
        </is>
      </c>
      <c r="C1939" s="9" t="inlineStr">
        <is>
          <t>Modular / portable power</t>
        </is>
      </c>
      <c r="D1939" s="9" t="inlineStr">
        <is>
          <t>Control</t>
        </is>
      </c>
      <c r="E1939" s="9" t="inlineStr">
        <is>
          <t>PAD-EH</t>
        </is>
      </c>
      <c r="F1939" s="9" t="inlineStr">
        <is>
          <t>PAD-EH 13.8 kV switchgear e-house</t>
        </is>
      </c>
      <c r="G1939" s="9" t="inlineStr">
        <is>
          <t>GEN-O</t>
        </is>
      </c>
      <c r="H1939" s="9" t="inlineStr">
        <is>
          <t>GEN-O: open engine-generator skid</t>
        </is>
      </c>
      <c r="I1939" s="9" t="inlineStr">
        <is>
          <t>Control</t>
        </is>
      </c>
      <c r="J1939" s="9" t="inlineStr">
        <is>
          <t>Control cable 600 V Type TC-ER, Cu #14 AWG, PVC jacket</t>
        </is>
      </c>
      <c r="K1939" s="9" t="inlineStr">
        <is>
          <t>CT|7/C|14</t>
        </is>
      </c>
      <c r="L1939" s="9" t="inlineStr">
        <is>
          <t>7/C</t>
        </is>
      </c>
      <c r="M1939" s="9" t="inlineStr">
        <is>
          <t>14</t>
        </is>
      </c>
      <c r="N1939" s="9" t="n">
        <v>1</v>
      </c>
      <c r="O1939" s="9" t="n">
        <v>1</v>
      </c>
      <c r="P1939" s="9" t="n"/>
      <c r="Q1939" s="9" t="n"/>
      <c r="R1939" s="9" t="n"/>
      <c r="S1939" s="9" t="inlineStr">
        <is>
          <t>Surface</t>
        </is>
      </c>
      <c r="T1939" s="10" t="n">
        <v>190</v>
      </c>
      <c r="U1939" s="10" t="n">
        <v>27</v>
      </c>
      <c r="V1939" s="10">
        <f>ROUNDUP((T1939+U1939+2*'Read Me'!$B$13)*(1+'Read Me'!$B$12),-1)</f>
        <v/>
      </c>
      <c r="W1939" s="10">
        <f>V1939*N1939*O1939</f>
        <v/>
      </c>
      <c r="X1939" s="9">
        <f>IF(LEFT(I1939,2)="MV",2*N1939*IF(L1939="1/C",O1939,1),0)</f>
        <v/>
      </c>
      <c r="Y1939" s="9">
        <f>IF(OR(LEFT(K1939,4)="LVAX",LEFT(K1939,6)="MV15AX",LEFT(K1939,4)="CTAX",LEFT(K1939,2)="W|"),2*N1939*O1939,0)</f>
        <v/>
      </c>
      <c r="Z1939" s="9" t="inlineStr"/>
    </row>
    <row r="1940">
      <c r="A1940" s="9" t="inlineStr">
        <is>
          <t>I-C-0057</t>
        </is>
      </c>
      <c r="B1940" s="9" t="inlineStr">
        <is>
          <t>I</t>
        </is>
      </c>
      <c r="C1940" s="9" t="inlineStr">
        <is>
          <t>Modular / portable power</t>
        </is>
      </c>
      <c r="D1940" s="9" t="inlineStr">
        <is>
          <t>Control</t>
        </is>
      </c>
      <c r="E1940" s="9" t="inlineStr">
        <is>
          <t>PAD-EH</t>
        </is>
      </c>
      <c r="F1940" s="9" t="inlineStr">
        <is>
          <t>PAD-EH 13.8 kV switchgear e-house</t>
        </is>
      </c>
      <c r="G1940" s="9" t="inlineStr">
        <is>
          <t>GSP-1</t>
        </is>
      </c>
      <c r="H1940" s="9" t="inlineStr">
        <is>
          <t>GSP-1: generator breaker / protection</t>
        </is>
      </c>
      <c r="I1940" s="9" t="inlineStr">
        <is>
          <t>Control</t>
        </is>
      </c>
      <c r="J1940" s="9" t="inlineStr">
        <is>
          <t>Control cable 600 V Type TC-ER, Cu #14 AWG, PVC jacket</t>
        </is>
      </c>
      <c r="K1940" s="9" t="inlineStr">
        <is>
          <t>CT|12/C|14</t>
        </is>
      </c>
      <c r="L1940" s="9" t="inlineStr">
        <is>
          <t>12/C</t>
        </is>
      </c>
      <c r="M1940" s="9" t="inlineStr">
        <is>
          <t>14</t>
        </is>
      </c>
      <c r="N1940" s="9" t="n">
        <v>1</v>
      </c>
      <c r="O1940" s="9" t="n">
        <v>1</v>
      </c>
      <c r="P1940" s="9" t="n"/>
      <c r="Q1940" s="9" t="n"/>
      <c r="R1940" s="9" t="n"/>
      <c r="S1940" s="9" t="inlineStr">
        <is>
          <t>Surface</t>
        </is>
      </c>
      <c r="T1940" s="10" t="n">
        <v>374</v>
      </c>
      <c r="U1940" s="10" t="n">
        <v>27</v>
      </c>
      <c r="V1940" s="10">
        <f>ROUNDUP((T1940+U1940+2*'Read Me'!$B$13)*(1+'Read Me'!$B$12),-1)</f>
        <v/>
      </c>
      <c r="W1940" s="10">
        <f>V1940*N1940*O1940</f>
        <v/>
      </c>
      <c r="X1940" s="9">
        <f>IF(LEFT(I1940,2)="MV",2*N1940*IF(L1940="1/C",O1940,1),0)</f>
        <v/>
      </c>
      <c r="Y1940" s="9">
        <f>IF(OR(LEFT(K1940,4)="LVAX",LEFT(K1940,6)="MV15AX",LEFT(K1940,4)="CTAX",LEFT(K1940,2)="W|"),2*N1940*O1940,0)</f>
        <v/>
      </c>
      <c r="Z1940" s="9" t="inlineStr"/>
    </row>
    <row r="1941">
      <c r="A1941" s="9" t="inlineStr">
        <is>
          <t>I-C-0058</t>
        </is>
      </c>
      <c r="B1941" s="9" t="inlineStr">
        <is>
          <t>I</t>
        </is>
      </c>
      <c r="C1941" s="9" t="inlineStr">
        <is>
          <t>Modular / portable power</t>
        </is>
      </c>
      <c r="D1941" s="9" t="inlineStr">
        <is>
          <t>Control</t>
        </is>
      </c>
      <c r="E1941" s="9" t="inlineStr">
        <is>
          <t>PAD-EH</t>
        </is>
      </c>
      <c r="F1941" s="9" t="inlineStr">
        <is>
          <t>PAD-EH 13.8 kV switchgear e-house</t>
        </is>
      </c>
      <c r="G1941" s="9" t="inlineStr">
        <is>
          <t>GSP-1</t>
        </is>
      </c>
      <c r="H1941" s="9" t="inlineStr">
        <is>
          <t>GSP-1: generator breaker / protection</t>
        </is>
      </c>
      <c r="I1941" s="9" t="inlineStr">
        <is>
          <t>Control</t>
        </is>
      </c>
      <c r="J1941" s="9" t="inlineStr">
        <is>
          <t>Control cable 600 V Type TC-ER, Cu #14 AWG, PVC jacket</t>
        </is>
      </c>
      <c r="K1941" s="9" t="inlineStr">
        <is>
          <t>CT|12/C|14</t>
        </is>
      </c>
      <c r="L1941" s="9" t="inlineStr">
        <is>
          <t>12/C</t>
        </is>
      </c>
      <c r="M1941" s="9" t="inlineStr">
        <is>
          <t>14</t>
        </is>
      </c>
      <c r="N1941" s="9" t="n">
        <v>1</v>
      </c>
      <c r="O1941" s="9" t="n">
        <v>1</v>
      </c>
      <c r="P1941" s="9" t="n"/>
      <c r="Q1941" s="9" t="n"/>
      <c r="R1941" s="9" t="n"/>
      <c r="S1941" s="9" t="inlineStr">
        <is>
          <t>Surface</t>
        </is>
      </c>
      <c r="T1941" s="10" t="n">
        <v>374</v>
      </c>
      <c r="U1941" s="10" t="n">
        <v>27</v>
      </c>
      <c r="V1941" s="10">
        <f>ROUNDUP((T1941+U1941+2*'Read Me'!$B$13)*(1+'Read Me'!$B$12),-1)</f>
        <v/>
      </c>
      <c r="W1941" s="10">
        <f>V1941*N1941*O1941</f>
        <v/>
      </c>
      <c r="X1941" s="9">
        <f>IF(LEFT(I1941,2)="MV",2*N1941*IF(L1941="1/C",O1941,1),0)</f>
        <v/>
      </c>
      <c r="Y1941" s="9">
        <f>IF(OR(LEFT(K1941,4)="LVAX",LEFT(K1941,6)="MV15AX",LEFT(K1941,4)="CTAX",LEFT(K1941,2)="W|"),2*N1941*O1941,0)</f>
        <v/>
      </c>
      <c r="Z1941" s="9" t="inlineStr"/>
    </row>
    <row r="1942">
      <c r="A1942" s="9" t="inlineStr">
        <is>
          <t>I-C-0059</t>
        </is>
      </c>
      <c r="B1942" s="9" t="inlineStr">
        <is>
          <t>I</t>
        </is>
      </c>
      <c r="C1942" s="9" t="inlineStr">
        <is>
          <t>Modular / portable power</t>
        </is>
      </c>
      <c r="D1942" s="9" t="inlineStr">
        <is>
          <t>Control</t>
        </is>
      </c>
      <c r="E1942" s="9" t="inlineStr">
        <is>
          <t>PAD-EH</t>
        </is>
      </c>
      <c r="F1942" s="9" t="inlineStr">
        <is>
          <t>PAD-EH 13.8 kV switchgear e-house</t>
        </is>
      </c>
      <c r="G1942" s="9" t="inlineStr">
        <is>
          <t>GSP-1</t>
        </is>
      </c>
      <c r="H1942" s="9" t="inlineStr">
        <is>
          <t>GSP-1: generator breaker / protection</t>
        </is>
      </c>
      <c r="I1942" s="9" t="inlineStr">
        <is>
          <t>Control</t>
        </is>
      </c>
      <c r="J1942" s="9" t="inlineStr">
        <is>
          <t>Control cable 600 V Type TC-ER, Cu #14 AWG, PVC jacket</t>
        </is>
      </c>
      <c r="K1942" s="9" t="inlineStr">
        <is>
          <t>CT|12/C|14</t>
        </is>
      </c>
      <c r="L1942" s="9" t="inlineStr">
        <is>
          <t>12/C</t>
        </is>
      </c>
      <c r="M1942" s="9" t="inlineStr">
        <is>
          <t>14</t>
        </is>
      </c>
      <c r="N1942" s="9" t="n">
        <v>1</v>
      </c>
      <c r="O1942" s="9" t="n">
        <v>1</v>
      </c>
      <c r="P1942" s="9" t="n"/>
      <c r="Q1942" s="9" t="n"/>
      <c r="R1942" s="9" t="n"/>
      <c r="S1942" s="9" t="inlineStr">
        <is>
          <t>Surface</t>
        </is>
      </c>
      <c r="T1942" s="10" t="n">
        <v>374</v>
      </c>
      <c r="U1942" s="10" t="n">
        <v>27</v>
      </c>
      <c r="V1942" s="10">
        <f>ROUNDUP((T1942+U1942+2*'Read Me'!$B$13)*(1+'Read Me'!$B$12),-1)</f>
        <v/>
      </c>
      <c r="W1942" s="10">
        <f>V1942*N1942*O1942</f>
        <v/>
      </c>
      <c r="X1942" s="9">
        <f>IF(LEFT(I1942,2)="MV",2*N1942*IF(L1942="1/C",O1942,1),0)</f>
        <v/>
      </c>
      <c r="Y1942" s="9">
        <f>IF(OR(LEFT(K1942,4)="LVAX",LEFT(K1942,6)="MV15AX",LEFT(K1942,4)="CTAX",LEFT(K1942,2)="W|"),2*N1942*O1942,0)</f>
        <v/>
      </c>
      <c r="Z1942" s="9" t="inlineStr"/>
    </row>
    <row r="1943">
      <c r="A1943" s="9" t="inlineStr">
        <is>
          <t>I-C-0060</t>
        </is>
      </c>
      <c r="B1943" s="9" t="inlineStr">
        <is>
          <t>I</t>
        </is>
      </c>
      <c r="C1943" s="9" t="inlineStr">
        <is>
          <t>Modular / portable power</t>
        </is>
      </c>
      <c r="D1943" s="9" t="inlineStr">
        <is>
          <t>CT / VT</t>
        </is>
      </c>
      <c r="E1943" s="9" t="inlineStr">
        <is>
          <t>PAD-EH</t>
        </is>
      </c>
      <c r="F1943" s="9" t="inlineStr">
        <is>
          <t>PAD-EH 13.8 kV switchgear e-house</t>
        </is>
      </c>
      <c r="G1943" s="9" t="inlineStr">
        <is>
          <t>GSP-1</t>
        </is>
      </c>
      <c r="H1943" s="9" t="inlineStr">
        <is>
          <t>GSP-1: generator breaker / protection</t>
        </is>
      </c>
      <c r="I1943" s="9" t="inlineStr">
        <is>
          <t>Control</t>
        </is>
      </c>
      <c r="J1943" s="9" t="inlineStr">
        <is>
          <t>Control cable 600 V Type TC-ER, Cu #10 AWG (CT / VT circuits)</t>
        </is>
      </c>
      <c r="K1943" s="9" t="inlineStr">
        <is>
          <t>CTCT|4/C|10</t>
        </is>
      </c>
      <c r="L1943" s="9" t="inlineStr">
        <is>
          <t>4/C</t>
        </is>
      </c>
      <c r="M1943" s="9" t="inlineStr">
        <is>
          <t>10</t>
        </is>
      </c>
      <c r="N1943" s="9" t="n">
        <v>1</v>
      </c>
      <c r="O1943" s="9" t="n">
        <v>1</v>
      </c>
      <c r="P1943" s="9" t="n"/>
      <c r="Q1943" s="9" t="n"/>
      <c r="R1943" s="9" t="n"/>
      <c r="S1943" s="9" t="inlineStr">
        <is>
          <t>Surface</t>
        </is>
      </c>
      <c r="T1943" s="10" t="n">
        <v>374</v>
      </c>
      <c r="U1943" s="10" t="n">
        <v>27</v>
      </c>
      <c r="V1943" s="10">
        <f>ROUNDUP((T1943+U1943+2*'Read Me'!$B$13)*(1+'Read Me'!$B$12),-1)</f>
        <v/>
      </c>
      <c r="W1943" s="10">
        <f>V1943*N1943*O1943</f>
        <v/>
      </c>
      <c r="X1943" s="9">
        <f>IF(LEFT(I1943,2)="MV",2*N1943*IF(L1943="1/C",O1943,1),0)</f>
        <v/>
      </c>
      <c r="Y1943" s="9">
        <f>IF(OR(LEFT(K1943,4)="LVAX",LEFT(K1943,6)="MV15AX",LEFT(K1943,4)="CTAX",LEFT(K1943,2)="W|"),2*N1943*O1943,0)</f>
        <v/>
      </c>
      <c r="Z1943" s="9" t="inlineStr"/>
    </row>
    <row r="1944">
      <c r="A1944" s="9" t="inlineStr">
        <is>
          <t>I-C-0061</t>
        </is>
      </c>
      <c r="B1944" s="9" t="inlineStr">
        <is>
          <t>I</t>
        </is>
      </c>
      <c r="C1944" s="9" t="inlineStr">
        <is>
          <t>Modular / portable power</t>
        </is>
      </c>
      <c r="D1944" s="9" t="inlineStr">
        <is>
          <t>CT / VT</t>
        </is>
      </c>
      <c r="E1944" s="9" t="inlineStr">
        <is>
          <t>PAD-EH</t>
        </is>
      </c>
      <c r="F1944" s="9" t="inlineStr">
        <is>
          <t>PAD-EH 13.8 kV switchgear e-house</t>
        </is>
      </c>
      <c r="G1944" s="9" t="inlineStr">
        <is>
          <t>GSP-1</t>
        </is>
      </c>
      <c r="H1944" s="9" t="inlineStr">
        <is>
          <t>GSP-1: generator breaker / protection</t>
        </is>
      </c>
      <c r="I1944" s="9" t="inlineStr">
        <is>
          <t>Control</t>
        </is>
      </c>
      <c r="J1944" s="9" t="inlineStr">
        <is>
          <t>Control cable 600 V Type TC-ER, Cu #10 AWG (CT / VT circuits)</t>
        </is>
      </c>
      <c r="K1944" s="9" t="inlineStr">
        <is>
          <t>CTCT|4/C|10</t>
        </is>
      </c>
      <c r="L1944" s="9" t="inlineStr">
        <is>
          <t>4/C</t>
        </is>
      </c>
      <c r="M1944" s="9" t="inlineStr">
        <is>
          <t>10</t>
        </is>
      </c>
      <c r="N1944" s="9" t="n">
        <v>1</v>
      </c>
      <c r="O1944" s="9" t="n">
        <v>1</v>
      </c>
      <c r="P1944" s="9" t="n"/>
      <c r="Q1944" s="9" t="n"/>
      <c r="R1944" s="9" t="n"/>
      <c r="S1944" s="9" t="inlineStr">
        <is>
          <t>Surface</t>
        </is>
      </c>
      <c r="T1944" s="10" t="n">
        <v>374</v>
      </c>
      <c r="U1944" s="10" t="n">
        <v>27</v>
      </c>
      <c r="V1944" s="10">
        <f>ROUNDUP((T1944+U1944+2*'Read Me'!$B$13)*(1+'Read Me'!$B$12),-1)</f>
        <v/>
      </c>
      <c r="W1944" s="10">
        <f>V1944*N1944*O1944</f>
        <v/>
      </c>
      <c r="X1944" s="9">
        <f>IF(LEFT(I1944,2)="MV",2*N1944*IF(L1944="1/C",O1944,1),0)</f>
        <v/>
      </c>
      <c r="Y1944" s="9">
        <f>IF(OR(LEFT(K1944,4)="LVAX",LEFT(K1944,6)="MV15AX",LEFT(K1944,4)="CTAX",LEFT(K1944,2)="W|"),2*N1944*O1944,0)</f>
        <v/>
      </c>
      <c r="Z1944" s="9" t="inlineStr"/>
    </row>
    <row r="1945">
      <c r="A1945" s="9" t="inlineStr">
        <is>
          <t>I-C-0062</t>
        </is>
      </c>
      <c r="B1945" s="9" t="inlineStr">
        <is>
          <t>I</t>
        </is>
      </c>
      <c r="C1945" s="9" t="inlineStr">
        <is>
          <t>Modular / portable power</t>
        </is>
      </c>
      <c r="D1945" s="9" t="inlineStr">
        <is>
          <t>CT / VT</t>
        </is>
      </c>
      <c r="E1945" s="9" t="inlineStr">
        <is>
          <t>PAD-EH</t>
        </is>
      </c>
      <c r="F1945" s="9" t="inlineStr">
        <is>
          <t>PAD-EH 13.8 kV switchgear e-house</t>
        </is>
      </c>
      <c r="G1945" s="9" t="inlineStr">
        <is>
          <t>GSP-1</t>
        </is>
      </c>
      <c r="H1945" s="9" t="inlineStr">
        <is>
          <t>GSP-1: generator breaker / protection</t>
        </is>
      </c>
      <c r="I1945" s="9" t="inlineStr">
        <is>
          <t>Control</t>
        </is>
      </c>
      <c r="J1945" s="9" t="inlineStr">
        <is>
          <t>Control cable 600 V Type TC-ER, Cu #10 AWG (CT / VT circuits)</t>
        </is>
      </c>
      <c r="K1945" s="9" t="inlineStr">
        <is>
          <t>CTCT|4/C|10</t>
        </is>
      </c>
      <c r="L1945" s="9" t="inlineStr">
        <is>
          <t>4/C</t>
        </is>
      </c>
      <c r="M1945" s="9" t="inlineStr">
        <is>
          <t>10</t>
        </is>
      </c>
      <c r="N1945" s="9" t="n">
        <v>1</v>
      </c>
      <c r="O1945" s="9" t="n">
        <v>1</v>
      </c>
      <c r="P1945" s="9" t="n"/>
      <c r="Q1945" s="9" t="n"/>
      <c r="R1945" s="9" t="n"/>
      <c r="S1945" s="9" t="inlineStr">
        <is>
          <t>Surface</t>
        </is>
      </c>
      <c r="T1945" s="10" t="n">
        <v>374</v>
      </c>
      <c r="U1945" s="10" t="n">
        <v>27</v>
      </c>
      <c r="V1945" s="10">
        <f>ROUNDUP((T1945+U1945+2*'Read Me'!$B$13)*(1+'Read Me'!$B$12),-1)</f>
        <v/>
      </c>
      <c r="W1945" s="10">
        <f>V1945*N1945*O1945</f>
        <v/>
      </c>
      <c r="X1945" s="9">
        <f>IF(LEFT(I1945,2)="MV",2*N1945*IF(L1945="1/C",O1945,1),0)</f>
        <v/>
      </c>
      <c r="Y1945" s="9">
        <f>IF(OR(LEFT(K1945,4)="LVAX",LEFT(K1945,6)="MV15AX",LEFT(K1945,4)="CTAX",LEFT(K1945,2)="W|"),2*N1945*O1945,0)</f>
        <v/>
      </c>
      <c r="Z1945" s="9" t="inlineStr"/>
    </row>
    <row r="1946">
      <c r="A1946" s="9" t="inlineStr">
        <is>
          <t>I-C-0063</t>
        </is>
      </c>
      <c r="B1946" s="9" t="inlineStr">
        <is>
          <t>I</t>
        </is>
      </c>
      <c r="C1946" s="9" t="inlineStr">
        <is>
          <t>Modular / portable power</t>
        </is>
      </c>
      <c r="D1946" s="9" t="inlineStr">
        <is>
          <t>CT / VT</t>
        </is>
      </c>
      <c r="E1946" s="9" t="inlineStr">
        <is>
          <t>PAD-EH</t>
        </is>
      </c>
      <c r="F1946" s="9" t="inlineStr">
        <is>
          <t>PAD-EH 13.8 kV switchgear e-house</t>
        </is>
      </c>
      <c r="G1946" s="9" t="inlineStr">
        <is>
          <t>GSP-1</t>
        </is>
      </c>
      <c r="H1946" s="9" t="inlineStr">
        <is>
          <t>GSP-1: generator breaker / protection</t>
        </is>
      </c>
      <c r="I1946" s="9" t="inlineStr">
        <is>
          <t>Control</t>
        </is>
      </c>
      <c r="J1946" s="9" t="inlineStr">
        <is>
          <t>Control cable 600 V Type TC-ER, Cu #10 AWG (CT / VT circuits)</t>
        </is>
      </c>
      <c r="K1946" s="9" t="inlineStr">
        <is>
          <t>CTCT|4/C|10</t>
        </is>
      </c>
      <c r="L1946" s="9" t="inlineStr">
        <is>
          <t>4/C</t>
        </is>
      </c>
      <c r="M1946" s="9" t="inlineStr">
        <is>
          <t>10</t>
        </is>
      </c>
      <c r="N1946" s="9" t="n">
        <v>1</v>
      </c>
      <c r="O1946" s="9" t="n">
        <v>1</v>
      </c>
      <c r="P1946" s="9" t="n"/>
      <c r="Q1946" s="9" t="n"/>
      <c r="R1946" s="9" t="n"/>
      <c r="S1946" s="9" t="inlineStr">
        <is>
          <t>Surface</t>
        </is>
      </c>
      <c r="T1946" s="10" t="n">
        <v>374</v>
      </c>
      <c r="U1946" s="10" t="n">
        <v>27</v>
      </c>
      <c r="V1946" s="10">
        <f>ROUNDUP((T1946+U1946+2*'Read Me'!$B$13)*(1+'Read Me'!$B$12),-1)</f>
        <v/>
      </c>
      <c r="W1946" s="10">
        <f>V1946*N1946*O1946</f>
        <v/>
      </c>
      <c r="X1946" s="9">
        <f>IF(LEFT(I1946,2)="MV",2*N1946*IF(L1946="1/C",O1946,1),0)</f>
        <v/>
      </c>
      <c r="Y1946" s="9">
        <f>IF(OR(LEFT(K1946,4)="LVAX",LEFT(K1946,6)="MV15AX",LEFT(K1946,4)="CTAX",LEFT(K1946,2)="W|"),2*N1946*O1946,0)</f>
        <v/>
      </c>
      <c r="Z1946" s="9" t="inlineStr"/>
    </row>
    <row r="1947">
      <c r="A1947" s="9" t="inlineStr">
        <is>
          <t>I-C-0064</t>
        </is>
      </c>
      <c r="B1947" s="9" t="inlineStr">
        <is>
          <t>I</t>
        </is>
      </c>
      <c r="C1947" s="9" t="inlineStr">
        <is>
          <t>Modular / portable power</t>
        </is>
      </c>
      <c r="D1947" s="9" t="inlineStr">
        <is>
          <t>Control</t>
        </is>
      </c>
      <c r="E1947" s="9" t="inlineStr">
        <is>
          <t>PAD-EH</t>
        </is>
      </c>
      <c r="F1947" s="9" t="inlineStr">
        <is>
          <t>PAD-EH 13.8 kV switchgear e-house</t>
        </is>
      </c>
      <c r="G1947" s="9" t="inlineStr">
        <is>
          <t>GSP-2</t>
        </is>
      </c>
      <c r="H1947" s="9" t="inlineStr">
        <is>
          <t>GSP-2: generator breaker / protection</t>
        </is>
      </c>
      <c r="I1947" s="9" t="inlineStr">
        <is>
          <t>Control</t>
        </is>
      </c>
      <c r="J1947" s="9" t="inlineStr">
        <is>
          <t>Control cable 600 V Type TC-ER, Cu #14 AWG, PVC jacket</t>
        </is>
      </c>
      <c r="K1947" s="9" t="inlineStr">
        <is>
          <t>CT|12/C|14</t>
        </is>
      </c>
      <c r="L1947" s="9" t="inlineStr">
        <is>
          <t>12/C</t>
        </is>
      </c>
      <c r="M1947" s="9" t="inlineStr">
        <is>
          <t>14</t>
        </is>
      </c>
      <c r="N1947" s="9" t="n">
        <v>1</v>
      </c>
      <c r="O1947" s="9" t="n">
        <v>1</v>
      </c>
      <c r="P1947" s="9" t="n"/>
      <c r="Q1947" s="9" t="n"/>
      <c r="R1947" s="9" t="n"/>
      <c r="S1947" s="9" t="inlineStr">
        <is>
          <t>Surface</t>
        </is>
      </c>
      <c r="T1947" s="10" t="n">
        <v>374</v>
      </c>
      <c r="U1947" s="10" t="n">
        <v>52</v>
      </c>
      <c r="V1947" s="10">
        <f>ROUNDUP((T1947+U1947+2*'Read Me'!$B$13)*(1+'Read Me'!$B$12),-1)</f>
        <v/>
      </c>
      <c r="W1947" s="10">
        <f>V1947*N1947*O1947</f>
        <v/>
      </c>
      <c r="X1947" s="9">
        <f>IF(LEFT(I1947,2)="MV",2*N1947*IF(L1947="1/C",O1947,1),0)</f>
        <v/>
      </c>
      <c r="Y1947" s="9">
        <f>IF(OR(LEFT(K1947,4)="LVAX",LEFT(K1947,6)="MV15AX",LEFT(K1947,4)="CTAX",LEFT(K1947,2)="W|"),2*N1947*O1947,0)</f>
        <v/>
      </c>
      <c r="Z1947" s="9" t="inlineStr"/>
    </row>
    <row r="1948">
      <c r="A1948" s="9" t="inlineStr">
        <is>
          <t>I-C-0065</t>
        </is>
      </c>
      <c r="B1948" s="9" t="inlineStr">
        <is>
          <t>I</t>
        </is>
      </c>
      <c r="C1948" s="9" t="inlineStr">
        <is>
          <t>Modular / portable power</t>
        </is>
      </c>
      <c r="D1948" s="9" t="inlineStr">
        <is>
          <t>Control</t>
        </is>
      </c>
      <c r="E1948" s="9" t="inlineStr">
        <is>
          <t>PAD-EH</t>
        </is>
      </c>
      <c r="F1948" s="9" t="inlineStr">
        <is>
          <t>PAD-EH 13.8 kV switchgear e-house</t>
        </is>
      </c>
      <c r="G1948" s="9" t="inlineStr">
        <is>
          <t>GSP-2</t>
        </is>
      </c>
      <c r="H1948" s="9" t="inlineStr">
        <is>
          <t>GSP-2: generator breaker / protection</t>
        </is>
      </c>
      <c r="I1948" s="9" t="inlineStr">
        <is>
          <t>Control</t>
        </is>
      </c>
      <c r="J1948" s="9" t="inlineStr">
        <is>
          <t>Control cable 600 V Type TC-ER, Cu #14 AWG, PVC jacket</t>
        </is>
      </c>
      <c r="K1948" s="9" t="inlineStr">
        <is>
          <t>CT|12/C|14</t>
        </is>
      </c>
      <c r="L1948" s="9" t="inlineStr">
        <is>
          <t>12/C</t>
        </is>
      </c>
      <c r="M1948" s="9" t="inlineStr">
        <is>
          <t>14</t>
        </is>
      </c>
      <c r="N1948" s="9" t="n">
        <v>1</v>
      </c>
      <c r="O1948" s="9" t="n">
        <v>1</v>
      </c>
      <c r="P1948" s="9" t="n"/>
      <c r="Q1948" s="9" t="n"/>
      <c r="R1948" s="9" t="n"/>
      <c r="S1948" s="9" t="inlineStr">
        <is>
          <t>Surface</t>
        </is>
      </c>
      <c r="T1948" s="10" t="n">
        <v>374</v>
      </c>
      <c r="U1948" s="10" t="n">
        <v>52</v>
      </c>
      <c r="V1948" s="10">
        <f>ROUNDUP((T1948+U1948+2*'Read Me'!$B$13)*(1+'Read Me'!$B$12),-1)</f>
        <v/>
      </c>
      <c r="W1948" s="10">
        <f>V1948*N1948*O1948</f>
        <v/>
      </c>
      <c r="X1948" s="9">
        <f>IF(LEFT(I1948,2)="MV",2*N1948*IF(L1948="1/C",O1948,1),0)</f>
        <v/>
      </c>
      <c r="Y1948" s="9">
        <f>IF(OR(LEFT(K1948,4)="LVAX",LEFT(K1948,6)="MV15AX",LEFT(K1948,4)="CTAX",LEFT(K1948,2)="W|"),2*N1948*O1948,0)</f>
        <v/>
      </c>
      <c r="Z1948" s="9" t="inlineStr"/>
    </row>
    <row r="1949">
      <c r="A1949" s="9" t="inlineStr">
        <is>
          <t>I-C-0066</t>
        </is>
      </c>
      <c r="B1949" s="9" t="inlineStr">
        <is>
          <t>I</t>
        </is>
      </c>
      <c r="C1949" s="9" t="inlineStr">
        <is>
          <t>Modular / portable power</t>
        </is>
      </c>
      <c r="D1949" s="9" t="inlineStr">
        <is>
          <t>Control</t>
        </is>
      </c>
      <c r="E1949" s="9" t="inlineStr">
        <is>
          <t>PAD-EH</t>
        </is>
      </c>
      <c r="F1949" s="9" t="inlineStr">
        <is>
          <t>PAD-EH 13.8 kV switchgear e-house</t>
        </is>
      </c>
      <c r="G1949" s="9" t="inlineStr">
        <is>
          <t>GSP-2</t>
        </is>
      </c>
      <c r="H1949" s="9" t="inlineStr">
        <is>
          <t>GSP-2: generator breaker / protection</t>
        </is>
      </c>
      <c r="I1949" s="9" t="inlineStr">
        <is>
          <t>Control</t>
        </is>
      </c>
      <c r="J1949" s="9" t="inlineStr">
        <is>
          <t>Control cable 600 V Type TC-ER, Cu #14 AWG, PVC jacket</t>
        </is>
      </c>
      <c r="K1949" s="9" t="inlineStr">
        <is>
          <t>CT|12/C|14</t>
        </is>
      </c>
      <c r="L1949" s="9" t="inlineStr">
        <is>
          <t>12/C</t>
        </is>
      </c>
      <c r="M1949" s="9" t="inlineStr">
        <is>
          <t>14</t>
        </is>
      </c>
      <c r="N1949" s="9" t="n">
        <v>1</v>
      </c>
      <c r="O1949" s="9" t="n">
        <v>1</v>
      </c>
      <c r="P1949" s="9" t="n"/>
      <c r="Q1949" s="9" t="n"/>
      <c r="R1949" s="9" t="n"/>
      <c r="S1949" s="9" t="inlineStr">
        <is>
          <t>Surface</t>
        </is>
      </c>
      <c r="T1949" s="10" t="n">
        <v>374</v>
      </c>
      <c r="U1949" s="10" t="n">
        <v>52</v>
      </c>
      <c r="V1949" s="10">
        <f>ROUNDUP((T1949+U1949+2*'Read Me'!$B$13)*(1+'Read Me'!$B$12),-1)</f>
        <v/>
      </c>
      <c r="W1949" s="10">
        <f>V1949*N1949*O1949</f>
        <v/>
      </c>
      <c r="X1949" s="9">
        <f>IF(LEFT(I1949,2)="MV",2*N1949*IF(L1949="1/C",O1949,1),0)</f>
        <v/>
      </c>
      <c r="Y1949" s="9">
        <f>IF(OR(LEFT(K1949,4)="LVAX",LEFT(K1949,6)="MV15AX",LEFT(K1949,4)="CTAX",LEFT(K1949,2)="W|"),2*N1949*O1949,0)</f>
        <v/>
      </c>
      <c r="Z1949" s="9" t="inlineStr"/>
    </row>
    <row r="1950">
      <c r="A1950" s="9" t="inlineStr">
        <is>
          <t>I-C-0067</t>
        </is>
      </c>
      <c r="B1950" s="9" t="inlineStr">
        <is>
          <t>I</t>
        </is>
      </c>
      <c r="C1950" s="9" t="inlineStr">
        <is>
          <t>Modular / portable power</t>
        </is>
      </c>
      <c r="D1950" s="9" t="inlineStr">
        <is>
          <t>CT / VT</t>
        </is>
      </c>
      <c r="E1950" s="9" t="inlineStr">
        <is>
          <t>PAD-EH</t>
        </is>
      </c>
      <c r="F1950" s="9" t="inlineStr">
        <is>
          <t>PAD-EH 13.8 kV switchgear e-house</t>
        </is>
      </c>
      <c r="G1950" s="9" t="inlineStr">
        <is>
          <t>GSP-2</t>
        </is>
      </c>
      <c r="H1950" s="9" t="inlineStr">
        <is>
          <t>GSP-2: generator breaker / protection</t>
        </is>
      </c>
      <c r="I1950" s="9" t="inlineStr">
        <is>
          <t>Control</t>
        </is>
      </c>
      <c r="J1950" s="9" t="inlineStr">
        <is>
          <t>Control cable 600 V Type TC-ER, Cu #10 AWG (CT / VT circuits)</t>
        </is>
      </c>
      <c r="K1950" s="9" t="inlineStr">
        <is>
          <t>CTCT|4/C|10</t>
        </is>
      </c>
      <c r="L1950" s="9" t="inlineStr">
        <is>
          <t>4/C</t>
        </is>
      </c>
      <c r="M1950" s="9" t="inlineStr">
        <is>
          <t>10</t>
        </is>
      </c>
      <c r="N1950" s="9" t="n">
        <v>1</v>
      </c>
      <c r="O1950" s="9" t="n">
        <v>1</v>
      </c>
      <c r="P1950" s="9" t="n"/>
      <c r="Q1950" s="9" t="n"/>
      <c r="R1950" s="9" t="n"/>
      <c r="S1950" s="9" t="inlineStr">
        <is>
          <t>Surface</t>
        </is>
      </c>
      <c r="T1950" s="10" t="n">
        <v>374</v>
      </c>
      <c r="U1950" s="10" t="n">
        <v>52</v>
      </c>
      <c r="V1950" s="10">
        <f>ROUNDUP((T1950+U1950+2*'Read Me'!$B$13)*(1+'Read Me'!$B$12),-1)</f>
        <v/>
      </c>
      <c r="W1950" s="10">
        <f>V1950*N1950*O1950</f>
        <v/>
      </c>
      <c r="X1950" s="9">
        <f>IF(LEFT(I1950,2)="MV",2*N1950*IF(L1950="1/C",O1950,1),0)</f>
        <v/>
      </c>
      <c r="Y1950" s="9">
        <f>IF(OR(LEFT(K1950,4)="LVAX",LEFT(K1950,6)="MV15AX",LEFT(K1950,4)="CTAX",LEFT(K1950,2)="W|"),2*N1950*O1950,0)</f>
        <v/>
      </c>
      <c r="Z1950" s="9" t="inlineStr"/>
    </row>
    <row r="1951">
      <c r="A1951" s="9" t="inlineStr">
        <is>
          <t>I-C-0068</t>
        </is>
      </c>
      <c r="B1951" s="9" t="inlineStr">
        <is>
          <t>I</t>
        </is>
      </c>
      <c r="C1951" s="9" t="inlineStr">
        <is>
          <t>Modular / portable power</t>
        </is>
      </c>
      <c r="D1951" s="9" t="inlineStr">
        <is>
          <t>CT / VT</t>
        </is>
      </c>
      <c r="E1951" s="9" t="inlineStr">
        <is>
          <t>PAD-EH</t>
        </is>
      </c>
      <c r="F1951" s="9" t="inlineStr">
        <is>
          <t>PAD-EH 13.8 kV switchgear e-house</t>
        </is>
      </c>
      <c r="G1951" s="9" t="inlineStr">
        <is>
          <t>GSP-2</t>
        </is>
      </c>
      <c r="H1951" s="9" t="inlineStr">
        <is>
          <t>GSP-2: generator breaker / protection</t>
        </is>
      </c>
      <c r="I1951" s="9" t="inlineStr">
        <is>
          <t>Control</t>
        </is>
      </c>
      <c r="J1951" s="9" t="inlineStr">
        <is>
          <t>Control cable 600 V Type TC-ER, Cu #10 AWG (CT / VT circuits)</t>
        </is>
      </c>
      <c r="K1951" s="9" t="inlineStr">
        <is>
          <t>CTCT|4/C|10</t>
        </is>
      </c>
      <c r="L1951" s="9" t="inlineStr">
        <is>
          <t>4/C</t>
        </is>
      </c>
      <c r="M1951" s="9" t="inlineStr">
        <is>
          <t>10</t>
        </is>
      </c>
      <c r="N1951" s="9" t="n">
        <v>1</v>
      </c>
      <c r="O1951" s="9" t="n">
        <v>1</v>
      </c>
      <c r="P1951" s="9" t="n"/>
      <c r="Q1951" s="9" t="n"/>
      <c r="R1951" s="9" t="n"/>
      <c r="S1951" s="9" t="inlineStr">
        <is>
          <t>Surface</t>
        </is>
      </c>
      <c r="T1951" s="10" t="n">
        <v>374</v>
      </c>
      <c r="U1951" s="10" t="n">
        <v>52</v>
      </c>
      <c r="V1951" s="10">
        <f>ROUNDUP((T1951+U1951+2*'Read Me'!$B$13)*(1+'Read Me'!$B$12),-1)</f>
        <v/>
      </c>
      <c r="W1951" s="10">
        <f>V1951*N1951*O1951</f>
        <v/>
      </c>
      <c r="X1951" s="9">
        <f>IF(LEFT(I1951,2)="MV",2*N1951*IF(L1951="1/C",O1951,1),0)</f>
        <v/>
      </c>
      <c r="Y1951" s="9">
        <f>IF(OR(LEFT(K1951,4)="LVAX",LEFT(K1951,6)="MV15AX",LEFT(K1951,4)="CTAX",LEFT(K1951,2)="W|"),2*N1951*O1951,0)</f>
        <v/>
      </c>
      <c r="Z1951" s="9" t="inlineStr"/>
    </row>
    <row r="1952">
      <c r="A1952" s="9" t="inlineStr">
        <is>
          <t>I-C-0069</t>
        </is>
      </c>
      <c r="B1952" s="9" t="inlineStr">
        <is>
          <t>I</t>
        </is>
      </c>
      <c r="C1952" s="9" t="inlineStr">
        <is>
          <t>Modular / portable power</t>
        </is>
      </c>
      <c r="D1952" s="9" t="inlineStr">
        <is>
          <t>CT / VT</t>
        </is>
      </c>
      <c r="E1952" s="9" t="inlineStr">
        <is>
          <t>PAD-EH</t>
        </is>
      </c>
      <c r="F1952" s="9" t="inlineStr">
        <is>
          <t>PAD-EH 13.8 kV switchgear e-house</t>
        </is>
      </c>
      <c r="G1952" s="9" t="inlineStr">
        <is>
          <t>GSP-2</t>
        </is>
      </c>
      <c r="H1952" s="9" t="inlineStr">
        <is>
          <t>GSP-2: generator breaker / protection</t>
        </is>
      </c>
      <c r="I1952" s="9" t="inlineStr">
        <is>
          <t>Control</t>
        </is>
      </c>
      <c r="J1952" s="9" t="inlineStr">
        <is>
          <t>Control cable 600 V Type TC-ER, Cu #10 AWG (CT / VT circuits)</t>
        </is>
      </c>
      <c r="K1952" s="9" t="inlineStr">
        <is>
          <t>CTCT|4/C|10</t>
        </is>
      </c>
      <c r="L1952" s="9" t="inlineStr">
        <is>
          <t>4/C</t>
        </is>
      </c>
      <c r="M1952" s="9" t="inlineStr">
        <is>
          <t>10</t>
        </is>
      </c>
      <c r="N1952" s="9" t="n">
        <v>1</v>
      </c>
      <c r="O1952" s="9" t="n">
        <v>1</v>
      </c>
      <c r="P1952" s="9" t="n"/>
      <c r="Q1952" s="9" t="n"/>
      <c r="R1952" s="9" t="n"/>
      <c r="S1952" s="9" t="inlineStr">
        <is>
          <t>Surface</t>
        </is>
      </c>
      <c r="T1952" s="10" t="n">
        <v>374</v>
      </c>
      <c r="U1952" s="10" t="n">
        <v>52</v>
      </c>
      <c r="V1952" s="10">
        <f>ROUNDUP((T1952+U1952+2*'Read Me'!$B$13)*(1+'Read Me'!$B$12),-1)</f>
        <v/>
      </c>
      <c r="W1952" s="10">
        <f>V1952*N1952*O1952</f>
        <v/>
      </c>
      <c r="X1952" s="9">
        <f>IF(LEFT(I1952,2)="MV",2*N1952*IF(L1952="1/C",O1952,1),0)</f>
        <v/>
      </c>
      <c r="Y1952" s="9">
        <f>IF(OR(LEFT(K1952,4)="LVAX",LEFT(K1952,6)="MV15AX",LEFT(K1952,4)="CTAX",LEFT(K1952,2)="W|"),2*N1952*O1952,0)</f>
        <v/>
      </c>
      <c r="Z1952" s="9" t="inlineStr"/>
    </row>
    <row r="1953">
      <c r="A1953" s="9" t="inlineStr">
        <is>
          <t>I-C-0070</t>
        </is>
      </c>
      <c r="B1953" s="9" t="inlineStr">
        <is>
          <t>I</t>
        </is>
      </c>
      <c r="C1953" s="9" t="inlineStr">
        <is>
          <t>Modular / portable power</t>
        </is>
      </c>
      <c r="D1953" s="9" t="inlineStr">
        <is>
          <t>CT / VT</t>
        </is>
      </c>
      <c r="E1953" s="9" t="inlineStr">
        <is>
          <t>PAD-EH</t>
        </is>
      </c>
      <c r="F1953" s="9" t="inlineStr">
        <is>
          <t>PAD-EH 13.8 kV switchgear e-house</t>
        </is>
      </c>
      <c r="G1953" s="9" t="inlineStr">
        <is>
          <t>GSP-2</t>
        </is>
      </c>
      <c r="H1953" s="9" t="inlineStr">
        <is>
          <t>GSP-2: generator breaker / protection</t>
        </is>
      </c>
      <c r="I1953" s="9" t="inlineStr">
        <is>
          <t>Control</t>
        </is>
      </c>
      <c r="J1953" s="9" t="inlineStr">
        <is>
          <t>Control cable 600 V Type TC-ER, Cu #10 AWG (CT / VT circuits)</t>
        </is>
      </c>
      <c r="K1953" s="9" t="inlineStr">
        <is>
          <t>CTCT|4/C|10</t>
        </is>
      </c>
      <c r="L1953" s="9" t="inlineStr">
        <is>
          <t>4/C</t>
        </is>
      </c>
      <c r="M1953" s="9" t="inlineStr">
        <is>
          <t>10</t>
        </is>
      </c>
      <c r="N1953" s="9" t="n">
        <v>1</v>
      </c>
      <c r="O1953" s="9" t="n">
        <v>1</v>
      </c>
      <c r="P1953" s="9" t="n"/>
      <c r="Q1953" s="9" t="n"/>
      <c r="R1953" s="9" t="n"/>
      <c r="S1953" s="9" t="inlineStr">
        <is>
          <t>Surface</t>
        </is>
      </c>
      <c r="T1953" s="10" t="n">
        <v>374</v>
      </c>
      <c r="U1953" s="10" t="n">
        <v>52</v>
      </c>
      <c r="V1953" s="10">
        <f>ROUNDUP((T1953+U1953+2*'Read Me'!$B$13)*(1+'Read Me'!$B$12),-1)</f>
        <v/>
      </c>
      <c r="W1953" s="10">
        <f>V1953*N1953*O1953</f>
        <v/>
      </c>
      <c r="X1953" s="9">
        <f>IF(LEFT(I1953,2)="MV",2*N1953*IF(L1953="1/C",O1953,1),0)</f>
        <v/>
      </c>
      <c r="Y1953" s="9">
        <f>IF(OR(LEFT(K1953,4)="LVAX",LEFT(K1953,6)="MV15AX",LEFT(K1953,4)="CTAX",LEFT(K1953,2)="W|"),2*N1953*O1953,0)</f>
        <v/>
      </c>
      <c r="Z1953" s="9" t="inlineStr"/>
    </row>
    <row r="1954">
      <c r="A1954" s="9" t="inlineStr">
        <is>
          <t>I-C-0071</t>
        </is>
      </c>
      <c r="B1954" s="9" t="inlineStr">
        <is>
          <t>I</t>
        </is>
      </c>
      <c r="C1954" s="9" t="inlineStr">
        <is>
          <t>Modular / portable power</t>
        </is>
      </c>
      <c r="D1954" s="9" t="inlineStr">
        <is>
          <t>Control</t>
        </is>
      </c>
      <c r="E1954" s="9" t="inlineStr"/>
      <c r="F1954" s="9" t="inlineStr">
        <is>
          <t>PCM: power control module</t>
        </is>
      </c>
      <c r="G1954" s="9" t="inlineStr"/>
      <c r="H1954" s="9" t="inlineStr">
        <is>
          <t>Gas conditioning skid</t>
        </is>
      </c>
      <c r="I1954" s="9" t="inlineStr">
        <is>
          <t>Control</t>
        </is>
      </c>
      <c r="J1954" s="9" t="inlineStr">
        <is>
          <t>ARMOR-X MC-HL 600 V control, Cu #14 AWG (Class I Div 2)</t>
        </is>
      </c>
      <c r="K1954" s="9" t="inlineStr">
        <is>
          <t>CTAX|7/C|14</t>
        </is>
      </c>
      <c r="L1954" s="9" t="inlineStr">
        <is>
          <t>7/C</t>
        </is>
      </c>
      <c r="M1954" s="9" t="inlineStr">
        <is>
          <t>14</t>
        </is>
      </c>
      <c r="N1954" s="9" t="n">
        <v>1</v>
      </c>
      <c r="O1954" s="9" t="n">
        <v>1</v>
      </c>
      <c r="P1954" s="9" t="n"/>
      <c r="Q1954" s="9" t="n"/>
      <c r="R1954" s="9" t="n"/>
      <c r="S1954" s="9" t="inlineStr">
        <is>
          <t>Tray</t>
        </is>
      </c>
      <c r="T1954" s="10" t="n">
        <v>32</v>
      </c>
      <c r="U1954" s="10" t="n">
        <v>94</v>
      </c>
      <c r="V1954" s="10">
        <f>ROUNDUP((T1954+U1954+2*'Read Me'!$B$13)*(1+'Read Me'!$B$12),-1)</f>
        <v/>
      </c>
      <c r="W1954" s="10">
        <f>V1954*N1954*O1954</f>
        <v/>
      </c>
      <c r="X1954" s="9">
        <f>IF(LEFT(I1954,2)="MV",2*N1954*IF(L1954="1/C",O1954,1),0)</f>
        <v/>
      </c>
      <c r="Y1954" s="9">
        <f>IF(OR(LEFT(K1954,4)="LVAX",LEFT(K1954,6)="MV15AX",LEFT(K1954,4)="CTAX",LEFT(K1954,2)="W|"),2*N1954*O1954,0)</f>
        <v/>
      </c>
      <c r="Z1954" s="9" t="inlineStr"/>
    </row>
    <row r="1955">
      <c r="A1955" s="9" t="inlineStr">
        <is>
          <t>I-C-0072</t>
        </is>
      </c>
      <c r="B1955" s="9" t="inlineStr">
        <is>
          <t>I</t>
        </is>
      </c>
      <c r="C1955" s="9" t="inlineStr">
        <is>
          <t>Modular / portable power</t>
        </is>
      </c>
      <c r="D1955" s="9" t="inlineStr">
        <is>
          <t>Control</t>
        </is>
      </c>
      <c r="E1955" s="9" t="inlineStr">
        <is>
          <t>PAD-EH</t>
        </is>
      </c>
      <c r="F1955" s="9" t="inlineStr">
        <is>
          <t>PAD-EH 13.8 kV switchgear e-house</t>
        </is>
      </c>
      <c r="G1955" s="9" t="inlineStr">
        <is>
          <t>LB</t>
        </is>
      </c>
      <c r="H1955" s="9" t="inlineStr">
        <is>
          <t>LB: commissioning load bank (trailer)</t>
        </is>
      </c>
      <c r="I1955" s="9" t="inlineStr">
        <is>
          <t>Control</t>
        </is>
      </c>
      <c r="J1955" s="9" t="inlineStr">
        <is>
          <t>Control cable 600 V Type TC-ER, Cu #14 AWG, PVC jacket</t>
        </is>
      </c>
      <c r="K1955" s="9" t="inlineStr">
        <is>
          <t>CT|7/C|14</t>
        </is>
      </c>
      <c r="L1955" s="9" t="inlineStr">
        <is>
          <t>7/C</t>
        </is>
      </c>
      <c r="M1955" s="9" t="inlineStr">
        <is>
          <t>14</t>
        </is>
      </c>
      <c r="N1955" s="9" t="n">
        <v>1</v>
      </c>
      <c r="O1955" s="9" t="n">
        <v>1</v>
      </c>
      <c r="P1955" s="9" t="n"/>
      <c r="Q1955" s="9" t="n"/>
      <c r="R1955" s="9" t="n"/>
      <c r="S1955" s="9" t="inlineStr">
        <is>
          <t>Surface</t>
        </is>
      </c>
      <c r="T1955" s="10" t="n">
        <v>212</v>
      </c>
      <c r="U1955" s="10" t="n">
        <v>39</v>
      </c>
      <c r="V1955" s="10">
        <f>ROUNDUP((T1955+U1955+2*'Read Me'!$B$13)*(1+'Read Me'!$B$12),-1)</f>
        <v/>
      </c>
      <c r="W1955" s="10">
        <f>V1955*N1955*O1955</f>
        <v/>
      </c>
      <c r="X1955" s="9">
        <f>IF(LEFT(I1955,2)="MV",2*N1955*IF(L1955="1/C",O1955,1),0)</f>
        <v/>
      </c>
      <c r="Y1955" s="9">
        <f>IF(OR(LEFT(K1955,4)="LVAX",LEFT(K1955,6)="MV15AX",LEFT(K1955,4)="CTAX",LEFT(K1955,2)="W|"),2*N1955*O1955,0)</f>
        <v/>
      </c>
      <c r="Z1955" s="9" t="inlineStr"/>
    </row>
    <row r="1956">
      <c r="A1956" s="9" t="inlineStr">
        <is>
          <t>I-C-0073</t>
        </is>
      </c>
      <c r="B1956" s="9" t="inlineStr">
        <is>
          <t>I</t>
        </is>
      </c>
      <c r="C1956" s="9" t="inlineStr">
        <is>
          <t>Modular / portable power</t>
        </is>
      </c>
      <c r="D1956" s="9" t="inlineStr">
        <is>
          <t>Control</t>
        </is>
      </c>
      <c r="E1956" s="9" t="inlineStr"/>
      <c r="F1956" s="9" t="inlineStr">
        <is>
          <t>PCM: power control module</t>
        </is>
      </c>
      <c r="G1956" s="9" t="inlineStr"/>
      <c r="H1956" s="9" t="inlineStr">
        <is>
          <t>Lube oil / starting air / oily water building</t>
        </is>
      </c>
      <c r="I1956" s="9" t="inlineStr">
        <is>
          <t>Control</t>
        </is>
      </c>
      <c r="J1956" s="9" t="inlineStr">
        <is>
          <t>Control cable 600 V Type TC-ER, Cu #14 AWG, PVC jacket</t>
        </is>
      </c>
      <c r="K1956" s="9" t="inlineStr">
        <is>
          <t>CT|7/C|14</t>
        </is>
      </c>
      <c r="L1956" s="9" t="inlineStr">
        <is>
          <t>7/C</t>
        </is>
      </c>
      <c r="M1956" s="9" t="inlineStr">
        <is>
          <t>14</t>
        </is>
      </c>
      <c r="N1956" s="9" t="n">
        <v>1</v>
      </c>
      <c r="O1956" s="9" t="n">
        <v>1</v>
      </c>
      <c r="P1956" s="9" t="n"/>
      <c r="Q1956" s="9" t="n"/>
      <c r="R1956" s="9" t="n"/>
      <c r="S1956" s="9" t="inlineStr">
        <is>
          <t>Tray</t>
        </is>
      </c>
      <c r="T1956" s="10" t="n">
        <v>32</v>
      </c>
      <c r="U1956" s="10" t="n">
        <v>164</v>
      </c>
      <c r="V1956" s="10">
        <f>ROUNDUP((T1956+U1956+2*'Read Me'!$B$13)*(1+'Read Me'!$B$12),-1)</f>
        <v/>
      </c>
      <c r="W1956" s="10">
        <f>V1956*N1956*O1956</f>
        <v/>
      </c>
      <c r="X1956" s="9">
        <f>IF(LEFT(I1956,2)="MV",2*N1956*IF(L1956="1/C",O1956,1),0)</f>
        <v/>
      </c>
      <c r="Y1956" s="9">
        <f>IF(OR(LEFT(K1956,4)="LVAX",LEFT(K1956,6)="MV15AX",LEFT(K1956,4)="CTAX",LEFT(K1956,2)="W|"),2*N1956*O1956,0)</f>
        <v/>
      </c>
      <c r="Z1956" s="9" t="inlineStr"/>
    </row>
    <row r="1957">
      <c r="A1957" s="9" t="inlineStr">
        <is>
          <t>I-C-0074</t>
        </is>
      </c>
      <c r="B1957" s="9" t="inlineStr">
        <is>
          <t>I</t>
        </is>
      </c>
      <c r="C1957" s="9" t="inlineStr">
        <is>
          <t>Modular / portable power</t>
        </is>
      </c>
      <c r="D1957" s="9" t="inlineStr">
        <is>
          <t>Control</t>
        </is>
      </c>
      <c r="E1957" s="9" t="inlineStr">
        <is>
          <t>PAD-EH</t>
        </is>
      </c>
      <c r="F1957" s="9" t="inlineStr">
        <is>
          <t>PAD-EH 13.8 kV switchgear e-house</t>
        </is>
      </c>
      <c r="G1957" s="9" t="inlineStr">
        <is>
          <t>MOB-1</t>
        </is>
      </c>
      <c r="H1957" s="9" t="inlineStr">
        <is>
          <t>MOB-1: trailer genset</t>
        </is>
      </c>
      <c r="I1957" s="9" t="inlineStr">
        <is>
          <t>Control</t>
        </is>
      </c>
      <c r="J1957" s="9" t="inlineStr">
        <is>
          <t>Control cable 600 V Type TC-ER, Cu #14 AWG, PVC jacket</t>
        </is>
      </c>
      <c r="K1957" s="9" t="inlineStr">
        <is>
          <t>CT|7/C|14</t>
        </is>
      </c>
      <c r="L1957" s="9" t="inlineStr">
        <is>
          <t>7/C</t>
        </is>
      </c>
      <c r="M1957" s="9" t="inlineStr">
        <is>
          <t>14</t>
        </is>
      </c>
      <c r="N1957" s="9" t="n">
        <v>1</v>
      </c>
      <c r="O1957" s="9" t="n">
        <v>1</v>
      </c>
      <c r="P1957" s="9" t="n"/>
      <c r="Q1957" s="9" t="n"/>
      <c r="R1957" s="9" t="n"/>
      <c r="S1957" s="9" t="inlineStr">
        <is>
          <t>Surface</t>
        </is>
      </c>
      <c r="T1957" s="10" t="n">
        <v>96</v>
      </c>
      <c r="U1957" s="10" t="n">
        <v>150</v>
      </c>
      <c r="V1957" s="10">
        <f>ROUNDUP((T1957+U1957+2*'Read Me'!$B$13)*(1+'Read Me'!$B$12),-1)</f>
        <v/>
      </c>
      <c r="W1957" s="10">
        <f>V1957*N1957*O1957</f>
        <v/>
      </c>
      <c r="X1957" s="9">
        <f>IF(LEFT(I1957,2)="MV",2*N1957*IF(L1957="1/C",O1957,1),0)</f>
        <v/>
      </c>
      <c r="Y1957" s="9">
        <f>IF(OR(LEFT(K1957,4)="LVAX",LEFT(K1957,6)="MV15AX",LEFT(K1957,4)="CTAX",LEFT(K1957,2)="W|"),2*N1957*O1957,0)</f>
        <v/>
      </c>
      <c r="Z1957" s="9" t="inlineStr"/>
    </row>
    <row r="1958">
      <c r="A1958" s="9" t="inlineStr">
        <is>
          <t>I-C-0075</t>
        </is>
      </c>
      <c r="B1958" s="9" t="inlineStr">
        <is>
          <t>I</t>
        </is>
      </c>
      <c r="C1958" s="9" t="inlineStr">
        <is>
          <t>Modular / portable power</t>
        </is>
      </c>
      <c r="D1958" s="9" t="inlineStr">
        <is>
          <t>Control</t>
        </is>
      </c>
      <c r="E1958" s="9" t="inlineStr"/>
      <c r="F1958" s="9" t="inlineStr">
        <is>
          <t>PCM: power control module</t>
        </is>
      </c>
      <c r="G1958" s="9" t="inlineStr">
        <is>
          <t>MOD-EH</t>
        </is>
      </c>
      <c r="H1958" s="9" t="inlineStr">
        <is>
          <t>MOD-EH: 13.8 kV modular collector e-house</t>
        </is>
      </c>
      <c r="I1958" s="9" t="inlineStr">
        <is>
          <t>Control</t>
        </is>
      </c>
      <c r="J1958" s="9" t="inlineStr">
        <is>
          <t>Control cable 600 V Type TC-ER, Cu #14 AWG, PVC jacket</t>
        </is>
      </c>
      <c r="K1958" s="9" t="inlineStr">
        <is>
          <t>CT|7/C|14</t>
        </is>
      </c>
      <c r="L1958" s="9" t="inlineStr">
        <is>
          <t>7/C</t>
        </is>
      </c>
      <c r="M1958" s="9" t="inlineStr">
        <is>
          <t>14</t>
        </is>
      </c>
      <c r="N1958" s="9" t="n">
        <v>1</v>
      </c>
      <c r="O1958" s="9" t="n">
        <v>1</v>
      </c>
      <c r="P1958" s="9" t="n"/>
      <c r="Q1958" s="9" t="n"/>
      <c r="R1958" s="9" t="n"/>
      <c r="S1958" s="9" t="inlineStr">
        <is>
          <t>Duct bank</t>
        </is>
      </c>
      <c r="T1958" s="10" t="n">
        <v>355</v>
      </c>
      <c r="U1958" s="10" t="n">
        <v>32</v>
      </c>
      <c r="V1958" s="10">
        <f>ROUNDUP((T1958+U1958+2*'Read Me'!$B$13)*(1+'Read Me'!$B$12),-1)</f>
        <v/>
      </c>
      <c r="W1958" s="10">
        <f>V1958*N1958*O1958</f>
        <v/>
      </c>
      <c r="X1958" s="9">
        <f>IF(LEFT(I1958,2)="MV",2*N1958*IF(L1958="1/C",O1958,1),0)</f>
        <v/>
      </c>
      <c r="Y1958" s="9">
        <f>IF(OR(LEFT(K1958,4)="LVAX",LEFT(K1958,6)="MV15AX",LEFT(K1958,4)="CTAX",LEFT(K1958,2)="W|"),2*N1958*O1958,0)</f>
        <v/>
      </c>
      <c r="Z1958" s="9" t="inlineStr"/>
    </row>
    <row r="1959">
      <c r="A1959" s="9" t="inlineStr">
        <is>
          <t>I-C-0076</t>
        </is>
      </c>
      <c r="B1959" s="9" t="inlineStr">
        <is>
          <t>I</t>
        </is>
      </c>
      <c r="C1959" s="9" t="inlineStr">
        <is>
          <t>Modular / portable power</t>
        </is>
      </c>
      <c r="D1959" s="9" t="inlineStr">
        <is>
          <t>Control</t>
        </is>
      </c>
      <c r="E1959" s="9" t="inlineStr"/>
      <c r="F1959" s="9" t="inlineStr">
        <is>
          <t>PCM: power control module</t>
        </is>
      </c>
      <c r="G1959" s="9" t="inlineStr"/>
      <c r="H1959" s="9" t="inlineStr">
        <is>
          <t>MOD-LV 480 V board + 480 V : 13.8 kV step-up</t>
        </is>
      </c>
      <c r="I1959" s="9" t="inlineStr">
        <is>
          <t>Control</t>
        </is>
      </c>
      <c r="J1959" s="9" t="inlineStr">
        <is>
          <t>Control cable 600 V Type TC-ER, Cu #14 AWG, PVC jacket</t>
        </is>
      </c>
      <c r="K1959" s="9" t="inlineStr">
        <is>
          <t>CT|7/C|14</t>
        </is>
      </c>
      <c r="L1959" s="9" t="inlineStr">
        <is>
          <t>7/C</t>
        </is>
      </c>
      <c r="M1959" s="9" t="inlineStr">
        <is>
          <t>14</t>
        </is>
      </c>
      <c r="N1959" s="9" t="n">
        <v>1</v>
      </c>
      <c r="O1959" s="9" t="n">
        <v>1</v>
      </c>
      <c r="P1959" s="9" t="n"/>
      <c r="Q1959" s="9" t="n"/>
      <c r="R1959" s="9" t="n"/>
      <c r="S1959" s="9" t="inlineStr">
        <is>
          <t>Duct bank</t>
        </is>
      </c>
      <c r="T1959" s="10" t="n">
        <v>755</v>
      </c>
      <c r="U1959" s="10" t="n">
        <v>32</v>
      </c>
      <c r="V1959" s="10">
        <f>ROUNDUP((T1959+U1959+2*'Read Me'!$B$13)*(1+'Read Me'!$B$12),-1)</f>
        <v/>
      </c>
      <c r="W1959" s="10">
        <f>V1959*N1959*O1959</f>
        <v/>
      </c>
      <c r="X1959" s="9">
        <f>IF(LEFT(I1959,2)="MV",2*N1959*IF(L1959="1/C",O1959,1),0)</f>
        <v/>
      </c>
      <c r="Y1959" s="9">
        <f>IF(OR(LEFT(K1959,4)="LVAX",LEFT(K1959,6)="MV15AX",LEFT(K1959,4)="CTAX",LEFT(K1959,2)="W|"),2*N1959*O1959,0)</f>
        <v/>
      </c>
      <c r="Z1959" s="9" t="inlineStr"/>
    </row>
    <row r="1960">
      <c r="A1960" s="9" t="inlineStr">
        <is>
          <t>I-C-0077</t>
        </is>
      </c>
      <c r="B1960" s="9" t="inlineStr">
        <is>
          <t>I</t>
        </is>
      </c>
      <c r="C1960" s="9" t="inlineStr">
        <is>
          <t>Modular / portable power</t>
        </is>
      </c>
      <c r="D1960" s="9" t="inlineStr">
        <is>
          <t>Control</t>
        </is>
      </c>
      <c r="E1960" s="9" t="inlineStr"/>
      <c r="F1960" s="9" t="inlineStr">
        <is>
          <t>PCM: power control module</t>
        </is>
      </c>
      <c r="G1960" s="9" t="inlineStr"/>
      <c r="H1960" s="9" t="inlineStr">
        <is>
          <t>MT-1: microturbine 1 MW (Capstone C1000 class)</t>
        </is>
      </c>
      <c r="I1960" s="9" t="inlineStr">
        <is>
          <t>Control</t>
        </is>
      </c>
      <c r="J1960" s="9" t="inlineStr">
        <is>
          <t>Control cable 600 V Type TC-ER, Cu #14 AWG, PVC jacket</t>
        </is>
      </c>
      <c r="K1960" s="9" t="inlineStr">
        <is>
          <t>CT|7/C|14</t>
        </is>
      </c>
      <c r="L1960" s="9" t="inlineStr">
        <is>
          <t>7/C</t>
        </is>
      </c>
      <c r="M1960" s="9" t="inlineStr">
        <is>
          <t>14</t>
        </is>
      </c>
      <c r="N1960" s="9" t="n">
        <v>1</v>
      </c>
      <c r="O1960" s="9" t="n">
        <v>1</v>
      </c>
      <c r="P1960" s="9" t="n"/>
      <c r="Q1960" s="9" t="n"/>
      <c r="R1960" s="9" t="n"/>
      <c r="S1960" s="9" t="inlineStr">
        <is>
          <t>Duct bank</t>
        </is>
      </c>
      <c r="T1960" s="10" t="n">
        <v>806</v>
      </c>
      <c r="U1960" s="10" t="n">
        <v>105</v>
      </c>
      <c r="V1960" s="10">
        <f>ROUNDUP((T1960+U1960+2*'Read Me'!$B$13)*(1+'Read Me'!$B$12),-1)</f>
        <v/>
      </c>
      <c r="W1960" s="10">
        <f>V1960*N1960*O1960</f>
        <v/>
      </c>
      <c r="X1960" s="9">
        <f>IF(LEFT(I1960,2)="MV",2*N1960*IF(L1960="1/C",O1960,1),0)</f>
        <v/>
      </c>
      <c r="Y1960" s="9">
        <f>IF(OR(LEFT(K1960,4)="LVAX",LEFT(K1960,6)="MV15AX",LEFT(K1960,4)="CTAX",LEFT(K1960,2)="W|"),2*N1960*O1960,0)</f>
        <v/>
      </c>
      <c r="Z1960" s="9" t="inlineStr"/>
    </row>
    <row r="1961">
      <c r="A1961" s="9" t="inlineStr">
        <is>
          <t>I-C-0078</t>
        </is>
      </c>
      <c r="B1961" s="9" t="inlineStr">
        <is>
          <t>I</t>
        </is>
      </c>
      <c r="C1961" s="9" t="inlineStr">
        <is>
          <t>Modular / portable power</t>
        </is>
      </c>
      <c r="D1961" s="9" t="inlineStr">
        <is>
          <t>Control</t>
        </is>
      </c>
      <c r="E1961" s="9" t="inlineStr"/>
      <c r="F1961" s="9" t="inlineStr">
        <is>
          <t>PCM: power control module</t>
        </is>
      </c>
      <c r="G1961" s="9" t="inlineStr"/>
      <c r="H1961" s="9" t="inlineStr">
        <is>
          <t>MT-1: microturbine 1 MW (Capstone C1000 class)</t>
        </is>
      </c>
      <c r="I1961" s="9" t="inlineStr">
        <is>
          <t>Control</t>
        </is>
      </c>
      <c r="J1961" s="9" t="inlineStr">
        <is>
          <t>Control cable 600 V Type TC-ER, Cu #14 AWG, PVC jacket</t>
        </is>
      </c>
      <c r="K1961" s="9" t="inlineStr">
        <is>
          <t>CT|12/C|14</t>
        </is>
      </c>
      <c r="L1961" s="9" t="inlineStr">
        <is>
          <t>12/C</t>
        </is>
      </c>
      <c r="M1961" s="9" t="inlineStr">
        <is>
          <t>14</t>
        </is>
      </c>
      <c r="N1961" s="9" t="n">
        <v>1</v>
      </c>
      <c r="O1961" s="9" t="n">
        <v>1</v>
      </c>
      <c r="P1961" s="9" t="n"/>
      <c r="Q1961" s="9" t="n"/>
      <c r="R1961" s="9" t="n"/>
      <c r="S1961" s="9" t="inlineStr">
        <is>
          <t>Duct bank</t>
        </is>
      </c>
      <c r="T1961" s="10" t="n">
        <v>806</v>
      </c>
      <c r="U1961" s="10" t="n">
        <v>105</v>
      </c>
      <c r="V1961" s="10">
        <f>ROUNDUP((T1961+U1961+2*'Read Me'!$B$13)*(1+'Read Me'!$B$12),-1)</f>
        <v/>
      </c>
      <c r="W1961" s="10">
        <f>V1961*N1961*O1961</f>
        <v/>
      </c>
      <c r="X1961" s="9">
        <f>IF(LEFT(I1961,2)="MV",2*N1961*IF(L1961="1/C",O1961,1),0)</f>
        <v/>
      </c>
      <c r="Y1961" s="9">
        <f>IF(OR(LEFT(K1961,4)="LVAX",LEFT(K1961,6)="MV15AX",LEFT(K1961,4)="CTAX",LEFT(K1961,2)="W|"),2*N1961*O1961,0)</f>
        <v/>
      </c>
      <c r="Z1961" s="9" t="inlineStr"/>
    </row>
    <row r="1962">
      <c r="A1962" s="9" t="inlineStr">
        <is>
          <t>I-C-0079</t>
        </is>
      </c>
      <c r="B1962" s="9" t="inlineStr">
        <is>
          <t>I</t>
        </is>
      </c>
      <c r="C1962" s="9" t="inlineStr">
        <is>
          <t>Modular / portable power</t>
        </is>
      </c>
      <c r="D1962" s="9" t="inlineStr">
        <is>
          <t>CT / VT</t>
        </is>
      </c>
      <c r="E1962" s="9" t="inlineStr"/>
      <c r="F1962" s="9" t="inlineStr">
        <is>
          <t>PCM: power control module</t>
        </is>
      </c>
      <c r="G1962" s="9" t="inlineStr"/>
      <c r="H1962" s="9" t="inlineStr">
        <is>
          <t>MT-1: microturbine 1 MW (Capstone C1000 class)</t>
        </is>
      </c>
      <c r="I1962" s="9" t="inlineStr">
        <is>
          <t>Control</t>
        </is>
      </c>
      <c r="J1962" s="9" t="inlineStr">
        <is>
          <t>Control cable 600 V Type TC-ER, Cu #10 AWG (CT / VT circuits)</t>
        </is>
      </c>
      <c r="K1962" s="9" t="inlineStr">
        <is>
          <t>CTCT|4/C|10</t>
        </is>
      </c>
      <c r="L1962" s="9" t="inlineStr">
        <is>
          <t>4/C</t>
        </is>
      </c>
      <c r="M1962" s="9" t="inlineStr">
        <is>
          <t>10</t>
        </is>
      </c>
      <c r="N1962" s="9" t="n">
        <v>1</v>
      </c>
      <c r="O1962" s="9" t="n">
        <v>1</v>
      </c>
      <c r="P1962" s="9" t="n"/>
      <c r="Q1962" s="9" t="n"/>
      <c r="R1962" s="9" t="n"/>
      <c r="S1962" s="9" t="inlineStr">
        <is>
          <t>Duct bank</t>
        </is>
      </c>
      <c r="T1962" s="10" t="n">
        <v>806</v>
      </c>
      <c r="U1962" s="10" t="n">
        <v>105</v>
      </c>
      <c r="V1962" s="10">
        <f>ROUNDUP((T1962+U1962+2*'Read Me'!$B$13)*(1+'Read Me'!$B$12),-1)</f>
        <v/>
      </c>
      <c r="W1962" s="10">
        <f>V1962*N1962*O1962</f>
        <v/>
      </c>
      <c r="X1962" s="9">
        <f>IF(LEFT(I1962,2)="MV",2*N1962*IF(L1962="1/C",O1962,1),0)</f>
        <v/>
      </c>
      <c r="Y1962" s="9">
        <f>IF(OR(LEFT(K1962,4)="LVAX",LEFT(K1962,6)="MV15AX",LEFT(K1962,4)="CTAX",LEFT(K1962,2)="W|"),2*N1962*O1962,0)</f>
        <v/>
      </c>
      <c r="Z1962" s="9" t="inlineStr"/>
    </row>
    <row r="1963">
      <c r="A1963" s="9" t="inlineStr">
        <is>
          <t>I-C-0080</t>
        </is>
      </c>
      <c r="B1963" s="9" t="inlineStr">
        <is>
          <t>I</t>
        </is>
      </c>
      <c r="C1963" s="9" t="inlineStr">
        <is>
          <t>Modular / portable power</t>
        </is>
      </c>
      <c r="D1963" s="9" t="inlineStr">
        <is>
          <t>CT / VT</t>
        </is>
      </c>
      <c r="E1963" s="9" t="inlineStr"/>
      <c r="F1963" s="9" t="inlineStr">
        <is>
          <t>PCM: power control module</t>
        </is>
      </c>
      <c r="G1963" s="9" t="inlineStr"/>
      <c r="H1963" s="9" t="inlineStr">
        <is>
          <t>MT-1: microturbine 1 MW (Capstone C1000 class)</t>
        </is>
      </c>
      <c r="I1963" s="9" t="inlineStr">
        <is>
          <t>Control</t>
        </is>
      </c>
      <c r="J1963" s="9" t="inlineStr">
        <is>
          <t>Control cable 600 V Type TC-ER, Cu #10 AWG (CT / VT circuits)</t>
        </is>
      </c>
      <c r="K1963" s="9" t="inlineStr">
        <is>
          <t>CTCT|4/C|10</t>
        </is>
      </c>
      <c r="L1963" s="9" t="inlineStr">
        <is>
          <t>4/C</t>
        </is>
      </c>
      <c r="M1963" s="9" t="inlineStr">
        <is>
          <t>10</t>
        </is>
      </c>
      <c r="N1963" s="9" t="n">
        <v>1</v>
      </c>
      <c r="O1963" s="9" t="n">
        <v>1</v>
      </c>
      <c r="P1963" s="9" t="n"/>
      <c r="Q1963" s="9" t="n"/>
      <c r="R1963" s="9" t="n"/>
      <c r="S1963" s="9" t="inlineStr">
        <is>
          <t>Duct bank</t>
        </is>
      </c>
      <c r="T1963" s="10" t="n">
        <v>806</v>
      </c>
      <c r="U1963" s="10" t="n">
        <v>105</v>
      </c>
      <c r="V1963" s="10">
        <f>ROUNDUP((T1963+U1963+2*'Read Me'!$B$13)*(1+'Read Me'!$B$12),-1)</f>
        <v/>
      </c>
      <c r="W1963" s="10">
        <f>V1963*N1963*O1963</f>
        <v/>
      </c>
      <c r="X1963" s="9">
        <f>IF(LEFT(I1963,2)="MV",2*N1963*IF(L1963="1/C",O1963,1),0)</f>
        <v/>
      </c>
      <c r="Y1963" s="9">
        <f>IF(OR(LEFT(K1963,4)="LVAX",LEFT(K1963,6)="MV15AX",LEFT(K1963,4)="CTAX",LEFT(K1963,2)="W|"),2*N1963*O1963,0)</f>
        <v/>
      </c>
      <c r="Z1963" s="9" t="inlineStr"/>
    </row>
    <row r="1964">
      <c r="A1964" s="9" t="inlineStr">
        <is>
          <t>I-C-0081</t>
        </is>
      </c>
      <c r="B1964" s="9" t="inlineStr">
        <is>
          <t>I</t>
        </is>
      </c>
      <c r="C1964" s="9" t="inlineStr">
        <is>
          <t>Modular / portable power</t>
        </is>
      </c>
      <c r="D1964" s="9" t="inlineStr">
        <is>
          <t>Control</t>
        </is>
      </c>
      <c r="E1964" s="9" t="inlineStr"/>
      <c r="F1964" s="9" t="inlineStr">
        <is>
          <t>PCM: power control module</t>
        </is>
      </c>
      <c r="G1964" s="9" t="inlineStr"/>
      <c r="H1964" s="9" t="inlineStr">
        <is>
          <t>MT-2: microturbine 1 MW (Capstone C1000 class)</t>
        </is>
      </c>
      <c r="I1964" s="9" t="inlineStr">
        <is>
          <t>Control</t>
        </is>
      </c>
      <c r="J1964" s="9" t="inlineStr">
        <is>
          <t>Control cable 600 V Type TC-ER, Cu #14 AWG, PVC jacket</t>
        </is>
      </c>
      <c r="K1964" s="9" t="inlineStr">
        <is>
          <t>CT|7/C|14</t>
        </is>
      </c>
      <c r="L1964" s="9" t="inlineStr">
        <is>
          <t>7/C</t>
        </is>
      </c>
      <c r="M1964" s="9" t="inlineStr">
        <is>
          <t>14</t>
        </is>
      </c>
      <c r="N1964" s="9" t="n">
        <v>1</v>
      </c>
      <c r="O1964" s="9" t="n">
        <v>1</v>
      </c>
      <c r="P1964" s="9" t="n"/>
      <c r="Q1964" s="9" t="n"/>
      <c r="R1964" s="9" t="n"/>
      <c r="S1964" s="9" t="inlineStr">
        <is>
          <t>Duct bank</t>
        </is>
      </c>
      <c r="T1964" s="10" t="n">
        <v>841</v>
      </c>
      <c r="U1964" s="10" t="n">
        <v>98</v>
      </c>
      <c r="V1964" s="10">
        <f>ROUNDUP((T1964+U1964+2*'Read Me'!$B$13)*(1+'Read Me'!$B$12),-1)</f>
        <v/>
      </c>
      <c r="W1964" s="10">
        <f>V1964*N1964*O1964</f>
        <v/>
      </c>
      <c r="X1964" s="9">
        <f>IF(LEFT(I1964,2)="MV",2*N1964*IF(L1964="1/C",O1964,1),0)</f>
        <v/>
      </c>
      <c r="Y1964" s="9">
        <f>IF(OR(LEFT(K1964,4)="LVAX",LEFT(K1964,6)="MV15AX",LEFT(K1964,4)="CTAX",LEFT(K1964,2)="W|"),2*N1964*O1964,0)</f>
        <v/>
      </c>
      <c r="Z1964" s="9" t="inlineStr"/>
    </row>
    <row r="1965">
      <c r="A1965" s="9" t="inlineStr">
        <is>
          <t>I-C-0082</t>
        </is>
      </c>
      <c r="B1965" s="9" t="inlineStr">
        <is>
          <t>I</t>
        </is>
      </c>
      <c r="C1965" s="9" t="inlineStr">
        <is>
          <t>Modular / portable power</t>
        </is>
      </c>
      <c r="D1965" s="9" t="inlineStr">
        <is>
          <t>Control</t>
        </is>
      </c>
      <c r="E1965" s="9" t="inlineStr"/>
      <c r="F1965" s="9" t="inlineStr">
        <is>
          <t>PCM: power control module</t>
        </is>
      </c>
      <c r="G1965" s="9" t="inlineStr"/>
      <c r="H1965" s="9" t="inlineStr">
        <is>
          <t>MT-2: microturbine 1 MW (Capstone C1000 class)</t>
        </is>
      </c>
      <c r="I1965" s="9" t="inlineStr">
        <is>
          <t>Control</t>
        </is>
      </c>
      <c r="J1965" s="9" t="inlineStr">
        <is>
          <t>Control cable 600 V Type TC-ER, Cu #14 AWG, PVC jacket</t>
        </is>
      </c>
      <c r="K1965" s="9" t="inlineStr">
        <is>
          <t>CT|12/C|14</t>
        </is>
      </c>
      <c r="L1965" s="9" t="inlineStr">
        <is>
          <t>12/C</t>
        </is>
      </c>
      <c r="M1965" s="9" t="inlineStr">
        <is>
          <t>14</t>
        </is>
      </c>
      <c r="N1965" s="9" t="n">
        <v>1</v>
      </c>
      <c r="O1965" s="9" t="n">
        <v>1</v>
      </c>
      <c r="P1965" s="9" t="n"/>
      <c r="Q1965" s="9" t="n"/>
      <c r="R1965" s="9" t="n"/>
      <c r="S1965" s="9" t="inlineStr">
        <is>
          <t>Duct bank</t>
        </is>
      </c>
      <c r="T1965" s="10" t="n">
        <v>841</v>
      </c>
      <c r="U1965" s="10" t="n">
        <v>98</v>
      </c>
      <c r="V1965" s="10">
        <f>ROUNDUP((T1965+U1965+2*'Read Me'!$B$13)*(1+'Read Me'!$B$12),-1)</f>
        <v/>
      </c>
      <c r="W1965" s="10">
        <f>V1965*N1965*O1965</f>
        <v/>
      </c>
      <c r="X1965" s="9">
        <f>IF(LEFT(I1965,2)="MV",2*N1965*IF(L1965="1/C",O1965,1),0)</f>
        <v/>
      </c>
      <c r="Y1965" s="9">
        <f>IF(OR(LEFT(K1965,4)="LVAX",LEFT(K1965,6)="MV15AX",LEFT(K1965,4)="CTAX",LEFT(K1965,2)="W|"),2*N1965*O1965,0)</f>
        <v/>
      </c>
      <c r="Z1965" s="9" t="inlineStr"/>
    </row>
    <row r="1966">
      <c r="A1966" s="9" t="inlineStr">
        <is>
          <t>I-C-0083</t>
        </is>
      </c>
      <c r="B1966" s="9" t="inlineStr">
        <is>
          <t>I</t>
        </is>
      </c>
      <c r="C1966" s="9" t="inlineStr">
        <is>
          <t>Modular / portable power</t>
        </is>
      </c>
      <c r="D1966" s="9" t="inlineStr">
        <is>
          <t>CT / VT</t>
        </is>
      </c>
      <c r="E1966" s="9" t="inlineStr"/>
      <c r="F1966" s="9" t="inlineStr">
        <is>
          <t>PCM: power control module</t>
        </is>
      </c>
      <c r="G1966" s="9" t="inlineStr"/>
      <c r="H1966" s="9" t="inlineStr">
        <is>
          <t>MT-2: microturbine 1 MW (Capstone C1000 class)</t>
        </is>
      </c>
      <c r="I1966" s="9" t="inlineStr">
        <is>
          <t>Control</t>
        </is>
      </c>
      <c r="J1966" s="9" t="inlineStr">
        <is>
          <t>Control cable 600 V Type TC-ER, Cu #10 AWG (CT / VT circuits)</t>
        </is>
      </c>
      <c r="K1966" s="9" t="inlineStr">
        <is>
          <t>CTCT|4/C|10</t>
        </is>
      </c>
      <c r="L1966" s="9" t="inlineStr">
        <is>
          <t>4/C</t>
        </is>
      </c>
      <c r="M1966" s="9" t="inlineStr">
        <is>
          <t>10</t>
        </is>
      </c>
      <c r="N1966" s="9" t="n">
        <v>1</v>
      </c>
      <c r="O1966" s="9" t="n">
        <v>1</v>
      </c>
      <c r="P1966" s="9" t="n"/>
      <c r="Q1966" s="9" t="n"/>
      <c r="R1966" s="9" t="n"/>
      <c r="S1966" s="9" t="inlineStr">
        <is>
          <t>Duct bank</t>
        </is>
      </c>
      <c r="T1966" s="10" t="n">
        <v>841</v>
      </c>
      <c r="U1966" s="10" t="n">
        <v>98</v>
      </c>
      <c r="V1966" s="10">
        <f>ROUNDUP((T1966+U1966+2*'Read Me'!$B$13)*(1+'Read Me'!$B$12),-1)</f>
        <v/>
      </c>
      <c r="W1966" s="10">
        <f>V1966*N1966*O1966</f>
        <v/>
      </c>
      <c r="X1966" s="9">
        <f>IF(LEFT(I1966,2)="MV",2*N1966*IF(L1966="1/C",O1966,1),0)</f>
        <v/>
      </c>
      <c r="Y1966" s="9">
        <f>IF(OR(LEFT(K1966,4)="LVAX",LEFT(K1966,6)="MV15AX",LEFT(K1966,4)="CTAX",LEFT(K1966,2)="W|"),2*N1966*O1966,0)</f>
        <v/>
      </c>
      <c r="Z1966" s="9" t="inlineStr"/>
    </row>
    <row r="1967">
      <c r="A1967" s="9" t="inlineStr">
        <is>
          <t>I-C-0084</t>
        </is>
      </c>
      <c r="B1967" s="9" t="inlineStr">
        <is>
          <t>I</t>
        </is>
      </c>
      <c r="C1967" s="9" t="inlineStr">
        <is>
          <t>Modular / portable power</t>
        </is>
      </c>
      <c r="D1967" s="9" t="inlineStr">
        <is>
          <t>CT / VT</t>
        </is>
      </c>
      <c r="E1967" s="9" t="inlineStr"/>
      <c r="F1967" s="9" t="inlineStr">
        <is>
          <t>PCM: power control module</t>
        </is>
      </c>
      <c r="G1967" s="9" t="inlineStr"/>
      <c r="H1967" s="9" t="inlineStr">
        <is>
          <t>MT-2: microturbine 1 MW (Capstone C1000 class)</t>
        </is>
      </c>
      <c r="I1967" s="9" t="inlineStr">
        <is>
          <t>Control</t>
        </is>
      </c>
      <c r="J1967" s="9" t="inlineStr">
        <is>
          <t>Control cable 600 V Type TC-ER, Cu #10 AWG (CT / VT circuits)</t>
        </is>
      </c>
      <c r="K1967" s="9" t="inlineStr">
        <is>
          <t>CTCT|4/C|10</t>
        </is>
      </c>
      <c r="L1967" s="9" t="inlineStr">
        <is>
          <t>4/C</t>
        </is>
      </c>
      <c r="M1967" s="9" t="inlineStr">
        <is>
          <t>10</t>
        </is>
      </c>
      <c r="N1967" s="9" t="n">
        <v>1</v>
      </c>
      <c r="O1967" s="9" t="n">
        <v>1</v>
      </c>
      <c r="P1967" s="9" t="n"/>
      <c r="Q1967" s="9" t="n"/>
      <c r="R1967" s="9" t="n"/>
      <c r="S1967" s="9" t="inlineStr">
        <is>
          <t>Duct bank</t>
        </is>
      </c>
      <c r="T1967" s="10" t="n">
        <v>841</v>
      </c>
      <c r="U1967" s="10" t="n">
        <v>98</v>
      </c>
      <c r="V1967" s="10">
        <f>ROUNDUP((T1967+U1967+2*'Read Me'!$B$13)*(1+'Read Me'!$B$12),-1)</f>
        <v/>
      </c>
      <c r="W1967" s="10">
        <f>V1967*N1967*O1967</f>
        <v/>
      </c>
      <c r="X1967" s="9">
        <f>IF(LEFT(I1967,2)="MV",2*N1967*IF(L1967="1/C",O1967,1),0)</f>
        <v/>
      </c>
      <c r="Y1967" s="9">
        <f>IF(OR(LEFT(K1967,4)="LVAX",LEFT(K1967,6)="MV15AX",LEFT(K1967,4)="CTAX",LEFT(K1967,2)="W|"),2*N1967*O1967,0)</f>
        <v/>
      </c>
      <c r="Z1967" s="9" t="inlineStr"/>
    </row>
    <row r="1968">
      <c r="A1968" s="9" t="inlineStr">
        <is>
          <t>I-C-0085</t>
        </is>
      </c>
      <c r="B1968" s="9" t="inlineStr">
        <is>
          <t>I</t>
        </is>
      </c>
      <c r="C1968" s="9" t="inlineStr">
        <is>
          <t>Modular / portable power</t>
        </is>
      </c>
      <c r="D1968" s="9" t="inlineStr">
        <is>
          <t>Control</t>
        </is>
      </c>
      <c r="E1968" s="9" t="inlineStr"/>
      <c r="F1968" s="9" t="inlineStr">
        <is>
          <t>PCM: power control module</t>
        </is>
      </c>
      <c r="G1968" s="9" t="inlineStr"/>
      <c r="H1968" s="9" t="inlineStr">
        <is>
          <t>MT-3: microturbine 1 MW (Capstone C1000 class)</t>
        </is>
      </c>
      <c r="I1968" s="9" t="inlineStr">
        <is>
          <t>Control</t>
        </is>
      </c>
      <c r="J1968" s="9" t="inlineStr">
        <is>
          <t>Control cable 600 V Type TC-ER, Cu #14 AWG, PVC jacket</t>
        </is>
      </c>
      <c r="K1968" s="9" t="inlineStr">
        <is>
          <t>CT|7/C|14</t>
        </is>
      </c>
      <c r="L1968" s="9" t="inlineStr">
        <is>
          <t>7/C</t>
        </is>
      </c>
      <c r="M1968" s="9" t="inlineStr">
        <is>
          <t>14</t>
        </is>
      </c>
      <c r="N1968" s="9" t="n">
        <v>1</v>
      </c>
      <c r="O1968" s="9" t="n">
        <v>1</v>
      </c>
      <c r="P1968" s="9" t="n"/>
      <c r="Q1968" s="9" t="n"/>
      <c r="R1968" s="9" t="n"/>
      <c r="S1968" s="9" t="inlineStr">
        <is>
          <t>Duct bank</t>
        </is>
      </c>
      <c r="T1968" s="10" t="n">
        <v>841</v>
      </c>
      <c r="U1968" s="10" t="n">
        <v>98</v>
      </c>
      <c r="V1968" s="10">
        <f>ROUNDUP((T1968+U1968+2*'Read Me'!$B$13)*(1+'Read Me'!$B$12),-1)</f>
        <v/>
      </c>
      <c r="W1968" s="10">
        <f>V1968*N1968*O1968</f>
        <v/>
      </c>
      <c r="X1968" s="9">
        <f>IF(LEFT(I1968,2)="MV",2*N1968*IF(L1968="1/C",O1968,1),0)</f>
        <v/>
      </c>
      <c r="Y1968" s="9">
        <f>IF(OR(LEFT(K1968,4)="LVAX",LEFT(K1968,6)="MV15AX",LEFT(K1968,4)="CTAX",LEFT(K1968,2)="W|"),2*N1968*O1968,0)</f>
        <v/>
      </c>
      <c r="Z1968" s="9" t="inlineStr"/>
    </row>
    <row r="1969">
      <c r="A1969" s="9" t="inlineStr">
        <is>
          <t>I-C-0086</t>
        </is>
      </c>
      <c r="B1969" s="9" t="inlineStr">
        <is>
          <t>I</t>
        </is>
      </c>
      <c r="C1969" s="9" t="inlineStr">
        <is>
          <t>Modular / portable power</t>
        </is>
      </c>
      <c r="D1969" s="9" t="inlineStr">
        <is>
          <t>Control</t>
        </is>
      </c>
      <c r="E1969" s="9" t="inlineStr"/>
      <c r="F1969" s="9" t="inlineStr">
        <is>
          <t>PCM: power control module</t>
        </is>
      </c>
      <c r="G1969" s="9" t="inlineStr"/>
      <c r="H1969" s="9" t="inlineStr">
        <is>
          <t>MT-3: microturbine 1 MW (Capstone C1000 class)</t>
        </is>
      </c>
      <c r="I1969" s="9" t="inlineStr">
        <is>
          <t>Control</t>
        </is>
      </c>
      <c r="J1969" s="9" t="inlineStr">
        <is>
          <t>Control cable 600 V Type TC-ER, Cu #14 AWG, PVC jacket</t>
        </is>
      </c>
      <c r="K1969" s="9" t="inlineStr">
        <is>
          <t>CT|12/C|14</t>
        </is>
      </c>
      <c r="L1969" s="9" t="inlineStr">
        <is>
          <t>12/C</t>
        </is>
      </c>
      <c r="M1969" s="9" t="inlineStr">
        <is>
          <t>14</t>
        </is>
      </c>
      <c r="N1969" s="9" t="n">
        <v>1</v>
      </c>
      <c r="O1969" s="9" t="n">
        <v>1</v>
      </c>
      <c r="P1969" s="9" t="n"/>
      <c r="Q1969" s="9" t="n"/>
      <c r="R1969" s="9" t="n"/>
      <c r="S1969" s="9" t="inlineStr">
        <is>
          <t>Duct bank</t>
        </is>
      </c>
      <c r="T1969" s="10" t="n">
        <v>841</v>
      </c>
      <c r="U1969" s="10" t="n">
        <v>98</v>
      </c>
      <c r="V1969" s="10">
        <f>ROUNDUP((T1969+U1969+2*'Read Me'!$B$13)*(1+'Read Me'!$B$12),-1)</f>
        <v/>
      </c>
      <c r="W1969" s="10">
        <f>V1969*N1969*O1969</f>
        <v/>
      </c>
      <c r="X1969" s="9">
        <f>IF(LEFT(I1969,2)="MV",2*N1969*IF(L1969="1/C",O1969,1),0)</f>
        <v/>
      </c>
      <c r="Y1969" s="9">
        <f>IF(OR(LEFT(K1969,4)="LVAX",LEFT(K1969,6)="MV15AX",LEFT(K1969,4)="CTAX",LEFT(K1969,2)="W|"),2*N1969*O1969,0)</f>
        <v/>
      </c>
      <c r="Z1969" s="9" t="inlineStr"/>
    </row>
    <row r="1970">
      <c r="A1970" s="9" t="inlineStr">
        <is>
          <t>I-C-0087</t>
        </is>
      </c>
      <c r="B1970" s="9" t="inlineStr">
        <is>
          <t>I</t>
        </is>
      </c>
      <c r="C1970" s="9" t="inlineStr">
        <is>
          <t>Modular / portable power</t>
        </is>
      </c>
      <c r="D1970" s="9" t="inlineStr">
        <is>
          <t>CT / VT</t>
        </is>
      </c>
      <c r="E1970" s="9" t="inlineStr"/>
      <c r="F1970" s="9" t="inlineStr">
        <is>
          <t>PCM: power control module</t>
        </is>
      </c>
      <c r="G1970" s="9" t="inlineStr"/>
      <c r="H1970" s="9" t="inlineStr">
        <is>
          <t>MT-3: microturbine 1 MW (Capstone C1000 class)</t>
        </is>
      </c>
      <c r="I1970" s="9" t="inlineStr">
        <is>
          <t>Control</t>
        </is>
      </c>
      <c r="J1970" s="9" t="inlineStr">
        <is>
          <t>Control cable 600 V Type TC-ER, Cu #10 AWG (CT / VT circuits)</t>
        </is>
      </c>
      <c r="K1970" s="9" t="inlineStr">
        <is>
          <t>CTCT|4/C|10</t>
        </is>
      </c>
      <c r="L1970" s="9" t="inlineStr">
        <is>
          <t>4/C</t>
        </is>
      </c>
      <c r="M1970" s="9" t="inlineStr">
        <is>
          <t>10</t>
        </is>
      </c>
      <c r="N1970" s="9" t="n">
        <v>1</v>
      </c>
      <c r="O1970" s="9" t="n">
        <v>1</v>
      </c>
      <c r="P1970" s="9" t="n"/>
      <c r="Q1970" s="9" t="n"/>
      <c r="R1970" s="9" t="n"/>
      <c r="S1970" s="9" t="inlineStr">
        <is>
          <t>Duct bank</t>
        </is>
      </c>
      <c r="T1970" s="10" t="n">
        <v>841</v>
      </c>
      <c r="U1970" s="10" t="n">
        <v>98</v>
      </c>
      <c r="V1970" s="10">
        <f>ROUNDUP((T1970+U1970+2*'Read Me'!$B$13)*(1+'Read Me'!$B$12),-1)</f>
        <v/>
      </c>
      <c r="W1970" s="10">
        <f>V1970*N1970*O1970</f>
        <v/>
      </c>
      <c r="X1970" s="9">
        <f>IF(LEFT(I1970,2)="MV",2*N1970*IF(L1970="1/C",O1970,1),0)</f>
        <v/>
      </c>
      <c r="Y1970" s="9">
        <f>IF(OR(LEFT(K1970,4)="LVAX",LEFT(K1970,6)="MV15AX",LEFT(K1970,4)="CTAX",LEFT(K1970,2)="W|"),2*N1970*O1970,0)</f>
        <v/>
      </c>
      <c r="Z1970" s="9" t="inlineStr"/>
    </row>
    <row r="1971">
      <c r="A1971" s="9" t="inlineStr">
        <is>
          <t>I-C-0088</t>
        </is>
      </c>
      <c r="B1971" s="9" t="inlineStr">
        <is>
          <t>I</t>
        </is>
      </c>
      <c r="C1971" s="9" t="inlineStr">
        <is>
          <t>Modular / portable power</t>
        </is>
      </c>
      <c r="D1971" s="9" t="inlineStr">
        <is>
          <t>CT / VT</t>
        </is>
      </c>
      <c r="E1971" s="9" t="inlineStr"/>
      <c r="F1971" s="9" t="inlineStr">
        <is>
          <t>PCM: power control module</t>
        </is>
      </c>
      <c r="G1971" s="9" t="inlineStr"/>
      <c r="H1971" s="9" t="inlineStr">
        <is>
          <t>MT-3: microturbine 1 MW (Capstone C1000 class)</t>
        </is>
      </c>
      <c r="I1971" s="9" t="inlineStr">
        <is>
          <t>Control</t>
        </is>
      </c>
      <c r="J1971" s="9" t="inlineStr">
        <is>
          <t>Control cable 600 V Type TC-ER, Cu #10 AWG (CT / VT circuits)</t>
        </is>
      </c>
      <c r="K1971" s="9" t="inlineStr">
        <is>
          <t>CTCT|4/C|10</t>
        </is>
      </c>
      <c r="L1971" s="9" t="inlineStr">
        <is>
          <t>4/C</t>
        </is>
      </c>
      <c r="M1971" s="9" t="inlineStr">
        <is>
          <t>10</t>
        </is>
      </c>
      <c r="N1971" s="9" t="n">
        <v>1</v>
      </c>
      <c r="O1971" s="9" t="n">
        <v>1</v>
      </c>
      <c r="P1971" s="9" t="n"/>
      <c r="Q1971" s="9" t="n"/>
      <c r="R1971" s="9" t="n"/>
      <c r="S1971" s="9" t="inlineStr">
        <is>
          <t>Duct bank</t>
        </is>
      </c>
      <c r="T1971" s="10" t="n">
        <v>841</v>
      </c>
      <c r="U1971" s="10" t="n">
        <v>98</v>
      </c>
      <c r="V1971" s="10">
        <f>ROUNDUP((T1971+U1971+2*'Read Me'!$B$13)*(1+'Read Me'!$B$12),-1)</f>
        <v/>
      </c>
      <c r="W1971" s="10">
        <f>V1971*N1971*O1971</f>
        <v/>
      </c>
      <c r="X1971" s="9">
        <f>IF(LEFT(I1971,2)="MV",2*N1971*IF(L1971="1/C",O1971,1),0)</f>
        <v/>
      </c>
      <c r="Y1971" s="9">
        <f>IF(OR(LEFT(K1971,4)="LVAX",LEFT(K1971,6)="MV15AX",LEFT(K1971,4)="CTAX",LEFT(K1971,2)="W|"),2*N1971*O1971,0)</f>
        <v/>
      </c>
      <c r="Z1971" s="9" t="inlineStr"/>
    </row>
    <row r="1972">
      <c r="A1972" s="9" t="inlineStr">
        <is>
          <t>I-C-0089</t>
        </is>
      </c>
      <c r="B1972" s="9" t="inlineStr">
        <is>
          <t>I</t>
        </is>
      </c>
      <c r="C1972" s="9" t="inlineStr">
        <is>
          <t>Modular / portable power</t>
        </is>
      </c>
      <c r="D1972" s="9" t="inlineStr">
        <is>
          <t>Control</t>
        </is>
      </c>
      <c r="E1972" s="9" t="inlineStr"/>
      <c r="F1972" s="9" t="inlineStr">
        <is>
          <t>PCM: power control module</t>
        </is>
      </c>
      <c r="G1972" s="9" t="inlineStr">
        <is>
          <t>MT-4</t>
        </is>
      </c>
      <c r="H1972" s="9" t="inlineStr">
        <is>
          <t>MT-4: microturbine 1 MW (Capstone C1000 class)</t>
        </is>
      </c>
      <c r="I1972" s="9" t="inlineStr">
        <is>
          <t>Control</t>
        </is>
      </c>
      <c r="J1972" s="9" t="inlineStr">
        <is>
          <t>Control cable 600 V Type TC-ER, Cu #14 AWG, PVC jacket</t>
        </is>
      </c>
      <c r="K1972" s="9" t="inlineStr">
        <is>
          <t>CT|7/C|14</t>
        </is>
      </c>
      <c r="L1972" s="9" t="inlineStr">
        <is>
          <t>7/C</t>
        </is>
      </c>
      <c r="M1972" s="9" t="inlineStr">
        <is>
          <t>14</t>
        </is>
      </c>
      <c r="N1972" s="9" t="n">
        <v>1</v>
      </c>
      <c r="O1972" s="9" t="n">
        <v>1</v>
      </c>
      <c r="P1972" s="9" t="n"/>
      <c r="Q1972" s="9" t="n"/>
      <c r="R1972" s="9" t="n"/>
      <c r="S1972" s="9" t="inlineStr">
        <is>
          <t>Duct bank</t>
        </is>
      </c>
      <c r="T1972" s="10" t="n">
        <v>303</v>
      </c>
      <c r="U1972" s="10" t="n">
        <v>40</v>
      </c>
      <c r="V1972" s="10">
        <f>ROUNDUP((T1972+U1972+2*'Read Me'!$B$13)*(1+'Read Me'!$B$12),-1)</f>
        <v/>
      </c>
      <c r="W1972" s="10">
        <f>V1972*N1972*O1972</f>
        <v/>
      </c>
      <c r="X1972" s="9">
        <f>IF(LEFT(I1972,2)="MV",2*N1972*IF(L1972="1/C",O1972,1),0)</f>
        <v/>
      </c>
      <c r="Y1972" s="9">
        <f>IF(OR(LEFT(K1972,4)="LVAX",LEFT(K1972,6)="MV15AX",LEFT(K1972,4)="CTAX",LEFT(K1972,2)="W|"),2*N1972*O1972,0)</f>
        <v/>
      </c>
      <c r="Z1972" s="9" t="inlineStr"/>
    </row>
    <row r="1973">
      <c r="A1973" s="9" t="inlineStr">
        <is>
          <t>I-C-0090</t>
        </is>
      </c>
      <c r="B1973" s="9" t="inlineStr">
        <is>
          <t>I</t>
        </is>
      </c>
      <c r="C1973" s="9" t="inlineStr">
        <is>
          <t>Modular / portable power</t>
        </is>
      </c>
      <c r="D1973" s="9" t="inlineStr">
        <is>
          <t>Control</t>
        </is>
      </c>
      <c r="E1973" s="9" t="inlineStr"/>
      <c r="F1973" s="9" t="inlineStr">
        <is>
          <t>PCM: power control module</t>
        </is>
      </c>
      <c r="G1973" s="9" t="inlineStr">
        <is>
          <t>MT-4</t>
        </is>
      </c>
      <c r="H1973" s="9" t="inlineStr">
        <is>
          <t>MT-4: microturbine 1 MW (Capstone C1000 class)</t>
        </is>
      </c>
      <c r="I1973" s="9" t="inlineStr">
        <is>
          <t>Control</t>
        </is>
      </c>
      <c r="J1973" s="9" t="inlineStr">
        <is>
          <t>Control cable 600 V Type TC-ER, Cu #14 AWG, PVC jacket</t>
        </is>
      </c>
      <c r="K1973" s="9" t="inlineStr">
        <is>
          <t>CT|12/C|14</t>
        </is>
      </c>
      <c r="L1973" s="9" t="inlineStr">
        <is>
          <t>12/C</t>
        </is>
      </c>
      <c r="M1973" s="9" t="inlineStr">
        <is>
          <t>14</t>
        </is>
      </c>
      <c r="N1973" s="9" t="n">
        <v>1</v>
      </c>
      <c r="O1973" s="9" t="n">
        <v>1</v>
      </c>
      <c r="P1973" s="9" t="n"/>
      <c r="Q1973" s="9" t="n"/>
      <c r="R1973" s="9" t="n"/>
      <c r="S1973" s="9" t="inlineStr">
        <is>
          <t>Duct bank</t>
        </is>
      </c>
      <c r="T1973" s="10" t="n">
        <v>303</v>
      </c>
      <c r="U1973" s="10" t="n">
        <v>40</v>
      </c>
      <c r="V1973" s="10">
        <f>ROUNDUP((T1973+U1973+2*'Read Me'!$B$13)*(1+'Read Me'!$B$12),-1)</f>
        <v/>
      </c>
      <c r="W1973" s="10">
        <f>V1973*N1973*O1973</f>
        <v/>
      </c>
      <c r="X1973" s="9">
        <f>IF(LEFT(I1973,2)="MV",2*N1973*IF(L1973="1/C",O1973,1),0)</f>
        <v/>
      </c>
      <c r="Y1973" s="9">
        <f>IF(OR(LEFT(K1973,4)="LVAX",LEFT(K1973,6)="MV15AX",LEFT(K1973,4)="CTAX",LEFT(K1973,2)="W|"),2*N1973*O1973,0)</f>
        <v/>
      </c>
      <c r="Z1973" s="9" t="inlineStr"/>
    </row>
    <row r="1974">
      <c r="A1974" s="9" t="inlineStr">
        <is>
          <t>I-C-0091</t>
        </is>
      </c>
      <c r="B1974" s="9" t="inlineStr">
        <is>
          <t>I</t>
        </is>
      </c>
      <c r="C1974" s="9" t="inlineStr">
        <is>
          <t>Modular / portable power</t>
        </is>
      </c>
      <c r="D1974" s="9" t="inlineStr">
        <is>
          <t>CT / VT</t>
        </is>
      </c>
      <c r="E1974" s="9" t="inlineStr"/>
      <c r="F1974" s="9" t="inlineStr">
        <is>
          <t>PCM: power control module</t>
        </is>
      </c>
      <c r="G1974" s="9" t="inlineStr">
        <is>
          <t>MT-4</t>
        </is>
      </c>
      <c r="H1974" s="9" t="inlineStr">
        <is>
          <t>MT-4: microturbine 1 MW (Capstone C1000 class)</t>
        </is>
      </c>
      <c r="I1974" s="9" t="inlineStr">
        <is>
          <t>Control</t>
        </is>
      </c>
      <c r="J1974" s="9" t="inlineStr">
        <is>
          <t>Control cable 600 V Type TC-ER, Cu #10 AWG (CT / VT circuits)</t>
        </is>
      </c>
      <c r="K1974" s="9" t="inlineStr">
        <is>
          <t>CTCT|4/C|10</t>
        </is>
      </c>
      <c r="L1974" s="9" t="inlineStr">
        <is>
          <t>4/C</t>
        </is>
      </c>
      <c r="M1974" s="9" t="inlineStr">
        <is>
          <t>10</t>
        </is>
      </c>
      <c r="N1974" s="9" t="n">
        <v>1</v>
      </c>
      <c r="O1974" s="9" t="n">
        <v>1</v>
      </c>
      <c r="P1974" s="9" t="n"/>
      <c r="Q1974" s="9" t="n"/>
      <c r="R1974" s="9" t="n"/>
      <c r="S1974" s="9" t="inlineStr">
        <is>
          <t>Duct bank</t>
        </is>
      </c>
      <c r="T1974" s="10" t="n">
        <v>303</v>
      </c>
      <c r="U1974" s="10" t="n">
        <v>40</v>
      </c>
      <c r="V1974" s="10">
        <f>ROUNDUP((T1974+U1974+2*'Read Me'!$B$13)*(1+'Read Me'!$B$12),-1)</f>
        <v/>
      </c>
      <c r="W1974" s="10">
        <f>V1974*N1974*O1974</f>
        <v/>
      </c>
      <c r="X1974" s="9">
        <f>IF(LEFT(I1974,2)="MV",2*N1974*IF(L1974="1/C",O1974,1),0)</f>
        <v/>
      </c>
      <c r="Y1974" s="9">
        <f>IF(OR(LEFT(K1974,4)="LVAX",LEFT(K1974,6)="MV15AX",LEFT(K1974,4)="CTAX",LEFT(K1974,2)="W|"),2*N1974*O1974,0)</f>
        <v/>
      </c>
      <c r="Z1974" s="9" t="inlineStr"/>
    </row>
    <row r="1975">
      <c r="A1975" s="9" t="inlineStr">
        <is>
          <t>I-C-0092</t>
        </is>
      </c>
      <c r="B1975" s="9" t="inlineStr">
        <is>
          <t>I</t>
        </is>
      </c>
      <c r="C1975" s="9" t="inlineStr">
        <is>
          <t>Modular / portable power</t>
        </is>
      </c>
      <c r="D1975" s="9" t="inlineStr">
        <is>
          <t>CT / VT</t>
        </is>
      </c>
      <c r="E1975" s="9" t="inlineStr"/>
      <c r="F1975" s="9" t="inlineStr">
        <is>
          <t>PCM: power control module</t>
        </is>
      </c>
      <c r="G1975" s="9" t="inlineStr">
        <is>
          <t>MT-4</t>
        </is>
      </c>
      <c r="H1975" s="9" t="inlineStr">
        <is>
          <t>MT-4: microturbine 1 MW (Capstone C1000 class)</t>
        </is>
      </c>
      <c r="I1975" s="9" t="inlineStr">
        <is>
          <t>Control</t>
        </is>
      </c>
      <c r="J1975" s="9" t="inlineStr">
        <is>
          <t>Control cable 600 V Type TC-ER, Cu #10 AWG (CT / VT circuits)</t>
        </is>
      </c>
      <c r="K1975" s="9" t="inlineStr">
        <is>
          <t>CTCT|4/C|10</t>
        </is>
      </c>
      <c r="L1975" s="9" t="inlineStr">
        <is>
          <t>4/C</t>
        </is>
      </c>
      <c r="M1975" s="9" t="inlineStr">
        <is>
          <t>10</t>
        </is>
      </c>
      <c r="N1975" s="9" t="n">
        <v>1</v>
      </c>
      <c r="O1975" s="9" t="n">
        <v>1</v>
      </c>
      <c r="P1975" s="9" t="n"/>
      <c r="Q1975" s="9" t="n"/>
      <c r="R1975" s="9" t="n"/>
      <c r="S1975" s="9" t="inlineStr">
        <is>
          <t>Duct bank</t>
        </is>
      </c>
      <c r="T1975" s="10" t="n">
        <v>303</v>
      </c>
      <c r="U1975" s="10" t="n">
        <v>40</v>
      </c>
      <c r="V1975" s="10">
        <f>ROUNDUP((T1975+U1975+2*'Read Me'!$B$13)*(1+'Read Me'!$B$12),-1)</f>
        <v/>
      </c>
      <c r="W1975" s="10">
        <f>V1975*N1975*O1975</f>
        <v/>
      </c>
      <c r="X1975" s="9">
        <f>IF(LEFT(I1975,2)="MV",2*N1975*IF(L1975="1/C",O1975,1),0)</f>
        <v/>
      </c>
      <c r="Y1975" s="9">
        <f>IF(OR(LEFT(K1975,4)="LVAX",LEFT(K1975,6)="MV15AX",LEFT(K1975,4)="CTAX",LEFT(K1975,2)="W|"),2*N1975*O1975,0)</f>
        <v/>
      </c>
      <c r="Z1975" s="9" t="inlineStr"/>
    </row>
    <row r="1976">
      <c r="A1976" s="9" t="inlineStr">
        <is>
          <t>I-C-0093</t>
        </is>
      </c>
      <c r="B1976" s="9" t="inlineStr">
        <is>
          <t>I</t>
        </is>
      </c>
      <c r="C1976" s="9" t="inlineStr">
        <is>
          <t>Modular / portable power</t>
        </is>
      </c>
      <c r="D1976" s="9" t="inlineStr">
        <is>
          <t>Control</t>
        </is>
      </c>
      <c r="E1976" s="9" t="inlineStr"/>
      <c r="F1976" s="9" t="inlineStr">
        <is>
          <t>PCM: power control module</t>
        </is>
      </c>
      <c r="G1976" s="9" t="inlineStr">
        <is>
          <t>MT-5</t>
        </is>
      </c>
      <c r="H1976" s="9" t="inlineStr">
        <is>
          <t>MT-5: microturbine 1 MW (Capstone C1000 class)</t>
        </is>
      </c>
      <c r="I1976" s="9" t="inlineStr">
        <is>
          <t>Control</t>
        </is>
      </c>
      <c r="J1976" s="9" t="inlineStr">
        <is>
          <t>Control cable 600 V Type TC-ER, Cu #14 AWG, PVC jacket</t>
        </is>
      </c>
      <c r="K1976" s="9" t="inlineStr">
        <is>
          <t>CT|7/C|14</t>
        </is>
      </c>
      <c r="L1976" s="9" t="inlineStr">
        <is>
          <t>7/C</t>
        </is>
      </c>
      <c r="M1976" s="9" t="inlineStr">
        <is>
          <t>14</t>
        </is>
      </c>
      <c r="N1976" s="9" t="n">
        <v>1</v>
      </c>
      <c r="O1976" s="9" t="n">
        <v>1</v>
      </c>
      <c r="P1976" s="9" t="n"/>
      <c r="Q1976" s="9" t="n"/>
      <c r="R1976" s="9" t="n"/>
      <c r="S1976" s="9" t="inlineStr">
        <is>
          <t>Duct bank</t>
        </is>
      </c>
      <c r="T1976" s="10" t="n">
        <v>303</v>
      </c>
      <c r="U1976" s="10" t="n">
        <v>54</v>
      </c>
      <c r="V1976" s="10">
        <f>ROUNDUP((T1976+U1976+2*'Read Me'!$B$13)*(1+'Read Me'!$B$12),-1)</f>
        <v/>
      </c>
      <c r="W1976" s="10">
        <f>V1976*N1976*O1976</f>
        <v/>
      </c>
      <c r="X1976" s="9">
        <f>IF(LEFT(I1976,2)="MV",2*N1976*IF(L1976="1/C",O1976,1),0)</f>
        <v/>
      </c>
      <c r="Y1976" s="9">
        <f>IF(OR(LEFT(K1976,4)="LVAX",LEFT(K1976,6)="MV15AX",LEFT(K1976,4)="CTAX",LEFT(K1976,2)="W|"),2*N1976*O1976,0)</f>
        <v/>
      </c>
      <c r="Z1976" s="9" t="inlineStr"/>
    </row>
    <row r="1977">
      <c r="A1977" s="9" t="inlineStr">
        <is>
          <t>I-C-0094</t>
        </is>
      </c>
      <c r="B1977" s="9" t="inlineStr">
        <is>
          <t>I</t>
        </is>
      </c>
      <c r="C1977" s="9" t="inlineStr">
        <is>
          <t>Modular / portable power</t>
        </is>
      </c>
      <c r="D1977" s="9" t="inlineStr">
        <is>
          <t>Control</t>
        </is>
      </c>
      <c r="E1977" s="9" t="inlineStr"/>
      <c r="F1977" s="9" t="inlineStr">
        <is>
          <t>PCM: power control module</t>
        </is>
      </c>
      <c r="G1977" s="9" t="inlineStr">
        <is>
          <t>MT-5</t>
        </is>
      </c>
      <c r="H1977" s="9" t="inlineStr">
        <is>
          <t>MT-5: microturbine 1 MW (Capstone C1000 class)</t>
        </is>
      </c>
      <c r="I1977" s="9" t="inlineStr">
        <is>
          <t>Control</t>
        </is>
      </c>
      <c r="J1977" s="9" t="inlineStr">
        <is>
          <t>Control cable 600 V Type TC-ER, Cu #14 AWG, PVC jacket</t>
        </is>
      </c>
      <c r="K1977" s="9" t="inlineStr">
        <is>
          <t>CT|12/C|14</t>
        </is>
      </c>
      <c r="L1977" s="9" t="inlineStr">
        <is>
          <t>12/C</t>
        </is>
      </c>
      <c r="M1977" s="9" t="inlineStr">
        <is>
          <t>14</t>
        </is>
      </c>
      <c r="N1977" s="9" t="n">
        <v>1</v>
      </c>
      <c r="O1977" s="9" t="n">
        <v>1</v>
      </c>
      <c r="P1977" s="9" t="n"/>
      <c r="Q1977" s="9" t="n"/>
      <c r="R1977" s="9" t="n"/>
      <c r="S1977" s="9" t="inlineStr">
        <is>
          <t>Duct bank</t>
        </is>
      </c>
      <c r="T1977" s="10" t="n">
        <v>303</v>
      </c>
      <c r="U1977" s="10" t="n">
        <v>54</v>
      </c>
      <c r="V1977" s="10">
        <f>ROUNDUP((T1977+U1977+2*'Read Me'!$B$13)*(1+'Read Me'!$B$12),-1)</f>
        <v/>
      </c>
      <c r="W1977" s="10">
        <f>V1977*N1977*O1977</f>
        <v/>
      </c>
      <c r="X1977" s="9">
        <f>IF(LEFT(I1977,2)="MV",2*N1977*IF(L1977="1/C",O1977,1),0)</f>
        <v/>
      </c>
      <c r="Y1977" s="9">
        <f>IF(OR(LEFT(K1977,4)="LVAX",LEFT(K1977,6)="MV15AX",LEFT(K1977,4)="CTAX",LEFT(K1977,2)="W|"),2*N1977*O1977,0)</f>
        <v/>
      </c>
      <c r="Z1977" s="9" t="inlineStr"/>
    </row>
    <row r="1978">
      <c r="A1978" s="9" t="inlineStr">
        <is>
          <t>I-C-0095</t>
        </is>
      </c>
      <c r="B1978" s="9" t="inlineStr">
        <is>
          <t>I</t>
        </is>
      </c>
      <c r="C1978" s="9" t="inlineStr">
        <is>
          <t>Modular / portable power</t>
        </is>
      </c>
      <c r="D1978" s="9" t="inlineStr">
        <is>
          <t>CT / VT</t>
        </is>
      </c>
      <c r="E1978" s="9" t="inlineStr"/>
      <c r="F1978" s="9" t="inlineStr">
        <is>
          <t>PCM: power control module</t>
        </is>
      </c>
      <c r="G1978" s="9" t="inlineStr">
        <is>
          <t>MT-5</t>
        </is>
      </c>
      <c r="H1978" s="9" t="inlineStr">
        <is>
          <t>MT-5: microturbine 1 MW (Capstone C1000 class)</t>
        </is>
      </c>
      <c r="I1978" s="9" t="inlineStr">
        <is>
          <t>Control</t>
        </is>
      </c>
      <c r="J1978" s="9" t="inlineStr">
        <is>
          <t>Control cable 600 V Type TC-ER, Cu #10 AWG (CT / VT circuits)</t>
        </is>
      </c>
      <c r="K1978" s="9" t="inlineStr">
        <is>
          <t>CTCT|4/C|10</t>
        </is>
      </c>
      <c r="L1978" s="9" t="inlineStr">
        <is>
          <t>4/C</t>
        </is>
      </c>
      <c r="M1978" s="9" t="inlineStr">
        <is>
          <t>10</t>
        </is>
      </c>
      <c r="N1978" s="9" t="n">
        <v>1</v>
      </c>
      <c r="O1978" s="9" t="n">
        <v>1</v>
      </c>
      <c r="P1978" s="9" t="n"/>
      <c r="Q1978" s="9" t="n"/>
      <c r="R1978" s="9" t="n"/>
      <c r="S1978" s="9" t="inlineStr">
        <is>
          <t>Duct bank</t>
        </is>
      </c>
      <c r="T1978" s="10" t="n">
        <v>303</v>
      </c>
      <c r="U1978" s="10" t="n">
        <v>54</v>
      </c>
      <c r="V1978" s="10">
        <f>ROUNDUP((T1978+U1978+2*'Read Me'!$B$13)*(1+'Read Me'!$B$12),-1)</f>
        <v/>
      </c>
      <c r="W1978" s="10">
        <f>V1978*N1978*O1978</f>
        <v/>
      </c>
      <c r="X1978" s="9">
        <f>IF(LEFT(I1978,2)="MV",2*N1978*IF(L1978="1/C",O1978,1),0)</f>
        <v/>
      </c>
      <c r="Y1978" s="9">
        <f>IF(OR(LEFT(K1978,4)="LVAX",LEFT(K1978,6)="MV15AX",LEFT(K1978,4)="CTAX",LEFT(K1978,2)="W|"),2*N1978*O1978,0)</f>
        <v/>
      </c>
      <c r="Z1978" s="9" t="inlineStr"/>
    </row>
    <row r="1979">
      <c r="A1979" s="9" t="inlineStr">
        <is>
          <t>I-C-0096</t>
        </is>
      </c>
      <c r="B1979" s="9" t="inlineStr">
        <is>
          <t>I</t>
        </is>
      </c>
      <c r="C1979" s="9" t="inlineStr">
        <is>
          <t>Modular / portable power</t>
        </is>
      </c>
      <c r="D1979" s="9" t="inlineStr">
        <is>
          <t>CT / VT</t>
        </is>
      </c>
      <c r="E1979" s="9" t="inlineStr"/>
      <c r="F1979" s="9" t="inlineStr">
        <is>
          <t>PCM: power control module</t>
        </is>
      </c>
      <c r="G1979" s="9" t="inlineStr">
        <is>
          <t>MT-5</t>
        </is>
      </c>
      <c r="H1979" s="9" t="inlineStr">
        <is>
          <t>MT-5: microturbine 1 MW (Capstone C1000 class)</t>
        </is>
      </c>
      <c r="I1979" s="9" t="inlineStr">
        <is>
          <t>Control</t>
        </is>
      </c>
      <c r="J1979" s="9" t="inlineStr">
        <is>
          <t>Control cable 600 V Type TC-ER, Cu #10 AWG (CT / VT circuits)</t>
        </is>
      </c>
      <c r="K1979" s="9" t="inlineStr">
        <is>
          <t>CTCT|4/C|10</t>
        </is>
      </c>
      <c r="L1979" s="9" t="inlineStr">
        <is>
          <t>4/C</t>
        </is>
      </c>
      <c r="M1979" s="9" t="inlineStr">
        <is>
          <t>10</t>
        </is>
      </c>
      <c r="N1979" s="9" t="n">
        <v>1</v>
      </c>
      <c r="O1979" s="9" t="n">
        <v>1</v>
      </c>
      <c r="P1979" s="9" t="n"/>
      <c r="Q1979" s="9" t="n"/>
      <c r="R1979" s="9" t="n"/>
      <c r="S1979" s="9" t="inlineStr">
        <is>
          <t>Duct bank</t>
        </is>
      </c>
      <c r="T1979" s="10" t="n">
        <v>303</v>
      </c>
      <c r="U1979" s="10" t="n">
        <v>54</v>
      </c>
      <c r="V1979" s="10">
        <f>ROUNDUP((T1979+U1979+2*'Read Me'!$B$13)*(1+'Read Me'!$B$12),-1)</f>
        <v/>
      </c>
      <c r="W1979" s="10">
        <f>V1979*N1979*O1979</f>
        <v/>
      </c>
      <c r="X1979" s="9">
        <f>IF(LEFT(I1979,2)="MV",2*N1979*IF(L1979="1/C",O1979,1),0)</f>
        <v/>
      </c>
      <c r="Y1979" s="9">
        <f>IF(OR(LEFT(K1979,4)="LVAX",LEFT(K1979,6)="MV15AX",LEFT(K1979,4)="CTAX",LEFT(K1979,2)="W|"),2*N1979*O1979,0)</f>
        <v/>
      </c>
      <c r="Z1979" s="9" t="inlineStr"/>
    </row>
    <row r="1980">
      <c r="A1980" s="9" t="inlineStr">
        <is>
          <t>I-C-0097</t>
        </is>
      </c>
      <c r="B1980" s="9" t="inlineStr">
        <is>
          <t>I</t>
        </is>
      </c>
      <c r="C1980" s="9" t="inlineStr">
        <is>
          <t>Modular / portable power</t>
        </is>
      </c>
      <c r="D1980" s="9" t="inlineStr">
        <is>
          <t>Control</t>
        </is>
      </c>
      <c r="E1980" s="9" t="inlineStr"/>
      <c r="F1980" s="9" t="inlineStr">
        <is>
          <t>PCM: power control module</t>
        </is>
      </c>
      <c r="G1980" s="9" t="inlineStr">
        <is>
          <t>MT-6</t>
        </is>
      </c>
      <c r="H1980" s="9" t="inlineStr">
        <is>
          <t>MT-6: microturbine 1 MW (Capstone C1000 class)</t>
        </is>
      </c>
      <c r="I1980" s="9" t="inlineStr">
        <is>
          <t>Control</t>
        </is>
      </c>
      <c r="J1980" s="9" t="inlineStr">
        <is>
          <t>Control cable 600 V Type TC-ER, Cu #14 AWG, PVC jacket</t>
        </is>
      </c>
      <c r="K1980" s="9" t="inlineStr">
        <is>
          <t>CT|7/C|14</t>
        </is>
      </c>
      <c r="L1980" s="9" t="inlineStr">
        <is>
          <t>7/C</t>
        </is>
      </c>
      <c r="M1980" s="9" t="inlineStr">
        <is>
          <t>14</t>
        </is>
      </c>
      <c r="N1980" s="9" t="n">
        <v>1</v>
      </c>
      <c r="O1980" s="9" t="n">
        <v>1</v>
      </c>
      <c r="P1980" s="9" t="n"/>
      <c r="Q1980" s="9" t="n"/>
      <c r="R1980" s="9" t="n"/>
      <c r="S1980" s="9" t="inlineStr">
        <is>
          <t>Duct bank</t>
        </is>
      </c>
      <c r="T1980" s="10" t="n">
        <v>303</v>
      </c>
      <c r="U1980" s="10" t="n">
        <v>68</v>
      </c>
      <c r="V1980" s="10">
        <f>ROUNDUP((T1980+U1980+2*'Read Me'!$B$13)*(1+'Read Me'!$B$12),-1)</f>
        <v/>
      </c>
      <c r="W1980" s="10">
        <f>V1980*N1980*O1980</f>
        <v/>
      </c>
      <c r="X1980" s="9">
        <f>IF(LEFT(I1980,2)="MV",2*N1980*IF(L1980="1/C",O1980,1),0)</f>
        <v/>
      </c>
      <c r="Y1980" s="9">
        <f>IF(OR(LEFT(K1980,4)="LVAX",LEFT(K1980,6)="MV15AX",LEFT(K1980,4)="CTAX",LEFT(K1980,2)="W|"),2*N1980*O1980,0)</f>
        <v/>
      </c>
      <c r="Z1980" s="9" t="inlineStr"/>
    </row>
    <row r="1981">
      <c r="A1981" s="9" t="inlineStr">
        <is>
          <t>I-C-0098</t>
        </is>
      </c>
      <c r="B1981" s="9" t="inlineStr">
        <is>
          <t>I</t>
        </is>
      </c>
      <c r="C1981" s="9" t="inlineStr">
        <is>
          <t>Modular / portable power</t>
        </is>
      </c>
      <c r="D1981" s="9" t="inlineStr">
        <is>
          <t>Control</t>
        </is>
      </c>
      <c r="E1981" s="9" t="inlineStr"/>
      <c r="F1981" s="9" t="inlineStr">
        <is>
          <t>PCM: power control module</t>
        </is>
      </c>
      <c r="G1981" s="9" t="inlineStr">
        <is>
          <t>MT-6</t>
        </is>
      </c>
      <c r="H1981" s="9" t="inlineStr">
        <is>
          <t>MT-6: microturbine 1 MW (Capstone C1000 class)</t>
        </is>
      </c>
      <c r="I1981" s="9" t="inlineStr">
        <is>
          <t>Control</t>
        </is>
      </c>
      <c r="J1981" s="9" t="inlineStr">
        <is>
          <t>Control cable 600 V Type TC-ER, Cu #14 AWG, PVC jacket</t>
        </is>
      </c>
      <c r="K1981" s="9" t="inlineStr">
        <is>
          <t>CT|12/C|14</t>
        </is>
      </c>
      <c r="L1981" s="9" t="inlineStr">
        <is>
          <t>12/C</t>
        </is>
      </c>
      <c r="M1981" s="9" t="inlineStr">
        <is>
          <t>14</t>
        </is>
      </c>
      <c r="N1981" s="9" t="n">
        <v>1</v>
      </c>
      <c r="O1981" s="9" t="n">
        <v>1</v>
      </c>
      <c r="P1981" s="9" t="n"/>
      <c r="Q1981" s="9" t="n"/>
      <c r="R1981" s="9" t="n"/>
      <c r="S1981" s="9" t="inlineStr">
        <is>
          <t>Duct bank</t>
        </is>
      </c>
      <c r="T1981" s="10" t="n">
        <v>303</v>
      </c>
      <c r="U1981" s="10" t="n">
        <v>68</v>
      </c>
      <c r="V1981" s="10">
        <f>ROUNDUP((T1981+U1981+2*'Read Me'!$B$13)*(1+'Read Me'!$B$12),-1)</f>
        <v/>
      </c>
      <c r="W1981" s="10">
        <f>V1981*N1981*O1981</f>
        <v/>
      </c>
      <c r="X1981" s="9">
        <f>IF(LEFT(I1981,2)="MV",2*N1981*IF(L1981="1/C",O1981,1),0)</f>
        <v/>
      </c>
      <c r="Y1981" s="9">
        <f>IF(OR(LEFT(K1981,4)="LVAX",LEFT(K1981,6)="MV15AX",LEFT(K1981,4)="CTAX",LEFT(K1981,2)="W|"),2*N1981*O1981,0)</f>
        <v/>
      </c>
      <c r="Z1981" s="9" t="inlineStr"/>
    </row>
    <row r="1982">
      <c r="A1982" s="9" t="inlineStr">
        <is>
          <t>I-C-0099</t>
        </is>
      </c>
      <c r="B1982" s="9" t="inlineStr">
        <is>
          <t>I</t>
        </is>
      </c>
      <c r="C1982" s="9" t="inlineStr">
        <is>
          <t>Modular / portable power</t>
        </is>
      </c>
      <c r="D1982" s="9" t="inlineStr">
        <is>
          <t>CT / VT</t>
        </is>
      </c>
      <c r="E1982" s="9" t="inlineStr"/>
      <c r="F1982" s="9" t="inlineStr">
        <is>
          <t>PCM: power control module</t>
        </is>
      </c>
      <c r="G1982" s="9" t="inlineStr">
        <is>
          <t>MT-6</t>
        </is>
      </c>
      <c r="H1982" s="9" t="inlineStr">
        <is>
          <t>MT-6: microturbine 1 MW (Capstone C1000 class)</t>
        </is>
      </c>
      <c r="I1982" s="9" t="inlineStr">
        <is>
          <t>Control</t>
        </is>
      </c>
      <c r="J1982" s="9" t="inlineStr">
        <is>
          <t>Control cable 600 V Type TC-ER, Cu #10 AWG (CT / VT circuits)</t>
        </is>
      </c>
      <c r="K1982" s="9" t="inlineStr">
        <is>
          <t>CTCT|4/C|10</t>
        </is>
      </c>
      <c r="L1982" s="9" t="inlineStr">
        <is>
          <t>4/C</t>
        </is>
      </c>
      <c r="M1982" s="9" t="inlineStr">
        <is>
          <t>10</t>
        </is>
      </c>
      <c r="N1982" s="9" t="n">
        <v>1</v>
      </c>
      <c r="O1982" s="9" t="n">
        <v>1</v>
      </c>
      <c r="P1982" s="9" t="n"/>
      <c r="Q1982" s="9" t="n"/>
      <c r="R1982" s="9" t="n"/>
      <c r="S1982" s="9" t="inlineStr">
        <is>
          <t>Duct bank</t>
        </is>
      </c>
      <c r="T1982" s="10" t="n">
        <v>303</v>
      </c>
      <c r="U1982" s="10" t="n">
        <v>68</v>
      </c>
      <c r="V1982" s="10">
        <f>ROUNDUP((T1982+U1982+2*'Read Me'!$B$13)*(1+'Read Me'!$B$12),-1)</f>
        <v/>
      </c>
      <c r="W1982" s="10">
        <f>V1982*N1982*O1982</f>
        <v/>
      </c>
      <c r="X1982" s="9">
        <f>IF(LEFT(I1982,2)="MV",2*N1982*IF(L1982="1/C",O1982,1),0)</f>
        <v/>
      </c>
      <c r="Y1982" s="9">
        <f>IF(OR(LEFT(K1982,4)="LVAX",LEFT(K1982,6)="MV15AX",LEFT(K1982,4)="CTAX",LEFT(K1982,2)="W|"),2*N1982*O1982,0)</f>
        <v/>
      </c>
      <c r="Z1982" s="9" t="inlineStr"/>
    </row>
    <row r="1983">
      <c r="A1983" s="9" t="inlineStr">
        <is>
          <t>I-C-0100</t>
        </is>
      </c>
      <c r="B1983" s="9" t="inlineStr">
        <is>
          <t>I</t>
        </is>
      </c>
      <c r="C1983" s="9" t="inlineStr">
        <is>
          <t>Modular / portable power</t>
        </is>
      </c>
      <c r="D1983" s="9" t="inlineStr">
        <is>
          <t>CT / VT</t>
        </is>
      </c>
      <c r="E1983" s="9" t="inlineStr"/>
      <c r="F1983" s="9" t="inlineStr">
        <is>
          <t>PCM: power control module</t>
        </is>
      </c>
      <c r="G1983" s="9" t="inlineStr">
        <is>
          <t>MT-6</t>
        </is>
      </c>
      <c r="H1983" s="9" t="inlineStr">
        <is>
          <t>MT-6: microturbine 1 MW (Capstone C1000 class)</t>
        </is>
      </c>
      <c r="I1983" s="9" t="inlineStr">
        <is>
          <t>Control</t>
        </is>
      </c>
      <c r="J1983" s="9" t="inlineStr">
        <is>
          <t>Control cable 600 V Type TC-ER, Cu #10 AWG (CT / VT circuits)</t>
        </is>
      </c>
      <c r="K1983" s="9" t="inlineStr">
        <is>
          <t>CTCT|4/C|10</t>
        </is>
      </c>
      <c r="L1983" s="9" t="inlineStr">
        <is>
          <t>4/C</t>
        </is>
      </c>
      <c r="M1983" s="9" t="inlineStr">
        <is>
          <t>10</t>
        </is>
      </c>
      <c r="N1983" s="9" t="n">
        <v>1</v>
      </c>
      <c r="O1983" s="9" t="n">
        <v>1</v>
      </c>
      <c r="P1983" s="9" t="n"/>
      <c r="Q1983" s="9" t="n"/>
      <c r="R1983" s="9" t="n"/>
      <c r="S1983" s="9" t="inlineStr">
        <is>
          <t>Duct bank</t>
        </is>
      </c>
      <c r="T1983" s="10" t="n">
        <v>303</v>
      </c>
      <c r="U1983" s="10" t="n">
        <v>68</v>
      </c>
      <c r="V1983" s="10">
        <f>ROUNDUP((T1983+U1983+2*'Read Me'!$B$13)*(1+'Read Me'!$B$12),-1)</f>
        <v/>
      </c>
      <c r="W1983" s="10">
        <f>V1983*N1983*O1983</f>
        <v/>
      </c>
      <c r="X1983" s="9">
        <f>IF(LEFT(I1983,2)="MV",2*N1983*IF(L1983="1/C",O1983,1),0)</f>
        <v/>
      </c>
      <c r="Y1983" s="9">
        <f>IF(OR(LEFT(K1983,4)="LVAX",LEFT(K1983,6)="MV15AX",LEFT(K1983,4)="CTAX",LEFT(K1983,2)="W|"),2*N1983*O1983,0)</f>
        <v/>
      </c>
      <c r="Z1983" s="9" t="inlineStr"/>
    </row>
    <row r="1984">
      <c r="A1984" s="9" t="inlineStr">
        <is>
          <t>I-C-0101</t>
        </is>
      </c>
      <c r="B1984" s="9" t="inlineStr">
        <is>
          <t>I</t>
        </is>
      </c>
      <c r="C1984" s="9" t="inlineStr">
        <is>
          <t>Modular / portable power</t>
        </is>
      </c>
      <c r="D1984" s="9" t="inlineStr">
        <is>
          <t>Control</t>
        </is>
      </c>
      <c r="E1984" s="9" t="inlineStr"/>
      <c r="F1984" s="9" t="inlineStr">
        <is>
          <t>PCM: power control module</t>
        </is>
      </c>
      <c r="G1984" s="9" t="inlineStr"/>
      <c r="H1984" s="9" t="inlineStr">
        <is>
          <t>PCM: power control module</t>
        </is>
      </c>
      <c r="I1984" s="9" t="inlineStr">
        <is>
          <t>Control</t>
        </is>
      </c>
      <c r="J1984" s="9" t="inlineStr">
        <is>
          <t>Control cable 600 V Type TC-ER, Cu #14 AWG, PVC jacket</t>
        </is>
      </c>
      <c r="K1984" s="9" t="inlineStr">
        <is>
          <t>CT|7/C|14</t>
        </is>
      </c>
      <c r="L1984" s="9" t="inlineStr">
        <is>
          <t>7/C</t>
        </is>
      </c>
      <c r="M1984" s="9" t="inlineStr">
        <is>
          <t>14</t>
        </is>
      </c>
      <c r="N1984" s="9" t="n">
        <v>1</v>
      </c>
      <c r="O1984" s="9" t="n">
        <v>1</v>
      </c>
      <c r="P1984" s="9" t="n"/>
      <c r="Q1984" s="9" t="n"/>
      <c r="R1984" s="9" t="n"/>
      <c r="S1984" s="9" t="inlineStr">
        <is>
          <t>Tray</t>
        </is>
      </c>
      <c r="T1984" s="10" t="n">
        <v>0</v>
      </c>
      <c r="U1984" s="10" t="n">
        <v>32</v>
      </c>
      <c r="V1984" s="10">
        <f>ROUNDUP((T1984+U1984+2*'Read Me'!$B$13)*(1+'Read Me'!$B$12),-1)</f>
        <v/>
      </c>
      <c r="W1984" s="10">
        <f>V1984*N1984*O1984</f>
        <v/>
      </c>
      <c r="X1984" s="9">
        <f>IF(LEFT(I1984,2)="MV",2*N1984*IF(L1984="1/C",O1984,1),0)</f>
        <v/>
      </c>
      <c r="Y1984" s="9">
        <f>IF(OR(LEFT(K1984,4)="LVAX",LEFT(K1984,6)="MV15AX",LEFT(K1984,4)="CTAX",LEFT(K1984,2)="W|"),2*N1984*O1984,0)</f>
        <v/>
      </c>
      <c r="Z1984" s="9" t="inlineStr"/>
    </row>
    <row r="1985">
      <c r="A1985" s="9" t="inlineStr">
        <is>
          <t>I-C-0102</t>
        </is>
      </c>
      <c r="B1985" s="9" t="inlineStr">
        <is>
          <t>I</t>
        </is>
      </c>
      <c r="C1985" s="9" t="inlineStr">
        <is>
          <t>Modular / portable power</t>
        </is>
      </c>
      <c r="D1985" s="9" t="inlineStr">
        <is>
          <t>Control</t>
        </is>
      </c>
      <c r="E1985" s="9" t="inlineStr"/>
      <c r="F1985" s="9" t="inlineStr">
        <is>
          <t>PCM: power control module</t>
        </is>
      </c>
      <c r="G1985" s="9" t="inlineStr"/>
      <c r="H1985" s="9" t="inlineStr">
        <is>
          <t>RICE CEMS</t>
        </is>
      </c>
      <c r="I1985" s="9" t="inlineStr">
        <is>
          <t>Control</t>
        </is>
      </c>
      <c r="J1985" s="9" t="inlineStr">
        <is>
          <t>Control cable 600 V Type TC-ER, Cu #14 AWG, PVC jacket</t>
        </is>
      </c>
      <c r="K1985" s="9" t="inlineStr">
        <is>
          <t>CT|7/C|14</t>
        </is>
      </c>
      <c r="L1985" s="9" t="inlineStr">
        <is>
          <t>7/C</t>
        </is>
      </c>
      <c r="M1985" s="9" t="inlineStr">
        <is>
          <t>14</t>
        </is>
      </c>
      <c r="N1985" s="9" t="n">
        <v>1</v>
      </c>
      <c r="O1985" s="9" t="n">
        <v>1</v>
      </c>
      <c r="P1985" s="9" t="n"/>
      <c r="Q1985" s="9" t="n"/>
      <c r="R1985" s="9" t="n"/>
      <c r="S1985" s="9" t="inlineStr">
        <is>
          <t>Duct bank</t>
        </is>
      </c>
      <c r="T1985" s="10" t="n">
        <v>260</v>
      </c>
      <c r="U1985" s="10" t="n">
        <v>131</v>
      </c>
      <c r="V1985" s="10">
        <f>ROUNDUP((T1985+U1985+2*'Read Me'!$B$13)*(1+'Read Me'!$B$12),-1)</f>
        <v/>
      </c>
      <c r="W1985" s="10">
        <f>V1985*N1985*O1985</f>
        <v/>
      </c>
      <c r="X1985" s="9">
        <f>IF(LEFT(I1985,2)="MV",2*N1985*IF(L1985="1/C",O1985,1),0)</f>
        <v/>
      </c>
      <c r="Y1985" s="9">
        <f>IF(OR(LEFT(K1985,4)="LVAX",LEFT(K1985,6)="MV15AX",LEFT(K1985,4)="CTAX",LEFT(K1985,2)="W|"),2*N1985*O1985,0)</f>
        <v/>
      </c>
      <c r="Z1985" s="9" t="inlineStr"/>
    </row>
    <row r="1986">
      <c r="A1986" s="9" t="inlineStr">
        <is>
          <t>I-C-0103</t>
        </is>
      </c>
      <c r="B1986" s="9" t="inlineStr">
        <is>
          <t>I</t>
        </is>
      </c>
      <c r="C1986" s="9" t="inlineStr">
        <is>
          <t>Modular / portable power</t>
        </is>
      </c>
      <c r="D1986" s="9" t="inlineStr">
        <is>
          <t>Control</t>
        </is>
      </c>
      <c r="E1986" s="9" t="inlineStr"/>
      <c r="F1986" s="9" t="inlineStr">
        <is>
          <t>PCM: power control module</t>
        </is>
      </c>
      <c r="G1986" s="9" t="inlineStr">
        <is>
          <t>RICE</t>
        </is>
      </c>
      <c r="H1986" s="9" t="inlineStr">
        <is>
          <t>RICE engine hall (8 engines)</t>
        </is>
      </c>
      <c r="I1986" s="9" t="inlineStr">
        <is>
          <t>Control</t>
        </is>
      </c>
      <c r="J1986" s="9" t="inlineStr">
        <is>
          <t>Control cable 600 V Type TC-ER, Cu #14 AWG, PVC jacket</t>
        </is>
      </c>
      <c r="K1986" s="9" t="inlineStr">
        <is>
          <t>CT|7/C|14</t>
        </is>
      </c>
      <c r="L1986" s="9" t="inlineStr">
        <is>
          <t>7/C</t>
        </is>
      </c>
      <c r="M1986" s="9" t="inlineStr">
        <is>
          <t>14</t>
        </is>
      </c>
      <c r="N1986" s="9" t="n">
        <v>1</v>
      </c>
      <c r="O1986" s="9" t="n">
        <v>1</v>
      </c>
      <c r="P1986" s="9" t="n"/>
      <c r="Q1986" s="9" t="n"/>
      <c r="R1986" s="9" t="n"/>
      <c r="S1986" s="9" t="inlineStr">
        <is>
          <t>Duct bank</t>
        </is>
      </c>
      <c r="T1986" s="10" t="n">
        <v>367</v>
      </c>
      <c r="U1986" s="10" t="n">
        <v>95</v>
      </c>
      <c r="V1986" s="10">
        <f>ROUNDUP((T1986+U1986+2*'Read Me'!$B$13)*(1+'Read Me'!$B$12),-1)</f>
        <v/>
      </c>
      <c r="W1986" s="10">
        <f>V1986*N1986*O1986</f>
        <v/>
      </c>
      <c r="X1986" s="9">
        <f>IF(LEFT(I1986,2)="MV",2*N1986*IF(L1986="1/C",O1986,1),0)</f>
        <v/>
      </c>
      <c r="Y1986" s="9">
        <f>IF(OR(LEFT(K1986,4)="LVAX",LEFT(K1986,6)="MV15AX",LEFT(K1986,4)="CTAX",LEFT(K1986,2)="W|"),2*N1986*O1986,0)</f>
        <v/>
      </c>
      <c r="Z1986" s="9" t="inlineStr"/>
    </row>
    <row r="1987">
      <c r="A1987" s="9" t="inlineStr">
        <is>
          <t>I-C-0104</t>
        </is>
      </c>
      <c r="B1987" s="9" t="inlineStr">
        <is>
          <t>I</t>
        </is>
      </c>
      <c r="C1987" s="9" t="inlineStr">
        <is>
          <t>Modular / portable power</t>
        </is>
      </c>
      <c r="D1987" s="9" t="inlineStr">
        <is>
          <t>Control</t>
        </is>
      </c>
      <c r="E1987" s="9" t="inlineStr"/>
      <c r="F1987" s="9" t="inlineStr">
        <is>
          <t>PCM: power control module</t>
        </is>
      </c>
      <c r="G1987" s="9" t="inlineStr">
        <is>
          <t>RICE</t>
        </is>
      </c>
      <c r="H1987" s="9" t="inlineStr">
        <is>
          <t>RICE engine hall (8 engines)</t>
        </is>
      </c>
      <c r="I1987" s="9" t="inlineStr">
        <is>
          <t>Control</t>
        </is>
      </c>
      <c r="J1987" s="9" t="inlineStr">
        <is>
          <t>Control cable 600 V Type TC-ER, Cu #14 AWG, PVC jacket</t>
        </is>
      </c>
      <c r="K1987" s="9" t="inlineStr">
        <is>
          <t>CT|7/C|14</t>
        </is>
      </c>
      <c r="L1987" s="9" t="inlineStr">
        <is>
          <t>7/C</t>
        </is>
      </c>
      <c r="M1987" s="9" t="inlineStr">
        <is>
          <t>14</t>
        </is>
      </c>
      <c r="N1987" s="9" t="n">
        <v>1</v>
      </c>
      <c r="O1987" s="9" t="n">
        <v>1</v>
      </c>
      <c r="P1987" s="9" t="n"/>
      <c r="Q1987" s="9" t="n"/>
      <c r="R1987" s="9" t="n"/>
      <c r="S1987" s="9" t="inlineStr">
        <is>
          <t>Duct bank</t>
        </is>
      </c>
      <c r="T1987" s="10" t="n">
        <v>367</v>
      </c>
      <c r="U1987" s="10" t="n">
        <v>95</v>
      </c>
      <c r="V1987" s="10">
        <f>ROUNDUP((T1987+U1987+2*'Read Me'!$B$13)*(1+'Read Me'!$B$12),-1)</f>
        <v/>
      </c>
      <c r="W1987" s="10">
        <f>V1987*N1987*O1987</f>
        <v/>
      </c>
      <c r="X1987" s="9">
        <f>IF(LEFT(I1987,2)="MV",2*N1987*IF(L1987="1/C",O1987,1),0)</f>
        <v/>
      </c>
      <c r="Y1987" s="9">
        <f>IF(OR(LEFT(K1987,4)="LVAX",LEFT(K1987,6)="MV15AX",LEFT(K1987,4)="CTAX",LEFT(K1987,2)="W|"),2*N1987*O1987,0)</f>
        <v/>
      </c>
      <c r="Z1987" s="9" t="inlineStr"/>
    </row>
    <row r="1988">
      <c r="A1988" s="9" t="inlineStr">
        <is>
          <t>I-C-0105</t>
        </is>
      </c>
      <c r="B1988" s="9" t="inlineStr">
        <is>
          <t>I</t>
        </is>
      </c>
      <c r="C1988" s="9" t="inlineStr">
        <is>
          <t>Modular / portable power</t>
        </is>
      </c>
      <c r="D1988" s="9" t="inlineStr">
        <is>
          <t>Control</t>
        </is>
      </c>
      <c r="E1988" s="9" t="inlineStr"/>
      <c r="F1988" s="9" t="inlineStr">
        <is>
          <t>PCM: power control module</t>
        </is>
      </c>
      <c r="G1988" s="9" t="inlineStr">
        <is>
          <t>RICE</t>
        </is>
      </c>
      <c r="H1988" s="9" t="inlineStr">
        <is>
          <t>RICE engine hall (8 engines)</t>
        </is>
      </c>
      <c r="I1988" s="9" t="inlineStr">
        <is>
          <t>Control</t>
        </is>
      </c>
      <c r="J1988" s="9" t="inlineStr">
        <is>
          <t>Control cable 600 V Type TC-ER, Cu #14 AWG, PVC jacket</t>
        </is>
      </c>
      <c r="K1988" s="9" t="inlineStr">
        <is>
          <t>CT|12/C|14</t>
        </is>
      </c>
      <c r="L1988" s="9" t="inlineStr">
        <is>
          <t>12/C</t>
        </is>
      </c>
      <c r="M1988" s="9" t="inlineStr">
        <is>
          <t>14</t>
        </is>
      </c>
      <c r="N1988" s="9" t="n">
        <v>1</v>
      </c>
      <c r="O1988" s="9" t="n">
        <v>1</v>
      </c>
      <c r="P1988" s="9" t="n"/>
      <c r="Q1988" s="9" t="n"/>
      <c r="R1988" s="9" t="n"/>
      <c r="S1988" s="9" t="inlineStr">
        <is>
          <t>Duct bank</t>
        </is>
      </c>
      <c r="T1988" s="10" t="n">
        <v>367</v>
      </c>
      <c r="U1988" s="10" t="n">
        <v>95</v>
      </c>
      <c r="V1988" s="10">
        <f>ROUNDUP((T1988+U1988+2*'Read Me'!$B$13)*(1+'Read Me'!$B$12),-1)</f>
        <v/>
      </c>
      <c r="W1988" s="10">
        <f>V1988*N1988*O1988</f>
        <v/>
      </c>
      <c r="X1988" s="9">
        <f>IF(LEFT(I1988,2)="MV",2*N1988*IF(L1988="1/C",O1988,1),0)</f>
        <v/>
      </c>
      <c r="Y1988" s="9">
        <f>IF(OR(LEFT(K1988,4)="LVAX",LEFT(K1988,6)="MV15AX",LEFT(K1988,4)="CTAX",LEFT(K1988,2)="W|"),2*N1988*O1988,0)</f>
        <v/>
      </c>
      <c r="Z1988" s="9" t="inlineStr"/>
    </row>
    <row r="1989">
      <c r="A1989" s="9" t="inlineStr">
        <is>
          <t>I-C-0106</t>
        </is>
      </c>
      <c r="B1989" s="9" t="inlineStr">
        <is>
          <t>I</t>
        </is>
      </c>
      <c r="C1989" s="9" t="inlineStr">
        <is>
          <t>Modular / portable power</t>
        </is>
      </c>
      <c r="D1989" s="9" t="inlineStr">
        <is>
          <t>Control</t>
        </is>
      </c>
      <c r="E1989" s="9" t="inlineStr"/>
      <c r="F1989" s="9" t="inlineStr">
        <is>
          <t>PCM: power control module</t>
        </is>
      </c>
      <c r="G1989" s="9" t="inlineStr">
        <is>
          <t>RICE</t>
        </is>
      </c>
      <c r="H1989" s="9" t="inlineStr">
        <is>
          <t>RICE engine hall (8 engines)</t>
        </is>
      </c>
      <c r="I1989" s="9" t="inlineStr">
        <is>
          <t>Control</t>
        </is>
      </c>
      <c r="J1989" s="9" t="inlineStr">
        <is>
          <t>Control cable 600 V Type TC-ER, Cu #14 AWG, PVC jacket</t>
        </is>
      </c>
      <c r="K1989" s="9" t="inlineStr">
        <is>
          <t>CT|12/C|14</t>
        </is>
      </c>
      <c r="L1989" s="9" t="inlineStr">
        <is>
          <t>12/C</t>
        </is>
      </c>
      <c r="M1989" s="9" t="inlineStr">
        <is>
          <t>14</t>
        </is>
      </c>
      <c r="N1989" s="9" t="n">
        <v>1</v>
      </c>
      <c r="O1989" s="9" t="n">
        <v>1</v>
      </c>
      <c r="P1989" s="9" t="n"/>
      <c r="Q1989" s="9" t="n"/>
      <c r="R1989" s="9" t="n"/>
      <c r="S1989" s="9" t="inlineStr">
        <is>
          <t>Duct bank</t>
        </is>
      </c>
      <c r="T1989" s="10" t="n">
        <v>367</v>
      </c>
      <c r="U1989" s="10" t="n">
        <v>95</v>
      </c>
      <c r="V1989" s="10">
        <f>ROUNDUP((T1989+U1989+2*'Read Me'!$B$13)*(1+'Read Me'!$B$12),-1)</f>
        <v/>
      </c>
      <c r="W1989" s="10">
        <f>V1989*N1989*O1989</f>
        <v/>
      </c>
      <c r="X1989" s="9">
        <f>IF(LEFT(I1989,2)="MV",2*N1989*IF(L1989="1/C",O1989,1),0)</f>
        <v/>
      </c>
      <c r="Y1989" s="9">
        <f>IF(OR(LEFT(K1989,4)="LVAX",LEFT(K1989,6)="MV15AX",LEFT(K1989,4)="CTAX",LEFT(K1989,2)="W|"),2*N1989*O1989,0)</f>
        <v/>
      </c>
      <c r="Z1989" s="9" t="inlineStr"/>
    </row>
    <row r="1990">
      <c r="A1990" s="9" t="inlineStr">
        <is>
          <t>I-C-0107</t>
        </is>
      </c>
      <c r="B1990" s="9" t="inlineStr">
        <is>
          <t>I</t>
        </is>
      </c>
      <c r="C1990" s="9" t="inlineStr">
        <is>
          <t>Modular / portable power</t>
        </is>
      </c>
      <c r="D1990" s="9" t="inlineStr">
        <is>
          <t>Control</t>
        </is>
      </c>
      <c r="E1990" s="9" t="inlineStr"/>
      <c r="F1990" s="9" t="inlineStr">
        <is>
          <t>PCM: power control module</t>
        </is>
      </c>
      <c r="G1990" s="9" t="inlineStr">
        <is>
          <t>RICE</t>
        </is>
      </c>
      <c r="H1990" s="9" t="inlineStr">
        <is>
          <t>RICE engine hall (8 engines)</t>
        </is>
      </c>
      <c r="I1990" s="9" t="inlineStr">
        <is>
          <t>Control</t>
        </is>
      </c>
      <c r="J1990" s="9" t="inlineStr">
        <is>
          <t>Control cable 600 V Type TC-ER, Cu #14 AWG, PVC jacket</t>
        </is>
      </c>
      <c r="K1990" s="9" t="inlineStr">
        <is>
          <t>CT|12/C|14</t>
        </is>
      </c>
      <c r="L1990" s="9" t="inlineStr">
        <is>
          <t>12/C</t>
        </is>
      </c>
      <c r="M1990" s="9" t="inlineStr">
        <is>
          <t>14</t>
        </is>
      </c>
      <c r="N1990" s="9" t="n">
        <v>1</v>
      </c>
      <c r="O1990" s="9" t="n">
        <v>1</v>
      </c>
      <c r="P1990" s="9" t="n"/>
      <c r="Q1990" s="9" t="n"/>
      <c r="R1990" s="9" t="n"/>
      <c r="S1990" s="9" t="inlineStr">
        <is>
          <t>Duct bank</t>
        </is>
      </c>
      <c r="T1990" s="10" t="n">
        <v>367</v>
      </c>
      <c r="U1990" s="10" t="n">
        <v>95</v>
      </c>
      <c r="V1990" s="10">
        <f>ROUNDUP((T1990+U1990+2*'Read Me'!$B$13)*(1+'Read Me'!$B$12),-1)</f>
        <v/>
      </c>
      <c r="W1990" s="10">
        <f>V1990*N1990*O1990</f>
        <v/>
      </c>
      <c r="X1990" s="9">
        <f>IF(LEFT(I1990,2)="MV",2*N1990*IF(L1990="1/C",O1990,1),0)</f>
        <v/>
      </c>
      <c r="Y1990" s="9">
        <f>IF(OR(LEFT(K1990,4)="LVAX",LEFT(K1990,6)="MV15AX",LEFT(K1990,4)="CTAX",LEFT(K1990,2)="W|"),2*N1990*O1990,0)</f>
        <v/>
      </c>
      <c r="Z1990" s="9" t="inlineStr"/>
    </row>
    <row r="1991">
      <c r="A1991" s="9" t="inlineStr">
        <is>
          <t>I-C-0108</t>
        </is>
      </c>
      <c r="B1991" s="9" t="inlineStr">
        <is>
          <t>I</t>
        </is>
      </c>
      <c r="C1991" s="9" t="inlineStr">
        <is>
          <t>Modular / portable power</t>
        </is>
      </c>
      <c r="D1991" s="9" t="inlineStr">
        <is>
          <t>Control</t>
        </is>
      </c>
      <c r="E1991" s="9" t="inlineStr"/>
      <c r="F1991" s="9" t="inlineStr">
        <is>
          <t>PCM: power control module</t>
        </is>
      </c>
      <c r="G1991" s="9" t="inlineStr">
        <is>
          <t>RICE</t>
        </is>
      </c>
      <c r="H1991" s="9" t="inlineStr">
        <is>
          <t>RICE engine hall (8 engines)</t>
        </is>
      </c>
      <c r="I1991" s="9" t="inlineStr">
        <is>
          <t>Control</t>
        </is>
      </c>
      <c r="J1991" s="9" t="inlineStr">
        <is>
          <t>Control cable 600 V Type TC-ER, Cu #14 AWG, PVC jacket</t>
        </is>
      </c>
      <c r="K1991" s="9" t="inlineStr">
        <is>
          <t>CT|12/C|14</t>
        </is>
      </c>
      <c r="L1991" s="9" t="inlineStr">
        <is>
          <t>12/C</t>
        </is>
      </c>
      <c r="M1991" s="9" t="inlineStr">
        <is>
          <t>14</t>
        </is>
      </c>
      <c r="N1991" s="9" t="n">
        <v>1</v>
      </c>
      <c r="O1991" s="9" t="n">
        <v>1</v>
      </c>
      <c r="P1991" s="9" t="n"/>
      <c r="Q1991" s="9" t="n"/>
      <c r="R1991" s="9" t="n"/>
      <c r="S1991" s="9" t="inlineStr">
        <is>
          <t>Duct bank</t>
        </is>
      </c>
      <c r="T1991" s="10" t="n">
        <v>367</v>
      </c>
      <c r="U1991" s="10" t="n">
        <v>95</v>
      </c>
      <c r="V1991" s="10">
        <f>ROUNDUP((T1991+U1991+2*'Read Me'!$B$13)*(1+'Read Me'!$B$12),-1)</f>
        <v/>
      </c>
      <c r="W1991" s="10">
        <f>V1991*N1991*O1991</f>
        <v/>
      </c>
      <c r="X1991" s="9">
        <f>IF(LEFT(I1991,2)="MV",2*N1991*IF(L1991="1/C",O1991,1),0)</f>
        <v/>
      </c>
      <c r="Y1991" s="9">
        <f>IF(OR(LEFT(K1991,4)="LVAX",LEFT(K1991,6)="MV15AX",LEFT(K1991,4)="CTAX",LEFT(K1991,2)="W|"),2*N1991*O1991,0)</f>
        <v/>
      </c>
      <c r="Z1991" s="9" t="inlineStr"/>
    </row>
    <row r="1992">
      <c r="A1992" s="9" t="inlineStr">
        <is>
          <t>I-C-0109</t>
        </is>
      </c>
      <c r="B1992" s="9" t="inlineStr">
        <is>
          <t>I</t>
        </is>
      </c>
      <c r="C1992" s="9" t="inlineStr">
        <is>
          <t>Modular / portable power</t>
        </is>
      </c>
      <c r="D1992" s="9" t="inlineStr">
        <is>
          <t>Control</t>
        </is>
      </c>
      <c r="E1992" s="9" t="inlineStr"/>
      <c r="F1992" s="9" t="inlineStr">
        <is>
          <t>PCM: power control module</t>
        </is>
      </c>
      <c r="G1992" s="9" t="inlineStr">
        <is>
          <t>RICE</t>
        </is>
      </c>
      <c r="H1992" s="9" t="inlineStr">
        <is>
          <t>RICE engine hall (8 engines)</t>
        </is>
      </c>
      <c r="I1992" s="9" t="inlineStr">
        <is>
          <t>Control</t>
        </is>
      </c>
      <c r="J1992" s="9" t="inlineStr">
        <is>
          <t>Control cable 600 V Type TC-ER, Cu #14 AWG, PVC jacket</t>
        </is>
      </c>
      <c r="K1992" s="9" t="inlineStr">
        <is>
          <t>CT|12/C|14</t>
        </is>
      </c>
      <c r="L1992" s="9" t="inlineStr">
        <is>
          <t>12/C</t>
        </is>
      </c>
      <c r="M1992" s="9" t="inlineStr">
        <is>
          <t>14</t>
        </is>
      </c>
      <c r="N1992" s="9" t="n">
        <v>1</v>
      </c>
      <c r="O1992" s="9" t="n">
        <v>1</v>
      </c>
      <c r="P1992" s="9" t="n"/>
      <c r="Q1992" s="9" t="n"/>
      <c r="R1992" s="9" t="n"/>
      <c r="S1992" s="9" t="inlineStr">
        <is>
          <t>Duct bank</t>
        </is>
      </c>
      <c r="T1992" s="10" t="n">
        <v>367</v>
      </c>
      <c r="U1992" s="10" t="n">
        <v>95</v>
      </c>
      <c r="V1992" s="10">
        <f>ROUNDUP((T1992+U1992+2*'Read Me'!$B$13)*(1+'Read Me'!$B$12),-1)</f>
        <v/>
      </c>
      <c r="W1992" s="10">
        <f>V1992*N1992*O1992</f>
        <v/>
      </c>
      <c r="X1992" s="9">
        <f>IF(LEFT(I1992,2)="MV",2*N1992*IF(L1992="1/C",O1992,1),0)</f>
        <v/>
      </c>
      <c r="Y1992" s="9">
        <f>IF(OR(LEFT(K1992,4)="LVAX",LEFT(K1992,6)="MV15AX",LEFT(K1992,4)="CTAX",LEFT(K1992,2)="W|"),2*N1992*O1992,0)</f>
        <v/>
      </c>
      <c r="Z1992" s="9" t="inlineStr"/>
    </row>
    <row r="1993">
      <c r="A1993" s="9" t="inlineStr">
        <is>
          <t>I-C-0110</t>
        </is>
      </c>
      <c r="B1993" s="9" t="inlineStr">
        <is>
          <t>I</t>
        </is>
      </c>
      <c r="C1993" s="9" t="inlineStr">
        <is>
          <t>Modular / portable power</t>
        </is>
      </c>
      <c r="D1993" s="9" t="inlineStr">
        <is>
          <t>Control</t>
        </is>
      </c>
      <c r="E1993" s="9" t="inlineStr"/>
      <c r="F1993" s="9" t="inlineStr">
        <is>
          <t>PCM: power control module</t>
        </is>
      </c>
      <c r="G1993" s="9" t="inlineStr">
        <is>
          <t>RICE</t>
        </is>
      </c>
      <c r="H1993" s="9" t="inlineStr">
        <is>
          <t>RICE engine hall (8 engines)</t>
        </is>
      </c>
      <c r="I1993" s="9" t="inlineStr">
        <is>
          <t>Control</t>
        </is>
      </c>
      <c r="J1993" s="9" t="inlineStr">
        <is>
          <t>Control cable 600 V Type TC-ER, Cu #14 AWG, PVC jacket</t>
        </is>
      </c>
      <c r="K1993" s="9" t="inlineStr">
        <is>
          <t>CT|12/C|14</t>
        </is>
      </c>
      <c r="L1993" s="9" t="inlineStr">
        <is>
          <t>12/C</t>
        </is>
      </c>
      <c r="M1993" s="9" t="inlineStr">
        <is>
          <t>14</t>
        </is>
      </c>
      <c r="N1993" s="9" t="n">
        <v>1</v>
      </c>
      <c r="O1993" s="9" t="n">
        <v>1</v>
      </c>
      <c r="P1993" s="9" t="n"/>
      <c r="Q1993" s="9" t="n"/>
      <c r="R1993" s="9" t="n"/>
      <c r="S1993" s="9" t="inlineStr">
        <is>
          <t>Duct bank</t>
        </is>
      </c>
      <c r="T1993" s="10" t="n">
        <v>367</v>
      </c>
      <c r="U1993" s="10" t="n">
        <v>95</v>
      </c>
      <c r="V1993" s="10">
        <f>ROUNDUP((T1993+U1993+2*'Read Me'!$B$13)*(1+'Read Me'!$B$12),-1)</f>
        <v/>
      </c>
      <c r="W1993" s="10">
        <f>V1993*N1993*O1993</f>
        <v/>
      </c>
      <c r="X1993" s="9">
        <f>IF(LEFT(I1993,2)="MV",2*N1993*IF(L1993="1/C",O1993,1),0)</f>
        <v/>
      </c>
      <c r="Y1993" s="9">
        <f>IF(OR(LEFT(K1993,4)="LVAX",LEFT(K1993,6)="MV15AX",LEFT(K1993,4)="CTAX",LEFT(K1993,2)="W|"),2*N1993*O1993,0)</f>
        <v/>
      </c>
      <c r="Z1993" s="9" t="inlineStr"/>
    </row>
    <row r="1994">
      <c r="A1994" s="9" t="inlineStr">
        <is>
          <t>I-C-0111</t>
        </is>
      </c>
      <c r="B1994" s="9" t="inlineStr">
        <is>
          <t>I</t>
        </is>
      </c>
      <c r="C1994" s="9" t="inlineStr">
        <is>
          <t>Modular / portable power</t>
        </is>
      </c>
      <c r="D1994" s="9" t="inlineStr">
        <is>
          <t>Control</t>
        </is>
      </c>
      <c r="E1994" s="9" t="inlineStr"/>
      <c r="F1994" s="9" t="inlineStr">
        <is>
          <t>PCM: power control module</t>
        </is>
      </c>
      <c r="G1994" s="9" t="inlineStr"/>
      <c r="H1994" s="9" t="inlineStr">
        <is>
          <t>Reagent storage</t>
        </is>
      </c>
      <c r="I1994" s="9" t="inlineStr">
        <is>
          <t>Control</t>
        </is>
      </c>
      <c r="J1994" s="9" t="inlineStr">
        <is>
          <t>Control cable 600 V Type TC-ER, Cu #14 AWG, PVC jacket</t>
        </is>
      </c>
      <c r="K1994" s="9" t="inlineStr">
        <is>
          <t>CT|7/C|14</t>
        </is>
      </c>
      <c r="L1994" s="9" t="inlineStr">
        <is>
          <t>7/C</t>
        </is>
      </c>
      <c r="M1994" s="9" t="inlineStr">
        <is>
          <t>14</t>
        </is>
      </c>
      <c r="N1994" s="9" t="n">
        <v>1</v>
      </c>
      <c r="O1994" s="9" t="n">
        <v>1</v>
      </c>
      <c r="P1994" s="9" t="n"/>
      <c r="Q1994" s="9" t="n"/>
      <c r="R1994" s="9" t="n"/>
      <c r="S1994" s="9" t="inlineStr">
        <is>
          <t>Tray</t>
        </is>
      </c>
      <c r="T1994" s="10" t="n">
        <v>32</v>
      </c>
      <c r="U1994" s="10" t="n">
        <v>32</v>
      </c>
      <c r="V1994" s="10">
        <f>ROUNDUP((T1994+U1994+2*'Read Me'!$B$13)*(1+'Read Me'!$B$12),-1)</f>
        <v/>
      </c>
      <c r="W1994" s="10">
        <f>V1994*N1994*O1994</f>
        <v/>
      </c>
      <c r="X1994" s="9">
        <f>IF(LEFT(I1994,2)="MV",2*N1994*IF(L1994="1/C",O1994,1),0)</f>
        <v/>
      </c>
      <c r="Y1994" s="9">
        <f>IF(OR(LEFT(K1994,4)="LVAX",LEFT(K1994,6)="MV15AX",LEFT(K1994,4)="CTAX",LEFT(K1994,2)="W|"),2*N1994*O1994,0)</f>
        <v/>
      </c>
      <c r="Z1994" s="9" t="inlineStr"/>
    </row>
    <row r="1995">
      <c r="A1995" s="9" t="inlineStr">
        <is>
          <t>I-C-0112</t>
        </is>
      </c>
      <c r="B1995" s="9" t="inlineStr">
        <is>
          <t>I</t>
        </is>
      </c>
      <c r="C1995" s="9" t="inlineStr">
        <is>
          <t>Modular / portable power</t>
        </is>
      </c>
      <c r="D1995" s="9" t="inlineStr">
        <is>
          <t>Control</t>
        </is>
      </c>
      <c r="E1995" s="9" t="inlineStr"/>
      <c r="F1995" s="9" t="inlineStr">
        <is>
          <t>PCM: power control module</t>
        </is>
      </c>
      <c r="G1995" s="9" t="inlineStr">
        <is>
          <t>SC-1</t>
        </is>
      </c>
      <c r="H1995" s="9" t="inlineStr">
        <is>
          <t>SC-1: aeroderivative simple-cycle unit (LM6000 class)</t>
        </is>
      </c>
      <c r="I1995" s="9" t="inlineStr">
        <is>
          <t>Control</t>
        </is>
      </c>
      <c r="J1995" s="9" t="inlineStr">
        <is>
          <t>Control cable 600 V Type TC-ER, Cu #14 AWG, PVC jacket</t>
        </is>
      </c>
      <c r="K1995" s="9" t="inlineStr">
        <is>
          <t>CT|7/C|14</t>
        </is>
      </c>
      <c r="L1995" s="9" t="inlineStr">
        <is>
          <t>7/C</t>
        </is>
      </c>
      <c r="M1995" s="9" t="inlineStr">
        <is>
          <t>14</t>
        </is>
      </c>
      <c r="N1995" s="9" t="n">
        <v>1</v>
      </c>
      <c r="O1995" s="9" t="n">
        <v>1</v>
      </c>
      <c r="P1995" s="9" t="n"/>
      <c r="Q1995" s="9" t="n"/>
      <c r="R1995" s="9" t="n"/>
      <c r="S1995" s="9" t="inlineStr">
        <is>
          <t>Duct bank</t>
        </is>
      </c>
      <c r="T1995" s="10" t="n">
        <v>40</v>
      </c>
      <c r="U1995" s="10" t="n">
        <v>52</v>
      </c>
      <c r="V1995" s="10">
        <f>ROUNDUP((T1995+U1995+2*'Read Me'!$B$13)*(1+'Read Me'!$B$12),-1)</f>
        <v/>
      </c>
      <c r="W1995" s="10">
        <f>V1995*N1995*O1995</f>
        <v/>
      </c>
      <c r="X1995" s="9">
        <f>IF(LEFT(I1995,2)="MV",2*N1995*IF(L1995="1/C",O1995,1),0)</f>
        <v/>
      </c>
      <c r="Y1995" s="9">
        <f>IF(OR(LEFT(K1995,4)="LVAX",LEFT(K1995,6)="MV15AX",LEFT(K1995,4)="CTAX",LEFT(K1995,2)="W|"),2*N1995*O1995,0)</f>
        <v/>
      </c>
      <c r="Z1995" s="9" t="inlineStr"/>
    </row>
    <row r="1996">
      <c r="A1996" s="9" t="inlineStr">
        <is>
          <t>I-C-0113</t>
        </is>
      </c>
      <c r="B1996" s="9" t="inlineStr">
        <is>
          <t>I</t>
        </is>
      </c>
      <c r="C1996" s="9" t="inlineStr">
        <is>
          <t>Modular / portable power</t>
        </is>
      </c>
      <c r="D1996" s="9" t="inlineStr">
        <is>
          <t>Control</t>
        </is>
      </c>
      <c r="E1996" s="9" t="inlineStr"/>
      <c r="F1996" s="9" t="inlineStr">
        <is>
          <t>PCM: power control module</t>
        </is>
      </c>
      <c r="G1996" s="9" t="inlineStr">
        <is>
          <t>SC-1</t>
        </is>
      </c>
      <c r="H1996" s="9" t="inlineStr">
        <is>
          <t>SC-1: aeroderivative simple-cycle unit (LM6000 class)</t>
        </is>
      </c>
      <c r="I1996" s="9" t="inlineStr">
        <is>
          <t>Control</t>
        </is>
      </c>
      <c r="J1996" s="9" t="inlineStr">
        <is>
          <t>Control cable 600 V Type TC-ER, Cu #14 AWG, PVC jacket</t>
        </is>
      </c>
      <c r="K1996" s="9" t="inlineStr">
        <is>
          <t>CT|7/C|14</t>
        </is>
      </c>
      <c r="L1996" s="9" t="inlineStr">
        <is>
          <t>7/C</t>
        </is>
      </c>
      <c r="M1996" s="9" t="inlineStr">
        <is>
          <t>14</t>
        </is>
      </c>
      <c r="N1996" s="9" t="n">
        <v>1</v>
      </c>
      <c r="O1996" s="9" t="n">
        <v>1</v>
      </c>
      <c r="P1996" s="9" t="n"/>
      <c r="Q1996" s="9" t="n"/>
      <c r="R1996" s="9" t="n"/>
      <c r="S1996" s="9" t="inlineStr">
        <is>
          <t>Duct bank</t>
        </is>
      </c>
      <c r="T1996" s="10" t="n">
        <v>40</v>
      </c>
      <c r="U1996" s="10" t="n">
        <v>52</v>
      </c>
      <c r="V1996" s="10">
        <f>ROUNDUP((T1996+U1996+2*'Read Me'!$B$13)*(1+'Read Me'!$B$12),-1)</f>
        <v/>
      </c>
      <c r="W1996" s="10">
        <f>V1996*N1996*O1996</f>
        <v/>
      </c>
      <c r="X1996" s="9">
        <f>IF(LEFT(I1996,2)="MV",2*N1996*IF(L1996="1/C",O1996,1),0)</f>
        <v/>
      </c>
      <c r="Y1996" s="9">
        <f>IF(OR(LEFT(K1996,4)="LVAX",LEFT(K1996,6)="MV15AX",LEFT(K1996,4)="CTAX",LEFT(K1996,2)="W|"),2*N1996*O1996,0)</f>
        <v/>
      </c>
      <c r="Z1996" s="9" t="inlineStr"/>
    </row>
    <row r="1997">
      <c r="A1997" s="9" t="inlineStr">
        <is>
          <t>I-C-0114</t>
        </is>
      </c>
      <c r="B1997" s="9" t="inlineStr">
        <is>
          <t>I</t>
        </is>
      </c>
      <c r="C1997" s="9" t="inlineStr">
        <is>
          <t>Modular / portable power</t>
        </is>
      </c>
      <c r="D1997" s="9" t="inlineStr">
        <is>
          <t>Control</t>
        </is>
      </c>
      <c r="E1997" s="9" t="inlineStr"/>
      <c r="F1997" s="9" t="inlineStr">
        <is>
          <t>PCM: power control module</t>
        </is>
      </c>
      <c r="G1997" s="9" t="inlineStr">
        <is>
          <t>SC-1</t>
        </is>
      </c>
      <c r="H1997" s="9" t="inlineStr">
        <is>
          <t>SC-1: aeroderivative simple-cycle unit (LM6000 class)</t>
        </is>
      </c>
      <c r="I1997" s="9" t="inlineStr">
        <is>
          <t>Control</t>
        </is>
      </c>
      <c r="J1997" s="9" t="inlineStr">
        <is>
          <t>Control cable 600 V Type TC-ER, Cu #14 AWG, PVC jacket</t>
        </is>
      </c>
      <c r="K1997" s="9" t="inlineStr">
        <is>
          <t>CT|12/C|14</t>
        </is>
      </c>
      <c r="L1997" s="9" t="inlineStr">
        <is>
          <t>12/C</t>
        </is>
      </c>
      <c r="M1997" s="9" t="inlineStr">
        <is>
          <t>14</t>
        </is>
      </c>
      <c r="N1997" s="9" t="n">
        <v>1</v>
      </c>
      <c r="O1997" s="9" t="n">
        <v>1</v>
      </c>
      <c r="P1997" s="9" t="n"/>
      <c r="Q1997" s="9" t="n"/>
      <c r="R1997" s="9" t="n"/>
      <c r="S1997" s="9" t="inlineStr">
        <is>
          <t>Duct bank</t>
        </is>
      </c>
      <c r="T1997" s="10" t="n">
        <v>40</v>
      </c>
      <c r="U1997" s="10" t="n">
        <v>52</v>
      </c>
      <c r="V1997" s="10">
        <f>ROUNDUP((T1997+U1997+2*'Read Me'!$B$13)*(1+'Read Me'!$B$12),-1)</f>
        <v/>
      </c>
      <c r="W1997" s="10">
        <f>V1997*N1997*O1997</f>
        <v/>
      </c>
      <c r="X1997" s="9">
        <f>IF(LEFT(I1997,2)="MV",2*N1997*IF(L1997="1/C",O1997,1),0)</f>
        <v/>
      </c>
      <c r="Y1997" s="9">
        <f>IF(OR(LEFT(K1997,4)="LVAX",LEFT(K1997,6)="MV15AX",LEFT(K1997,4)="CTAX",LEFT(K1997,2)="W|"),2*N1997*O1997,0)</f>
        <v/>
      </c>
      <c r="Z1997" s="9" t="inlineStr"/>
    </row>
    <row r="1998">
      <c r="A1998" s="9" t="inlineStr">
        <is>
          <t>I-C-0115</t>
        </is>
      </c>
      <c r="B1998" s="9" t="inlineStr">
        <is>
          <t>I</t>
        </is>
      </c>
      <c r="C1998" s="9" t="inlineStr">
        <is>
          <t>Modular / portable power</t>
        </is>
      </c>
      <c r="D1998" s="9" t="inlineStr">
        <is>
          <t>Control</t>
        </is>
      </c>
      <c r="E1998" s="9" t="inlineStr"/>
      <c r="F1998" s="9" t="inlineStr">
        <is>
          <t>PCM: power control module</t>
        </is>
      </c>
      <c r="G1998" s="9" t="inlineStr">
        <is>
          <t>SC-1</t>
        </is>
      </c>
      <c r="H1998" s="9" t="inlineStr">
        <is>
          <t>SC-1: aeroderivative simple-cycle unit (LM6000 class)</t>
        </is>
      </c>
      <c r="I1998" s="9" t="inlineStr">
        <is>
          <t>Control</t>
        </is>
      </c>
      <c r="J1998" s="9" t="inlineStr">
        <is>
          <t>Control cable 600 V Type TC-ER, Cu #14 AWG, PVC jacket</t>
        </is>
      </c>
      <c r="K1998" s="9" t="inlineStr">
        <is>
          <t>CT|12/C|14</t>
        </is>
      </c>
      <c r="L1998" s="9" t="inlineStr">
        <is>
          <t>12/C</t>
        </is>
      </c>
      <c r="M1998" s="9" t="inlineStr">
        <is>
          <t>14</t>
        </is>
      </c>
      <c r="N1998" s="9" t="n">
        <v>1</v>
      </c>
      <c r="O1998" s="9" t="n">
        <v>1</v>
      </c>
      <c r="P1998" s="9" t="n"/>
      <c r="Q1998" s="9" t="n"/>
      <c r="R1998" s="9" t="n"/>
      <c r="S1998" s="9" t="inlineStr">
        <is>
          <t>Duct bank</t>
        </is>
      </c>
      <c r="T1998" s="10" t="n">
        <v>40</v>
      </c>
      <c r="U1998" s="10" t="n">
        <v>52</v>
      </c>
      <c r="V1998" s="10">
        <f>ROUNDUP((T1998+U1998+2*'Read Me'!$B$13)*(1+'Read Me'!$B$12),-1)</f>
        <v/>
      </c>
      <c r="W1998" s="10">
        <f>V1998*N1998*O1998</f>
        <v/>
      </c>
      <c r="X1998" s="9">
        <f>IF(LEFT(I1998,2)="MV",2*N1998*IF(L1998="1/C",O1998,1),0)</f>
        <v/>
      </c>
      <c r="Y1998" s="9">
        <f>IF(OR(LEFT(K1998,4)="LVAX",LEFT(K1998,6)="MV15AX",LEFT(K1998,4)="CTAX",LEFT(K1998,2)="W|"),2*N1998*O1998,0)</f>
        <v/>
      </c>
      <c r="Z1998" s="9" t="inlineStr"/>
    </row>
    <row r="1999">
      <c r="A1999" s="9" t="inlineStr">
        <is>
          <t>I-C-0116</t>
        </is>
      </c>
      <c r="B1999" s="9" t="inlineStr">
        <is>
          <t>I</t>
        </is>
      </c>
      <c r="C1999" s="9" t="inlineStr">
        <is>
          <t>Modular / portable power</t>
        </is>
      </c>
      <c r="D1999" s="9" t="inlineStr">
        <is>
          <t>Control</t>
        </is>
      </c>
      <c r="E1999" s="9" t="inlineStr"/>
      <c r="F1999" s="9" t="inlineStr">
        <is>
          <t>PCM: power control module</t>
        </is>
      </c>
      <c r="G1999" s="9" t="inlineStr">
        <is>
          <t>SC-1</t>
        </is>
      </c>
      <c r="H1999" s="9" t="inlineStr">
        <is>
          <t>SC-1: aeroderivative simple-cycle unit (LM6000 class)</t>
        </is>
      </c>
      <c r="I1999" s="9" t="inlineStr">
        <is>
          <t>Control</t>
        </is>
      </c>
      <c r="J1999" s="9" t="inlineStr">
        <is>
          <t>Control cable 600 V Type TC-ER, Cu #14 AWG, PVC jacket</t>
        </is>
      </c>
      <c r="K1999" s="9" t="inlineStr">
        <is>
          <t>CT|12/C|14</t>
        </is>
      </c>
      <c r="L1999" s="9" t="inlineStr">
        <is>
          <t>12/C</t>
        </is>
      </c>
      <c r="M1999" s="9" t="inlineStr">
        <is>
          <t>14</t>
        </is>
      </c>
      <c r="N1999" s="9" t="n">
        <v>1</v>
      </c>
      <c r="O1999" s="9" t="n">
        <v>1</v>
      </c>
      <c r="P1999" s="9" t="n"/>
      <c r="Q1999" s="9" t="n"/>
      <c r="R1999" s="9" t="n"/>
      <c r="S1999" s="9" t="inlineStr">
        <is>
          <t>Duct bank</t>
        </is>
      </c>
      <c r="T1999" s="10" t="n">
        <v>40</v>
      </c>
      <c r="U1999" s="10" t="n">
        <v>52</v>
      </c>
      <c r="V1999" s="10">
        <f>ROUNDUP((T1999+U1999+2*'Read Me'!$B$13)*(1+'Read Me'!$B$12),-1)</f>
        <v/>
      </c>
      <c r="W1999" s="10">
        <f>V1999*N1999*O1999</f>
        <v/>
      </c>
      <c r="X1999" s="9">
        <f>IF(LEFT(I1999,2)="MV",2*N1999*IF(L1999="1/C",O1999,1),0)</f>
        <v/>
      </c>
      <c r="Y1999" s="9">
        <f>IF(OR(LEFT(K1999,4)="LVAX",LEFT(K1999,6)="MV15AX",LEFT(K1999,4)="CTAX",LEFT(K1999,2)="W|"),2*N1999*O1999,0)</f>
        <v/>
      </c>
      <c r="Z1999" s="9" t="inlineStr"/>
    </row>
    <row r="2000">
      <c r="A2000" s="9" t="inlineStr">
        <is>
          <t>I-C-0117</t>
        </is>
      </c>
      <c r="B2000" s="9" t="inlineStr">
        <is>
          <t>I</t>
        </is>
      </c>
      <c r="C2000" s="9" t="inlineStr">
        <is>
          <t>Modular / portable power</t>
        </is>
      </c>
      <c r="D2000" s="9" t="inlineStr">
        <is>
          <t>Control</t>
        </is>
      </c>
      <c r="E2000" s="9" t="inlineStr"/>
      <c r="F2000" s="9" t="inlineStr">
        <is>
          <t>PCM: power control module</t>
        </is>
      </c>
      <c r="G2000" s="9" t="inlineStr">
        <is>
          <t>SC-1</t>
        </is>
      </c>
      <c r="H2000" s="9" t="inlineStr">
        <is>
          <t>SC-1: aeroderivative simple-cycle unit (LM6000 class)</t>
        </is>
      </c>
      <c r="I2000" s="9" t="inlineStr">
        <is>
          <t>Control</t>
        </is>
      </c>
      <c r="J2000" s="9" t="inlineStr">
        <is>
          <t>Control cable 600 V Type TC-ER, Cu #14 AWG, PVC jacket</t>
        </is>
      </c>
      <c r="K2000" s="9" t="inlineStr">
        <is>
          <t>CT|12/C|14</t>
        </is>
      </c>
      <c r="L2000" s="9" t="inlineStr">
        <is>
          <t>12/C</t>
        </is>
      </c>
      <c r="M2000" s="9" t="inlineStr">
        <is>
          <t>14</t>
        </is>
      </c>
      <c r="N2000" s="9" t="n">
        <v>1</v>
      </c>
      <c r="O2000" s="9" t="n">
        <v>1</v>
      </c>
      <c r="P2000" s="9" t="n"/>
      <c r="Q2000" s="9" t="n"/>
      <c r="R2000" s="9" t="n"/>
      <c r="S2000" s="9" t="inlineStr">
        <is>
          <t>Duct bank</t>
        </is>
      </c>
      <c r="T2000" s="10" t="n">
        <v>40</v>
      </c>
      <c r="U2000" s="10" t="n">
        <v>52</v>
      </c>
      <c r="V2000" s="10">
        <f>ROUNDUP((T2000+U2000+2*'Read Me'!$B$13)*(1+'Read Me'!$B$12),-1)</f>
        <v/>
      </c>
      <c r="W2000" s="10">
        <f>V2000*N2000*O2000</f>
        <v/>
      </c>
      <c r="X2000" s="9">
        <f>IF(LEFT(I2000,2)="MV",2*N2000*IF(L2000="1/C",O2000,1),0)</f>
        <v/>
      </c>
      <c r="Y2000" s="9">
        <f>IF(OR(LEFT(K2000,4)="LVAX",LEFT(K2000,6)="MV15AX",LEFT(K2000,4)="CTAX",LEFT(K2000,2)="W|"),2*N2000*O2000,0)</f>
        <v/>
      </c>
      <c r="Z2000" s="9" t="inlineStr"/>
    </row>
    <row r="2001">
      <c r="A2001" s="9" t="inlineStr">
        <is>
          <t>I-C-0118</t>
        </is>
      </c>
      <c r="B2001" s="9" t="inlineStr">
        <is>
          <t>I</t>
        </is>
      </c>
      <c r="C2001" s="9" t="inlineStr">
        <is>
          <t>Modular / portable power</t>
        </is>
      </c>
      <c r="D2001" s="9" t="inlineStr">
        <is>
          <t>Control</t>
        </is>
      </c>
      <c r="E2001" s="9" t="inlineStr"/>
      <c r="F2001" s="9" t="inlineStr">
        <is>
          <t>PCM: power control module</t>
        </is>
      </c>
      <c r="G2001" s="9" t="inlineStr">
        <is>
          <t>SC-1</t>
        </is>
      </c>
      <c r="H2001" s="9" t="inlineStr">
        <is>
          <t>SC-1: aeroderivative simple-cycle unit (LM6000 class)</t>
        </is>
      </c>
      <c r="I2001" s="9" t="inlineStr">
        <is>
          <t>Control</t>
        </is>
      </c>
      <c r="J2001" s="9" t="inlineStr">
        <is>
          <t>Control cable 600 V Type TC-ER, Cu #14 AWG, PVC jacket</t>
        </is>
      </c>
      <c r="K2001" s="9" t="inlineStr">
        <is>
          <t>CT|12/C|14</t>
        </is>
      </c>
      <c r="L2001" s="9" t="inlineStr">
        <is>
          <t>12/C</t>
        </is>
      </c>
      <c r="M2001" s="9" t="inlineStr">
        <is>
          <t>14</t>
        </is>
      </c>
      <c r="N2001" s="9" t="n">
        <v>1</v>
      </c>
      <c r="O2001" s="9" t="n">
        <v>1</v>
      </c>
      <c r="P2001" s="9" t="n"/>
      <c r="Q2001" s="9" t="n"/>
      <c r="R2001" s="9" t="n"/>
      <c r="S2001" s="9" t="inlineStr">
        <is>
          <t>Duct bank</t>
        </is>
      </c>
      <c r="T2001" s="10" t="n">
        <v>40</v>
      </c>
      <c r="U2001" s="10" t="n">
        <v>52</v>
      </c>
      <c r="V2001" s="10">
        <f>ROUNDUP((T2001+U2001+2*'Read Me'!$B$13)*(1+'Read Me'!$B$12),-1)</f>
        <v/>
      </c>
      <c r="W2001" s="10">
        <f>V2001*N2001*O2001</f>
        <v/>
      </c>
      <c r="X2001" s="9">
        <f>IF(LEFT(I2001,2)="MV",2*N2001*IF(L2001="1/C",O2001,1),0)</f>
        <v/>
      </c>
      <c r="Y2001" s="9">
        <f>IF(OR(LEFT(K2001,4)="LVAX",LEFT(K2001,6)="MV15AX",LEFT(K2001,4)="CTAX",LEFT(K2001,2)="W|"),2*N2001*O2001,0)</f>
        <v/>
      </c>
      <c r="Z2001" s="9" t="inlineStr"/>
    </row>
    <row r="2002">
      <c r="A2002" s="9" t="inlineStr">
        <is>
          <t>I-C-0119</t>
        </is>
      </c>
      <c r="B2002" s="9" t="inlineStr">
        <is>
          <t>I</t>
        </is>
      </c>
      <c r="C2002" s="9" t="inlineStr">
        <is>
          <t>Modular / portable power</t>
        </is>
      </c>
      <c r="D2002" s="9" t="inlineStr">
        <is>
          <t>Control</t>
        </is>
      </c>
      <c r="E2002" s="9" t="inlineStr"/>
      <c r="F2002" s="9" t="inlineStr">
        <is>
          <t>PCM: power control module</t>
        </is>
      </c>
      <c r="G2002" s="9" t="inlineStr">
        <is>
          <t>SC-1</t>
        </is>
      </c>
      <c r="H2002" s="9" t="inlineStr">
        <is>
          <t>SC-1: aeroderivative simple-cycle unit (LM6000 class)</t>
        </is>
      </c>
      <c r="I2002" s="9" t="inlineStr">
        <is>
          <t>Control</t>
        </is>
      </c>
      <c r="J2002" s="9" t="inlineStr">
        <is>
          <t>Control cable 600 V Type TC-ER, Cu #14 AWG, PVC jacket</t>
        </is>
      </c>
      <c r="K2002" s="9" t="inlineStr">
        <is>
          <t>CT|12/C|14</t>
        </is>
      </c>
      <c r="L2002" s="9" t="inlineStr">
        <is>
          <t>12/C</t>
        </is>
      </c>
      <c r="M2002" s="9" t="inlineStr">
        <is>
          <t>14</t>
        </is>
      </c>
      <c r="N2002" s="9" t="n">
        <v>1</v>
      </c>
      <c r="O2002" s="9" t="n">
        <v>1</v>
      </c>
      <c r="P2002" s="9" t="n"/>
      <c r="Q2002" s="9" t="n"/>
      <c r="R2002" s="9" t="n"/>
      <c r="S2002" s="9" t="inlineStr">
        <is>
          <t>Duct bank</t>
        </is>
      </c>
      <c r="T2002" s="10" t="n">
        <v>40</v>
      </c>
      <c r="U2002" s="10" t="n">
        <v>52</v>
      </c>
      <c r="V2002" s="10">
        <f>ROUNDUP((T2002+U2002+2*'Read Me'!$B$13)*(1+'Read Me'!$B$12),-1)</f>
        <v/>
      </c>
      <c r="W2002" s="10">
        <f>V2002*N2002*O2002</f>
        <v/>
      </c>
      <c r="X2002" s="9">
        <f>IF(LEFT(I2002,2)="MV",2*N2002*IF(L2002="1/C",O2002,1),0)</f>
        <v/>
      </c>
      <c r="Y2002" s="9">
        <f>IF(OR(LEFT(K2002,4)="LVAX",LEFT(K2002,6)="MV15AX",LEFT(K2002,4)="CTAX",LEFT(K2002,2)="W|"),2*N2002*O2002,0)</f>
        <v/>
      </c>
      <c r="Z2002" s="9" t="inlineStr"/>
    </row>
    <row r="2003">
      <c r="A2003" s="9" t="inlineStr">
        <is>
          <t>I-C-0120</t>
        </is>
      </c>
      <c r="B2003" s="9" t="inlineStr">
        <is>
          <t>I</t>
        </is>
      </c>
      <c r="C2003" s="9" t="inlineStr">
        <is>
          <t>Modular / portable power</t>
        </is>
      </c>
      <c r="D2003" s="9" t="inlineStr">
        <is>
          <t>Control</t>
        </is>
      </c>
      <c r="E2003" s="9" t="inlineStr"/>
      <c r="F2003" s="9" t="inlineStr">
        <is>
          <t>PCM: power control module</t>
        </is>
      </c>
      <c r="G2003" s="9" t="inlineStr">
        <is>
          <t>SC-2</t>
        </is>
      </c>
      <c r="H2003" s="9" t="inlineStr">
        <is>
          <t>SC-2: aeroderivative simple-cycle unit (LM6000 class)</t>
        </is>
      </c>
      <c r="I2003" s="9" t="inlineStr">
        <is>
          <t>Control</t>
        </is>
      </c>
      <c r="J2003" s="9" t="inlineStr">
        <is>
          <t>Control cable 600 V Type TC-ER, Cu #14 AWG, PVC jacket</t>
        </is>
      </c>
      <c r="K2003" s="9" t="inlineStr">
        <is>
          <t>CT|7/C|14</t>
        </is>
      </c>
      <c r="L2003" s="9" t="inlineStr">
        <is>
          <t>7/C</t>
        </is>
      </c>
      <c r="M2003" s="9" t="inlineStr">
        <is>
          <t>14</t>
        </is>
      </c>
      <c r="N2003" s="9" t="n">
        <v>1</v>
      </c>
      <c r="O2003" s="9" t="n">
        <v>1</v>
      </c>
      <c r="P2003" s="9" t="n"/>
      <c r="Q2003" s="9" t="n"/>
      <c r="R2003" s="9" t="n"/>
      <c r="S2003" s="9" t="inlineStr">
        <is>
          <t>Duct bank</t>
        </is>
      </c>
      <c r="T2003" s="10" t="n">
        <v>410</v>
      </c>
      <c r="U2003" s="10" t="n">
        <v>115</v>
      </c>
      <c r="V2003" s="10">
        <f>ROUNDUP((T2003+U2003+2*'Read Me'!$B$13)*(1+'Read Me'!$B$12),-1)</f>
        <v/>
      </c>
      <c r="W2003" s="10">
        <f>V2003*N2003*O2003</f>
        <v/>
      </c>
      <c r="X2003" s="9">
        <f>IF(LEFT(I2003,2)="MV",2*N2003*IF(L2003="1/C",O2003,1),0)</f>
        <v/>
      </c>
      <c r="Y2003" s="9">
        <f>IF(OR(LEFT(K2003,4)="LVAX",LEFT(K2003,6)="MV15AX",LEFT(K2003,4)="CTAX",LEFT(K2003,2)="W|"),2*N2003*O2003,0)</f>
        <v/>
      </c>
      <c r="Z2003" s="9" t="inlineStr"/>
    </row>
    <row r="2004">
      <c r="A2004" s="9" t="inlineStr">
        <is>
          <t>I-C-0121</t>
        </is>
      </c>
      <c r="B2004" s="9" t="inlineStr">
        <is>
          <t>I</t>
        </is>
      </c>
      <c r="C2004" s="9" t="inlineStr">
        <is>
          <t>Modular / portable power</t>
        </is>
      </c>
      <c r="D2004" s="9" t="inlineStr">
        <is>
          <t>Control</t>
        </is>
      </c>
      <c r="E2004" s="9" t="inlineStr"/>
      <c r="F2004" s="9" t="inlineStr">
        <is>
          <t>PCM: power control module</t>
        </is>
      </c>
      <c r="G2004" s="9" t="inlineStr">
        <is>
          <t>SC-2</t>
        </is>
      </c>
      <c r="H2004" s="9" t="inlineStr">
        <is>
          <t>SC-2: aeroderivative simple-cycle unit (LM6000 class)</t>
        </is>
      </c>
      <c r="I2004" s="9" t="inlineStr">
        <is>
          <t>Control</t>
        </is>
      </c>
      <c r="J2004" s="9" t="inlineStr">
        <is>
          <t>Control cable 600 V Type TC-ER, Cu #14 AWG, PVC jacket</t>
        </is>
      </c>
      <c r="K2004" s="9" t="inlineStr">
        <is>
          <t>CT|7/C|14</t>
        </is>
      </c>
      <c r="L2004" s="9" t="inlineStr">
        <is>
          <t>7/C</t>
        </is>
      </c>
      <c r="M2004" s="9" t="inlineStr">
        <is>
          <t>14</t>
        </is>
      </c>
      <c r="N2004" s="9" t="n">
        <v>1</v>
      </c>
      <c r="O2004" s="9" t="n">
        <v>1</v>
      </c>
      <c r="P2004" s="9" t="n"/>
      <c r="Q2004" s="9" t="n"/>
      <c r="R2004" s="9" t="n"/>
      <c r="S2004" s="9" t="inlineStr">
        <is>
          <t>Duct bank</t>
        </is>
      </c>
      <c r="T2004" s="10" t="n">
        <v>410</v>
      </c>
      <c r="U2004" s="10" t="n">
        <v>115</v>
      </c>
      <c r="V2004" s="10">
        <f>ROUNDUP((T2004+U2004+2*'Read Me'!$B$13)*(1+'Read Me'!$B$12),-1)</f>
        <v/>
      </c>
      <c r="W2004" s="10">
        <f>V2004*N2004*O2004</f>
        <v/>
      </c>
      <c r="X2004" s="9">
        <f>IF(LEFT(I2004,2)="MV",2*N2004*IF(L2004="1/C",O2004,1),0)</f>
        <v/>
      </c>
      <c r="Y2004" s="9">
        <f>IF(OR(LEFT(K2004,4)="LVAX",LEFT(K2004,6)="MV15AX",LEFT(K2004,4)="CTAX",LEFT(K2004,2)="W|"),2*N2004*O2004,0)</f>
        <v/>
      </c>
      <c r="Z2004" s="9" t="inlineStr"/>
    </row>
    <row r="2005">
      <c r="A2005" s="9" t="inlineStr">
        <is>
          <t>I-C-0122</t>
        </is>
      </c>
      <c r="B2005" s="9" t="inlineStr">
        <is>
          <t>I</t>
        </is>
      </c>
      <c r="C2005" s="9" t="inlineStr">
        <is>
          <t>Modular / portable power</t>
        </is>
      </c>
      <c r="D2005" s="9" t="inlineStr">
        <is>
          <t>Control</t>
        </is>
      </c>
      <c r="E2005" s="9" t="inlineStr"/>
      <c r="F2005" s="9" t="inlineStr">
        <is>
          <t>PCM: power control module</t>
        </is>
      </c>
      <c r="G2005" s="9" t="inlineStr">
        <is>
          <t>SC-2</t>
        </is>
      </c>
      <c r="H2005" s="9" t="inlineStr">
        <is>
          <t>SC-2: aeroderivative simple-cycle unit (LM6000 class)</t>
        </is>
      </c>
      <c r="I2005" s="9" t="inlineStr">
        <is>
          <t>Control</t>
        </is>
      </c>
      <c r="J2005" s="9" t="inlineStr">
        <is>
          <t>Control cable 600 V Type TC-ER, Cu #14 AWG, PVC jacket</t>
        </is>
      </c>
      <c r="K2005" s="9" t="inlineStr">
        <is>
          <t>CT|12/C|14</t>
        </is>
      </c>
      <c r="L2005" s="9" t="inlineStr">
        <is>
          <t>12/C</t>
        </is>
      </c>
      <c r="M2005" s="9" t="inlineStr">
        <is>
          <t>14</t>
        </is>
      </c>
      <c r="N2005" s="9" t="n">
        <v>1</v>
      </c>
      <c r="O2005" s="9" t="n">
        <v>1</v>
      </c>
      <c r="P2005" s="9" t="n"/>
      <c r="Q2005" s="9" t="n"/>
      <c r="R2005" s="9" t="n"/>
      <c r="S2005" s="9" t="inlineStr">
        <is>
          <t>Duct bank</t>
        </is>
      </c>
      <c r="T2005" s="10" t="n">
        <v>410</v>
      </c>
      <c r="U2005" s="10" t="n">
        <v>115</v>
      </c>
      <c r="V2005" s="10">
        <f>ROUNDUP((T2005+U2005+2*'Read Me'!$B$13)*(1+'Read Me'!$B$12),-1)</f>
        <v/>
      </c>
      <c r="W2005" s="10">
        <f>V2005*N2005*O2005</f>
        <v/>
      </c>
      <c r="X2005" s="9">
        <f>IF(LEFT(I2005,2)="MV",2*N2005*IF(L2005="1/C",O2005,1),0)</f>
        <v/>
      </c>
      <c r="Y2005" s="9">
        <f>IF(OR(LEFT(K2005,4)="LVAX",LEFT(K2005,6)="MV15AX",LEFT(K2005,4)="CTAX",LEFT(K2005,2)="W|"),2*N2005*O2005,0)</f>
        <v/>
      </c>
      <c r="Z2005" s="9" t="inlineStr"/>
    </row>
    <row r="2006">
      <c r="A2006" s="9" t="inlineStr">
        <is>
          <t>I-C-0123</t>
        </is>
      </c>
      <c r="B2006" s="9" t="inlineStr">
        <is>
          <t>I</t>
        </is>
      </c>
      <c r="C2006" s="9" t="inlineStr">
        <is>
          <t>Modular / portable power</t>
        </is>
      </c>
      <c r="D2006" s="9" t="inlineStr">
        <is>
          <t>Control</t>
        </is>
      </c>
      <c r="E2006" s="9" t="inlineStr"/>
      <c r="F2006" s="9" t="inlineStr">
        <is>
          <t>PCM: power control module</t>
        </is>
      </c>
      <c r="G2006" s="9" t="inlineStr">
        <is>
          <t>SC-2</t>
        </is>
      </c>
      <c r="H2006" s="9" t="inlineStr">
        <is>
          <t>SC-2: aeroderivative simple-cycle unit (LM6000 class)</t>
        </is>
      </c>
      <c r="I2006" s="9" t="inlineStr">
        <is>
          <t>Control</t>
        </is>
      </c>
      <c r="J2006" s="9" t="inlineStr">
        <is>
          <t>Control cable 600 V Type TC-ER, Cu #14 AWG, PVC jacket</t>
        </is>
      </c>
      <c r="K2006" s="9" t="inlineStr">
        <is>
          <t>CT|12/C|14</t>
        </is>
      </c>
      <c r="L2006" s="9" t="inlineStr">
        <is>
          <t>12/C</t>
        </is>
      </c>
      <c r="M2006" s="9" t="inlineStr">
        <is>
          <t>14</t>
        </is>
      </c>
      <c r="N2006" s="9" t="n">
        <v>1</v>
      </c>
      <c r="O2006" s="9" t="n">
        <v>1</v>
      </c>
      <c r="P2006" s="9" t="n"/>
      <c r="Q2006" s="9" t="n"/>
      <c r="R2006" s="9" t="n"/>
      <c r="S2006" s="9" t="inlineStr">
        <is>
          <t>Duct bank</t>
        </is>
      </c>
      <c r="T2006" s="10" t="n">
        <v>410</v>
      </c>
      <c r="U2006" s="10" t="n">
        <v>115</v>
      </c>
      <c r="V2006" s="10">
        <f>ROUNDUP((T2006+U2006+2*'Read Me'!$B$13)*(1+'Read Me'!$B$12),-1)</f>
        <v/>
      </c>
      <c r="W2006" s="10">
        <f>V2006*N2006*O2006</f>
        <v/>
      </c>
      <c r="X2006" s="9">
        <f>IF(LEFT(I2006,2)="MV",2*N2006*IF(L2006="1/C",O2006,1),0)</f>
        <v/>
      </c>
      <c r="Y2006" s="9">
        <f>IF(OR(LEFT(K2006,4)="LVAX",LEFT(K2006,6)="MV15AX",LEFT(K2006,4)="CTAX",LEFT(K2006,2)="W|"),2*N2006*O2006,0)</f>
        <v/>
      </c>
      <c r="Z2006" s="9" t="inlineStr"/>
    </row>
    <row r="2007">
      <c r="A2007" s="9" t="inlineStr">
        <is>
          <t>I-C-0124</t>
        </is>
      </c>
      <c r="B2007" s="9" t="inlineStr">
        <is>
          <t>I</t>
        </is>
      </c>
      <c r="C2007" s="9" t="inlineStr">
        <is>
          <t>Modular / portable power</t>
        </is>
      </c>
      <c r="D2007" s="9" t="inlineStr">
        <is>
          <t>Control</t>
        </is>
      </c>
      <c r="E2007" s="9" t="inlineStr"/>
      <c r="F2007" s="9" t="inlineStr">
        <is>
          <t>PCM: power control module</t>
        </is>
      </c>
      <c r="G2007" s="9" t="inlineStr">
        <is>
          <t>SC-2</t>
        </is>
      </c>
      <c r="H2007" s="9" t="inlineStr">
        <is>
          <t>SC-2: aeroderivative simple-cycle unit (LM6000 class)</t>
        </is>
      </c>
      <c r="I2007" s="9" t="inlineStr">
        <is>
          <t>Control</t>
        </is>
      </c>
      <c r="J2007" s="9" t="inlineStr">
        <is>
          <t>Control cable 600 V Type TC-ER, Cu #14 AWG, PVC jacket</t>
        </is>
      </c>
      <c r="K2007" s="9" t="inlineStr">
        <is>
          <t>CT|12/C|14</t>
        </is>
      </c>
      <c r="L2007" s="9" t="inlineStr">
        <is>
          <t>12/C</t>
        </is>
      </c>
      <c r="M2007" s="9" t="inlineStr">
        <is>
          <t>14</t>
        </is>
      </c>
      <c r="N2007" s="9" t="n">
        <v>1</v>
      </c>
      <c r="O2007" s="9" t="n">
        <v>1</v>
      </c>
      <c r="P2007" s="9" t="n"/>
      <c r="Q2007" s="9" t="n"/>
      <c r="R2007" s="9" t="n"/>
      <c r="S2007" s="9" t="inlineStr">
        <is>
          <t>Duct bank</t>
        </is>
      </c>
      <c r="T2007" s="10" t="n">
        <v>410</v>
      </c>
      <c r="U2007" s="10" t="n">
        <v>115</v>
      </c>
      <c r="V2007" s="10">
        <f>ROUNDUP((T2007+U2007+2*'Read Me'!$B$13)*(1+'Read Me'!$B$12),-1)</f>
        <v/>
      </c>
      <c r="W2007" s="10">
        <f>V2007*N2007*O2007</f>
        <v/>
      </c>
      <c r="X2007" s="9">
        <f>IF(LEFT(I2007,2)="MV",2*N2007*IF(L2007="1/C",O2007,1),0)</f>
        <v/>
      </c>
      <c r="Y2007" s="9">
        <f>IF(OR(LEFT(K2007,4)="LVAX",LEFT(K2007,6)="MV15AX",LEFT(K2007,4)="CTAX",LEFT(K2007,2)="W|"),2*N2007*O2007,0)</f>
        <v/>
      </c>
      <c r="Z2007" s="9" t="inlineStr"/>
    </row>
    <row r="2008">
      <c r="A2008" s="9" t="inlineStr">
        <is>
          <t>I-C-0125</t>
        </is>
      </c>
      <c r="B2008" s="9" t="inlineStr">
        <is>
          <t>I</t>
        </is>
      </c>
      <c r="C2008" s="9" t="inlineStr">
        <is>
          <t>Modular / portable power</t>
        </is>
      </c>
      <c r="D2008" s="9" t="inlineStr">
        <is>
          <t>Control</t>
        </is>
      </c>
      <c r="E2008" s="9" t="inlineStr"/>
      <c r="F2008" s="9" t="inlineStr">
        <is>
          <t>PCM: power control module</t>
        </is>
      </c>
      <c r="G2008" s="9" t="inlineStr">
        <is>
          <t>SC-2</t>
        </is>
      </c>
      <c r="H2008" s="9" t="inlineStr">
        <is>
          <t>SC-2: aeroderivative simple-cycle unit (LM6000 class)</t>
        </is>
      </c>
      <c r="I2008" s="9" t="inlineStr">
        <is>
          <t>Control</t>
        </is>
      </c>
      <c r="J2008" s="9" t="inlineStr">
        <is>
          <t>Control cable 600 V Type TC-ER, Cu #14 AWG, PVC jacket</t>
        </is>
      </c>
      <c r="K2008" s="9" t="inlineStr">
        <is>
          <t>CT|12/C|14</t>
        </is>
      </c>
      <c r="L2008" s="9" t="inlineStr">
        <is>
          <t>12/C</t>
        </is>
      </c>
      <c r="M2008" s="9" t="inlineStr">
        <is>
          <t>14</t>
        </is>
      </c>
      <c r="N2008" s="9" t="n">
        <v>1</v>
      </c>
      <c r="O2008" s="9" t="n">
        <v>1</v>
      </c>
      <c r="P2008" s="9" t="n"/>
      <c r="Q2008" s="9" t="n"/>
      <c r="R2008" s="9" t="n"/>
      <c r="S2008" s="9" t="inlineStr">
        <is>
          <t>Duct bank</t>
        </is>
      </c>
      <c r="T2008" s="10" t="n">
        <v>410</v>
      </c>
      <c r="U2008" s="10" t="n">
        <v>115</v>
      </c>
      <c r="V2008" s="10">
        <f>ROUNDUP((T2008+U2008+2*'Read Me'!$B$13)*(1+'Read Me'!$B$12),-1)</f>
        <v/>
      </c>
      <c r="W2008" s="10">
        <f>V2008*N2008*O2008</f>
        <v/>
      </c>
      <c r="X2008" s="9">
        <f>IF(LEFT(I2008,2)="MV",2*N2008*IF(L2008="1/C",O2008,1),0)</f>
        <v/>
      </c>
      <c r="Y2008" s="9">
        <f>IF(OR(LEFT(K2008,4)="LVAX",LEFT(K2008,6)="MV15AX",LEFT(K2008,4)="CTAX",LEFT(K2008,2)="W|"),2*N2008*O2008,0)</f>
        <v/>
      </c>
      <c r="Z2008" s="9" t="inlineStr"/>
    </row>
    <row r="2009">
      <c r="A2009" s="9" t="inlineStr">
        <is>
          <t>I-C-0126</t>
        </is>
      </c>
      <c r="B2009" s="9" t="inlineStr">
        <is>
          <t>I</t>
        </is>
      </c>
      <c r="C2009" s="9" t="inlineStr">
        <is>
          <t>Modular / portable power</t>
        </is>
      </c>
      <c r="D2009" s="9" t="inlineStr">
        <is>
          <t>Control</t>
        </is>
      </c>
      <c r="E2009" s="9" t="inlineStr"/>
      <c r="F2009" s="9" t="inlineStr">
        <is>
          <t>PCM: power control module</t>
        </is>
      </c>
      <c r="G2009" s="9" t="inlineStr">
        <is>
          <t>SC-2</t>
        </is>
      </c>
      <c r="H2009" s="9" t="inlineStr">
        <is>
          <t>SC-2: aeroderivative simple-cycle unit (LM6000 class)</t>
        </is>
      </c>
      <c r="I2009" s="9" t="inlineStr">
        <is>
          <t>Control</t>
        </is>
      </c>
      <c r="J2009" s="9" t="inlineStr">
        <is>
          <t>Control cable 600 V Type TC-ER, Cu #14 AWG, PVC jacket</t>
        </is>
      </c>
      <c r="K2009" s="9" t="inlineStr">
        <is>
          <t>CT|12/C|14</t>
        </is>
      </c>
      <c r="L2009" s="9" t="inlineStr">
        <is>
          <t>12/C</t>
        </is>
      </c>
      <c r="M2009" s="9" t="inlineStr">
        <is>
          <t>14</t>
        </is>
      </c>
      <c r="N2009" s="9" t="n">
        <v>1</v>
      </c>
      <c r="O2009" s="9" t="n">
        <v>1</v>
      </c>
      <c r="P2009" s="9" t="n"/>
      <c r="Q2009" s="9" t="n"/>
      <c r="R2009" s="9" t="n"/>
      <c r="S2009" s="9" t="inlineStr">
        <is>
          <t>Duct bank</t>
        </is>
      </c>
      <c r="T2009" s="10" t="n">
        <v>410</v>
      </c>
      <c r="U2009" s="10" t="n">
        <v>115</v>
      </c>
      <c r="V2009" s="10">
        <f>ROUNDUP((T2009+U2009+2*'Read Me'!$B$13)*(1+'Read Me'!$B$12),-1)</f>
        <v/>
      </c>
      <c r="W2009" s="10">
        <f>V2009*N2009*O2009</f>
        <v/>
      </c>
      <c r="X2009" s="9">
        <f>IF(LEFT(I2009,2)="MV",2*N2009*IF(L2009="1/C",O2009,1),0)</f>
        <v/>
      </c>
      <c r="Y2009" s="9">
        <f>IF(OR(LEFT(K2009,4)="LVAX",LEFT(K2009,6)="MV15AX",LEFT(K2009,4)="CTAX",LEFT(K2009,2)="W|"),2*N2009*O2009,0)</f>
        <v/>
      </c>
      <c r="Z2009" s="9" t="inlineStr"/>
    </row>
    <row r="2010">
      <c r="A2010" s="9" t="inlineStr">
        <is>
          <t>I-C-0127</t>
        </is>
      </c>
      <c r="B2010" s="9" t="inlineStr">
        <is>
          <t>I</t>
        </is>
      </c>
      <c r="C2010" s="9" t="inlineStr">
        <is>
          <t>Modular / portable power</t>
        </is>
      </c>
      <c r="D2010" s="9" t="inlineStr">
        <is>
          <t>Control</t>
        </is>
      </c>
      <c r="E2010" s="9" t="inlineStr"/>
      <c r="F2010" s="9" t="inlineStr">
        <is>
          <t>PCM: power control module</t>
        </is>
      </c>
      <c r="G2010" s="9" t="inlineStr">
        <is>
          <t>SC-2</t>
        </is>
      </c>
      <c r="H2010" s="9" t="inlineStr">
        <is>
          <t>SC-2: aeroderivative simple-cycle unit (LM6000 class)</t>
        </is>
      </c>
      <c r="I2010" s="9" t="inlineStr">
        <is>
          <t>Control</t>
        </is>
      </c>
      <c r="J2010" s="9" t="inlineStr">
        <is>
          <t>Control cable 600 V Type TC-ER, Cu #14 AWG, PVC jacket</t>
        </is>
      </c>
      <c r="K2010" s="9" t="inlineStr">
        <is>
          <t>CT|12/C|14</t>
        </is>
      </c>
      <c r="L2010" s="9" t="inlineStr">
        <is>
          <t>12/C</t>
        </is>
      </c>
      <c r="M2010" s="9" t="inlineStr">
        <is>
          <t>14</t>
        </is>
      </c>
      <c r="N2010" s="9" t="n">
        <v>1</v>
      </c>
      <c r="O2010" s="9" t="n">
        <v>1</v>
      </c>
      <c r="P2010" s="9" t="n"/>
      <c r="Q2010" s="9" t="n"/>
      <c r="R2010" s="9" t="n"/>
      <c r="S2010" s="9" t="inlineStr">
        <is>
          <t>Duct bank</t>
        </is>
      </c>
      <c r="T2010" s="10" t="n">
        <v>410</v>
      </c>
      <c r="U2010" s="10" t="n">
        <v>115</v>
      </c>
      <c r="V2010" s="10">
        <f>ROUNDUP((T2010+U2010+2*'Read Me'!$B$13)*(1+'Read Me'!$B$12),-1)</f>
        <v/>
      </c>
      <c r="W2010" s="10">
        <f>V2010*N2010*O2010</f>
        <v/>
      </c>
      <c r="X2010" s="9">
        <f>IF(LEFT(I2010,2)="MV",2*N2010*IF(L2010="1/C",O2010,1),0)</f>
        <v/>
      </c>
      <c r="Y2010" s="9">
        <f>IF(OR(LEFT(K2010,4)="LVAX",LEFT(K2010,6)="MV15AX",LEFT(K2010,4)="CTAX",LEFT(K2010,2)="W|"),2*N2010*O2010,0)</f>
        <v/>
      </c>
      <c r="Z2010" s="9" t="inlineStr"/>
    </row>
    <row r="2011">
      <c r="A2011" s="9" t="inlineStr">
        <is>
          <t>I-C-0128</t>
        </is>
      </c>
      <c r="B2011" s="9" t="inlineStr">
        <is>
          <t>I</t>
        </is>
      </c>
      <c r="C2011" s="9" t="inlineStr">
        <is>
          <t>Modular / portable power</t>
        </is>
      </c>
      <c r="D2011" s="9" t="inlineStr">
        <is>
          <t>Control</t>
        </is>
      </c>
      <c r="E2011" s="9" t="inlineStr"/>
      <c r="F2011" s="9" t="inlineStr">
        <is>
          <t>PCM: power control module</t>
        </is>
      </c>
      <c r="G2011" s="9" t="inlineStr">
        <is>
          <t>T-MOD-1</t>
        </is>
      </c>
      <c r="H2011" s="9" t="inlineStr">
        <is>
          <t>T-MOD-1: 13.8/230 kV</t>
        </is>
      </c>
      <c r="I2011" s="9" t="inlineStr">
        <is>
          <t>Control</t>
        </is>
      </c>
      <c r="J2011" s="9" t="inlineStr">
        <is>
          <t>Control cable 600 V Type TC-ER, Cu #14 AWG, PVC jacket</t>
        </is>
      </c>
      <c r="K2011" s="9" t="inlineStr">
        <is>
          <t>CT|7/C|14</t>
        </is>
      </c>
      <c r="L2011" s="9" t="inlineStr">
        <is>
          <t>7/C</t>
        </is>
      </c>
      <c r="M2011" s="9" t="inlineStr">
        <is>
          <t>14</t>
        </is>
      </c>
      <c r="N2011" s="9" t="n">
        <v>1</v>
      </c>
      <c r="O2011" s="9" t="n">
        <v>1</v>
      </c>
      <c r="P2011" s="9" t="n"/>
      <c r="Q2011" s="9" t="n"/>
      <c r="R2011" s="9" t="n"/>
      <c r="S2011" s="9" t="inlineStr">
        <is>
          <t>Duct bank</t>
        </is>
      </c>
      <c r="T2011" s="10" t="n">
        <v>385</v>
      </c>
      <c r="U2011" s="10" t="n">
        <v>112</v>
      </c>
      <c r="V2011" s="10">
        <f>ROUNDUP((T2011+U2011+2*'Read Me'!$B$13)*(1+'Read Me'!$B$12),-1)</f>
        <v/>
      </c>
      <c r="W2011" s="10">
        <f>V2011*N2011*O2011</f>
        <v/>
      </c>
      <c r="X2011" s="9">
        <f>IF(LEFT(I2011,2)="MV",2*N2011*IF(L2011="1/C",O2011,1),0)</f>
        <v/>
      </c>
      <c r="Y2011" s="9">
        <f>IF(OR(LEFT(K2011,4)="LVAX",LEFT(K2011,6)="MV15AX",LEFT(K2011,4)="CTAX",LEFT(K2011,2)="W|"),2*N2011*O2011,0)</f>
        <v/>
      </c>
      <c r="Z2011" s="9" t="inlineStr"/>
    </row>
    <row r="2012">
      <c r="A2012" s="9" t="inlineStr">
        <is>
          <t>I-C-0129</t>
        </is>
      </c>
      <c r="B2012" s="9" t="inlineStr">
        <is>
          <t>I</t>
        </is>
      </c>
      <c r="C2012" s="9" t="inlineStr">
        <is>
          <t>Modular / portable power</t>
        </is>
      </c>
      <c r="D2012" s="9" t="inlineStr">
        <is>
          <t>Control</t>
        </is>
      </c>
      <c r="E2012" s="9" t="inlineStr"/>
      <c r="F2012" s="9" t="inlineStr">
        <is>
          <t>PCM: power control module</t>
        </is>
      </c>
      <c r="G2012" s="9" t="inlineStr">
        <is>
          <t>T-MOD-1</t>
        </is>
      </c>
      <c r="H2012" s="9" t="inlineStr">
        <is>
          <t>T-MOD-1: 13.8/230 kV</t>
        </is>
      </c>
      <c r="I2012" s="9" t="inlineStr">
        <is>
          <t>Control</t>
        </is>
      </c>
      <c r="J2012" s="9" t="inlineStr">
        <is>
          <t>Control cable 600 V Type TC-ER, Cu #14 AWG, PVC jacket</t>
        </is>
      </c>
      <c r="K2012" s="9" t="inlineStr">
        <is>
          <t>CT|12/C|14</t>
        </is>
      </c>
      <c r="L2012" s="9" t="inlineStr">
        <is>
          <t>12/C</t>
        </is>
      </c>
      <c r="M2012" s="9" t="inlineStr">
        <is>
          <t>14</t>
        </is>
      </c>
      <c r="N2012" s="9" t="n">
        <v>1</v>
      </c>
      <c r="O2012" s="9" t="n">
        <v>1</v>
      </c>
      <c r="P2012" s="9" t="n"/>
      <c r="Q2012" s="9" t="n"/>
      <c r="R2012" s="9" t="n"/>
      <c r="S2012" s="9" t="inlineStr">
        <is>
          <t>Duct bank</t>
        </is>
      </c>
      <c r="T2012" s="10" t="n">
        <v>385</v>
      </c>
      <c r="U2012" s="10" t="n">
        <v>112</v>
      </c>
      <c r="V2012" s="10">
        <f>ROUNDUP((T2012+U2012+2*'Read Me'!$B$13)*(1+'Read Me'!$B$12),-1)</f>
        <v/>
      </c>
      <c r="W2012" s="10">
        <f>V2012*N2012*O2012</f>
        <v/>
      </c>
      <c r="X2012" s="9">
        <f>IF(LEFT(I2012,2)="MV",2*N2012*IF(L2012="1/C",O2012,1),0)</f>
        <v/>
      </c>
      <c r="Y2012" s="9">
        <f>IF(OR(LEFT(K2012,4)="LVAX",LEFT(K2012,6)="MV15AX",LEFT(K2012,4)="CTAX",LEFT(K2012,2)="W|"),2*N2012*O2012,0)</f>
        <v/>
      </c>
      <c r="Z2012" s="9" t="inlineStr"/>
    </row>
    <row r="2013">
      <c r="A2013" s="9" t="inlineStr">
        <is>
          <t>I-C-0130</t>
        </is>
      </c>
      <c r="B2013" s="9" t="inlineStr">
        <is>
          <t>I</t>
        </is>
      </c>
      <c r="C2013" s="9" t="inlineStr">
        <is>
          <t>Modular / portable power</t>
        </is>
      </c>
      <c r="D2013" s="9" t="inlineStr">
        <is>
          <t>CT / VT</t>
        </is>
      </c>
      <c r="E2013" s="9" t="inlineStr"/>
      <c r="F2013" s="9" t="inlineStr">
        <is>
          <t>PCM: power control module</t>
        </is>
      </c>
      <c r="G2013" s="9" t="inlineStr">
        <is>
          <t>T-MOD-1</t>
        </is>
      </c>
      <c r="H2013" s="9" t="inlineStr">
        <is>
          <t>T-MOD-1: 13.8/230 kV</t>
        </is>
      </c>
      <c r="I2013" s="9" t="inlineStr">
        <is>
          <t>Control</t>
        </is>
      </c>
      <c r="J2013" s="9" t="inlineStr">
        <is>
          <t>Control cable 600 V Type TC-ER, Cu #10 AWG (CT / VT circuits)</t>
        </is>
      </c>
      <c r="K2013" s="9" t="inlineStr">
        <is>
          <t>CTCT|4/C|10</t>
        </is>
      </c>
      <c r="L2013" s="9" t="inlineStr">
        <is>
          <t>4/C</t>
        </is>
      </c>
      <c r="M2013" s="9" t="inlineStr">
        <is>
          <t>10</t>
        </is>
      </c>
      <c r="N2013" s="9" t="n">
        <v>1</v>
      </c>
      <c r="O2013" s="9" t="n">
        <v>1</v>
      </c>
      <c r="P2013" s="9" t="n"/>
      <c r="Q2013" s="9" t="n"/>
      <c r="R2013" s="9" t="n"/>
      <c r="S2013" s="9" t="inlineStr">
        <is>
          <t>Duct bank</t>
        </is>
      </c>
      <c r="T2013" s="10" t="n">
        <v>385</v>
      </c>
      <c r="U2013" s="10" t="n">
        <v>112</v>
      </c>
      <c r="V2013" s="10">
        <f>ROUNDUP((T2013+U2013+2*'Read Me'!$B$13)*(1+'Read Me'!$B$12),-1)</f>
        <v/>
      </c>
      <c r="W2013" s="10">
        <f>V2013*N2013*O2013</f>
        <v/>
      </c>
      <c r="X2013" s="9">
        <f>IF(LEFT(I2013,2)="MV",2*N2013*IF(L2013="1/C",O2013,1),0)</f>
        <v/>
      </c>
      <c r="Y2013" s="9">
        <f>IF(OR(LEFT(K2013,4)="LVAX",LEFT(K2013,6)="MV15AX",LEFT(K2013,4)="CTAX",LEFT(K2013,2)="W|"),2*N2013*O2013,0)</f>
        <v/>
      </c>
      <c r="Z2013" s="9" t="inlineStr"/>
    </row>
    <row r="2014">
      <c r="A2014" s="9" t="inlineStr">
        <is>
          <t>I-C-0131</t>
        </is>
      </c>
      <c r="B2014" s="9" t="inlineStr">
        <is>
          <t>I</t>
        </is>
      </c>
      <c r="C2014" s="9" t="inlineStr">
        <is>
          <t>Modular / portable power</t>
        </is>
      </c>
      <c r="D2014" s="9" t="inlineStr">
        <is>
          <t>CT / VT</t>
        </is>
      </c>
      <c r="E2014" s="9" t="inlineStr"/>
      <c r="F2014" s="9" t="inlineStr">
        <is>
          <t>PCM: power control module</t>
        </is>
      </c>
      <c r="G2014" s="9" t="inlineStr">
        <is>
          <t>T-MOD-1</t>
        </is>
      </c>
      <c r="H2014" s="9" t="inlineStr">
        <is>
          <t>T-MOD-1: 13.8/230 kV</t>
        </is>
      </c>
      <c r="I2014" s="9" t="inlineStr">
        <is>
          <t>Control</t>
        </is>
      </c>
      <c r="J2014" s="9" t="inlineStr">
        <is>
          <t>Control cable 600 V Type TC-ER, Cu #10 AWG (CT / VT circuits)</t>
        </is>
      </c>
      <c r="K2014" s="9" t="inlineStr">
        <is>
          <t>CTCT|4/C|10</t>
        </is>
      </c>
      <c r="L2014" s="9" t="inlineStr">
        <is>
          <t>4/C</t>
        </is>
      </c>
      <c r="M2014" s="9" t="inlineStr">
        <is>
          <t>10</t>
        </is>
      </c>
      <c r="N2014" s="9" t="n">
        <v>1</v>
      </c>
      <c r="O2014" s="9" t="n">
        <v>1</v>
      </c>
      <c r="P2014" s="9" t="n"/>
      <c r="Q2014" s="9" t="n"/>
      <c r="R2014" s="9" t="n"/>
      <c r="S2014" s="9" t="inlineStr">
        <is>
          <t>Duct bank</t>
        </is>
      </c>
      <c r="T2014" s="10" t="n">
        <v>385</v>
      </c>
      <c r="U2014" s="10" t="n">
        <v>112</v>
      </c>
      <c r="V2014" s="10">
        <f>ROUNDUP((T2014+U2014+2*'Read Me'!$B$13)*(1+'Read Me'!$B$12),-1)</f>
        <v/>
      </c>
      <c r="W2014" s="10">
        <f>V2014*N2014*O2014</f>
        <v/>
      </c>
      <c r="X2014" s="9">
        <f>IF(LEFT(I2014,2)="MV",2*N2014*IF(L2014="1/C",O2014,1),0)</f>
        <v/>
      </c>
      <c r="Y2014" s="9">
        <f>IF(OR(LEFT(K2014,4)="LVAX",LEFT(K2014,6)="MV15AX",LEFT(K2014,4)="CTAX",LEFT(K2014,2)="W|"),2*N2014*O2014,0)</f>
        <v/>
      </c>
      <c r="Z2014" s="9" t="inlineStr"/>
    </row>
    <row r="2015">
      <c r="A2015" s="9" t="inlineStr">
        <is>
          <t>I-C-0132</t>
        </is>
      </c>
      <c r="B2015" s="9" t="inlineStr">
        <is>
          <t>I</t>
        </is>
      </c>
      <c r="C2015" s="9" t="inlineStr">
        <is>
          <t>Modular / portable power</t>
        </is>
      </c>
      <c r="D2015" s="9" t="inlineStr">
        <is>
          <t>Control</t>
        </is>
      </c>
      <c r="E2015" s="9" t="inlineStr"/>
      <c r="F2015" s="9" t="inlineStr">
        <is>
          <t>PCM: power control module</t>
        </is>
      </c>
      <c r="G2015" s="9" t="inlineStr">
        <is>
          <t>T-MOD-2</t>
        </is>
      </c>
      <c r="H2015" s="9" t="inlineStr">
        <is>
          <t>T-MOD-2: 13.8/230 kV</t>
        </is>
      </c>
      <c r="I2015" s="9" t="inlineStr">
        <is>
          <t>Control</t>
        </is>
      </c>
      <c r="J2015" s="9" t="inlineStr">
        <is>
          <t>Control cable 600 V Type TC-ER, Cu #14 AWG, PVC jacket</t>
        </is>
      </c>
      <c r="K2015" s="9" t="inlineStr">
        <is>
          <t>CT|7/C|14</t>
        </is>
      </c>
      <c r="L2015" s="9" t="inlineStr">
        <is>
          <t>7/C</t>
        </is>
      </c>
      <c r="M2015" s="9" t="inlineStr">
        <is>
          <t>14</t>
        </is>
      </c>
      <c r="N2015" s="9" t="n">
        <v>1</v>
      </c>
      <c r="O2015" s="9" t="n">
        <v>1</v>
      </c>
      <c r="P2015" s="9" t="n"/>
      <c r="Q2015" s="9" t="n"/>
      <c r="R2015" s="9" t="n"/>
      <c r="S2015" s="9" t="inlineStr">
        <is>
          <t>Duct bank</t>
        </is>
      </c>
      <c r="T2015" s="10" t="n">
        <v>385</v>
      </c>
      <c r="U2015" s="10" t="n">
        <v>172</v>
      </c>
      <c r="V2015" s="10">
        <f>ROUNDUP((T2015+U2015+2*'Read Me'!$B$13)*(1+'Read Me'!$B$12),-1)</f>
        <v/>
      </c>
      <c r="W2015" s="10">
        <f>V2015*N2015*O2015</f>
        <v/>
      </c>
      <c r="X2015" s="9">
        <f>IF(LEFT(I2015,2)="MV",2*N2015*IF(L2015="1/C",O2015,1),0)</f>
        <v/>
      </c>
      <c r="Y2015" s="9">
        <f>IF(OR(LEFT(K2015,4)="LVAX",LEFT(K2015,6)="MV15AX",LEFT(K2015,4)="CTAX",LEFT(K2015,2)="W|"),2*N2015*O2015,0)</f>
        <v/>
      </c>
      <c r="Z2015" s="9" t="inlineStr"/>
    </row>
    <row r="2016">
      <c r="A2016" s="9" t="inlineStr">
        <is>
          <t>I-C-0133</t>
        </is>
      </c>
      <c r="B2016" s="9" t="inlineStr">
        <is>
          <t>I</t>
        </is>
      </c>
      <c r="C2016" s="9" t="inlineStr">
        <is>
          <t>Modular / portable power</t>
        </is>
      </c>
      <c r="D2016" s="9" t="inlineStr">
        <is>
          <t>Control</t>
        </is>
      </c>
      <c r="E2016" s="9" t="inlineStr"/>
      <c r="F2016" s="9" t="inlineStr">
        <is>
          <t>PCM: power control module</t>
        </is>
      </c>
      <c r="G2016" s="9" t="inlineStr">
        <is>
          <t>T-MOD-2</t>
        </is>
      </c>
      <c r="H2016" s="9" t="inlineStr">
        <is>
          <t>T-MOD-2: 13.8/230 kV</t>
        </is>
      </c>
      <c r="I2016" s="9" t="inlineStr">
        <is>
          <t>Control</t>
        </is>
      </c>
      <c r="J2016" s="9" t="inlineStr">
        <is>
          <t>Control cable 600 V Type TC-ER, Cu #14 AWG, PVC jacket</t>
        </is>
      </c>
      <c r="K2016" s="9" t="inlineStr">
        <is>
          <t>CT|12/C|14</t>
        </is>
      </c>
      <c r="L2016" s="9" t="inlineStr">
        <is>
          <t>12/C</t>
        </is>
      </c>
      <c r="M2016" s="9" t="inlineStr">
        <is>
          <t>14</t>
        </is>
      </c>
      <c r="N2016" s="9" t="n">
        <v>1</v>
      </c>
      <c r="O2016" s="9" t="n">
        <v>1</v>
      </c>
      <c r="P2016" s="9" t="n"/>
      <c r="Q2016" s="9" t="n"/>
      <c r="R2016" s="9" t="n"/>
      <c r="S2016" s="9" t="inlineStr">
        <is>
          <t>Duct bank</t>
        </is>
      </c>
      <c r="T2016" s="10" t="n">
        <v>385</v>
      </c>
      <c r="U2016" s="10" t="n">
        <v>172</v>
      </c>
      <c r="V2016" s="10">
        <f>ROUNDUP((T2016+U2016+2*'Read Me'!$B$13)*(1+'Read Me'!$B$12),-1)</f>
        <v/>
      </c>
      <c r="W2016" s="10">
        <f>V2016*N2016*O2016</f>
        <v/>
      </c>
      <c r="X2016" s="9">
        <f>IF(LEFT(I2016,2)="MV",2*N2016*IF(L2016="1/C",O2016,1),0)</f>
        <v/>
      </c>
      <c r="Y2016" s="9">
        <f>IF(OR(LEFT(K2016,4)="LVAX",LEFT(K2016,6)="MV15AX",LEFT(K2016,4)="CTAX",LEFT(K2016,2)="W|"),2*N2016*O2016,0)</f>
        <v/>
      </c>
      <c r="Z2016" s="9" t="inlineStr"/>
    </row>
    <row r="2017">
      <c r="A2017" s="9" t="inlineStr">
        <is>
          <t>I-C-0134</t>
        </is>
      </c>
      <c r="B2017" s="9" t="inlineStr">
        <is>
          <t>I</t>
        </is>
      </c>
      <c r="C2017" s="9" t="inlineStr">
        <is>
          <t>Modular / portable power</t>
        </is>
      </c>
      <c r="D2017" s="9" t="inlineStr">
        <is>
          <t>CT / VT</t>
        </is>
      </c>
      <c r="E2017" s="9" t="inlineStr"/>
      <c r="F2017" s="9" t="inlineStr">
        <is>
          <t>PCM: power control module</t>
        </is>
      </c>
      <c r="G2017" s="9" t="inlineStr">
        <is>
          <t>T-MOD-2</t>
        </is>
      </c>
      <c r="H2017" s="9" t="inlineStr">
        <is>
          <t>T-MOD-2: 13.8/230 kV</t>
        </is>
      </c>
      <c r="I2017" s="9" t="inlineStr">
        <is>
          <t>Control</t>
        </is>
      </c>
      <c r="J2017" s="9" t="inlineStr">
        <is>
          <t>Control cable 600 V Type TC-ER, Cu #10 AWG (CT / VT circuits)</t>
        </is>
      </c>
      <c r="K2017" s="9" t="inlineStr">
        <is>
          <t>CTCT|4/C|10</t>
        </is>
      </c>
      <c r="L2017" s="9" t="inlineStr">
        <is>
          <t>4/C</t>
        </is>
      </c>
      <c r="M2017" s="9" t="inlineStr">
        <is>
          <t>10</t>
        </is>
      </c>
      <c r="N2017" s="9" t="n">
        <v>1</v>
      </c>
      <c r="O2017" s="9" t="n">
        <v>1</v>
      </c>
      <c r="P2017" s="9" t="n"/>
      <c r="Q2017" s="9" t="n"/>
      <c r="R2017" s="9" t="n"/>
      <c r="S2017" s="9" t="inlineStr">
        <is>
          <t>Duct bank</t>
        </is>
      </c>
      <c r="T2017" s="10" t="n">
        <v>385</v>
      </c>
      <c r="U2017" s="10" t="n">
        <v>172</v>
      </c>
      <c r="V2017" s="10">
        <f>ROUNDUP((T2017+U2017+2*'Read Me'!$B$13)*(1+'Read Me'!$B$12),-1)</f>
        <v/>
      </c>
      <c r="W2017" s="10">
        <f>V2017*N2017*O2017</f>
        <v/>
      </c>
      <c r="X2017" s="9">
        <f>IF(LEFT(I2017,2)="MV",2*N2017*IF(L2017="1/C",O2017,1),0)</f>
        <v/>
      </c>
      <c r="Y2017" s="9">
        <f>IF(OR(LEFT(K2017,4)="LVAX",LEFT(K2017,6)="MV15AX",LEFT(K2017,4)="CTAX",LEFT(K2017,2)="W|"),2*N2017*O2017,0)</f>
        <v/>
      </c>
      <c r="Z2017" s="9" t="inlineStr"/>
    </row>
    <row r="2018">
      <c r="A2018" s="9" t="inlineStr">
        <is>
          <t>I-C-0135</t>
        </is>
      </c>
      <c r="B2018" s="9" t="inlineStr">
        <is>
          <t>I</t>
        </is>
      </c>
      <c r="C2018" s="9" t="inlineStr">
        <is>
          <t>Modular / portable power</t>
        </is>
      </c>
      <c r="D2018" s="9" t="inlineStr">
        <is>
          <t>CT / VT</t>
        </is>
      </c>
      <c r="E2018" s="9" t="inlineStr"/>
      <c r="F2018" s="9" t="inlineStr">
        <is>
          <t>PCM: power control module</t>
        </is>
      </c>
      <c r="G2018" s="9" t="inlineStr">
        <is>
          <t>T-MOD-2</t>
        </is>
      </c>
      <c r="H2018" s="9" t="inlineStr">
        <is>
          <t>T-MOD-2: 13.8/230 kV</t>
        </is>
      </c>
      <c r="I2018" s="9" t="inlineStr">
        <is>
          <t>Control</t>
        </is>
      </c>
      <c r="J2018" s="9" t="inlineStr">
        <is>
          <t>Control cable 600 V Type TC-ER, Cu #10 AWG (CT / VT circuits)</t>
        </is>
      </c>
      <c r="K2018" s="9" t="inlineStr">
        <is>
          <t>CTCT|4/C|10</t>
        </is>
      </c>
      <c r="L2018" s="9" t="inlineStr">
        <is>
          <t>4/C</t>
        </is>
      </c>
      <c r="M2018" s="9" t="inlineStr">
        <is>
          <t>10</t>
        </is>
      </c>
      <c r="N2018" s="9" t="n">
        <v>1</v>
      </c>
      <c r="O2018" s="9" t="n">
        <v>1</v>
      </c>
      <c r="P2018" s="9" t="n"/>
      <c r="Q2018" s="9" t="n"/>
      <c r="R2018" s="9" t="n"/>
      <c r="S2018" s="9" t="inlineStr">
        <is>
          <t>Duct bank</t>
        </is>
      </c>
      <c r="T2018" s="10" t="n">
        <v>385</v>
      </c>
      <c r="U2018" s="10" t="n">
        <v>172</v>
      </c>
      <c r="V2018" s="10">
        <f>ROUNDUP((T2018+U2018+2*'Read Me'!$B$13)*(1+'Read Me'!$B$12),-1)</f>
        <v/>
      </c>
      <c r="W2018" s="10">
        <f>V2018*N2018*O2018</f>
        <v/>
      </c>
      <c r="X2018" s="9">
        <f>IF(LEFT(I2018,2)="MV",2*N2018*IF(L2018="1/C",O2018,1),0)</f>
        <v/>
      </c>
      <c r="Y2018" s="9">
        <f>IF(OR(LEFT(K2018,4)="LVAX",LEFT(K2018,6)="MV15AX",LEFT(K2018,4)="CTAX",LEFT(K2018,2)="W|"),2*N2018*O2018,0)</f>
        <v/>
      </c>
      <c r="Z2018" s="9" t="inlineStr"/>
    </row>
    <row r="2019">
      <c r="A2019" s="9" t="inlineStr">
        <is>
          <t>I-C-0136</t>
        </is>
      </c>
      <c r="B2019" s="9" t="inlineStr">
        <is>
          <t>I</t>
        </is>
      </c>
      <c r="C2019" s="9" t="inlineStr">
        <is>
          <t>Modular / portable power</t>
        </is>
      </c>
      <c r="D2019" s="9" t="inlineStr">
        <is>
          <t>Control</t>
        </is>
      </c>
      <c r="E2019" s="9" t="inlineStr">
        <is>
          <t>PAD-EH</t>
        </is>
      </c>
      <c r="F2019" s="9" t="inlineStr">
        <is>
          <t>PAD-EH 13.8 kV switchgear e-house</t>
        </is>
      </c>
      <c r="G2019" s="9" t="inlineStr">
        <is>
          <t>TM-1</t>
        </is>
      </c>
      <c r="H2019" s="9" t="inlineStr">
        <is>
          <t>TM-1: trailer-mounted aeroderivative GT (TM2500 class, ~35 MW)</t>
        </is>
      </c>
      <c r="I2019" s="9" t="inlineStr">
        <is>
          <t>Control</t>
        </is>
      </c>
      <c r="J2019" s="9" t="inlineStr">
        <is>
          <t>Control cable 600 V Type TC-ER, Cu #14 AWG, PVC jacket</t>
        </is>
      </c>
      <c r="K2019" s="9" t="inlineStr">
        <is>
          <t>CT|7/C|14</t>
        </is>
      </c>
      <c r="L2019" s="9" t="inlineStr">
        <is>
          <t>7/C</t>
        </is>
      </c>
      <c r="M2019" s="9" t="inlineStr">
        <is>
          <t>14</t>
        </is>
      </c>
      <c r="N2019" s="9" t="n">
        <v>1</v>
      </c>
      <c r="O2019" s="9" t="n">
        <v>1</v>
      </c>
      <c r="P2019" s="9" t="n"/>
      <c r="Q2019" s="9" t="n"/>
      <c r="R2019" s="9" t="n"/>
      <c r="S2019" s="9" t="inlineStr">
        <is>
          <t>Surface</t>
        </is>
      </c>
      <c r="T2019" s="10" t="n">
        <v>185</v>
      </c>
      <c r="U2019" s="10" t="n">
        <v>27</v>
      </c>
      <c r="V2019" s="10">
        <f>ROUNDUP((T2019+U2019+2*'Read Me'!$B$13)*(1+'Read Me'!$B$12),-1)</f>
        <v/>
      </c>
      <c r="W2019" s="10">
        <f>V2019*N2019*O2019</f>
        <v/>
      </c>
      <c r="X2019" s="9">
        <f>IF(LEFT(I2019,2)="MV",2*N2019*IF(L2019="1/C",O2019,1),0)</f>
        <v/>
      </c>
      <c r="Y2019" s="9">
        <f>IF(OR(LEFT(K2019,4)="LVAX",LEFT(K2019,6)="MV15AX",LEFT(K2019,4)="CTAX",LEFT(K2019,2)="W|"),2*N2019*O2019,0)</f>
        <v/>
      </c>
      <c r="Z2019" s="9" t="inlineStr"/>
    </row>
    <row r="2020">
      <c r="A2020" s="9" t="inlineStr">
        <is>
          <t>I-C-0137</t>
        </is>
      </c>
      <c r="B2020" s="9" t="inlineStr">
        <is>
          <t>I</t>
        </is>
      </c>
      <c r="C2020" s="9" t="inlineStr">
        <is>
          <t>Modular / portable power</t>
        </is>
      </c>
      <c r="D2020" s="9" t="inlineStr">
        <is>
          <t>Control</t>
        </is>
      </c>
      <c r="E2020" s="9" t="inlineStr">
        <is>
          <t>PAD-EH</t>
        </is>
      </c>
      <c r="F2020" s="9" t="inlineStr">
        <is>
          <t>PAD-EH 13.8 kV switchgear e-house</t>
        </is>
      </c>
      <c r="G2020" s="9" t="inlineStr">
        <is>
          <t>TM-1</t>
        </is>
      </c>
      <c r="H2020" s="9" t="inlineStr">
        <is>
          <t>TM-1: trailer-mounted aeroderivative GT (TM2500 class, ~35 MW)</t>
        </is>
      </c>
      <c r="I2020" s="9" t="inlineStr">
        <is>
          <t>Control</t>
        </is>
      </c>
      <c r="J2020" s="9" t="inlineStr">
        <is>
          <t>Control cable 600 V Type TC-ER, Cu #14 AWG, PVC jacket</t>
        </is>
      </c>
      <c r="K2020" s="9" t="inlineStr">
        <is>
          <t>CT|7/C|14</t>
        </is>
      </c>
      <c r="L2020" s="9" t="inlineStr">
        <is>
          <t>7/C</t>
        </is>
      </c>
      <c r="M2020" s="9" t="inlineStr">
        <is>
          <t>14</t>
        </is>
      </c>
      <c r="N2020" s="9" t="n">
        <v>1</v>
      </c>
      <c r="O2020" s="9" t="n">
        <v>1</v>
      </c>
      <c r="P2020" s="9" t="n"/>
      <c r="Q2020" s="9" t="n"/>
      <c r="R2020" s="9" t="n"/>
      <c r="S2020" s="9" t="inlineStr">
        <is>
          <t>Surface</t>
        </is>
      </c>
      <c r="T2020" s="10" t="n">
        <v>185</v>
      </c>
      <c r="U2020" s="10" t="n">
        <v>27</v>
      </c>
      <c r="V2020" s="10">
        <f>ROUNDUP((T2020+U2020+2*'Read Me'!$B$13)*(1+'Read Me'!$B$12),-1)</f>
        <v/>
      </c>
      <c r="W2020" s="10">
        <f>V2020*N2020*O2020</f>
        <v/>
      </c>
      <c r="X2020" s="9">
        <f>IF(LEFT(I2020,2)="MV",2*N2020*IF(L2020="1/C",O2020,1),0)</f>
        <v/>
      </c>
      <c r="Y2020" s="9">
        <f>IF(OR(LEFT(K2020,4)="LVAX",LEFT(K2020,6)="MV15AX",LEFT(K2020,4)="CTAX",LEFT(K2020,2)="W|"),2*N2020*O2020,0)</f>
        <v/>
      </c>
      <c r="Z2020" s="9" t="inlineStr"/>
    </row>
    <row r="2021">
      <c r="A2021" s="9" t="inlineStr">
        <is>
          <t>I-C-0138</t>
        </is>
      </c>
      <c r="B2021" s="9" t="inlineStr">
        <is>
          <t>I</t>
        </is>
      </c>
      <c r="C2021" s="9" t="inlineStr">
        <is>
          <t>Modular / portable power</t>
        </is>
      </c>
      <c r="D2021" s="9" t="inlineStr">
        <is>
          <t>Control</t>
        </is>
      </c>
      <c r="E2021" s="9" t="inlineStr">
        <is>
          <t>PAD-EH</t>
        </is>
      </c>
      <c r="F2021" s="9" t="inlineStr">
        <is>
          <t>PAD-EH 13.8 kV switchgear e-house</t>
        </is>
      </c>
      <c r="G2021" s="9" t="inlineStr">
        <is>
          <t>TM-1</t>
        </is>
      </c>
      <c r="H2021" s="9" t="inlineStr">
        <is>
          <t>TM-1: trailer-mounted aeroderivative GT (TM2500 class, ~35 MW)</t>
        </is>
      </c>
      <c r="I2021" s="9" t="inlineStr">
        <is>
          <t>Control</t>
        </is>
      </c>
      <c r="J2021" s="9" t="inlineStr">
        <is>
          <t>Control cable 600 V Type TC-ER, Cu #14 AWG, PVC jacket</t>
        </is>
      </c>
      <c r="K2021" s="9" t="inlineStr">
        <is>
          <t>CT|12/C|14</t>
        </is>
      </c>
      <c r="L2021" s="9" t="inlineStr">
        <is>
          <t>12/C</t>
        </is>
      </c>
      <c r="M2021" s="9" t="inlineStr">
        <is>
          <t>14</t>
        </is>
      </c>
      <c r="N2021" s="9" t="n">
        <v>1</v>
      </c>
      <c r="O2021" s="9" t="n">
        <v>1</v>
      </c>
      <c r="P2021" s="9" t="n"/>
      <c r="Q2021" s="9" t="n"/>
      <c r="R2021" s="9" t="n"/>
      <c r="S2021" s="9" t="inlineStr">
        <is>
          <t>Surface</t>
        </is>
      </c>
      <c r="T2021" s="10" t="n">
        <v>185</v>
      </c>
      <c r="U2021" s="10" t="n">
        <v>27</v>
      </c>
      <c r="V2021" s="10">
        <f>ROUNDUP((T2021+U2021+2*'Read Me'!$B$13)*(1+'Read Me'!$B$12),-1)</f>
        <v/>
      </c>
      <c r="W2021" s="10">
        <f>V2021*N2021*O2021</f>
        <v/>
      </c>
      <c r="X2021" s="9">
        <f>IF(LEFT(I2021,2)="MV",2*N2021*IF(L2021="1/C",O2021,1),0)</f>
        <v/>
      </c>
      <c r="Y2021" s="9">
        <f>IF(OR(LEFT(K2021,4)="LVAX",LEFT(K2021,6)="MV15AX",LEFT(K2021,4)="CTAX",LEFT(K2021,2)="W|"),2*N2021*O2021,0)</f>
        <v/>
      </c>
      <c r="Z2021" s="9" t="inlineStr"/>
    </row>
    <row r="2022">
      <c r="A2022" s="9" t="inlineStr">
        <is>
          <t>I-C-0139</t>
        </is>
      </c>
      <c r="B2022" s="9" t="inlineStr">
        <is>
          <t>I</t>
        </is>
      </c>
      <c r="C2022" s="9" t="inlineStr">
        <is>
          <t>Modular / portable power</t>
        </is>
      </c>
      <c r="D2022" s="9" t="inlineStr">
        <is>
          <t>Control</t>
        </is>
      </c>
      <c r="E2022" s="9" t="inlineStr">
        <is>
          <t>PAD-EH</t>
        </is>
      </c>
      <c r="F2022" s="9" t="inlineStr">
        <is>
          <t>PAD-EH 13.8 kV switchgear e-house</t>
        </is>
      </c>
      <c r="G2022" s="9" t="inlineStr">
        <is>
          <t>TM-1</t>
        </is>
      </c>
      <c r="H2022" s="9" t="inlineStr">
        <is>
          <t>TM-1: trailer-mounted aeroderivative GT (TM2500 class, ~35 MW)</t>
        </is>
      </c>
      <c r="I2022" s="9" t="inlineStr">
        <is>
          <t>Control</t>
        </is>
      </c>
      <c r="J2022" s="9" t="inlineStr">
        <is>
          <t>Control cable 600 V Type TC-ER, Cu #14 AWG, PVC jacket</t>
        </is>
      </c>
      <c r="K2022" s="9" t="inlineStr">
        <is>
          <t>CT|12/C|14</t>
        </is>
      </c>
      <c r="L2022" s="9" t="inlineStr">
        <is>
          <t>12/C</t>
        </is>
      </c>
      <c r="M2022" s="9" t="inlineStr">
        <is>
          <t>14</t>
        </is>
      </c>
      <c r="N2022" s="9" t="n">
        <v>1</v>
      </c>
      <c r="O2022" s="9" t="n">
        <v>1</v>
      </c>
      <c r="P2022" s="9" t="n"/>
      <c r="Q2022" s="9" t="n"/>
      <c r="R2022" s="9" t="n"/>
      <c r="S2022" s="9" t="inlineStr">
        <is>
          <t>Surface</t>
        </is>
      </c>
      <c r="T2022" s="10" t="n">
        <v>185</v>
      </c>
      <c r="U2022" s="10" t="n">
        <v>27</v>
      </c>
      <c r="V2022" s="10">
        <f>ROUNDUP((T2022+U2022+2*'Read Me'!$B$13)*(1+'Read Me'!$B$12),-1)</f>
        <v/>
      </c>
      <c r="W2022" s="10">
        <f>V2022*N2022*O2022</f>
        <v/>
      </c>
      <c r="X2022" s="9">
        <f>IF(LEFT(I2022,2)="MV",2*N2022*IF(L2022="1/C",O2022,1),0)</f>
        <v/>
      </c>
      <c r="Y2022" s="9">
        <f>IF(OR(LEFT(K2022,4)="LVAX",LEFT(K2022,6)="MV15AX",LEFT(K2022,4)="CTAX",LEFT(K2022,2)="W|"),2*N2022*O2022,0)</f>
        <v/>
      </c>
      <c r="Z2022" s="9" t="inlineStr"/>
    </row>
    <row r="2023">
      <c r="A2023" s="9" t="inlineStr">
        <is>
          <t>I-C-0140</t>
        </is>
      </c>
      <c r="B2023" s="9" t="inlineStr">
        <is>
          <t>I</t>
        </is>
      </c>
      <c r="C2023" s="9" t="inlineStr">
        <is>
          <t>Modular / portable power</t>
        </is>
      </c>
      <c r="D2023" s="9" t="inlineStr">
        <is>
          <t>Control</t>
        </is>
      </c>
      <c r="E2023" s="9" t="inlineStr">
        <is>
          <t>PAD-EH</t>
        </is>
      </c>
      <c r="F2023" s="9" t="inlineStr">
        <is>
          <t>PAD-EH 13.8 kV switchgear e-house</t>
        </is>
      </c>
      <c r="G2023" s="9" t="inlineStr">
        <is>
          <t>TM-1</t>
        </is>
      </c>
      <c r="H2023" s="9" t="inlineStr">
        <is>
          <t>TM-1: trailer-mounted aeroderivative GT (TM2500 class, ~35 MW)</t>
        </is>
      </c>
      <c r="I2023" s="9" t="inlineStr">
        <is>
          <t>Control</t>
        </is>
      </c>
      <c r="J2023" s="9" t="inlineStr">
        <is>
          <t>Control cable 600 V Type TC-ER, Cu #14 AWG, PVC jacket</t>
        </is>
      </c>
      <c r="K2023" s="9" t="inlineStr">
        <is>
          <t>CT|12/C|14</t>
        </is>
      </c>
      <c r="L2023" s="9" t="inlineStr">
        <is>
          <t>12/C</t>
        </is>
      </c>
      <c r="M2023" s="9" t="inlineStr">
        <is>
          <t>14</t>
        </is>
      </c>
      <c r="N2023" s="9" t="n">
        <v>1</v>
      </c>
      <c r="O2023" s="9" t="n">
        <v>1</v>
      </c>
      <c r="P2023" s="9" t="n"/>
      <c r="Q2023" s="9" t="n"/>
      <c r="R2023" s="9" t="n"/>
      <c r="S2023" s="9" t="inlineStr">
        <is>
          <t>Surface</t>
        </is>
      </c>
      <c r="T2023" s="10" t="n">
        <v>185</v>
      </c>
      <c r="U2023" s="10" t="n">
        <v>27</v>
      </c>
      <c r="V2023" s="10">
        <f>ROUNDUP((T2023+U2023+2*'Read Me'!$B$13)*(1+'Read Me'!$B$12),-1)</f>
        <v/>
      </c>
      <c r="W2023" s="10">
        <f>V2023*N2023*O2023</f>
        <v/>
      </c>
      <c r="X2023" s="9">
        <f>IF(LEFT(I2023,2)="MV",2*N2023*IF(L2023="1/C",O2023,1),0)</f>
        <v/>
      </c>
      <c r="Y2023" s="9">
        <f>IF(OR(LEFT(K2023,4)="LVAX",LEFT(K2023,6)="MV15AX",LEFT(K2023,4)="CTAX",LEFT(K2023,2)="W|"),2*N2023*O2023,0)</f>
        <v/>
      </c>
      <c r="Z2023" s="9" t="inlineStr"/>
    </row>
    <row r="2024">
      <c r="A2024" s="9" t="inlineStr">
        <is>
          <t>I-C-0141</t>
        </is>
      </c>
      <c r="B2024" s="9" t="inlineStr">
        <is>
          <t>I</t>
        </is>
      </c>
      <c r="C2024" s="9" t="inlineStr">
        <is>
          <t>Modular / portable power</t>
        </is>
      </c>
      <c r="D2024" s="9" t="inlineStr">
        <is>
          <t>Control</t>
        </is>
      </c>
      <c r="E2024" s="9" t="inlineStr">
        <is>
          <t>PAD-EH</t>
        </is>
      </c>
      <c r="F2024" s="9" t="inlineStr">
        <is>
          <t>PAD-EH 13.8 kV switchgear e-house</t>
        </is>
      </c>
      <c r="G2024" s="9" t="inlineStr">
        <is>
          <t>TM-1</t>
        </is>
      </c>
      <c r="H2024" s="9" t="inlineStr">
        <is>
          <t>TM-1: trailer-mounted aeroderivative GT (TM2500 class, ~35 MW)</t>
        </is>
      </c>
      <c r="I2024" s="9" t="inlineStr">
        <is>
          <t>Control</t>
        </is>
      </c>
      <c r="J2024" s="9" t="inlineStr">
        <is>
          <t>Control cable 600 V Type TC-ER, Cu #14 AWG, PVC jacket</t>
        </is>
      </c>
      <c r="K2024" s="9" t="inlineStr">
        <is>
          <t>CT|12/C|14</t>
        </is>
      </c>
      <c r="L2024" s="9" t="inlineStr">
        <is>
          <t>12/C</t>
        </is>
      </c>
      <c r="M2024" s="9" t="inlineStr">
        <is>
          <t>14</t>
        </is>
      </c>
      <c r="N2024" s="9" t="n">
        <v>1</v>
      </c>
      <c r="O2024" s="9" t="n">
        <v>1</v>
      </c>
      <c r="P2024" s="9" t="n"/>
      <c r="Q2024" s="9" t="n"/>
      <c r="R2024" s="9" t="n"/>
      <c r="S2024" s="9" t="inlineStr">
        <is>
          <t>Surface</t>
        </is>
      </c>
      <c r="T2024" s="10" t="n">
        <v>185</v>
      </c>
      <c r="U2024" s="10" t="n">
        <v>27</v>
      </c>
      <c r="V2024" s="10">
        <f>ROUNDUP((T2024+U2024+2*'Read Me'!$B$13)*(1+'Read Me'!$B$12),-1)</f>
        <v/>
      </c>
      <c r="W2024" s="10">
        <f>V2024*N2024*O2024</f>
        <v/>
      </c>
      <c r="X2024" s="9">
        <f>IF(LEFT(I2024,2)="MV",2*N2024*IF(L2024="1/C",O2024,1),0)</f>
        <v/>
      </c>
      <c r="Y2024" s="9">
        <f>IF(OR(LEFT(K2024,4)="LVAX",LEFT(K2024,6)="MV15AX",LEFT(K2024,4)="CTAX",LEFT(K2024,2)="W|"),2*N2024*O2024,0)</f>
        <v/>
      </c>
      <c r="Z2024" s="9" t="inlineStr"/>
    </row>
    <row r="2025">
      <c r="A2025" s="9" t="inlineStr">
        <is>
          <t>I-C-0142</t>
        </is>
      </c>
      <c r="B2025" s="9" t="inlineStr">
        <is>
          <t>I</t>
        </is>
      </c>
      <c r="C2025" s="9" t="inlineStr">
        <is>
          <t>Modular / portable power</t>
        </is>
      </c>
      <c r="D2025" s="9" t="inlineStr">
        <is>
          <t>Control</t>
        </is>
      </c>
      <c r="E2025" s="9" t="inlineStr">
        <is>
          <t>PAD-EH</t>
        </is>
      </c>
      <c r="F2025" s="9" t="inlineStr">
        <is>
          <t>PAD-EH 13.8 kV switchgear e-house</t>
        </is>
      </c>
      <c r="G2025" s="9" t="inlineStr">
        <is>
          <t>TM-1</t>
        </is>
      </c>
      <c r="H2025" s="9" t="inlineStr">
        <is>
          <t>TM-1: trailer-mounted aeroderivative GT (TM2500 class, ~35 MW)</t>
        </is>
      </c>
      <c r="I2025" s="9" t="inlineStr">
        <is>
          <t>Control</t>
        </is>
      </c>
      <c r="J2025" s="9" t="inlineStr">
        <is>
          <t>Control cable 600 V Type TC-ER, Cu #14 AWG, PVC jacket</t>
        </is>
      </c>
      <c r="K2025" s="9" t="inlineStr">
        <is>
          <t>CT|12/C|14</t>
        </is>
      </c>
      <c r="L2025" s="9" t="inlineStr">
        <is>
          <t>12/C</t>
        </is>
      </c>
      <c r="M2025" s="9" t="inlineStr">
        <is>
          <t>14</t>
        </is>
      </c>
      <c r="N2025" s="9" t="n">
        <v>1</v>
      </c>
      <c r="O2025" s="9" t="n">
        <v>1</v>
      </c>
      <c r="P2025" s="9" t="n"/>
      <c r="Q2025" s="9" t="n"/>
      <c r="R2025" s="9" t="n"/>
      <c r="S2025" s="9" t="inlineStr">
        <is>
          <t>Surface</t>
        </is>
      </c>
      <c r="T2025" s="10" t="n">
        <v>185</v>
      </c>
      <c r="U2025" s="10" t="n">
        <v>27</v>
      </c>
      <c r="V2025" s="10">
        <f>ROUNDUP((T2025+U2025+2*'Read Me'!$B$13)*(1+'Read Me'!$B$12),-1)</f>
        <v/>
      </c>
      <c r="W2025" s="10">
        <f>V2025*N2025*O2025</f>
        <v/>
      </c>
      <c r="X2025" s="9">
        <f>IF(LEFT(I2025,2)="MV",2*N2025*IF(L2025="1/C",O2025,1),0)</f>
        <v/>
      </c>
      <c r="Y2025" s="9">
        <f>IF(OR(LEFT(K2025,4)="LVAX",LEFT(K2025,6)="MV15AX",LEFT(K2025,4)="CTAX",LEFT(K2025,2)="W|"),2*N2025*O2025,0)</f>
        <v/>
      </c>
      <c r="Z2025" s="9" t="inlineStr"/>
    </row>
    <row r="2026">
      <c r="A2026" s="9" t="inlineStr">
        <is>
          <t>I-C-0143</t>
        </is>
      </c>
      <c r="B2026" s="9" t="inlineStr">
        <is>
          <t>I</t>
        </is>
      </c>
      <c r="C2026" s="9" t="inlineStr">
        <is>
          <t>Modular / portable power</t>
        </is>
      </c>
      <c r="D2026" s="9" t="inlineStr">
        <is>
          <t>Control</t>
        </is>
      </c>
      <c r="E2026" s="9" t="inlineStr">
        <is>
          <t>PAD-EH</t>
        </is>
      </c>
      <c r="F2026" s="9" t="inlineStr">
        <is>
          <t>PAD-EH 13.8 kV switchgear e-house</t>
        </is>
      </c>
      <c r="G2026" s="9" t="inlineStr">
        <is>
          <t>TM-1</t>
        </is>
      </c>
      <c r="H2026" s="9" t="inlineStr">
        <is>
          <t>TM-1: trailer-mounted aeroderivative GT (TM2500 class, ~35 MW)</t>
        </is>
      </c>
      <c r="I2026" s="9" t="inlineStr">
        <is>
          <t>Control</t>
        </is>
      </c>
      <c r="J2026" s="9" t="inlineStr">
        <is>
          <t>Control cable 600 V Type TC-ER, Cu #14 AWG, PVC jacket</t>
        </is>
      </c>
      <c r="K2026" s="9" t="inlineStr">
        <is>
          <t>CT|12/C|14</t>
        </is>
      </c>
      <c r="L2026" s="9" t="inlineStr">
        <is>
          <t>12/C</t>
        </is>
      </c>
      <c r="M2026" s="9" t="inlineStr">
        <is>
          <t>14</t>
        </is>
      </c>
      <c r="N2026" s="9" t="n">
        <v>1</v>
      </c>
      <c r="O2026" s="9" t="n">
        <v>1</v>
      </c>
      <c r="P2026" s="9" t="n"/>
      <c r="Q2026" s="9" t="n"/>
      <c r="R2026" s="9" t="n"/>
      <c r="S2026" s="9" t="inlineStr">
        <is>
          <t>Surface</t>
        </is>
      </c>
      <c r="T2026" s="10" t="n">
        <v>185</v>
      </c>
      <c r="U2026" s="10" t="n">
        <v>27</v>
      </c>
      <c r="V2026" s="10">
        <f>ROUNDUP((T2026+U2026+2*'Read Me'!$B$13)*(1+'Read Me'!$B$12),-1)</f>
        <v/>
      </c>
      <c r="W2026" s="10">
        <f>V2026*N2026*O2026</f>
        <v/>
      </c>
      <c r="X2026" s="9">
        <f>IF(LEFT(I2026,2)="MV",2*N2026*IF(L2026="1/C",O2026,1),0)</f>
        <v/>
      </c>
      <c r="Y2026" s="9">
        <f>IF(OR(LEFT(K2026,4)="LVAX",LEFT(K2026,6)="MV15AX",LEFT(K2026,4)="CTAX",LEFT(K2026,2)="W|"),2*N2026*O2026,0)</f>
        <v/>
      </c>
      <c r="Z2026" s="9" t="inlineStr"/>
    </row>
    <row r="2027">
      <c r="A2027" s="9" t="inlineStr">
        <is>
          <t>I-C-0144</t>
        </is>
      </c>
      <c r="B2027" s="9" t="inlineStr">
        <is>
          <t>I</t>
        </is>
      </c>
      <c r="C2027" s="9" t="inlineStr">
        <is>
          <t>Modular / portable power</t>
        </is>
      </c>
      <c r="D2027" s="9" t="inlineStr">
        <is>
          <t>Control</t>
        </is>
      </c>
      <c r="E2027" s="9" t="inlineStr">
        <is>
          <t>PAD-EH</t>
        </is>
      </c>
      <c r="F2027" s="9" t="inlineStr">
        <is>
          <t>PAD-EH 13.8 kV switchgear e-house</t>
        </is>
      </c>
      <c r="G2027" s="9" t="inlineStr">
        <is>
          <t>TM-2</t>
        </is>
      </c>
      <c r="H2027" s="9" t="inlineStr">
        <is>
          <t>TM-2: trailer-mounted aeroderivative GT (TM2500 class, ~35 MW)</t>
        </is>
      </c>
      <c r="I2027" s="9" t="inlineStr">
        <is>
          <t>Control</t>
        </is>
      </c>
      <c r="J2027" s="9" t="inlineStr">
        <is>
          <t>Control cable 600 V Type TC-ER, Cu #14 AWG, PVC jacket</t>
        </is>
      </c>
      <c r="K2027" s="9" t="inlineStr">
        <is>
          <t>CT|7/C|14</t>
        </is>
      </c>
      <c r="L2027" s="9" t="inlineStr">
        <is>
          <t>7/C</t>
        </is>
      </c>
      <c r="M2027" s="9" t="inlineStr">
        <is>
          <t>14</t>
        </is>
      </c>
      <c r="N2027" s="9" t="n">
        <v>1</v>
      </c>
      <c r="O2027" s="9" t="n">
        <v>1</v>
      </c>
      <c r="P2027" s="9" t="n"/>
      <c r="Q2027" s="9" t="n"/>
      <c r="R2027" s="9" t="n"/>
      <c r="S2027" s="9" t="inlineStr">
        <is>
          <t>Surface</t>
        </is>
      </c>
      <c r="T2027" s="10" t="n">
        <v>70</v>
      </c>
      <c r="U2027" s="10" t="n">
        <v>47</v>
      </c>
      <c r="V2027" s="10">
        <f>ROUNDUP((T2027+U2027+2*'Read Me'!$B$13)*(1+'Read Me'!$B$12),-1)</f>
        <v/>
      </c>
      <c r="W2027" s="10">
        <f>V2027*N2027*O2027</f>
        <v/>
      </c>
      <c r="X2027" s="9">
        <f>IF(LEFT(I2027,2)="MV",2*N2027*IF(L2027="1/C",O2027,1),0)</f>
        <v/>
      </c>
      <c r="Y2027" s="9">
        <f>IF(OR(LEFT(K2027,4)="LVAX",LEFT(K2027,6)="MV15AX",LEFT(K2027,4)="CTAX",LEFT(K2027,2)="W|"),2*N2027*O2027,0)</f>
        <v/>
      </c>
      <c r="Z2027" s="9" t="inlineStr"/>
    </row>
    <row r="2028">
      <c r="A2028" s="9" t="inlineStr">
        <is>
          <t>I-C-0145</t>
        </is>
      </c>
      <c r="B2028" s="9" t="inlineStr">
        <is>
          <t>I</t>
        </is>
      </c>
      <c r="C2028" s="9" t="inlineStr">
        <is>
          <t>Modular / portable power</t>
        </is>
      </c>
      <c r="D2028" s="9" t="inlineStr">
        <is>
          <t>Control</t>
        </is>
      </c>
      <c r="E2028" s="9" t="inlineStr">
        <is>
          <t>PAD-EH</t>
        </is>
      </c>
      <c r="F2028" s="9" t="inlineStr">
        <is>
          <t>PAD-EH 13.8 kV switchgear e-house</t>
        </is>
      </c>
      <c r="G2028" s="9" t="inlineStr">
        <is>
          <t>TM-2</t>
        </is>
      </c>
      <c r="H2028" s="9" t="inlineStr">
        <is>
          <t>TM-2: trailer-mounted aeroderivative GT (TM2500 class, ~35 MW)</t>
        </is>
      </c>
      <c r="I2028" s="9" t="inlineStr">
        <is>
          <t>Control</t>
        </is>
      </c>
      <c r="J2028" s="9" t="inlineStr">
        <is>
          <t>Control cable 600 V Type TC-ER, Cu #14 AWG, PVC jacket</t>
        </is>
      </c>
      <c r="K2028" s="9" t="inlineStr">
        <is>
          <t>CT|7/C|14</t>
        </is>
      </c>
      <c r="L2028" s="9" t="inlineStr">
        <is>
          <t>7/C</t>
        </is>
      </c>
      <c r="M2028" s="9" t="inlineStr">
        <is>
          <t>14</t>
        </is>
      </c>
      <c r="N2028" s="9" t="n">
        <v>1</v>
      </c>
      <c r="O2028" s="9" t="n">
        <v>1</v>
      </c>
      <c r="P2028" s="9" t="n"/>
      <c r="Q2028" s="9" t="n"/>
      <c r="R2028" s="9" t="n"/>
      <c r="S2028" s="9" t="inlineStr">
        <is>
          <t>Surface</t>
        </is>
      </c>
      <c r="T2028" s="10" t="n">
        <v>70</v>
      </c>
      <c r="U2028" s="10" t="n">
        <v>47</v>
      </c>
      <c r="V2028" s="10">
        <f>ROUNDUP((T2028+U2028+2*'Read Me'!$B$13)*(1+'Read Me'!$B$12),-1)</f>
        <v/>
      </c>
      <c r="W2028" s="10">
        <f>V2028*N2028*O2028</f>
        <v/>
      </c>
      <c r="X2028" s="9">
        <f>IF(LEFT(I2028,2)="MV",2*N2028*IF(L2028="1/C",O2028,1),0)</f>
        <v/>
      </c>
      <c r="Y2028" s="9">
        <f>IF(OR(LEFT(K2028,4)="LVAX",LEFT(K2028,6)="MV15AX",LEFT(K2028,4)="CTAX",LEFT(K2028,2)="W|"),2*N2028*O2028,0)</f>
        <v/>
      </c>
      <c r="Z2028" s="9" t="inlineStr"/>
    </row>
    <row r="2029">
      <c r="A2029" s="9" t="inlineStr">
        <is>
          <t>I-C-0146</t>
        </is>
      </c>
      <c r="B2029" s="9" t="inlineStr">
        <is>
          <t>I</t>
        </is>
      </c>
      <c r="C2029" s="9" t="inlineStr">
        <is>
          <t>Modular / portable power</t>
        </is>
      </c>
      <c r="D2029" s="9" t="inlineStr">
        <is>
          <t>Control</t>
        </is>
      </c>
      <c r="E2029" s="9" t="inlineStr">
        <is>
          <t>PAD-EH</t>
        </is>
      </c>
      <c r="F2029" s="9" t="inlineStr">
        <is>
          <t>PAD-EH 13.8 kV switchgear e-house</t>
        </is>
      </c>
      <c r="G2029" s="9" t="inlineStr">
        <is>
          <t>TM-2</t>
        </is>
      </c>
      <c r="H2029" s="9" t="inlineStr">
        <is>
          <t>TM-2: trailer-mounted aeroderivative GT (TM2500 class, ~35 MW)</t>
        </is>
      </c>
      <c r="I2029" s="9" t="inlineStr">
        <is>
          <t>Control</t>
        </is>
      </c>
      <c r="J2029" s="9" t="inlineStr">
        <is>
          <t>Control cable 600 V Type TC-ER, Cu #14 AWG, PVC jacket</t>
        </is>
      </c>
      <c r="K2029" s="9" t="inlineStr">
        <is>
          <t>CT|12/C|14</t>
        </is>
      </c>
      <c r="L2029" s="9" t="inlineStr">
        <is>
          <t>12/C</t>
        </is>
      </c>
      <c r="M2029" s="9" t="inlineStr">
        <is>
          <t>14</t>
        </is>
      </c>
      <c r="N2029" s="9" t="n">
        <v>1</v>
      </c>
      <c r="O2029" s="9" t="n">
        <v>1</v>
      </c>
      <c r="P2029" s="9" t="n"/>
      <c r="Q2029" s="9" t="n"/>
      <c r="R2029" s="9" t="n"/>
      <c r="S2029" s="9" t="inlineStr">
        <is>
          <t>Surface</t>
        </is>
      </c>
      <c r="T2029" s="10" t="n">
        <v>70</v>
      </c>
      <c r="U2029" s="10" t="n">
        <v>47</v>
      </c>
      <c r="V2029" s="10">
        <f>ROUNDUP((T2029+U2029+2*'Read Me'!$B$13)*(1+'Read Me'!$B$12),-1)</f>
        <v/>
      </c>
      <c r="W2029" s="10">
        <f>V2029*N2029*O2029</f>
        <v/>
      </c>
      <c r="X2029" s="9">
        <f>IF(LEFT(I2029,2)="MV",2*N2029*IF(L2029="1/C",O2029,1),0)</f>
        <v/>
      </c>
      <c r="Y2029" s="9">
        <f>IF(OR(LEFT(K2029,4)="LVAX",LEFT(K2029,6)="MV15AX",LEFT(K2029,4)="CTAX",LEFT(K2029,2)="W|"),2*N2029*O2029,0)</f>
        <v/>
      </c>
      <c r="Z2029" s="9" t="inlineStr"/>
    </row>
    <row r="2030">
      <c r="A2030" s="9" t="inlineStr">
        <is>
          <t>I-C-0147</t>
        </is>
      </c>
      <c r="B2030" s="9" t="inlineStr">
        <is>
          <t>I</t>
        </is>
      </c>
      <c r="C2030" s="9" t="inlineStr">
        <is>
          <t>Modular / portable power</t>
        </is>
      </c>
      <c r="D2030" s="9" t="inlineStr">
        <is>
          <t>Control</t>
        </is>
      </c>
      <c r="E2030" s="9" t="inlineStr">
        <is>
          <t>PAD-EH</t>
        </is>
      </c>
      <c r="F2030" s="9" t="inlineStr">
        <is>
          <t>PAD-EH 13.8 kV switchgear e-house</t>
        </is>
      </c>
      <c r="G2030" s="9" t="inlineStr">
        <is>
          <t>TM-2</t>
        </is>
      </c>
      <c r="H2030" s="9" t="inlineStr">
        <is>
          <t>TM-2: trailer-mounted aeroderivative GT (TM2500 class, ~35 MW)</t>
        </is>
      </c>
      <c r="I2030" s="9" t="inlineStr">
        <is>
          <t>Control</t>
        </is>
      </c>
      <c r="J2030" s="9" t="inlineStr">
        <is>
          <t>Control cable 600 V Type TC-ER, Cu #14 AWG, PVC jacket</t>
        </is>
      </c>
      <c r="K2030" s="9" t="inlineStr">
        <is>
          <t>CT|12/C|14</t>
        </is>
      </c>
      <c r="L2030" s="9" t="inlineStr">
        <is>
          <t>12/C</t>
        </is>
      </c>
      <c r="M2030" s="9" t="inlineStr">
        <is>
          <t>14</t>
        </is>
      </c>
      <c r="N2030" s="9" t="n">
        <v>1</v>
      </c>
      <c r="O2030" s="9" t="n">
        <v>1</v>
      </c>
      <c r="P2030" s="9" t="n"/>
      <c r="Q2030" s="9" t="n"/>
      <c r="R2030" s="9" t="n"/>
      <c r="S2030" s="9" t="inlineStr">
        <is>
          <t>Surface</t>
        </is>
      </c>
      <c r="T2030" s="10" t="n">
        <v>70</v>
      </c>
      <c r="U2030" s="10" t="n">
        <v>47</v>
      </c>
      <c r="V2030" s="10">
        <f>ROUNDUP((T2030+U2030+2*'Read Me'!$B$13)*(1+'Read Me'!$B$12),-1)</f>
        <v/>
      </c>
      <c r="W2030" s="10">
        <f>V2030*N2030*O2030</f>
        <v/>
      </c>
      <c r="X2030" s="9">
        <f>IF(LEFT(I2030,2)="MV",2*N2030*IF(L2030="1/C",O2030,1),0)</f>
        <v/>
      </c>
      <c r="Y2030" s="9">
        <f>IF(OR(LEFT(K2030,4)="LVAX",LEFT(K2030,6)="MV15AX",LEFT(K2030,4)="CTAX",LEFT(K2030,2)="W|"),2*N2030*O2030,0)</f>
        <v/>
      </c>
      <c r="Z2030" s="9" t="inlineStr"/>
    </row>
    <row r="2031">
      <c r="A2031" s="9" t="inlineStr">
        <is>
          <t>I-C-0148</t>
        </is>
      </c>
      <c r="B2031" s="9" t="inlineStr">
        <is>
          <t>I</t>
        </is>
      </c>
      <c r="C2031" s="9" t="inlineStr">
        <is>
          <t>Modular / portable power</t>
        </is>
      </c>
      <c r="D2031" s="9" t="inlineStr">
        <is>
          <t>Control</t>
        </is>
      </c>
      <c r="E2031" s="9" t="inlineStr">
        <is>
          <t>PAD-EH</t>
        </is>
      </c>
      <c r="F2031" s="9" t="inlineStr">
        <is>
          <t>PAD-EH 13.8 kV switchgear e-house</t>
        </is>
      </c>
      <c r="G2031" s="9" t="inlineStr">
        <is>
          <t>TM-2</t>
        </is>
      </c>
      <c r="H2031" s="9" t="inlineStr">
        <is>
          <t>TM-2: trailer-mounted aeroderivative GT (TM2500 class, ~35 MW)</t>
        </is>
      </c>
      <c r="I2031" s="9" t="inlineStr">
        <is>
          <t>Control</t>
        </is>
      </c>
      <c r="J2031" s="9" t="inlineStr">
        <is>
          <t>Control cable 600 V Type TC-ER, Cu #14 AWG, PVC jacket</t>
        </is>
      </c>
      <c r="K2031" s="9" t="inlineStr">
        <is>
          <t>CT|12/C|14</t>
        </is>
      </c>
      <c r="L2031" s="9" t="inlineStr">
        <is>
          <t>12/C</t>
        </is>
      </c>
      <c r="M2031" s="9" t="inlineStr">
        <is>
          <t>14</t>
        </is>
      </c>
      <c r="N2031" s="9" t="n">
        <v>1</v>
      </c>
      <c r="O2031" s="9" t="n">
        <v>1</v>
      </c>
      <c r="P2031" s="9" t="n"/>
      <c r="Q2031" s="9" t="n"/>
      <c r="R2031" s="9" t="n"/>
      <c r="S2031" s="9" t="inlineStr">
        <is>
          <t>Surface</t>
        </is>
      </c>
      <c r="T2031" s="10" t="n">
        <v>70</v>
      </c>
      <c r="U2031" s="10" t="n">
        <v>47</v>
      </c>
      <c r="V2031" s="10">
        <f>ROUNDUP((T2031+U2031+2*'Read Me'!$B$13)*(1+'Read Me'!$B$12),-1)</f>
        <v/>
      </c>
      <c r="W2031" s="10">
        <f>V2031*N2031*O2031</f>
        <v/>
      </c>
      <c r="X2031" s="9">
        <f>IF(LEFT(I2031,2)="MV",2*N2031*IF(L2031="1/C",O2031,1),0)</f>
        <v/>
      </c>
      <c r="Y2031" s="9">
        <f>IF(OR(LEFT(K2031,4)="LVAX",LEFT(K2031,6)="MV15AX",LEFT(K2031,4)="CTAX",LEFT(K2031,2)="W|"),2*N2031*O2031,0)</f>
        <v/>
      </c>
      <c r="Z2031" s="9" t="inlineStr"/>
    </row>
    <row r="2032">
      <c r="A2032" s="9" t="inlineStr">
        <is>
          <t>I-C-0149</t>
        </is>
      </c>
      <c r="B2032" s="9" t="inlineStr">
        <is>
          <t>I</t>
        </is>
      </c>
      <c r="C2032" s="9" t="inlineStr">
        <is>
          <t>Modular / portable power</t>
        </is>
      </c>
      <c r="D2032" s="9" t="inlineStr">
        <is>
          <t>Control</t>
        </is>
      </c>
      <c r="E2032" s="9" t="inlineStr">
        <is>
          <t>PAD-EH</t>
        </is>
      </c>
      <c r="F2032" s="9" t="inlineStr">
        <is>
          <t>PAD-EH 13.8 kV switchgear e-house</t>
        </is>
      </c>
      <c r="G2032" s="9" t="inlineStr">
        <is>
          <t>TM-2</t>
        </is>
      </c>
      <c r="H2032" s="9" t="inlineStr">
        <is>
          <t>TM-2: trailer-mounted aeroderivative GT (TM2500 class, ~35 MW)</t>
        </is>
      </c>
      <c r="I2032" s="9" t="inlineStr">
        <is>
          <t>Control</t>
        </is>
      </c>
      <c r="J2032" s="9" t="inlineStr">
        <is>
          <t>Control cable 600 V Type TC-ER, Cu #14 AWG, PVC jacket</t>
        </is>
      </c>
      <c r="K2032" s="9" t="inlineStr">
        <is>
          <t>CT|12/C|14</t>
        </is>
      </c>
      <c r="L2032" s="9" t="inlineStr">
        <is>
          <t>12/C</t>
        </is>
      </c>
      <c r="M2032" s="9" t="inlineStr">
        <is>
          <t>14</t>
        </is>
      </c>
      <c r="N2032" s="9" t="n">
        <v>1</v>
      </c>
      <c r="O2032" s="9" t="n">
        <v>1</v>
      </c>
      <c r="P2032" s="9" t="n"/>
      <c r="Q2032" s="9" t="n"/>
      <c r="R2032" s="9" t="n"/>
      <c r="S2032" s="9" t="inlineStr">
        <is>
          <t>Surface</t>
        </is>
      </c>
      <c r="T2032" s="10" t="n">
        <v>70</v>
      </c>
      <c r="U2032" s="10" t="n">
        <v>47</v>
      </c>
      <c r="V2032" s="10">
        <f>ROUNDUP((T2032+U2032+2*'Read Me'!$B$13)*(1+'Read Me'!$B$12),-1)</f>
        <v/>
      </c>
      <c r="W2032" s="10">
        <f>V2032*N2032*O2032</f>
        <v/>
      </c>
      <c r="X2032" s="9">
        <f>IF(LEFT(I2032,2)="MV",2*N2032*IF(L2032="1/C",O2032,1),0)</f>
        <v/>
      </c>
      <c r="Y2032" s="9">
        <f>IF(OR(LEFT(K2032,4)="LVAX",LEFT(K2032,6)="MV15AX",LEFT(K2032,4)="CTAX",LEFT(K2032,2)="W|"),2*N2032*O2032,0)</f>
        <v/>
      </c>
      <c r="Z2032" s="9" t="inlineStr"/>
    </row>
    <row r="2033">
      <c r="A2033" s="9" t="inlineStr">
        <is>
          <t>I-C-0150</t>
        </is>
      </c>
      <c r="B2033" s="9" t="inlineStr">
        <is>
          <t>I</t>
        </is>
      </c>
      <c r="C2033" s="9" t="inlineStr">
        <is>
          <t>Modular / portable power</t>
        </is>
      </c>
      <c r="D2033" s="9" t="inlineStr">
        <is>
          <t>Control</t>
        </is>
      </c>
      <c r="E2033" s="9" t="inlineStr">
        <is>
          <t>PAD-EH</t>
        </is>
      </c>
      <c r="F2033" s="9" t="inlineStr">
        <is>
          <t>PAD-EH 13.8 kV switchgear e-house</t>
        </is>
      </c>
      <c r="G2033" s="9" t="inlineStr">
        <is>
          <t>TM-2</t>
        </is>
      </c>
      <c r="H2033" s="9" t="inlineStr">
        <is>
          <t>TM-2: trailer-mounted aeroderivative GT (TM2500 class, ~35 MW)</t>
        </is>
      </c>
      <c r="I2033" s="9" t="inlineStr">
        <is>
          <t>Control</t>
        </is>
      </c>
      <c r="J2033" s="9" t="inlineStr">
        <is>
          <t>Control cable 600 V Type TC-ER, Cu #14 AWG, PVC jacket</t>
        </is>
      </c>
      <c r="K2033" s="9" t="inlineStr">
        <is>
          <t>CT|12/C|14</t>
        </is>
      </c>
      <c r="L2033" s="9" t="inlineStr">
        <is>
          <t>12/C</t>
        </is>
      </c>
      <c r="M2033" s="9" t="inlineStr">
        <is>
          <t>14</t>
        </is>
      </c>
      <c r="N2033" s="9" t="n">
        <v>1</v>
      </c>
      <c r="O2033" s="9" t="n">
        <v>1</v>
      </c>
      <c r="P2033" s="9" t="n"/>
      <c r="Q2033" s="9" t="n"/>
      <c r="R2033" s="9" t="n"/>
      <c r="S2033" s="9" t="inlineStr">
        <is>
          <t>Surface</t>
        </is>
      </c>
      <c r="T2033" s="10" t="n">
        <v>70</v>
      </c>
      <c r="U2033" s="10" t="n">
        <v>47</v>
      </c>
      <c r="V2033" s="10">
        <f>ROUNDUP((T2033+U2033+2*'Read Me'!$B$13)*(1+'Read Me'!$B$12),-1)</f>
        <v/>
      </c>
      <c r="W2033" s="10">
        <f>V2033*N2033*O2033</f>
        <v/>
      </c>
      <c r="X2033" s="9">
        <f>IF(LEFT(I2033,2)="MV",2*N2033*IF(L2033="1/C",O2033,1),0)</f>
        <v/>
      </c>
      <c r="Y2033" s="9">
        <f>IF(OR(LEFT(K2033,4)="LVAX",LEFT(K2033,6)="MV15AX",LEFT(K2033,4)="CTAX",LEFT(K2033,2)="W|"),2*N2033*O2033,0)</f>
        <v/>
      </c>
      <c r="Z2033" s="9" t="inlineStr"/>
    </row>
    <row r="2034">
      <c r="A2034" s="9" t="inlineStr">
        <is>
          <t>I-C-0151</t>
        </is>
      </c>
      <c r="B2034" s="9" t="inlineStr">
        <is>
          <t>I</t>
        </is>
      </c>
      <c r="C2034" s="9" t="inlineStr">
        <is>
          <t>Modular / portable power</t>
        </is>
      </c>
      <c r="D2034" s="9" t="inlineStr">
        <is>
          <t>Control</t>
        </is>
      </c>
      <c r="E2034" s="9" t="inlineStr">
        <is>
          <t>PAD-EH</t>
        </is>
      </c>
      <c r="F2034" s="9" t="inlineStr">
        <is>
          <t>PAD-EH 13.8 kV switchgear e-house</t>
        </is>
      </c>
      <c r="G2034" s="9" t="inlineStr">
        <is>
          <t>TM-2</t>
        </is>
      </c>
      <c r="H2034" s="9" t="inlineStr">
        <is>
          <t>TM-2: trailer-mounted aeroderivative GT (TM2500 class, ~35 MW)</t>
        </is>
      </c>
      <c r="I2034" s="9" t="inlineStr">
        <is>
          <t>Control</t>
        </is>
      </c>
      <c r="J2034" s="9" t="inlineStr">
        <is>
          <t>Control cable 600 V Type TC-ER, Cu #14 AWG, PVC jacket</t>
        </is>
      </c>
      <c r="K2034" s="9" t="inlineStr">
        <is>
          <t>CT|12/C|14</t>
        </is>
      </c>
      <c r="L2034" s="9" t="inlineStr">
        <is>
          <t>12/C</t>
        </is>
      </c>
      <c r="M2034" s="9" t="inlineStr">
        <is>
          <t>14</t>
        </is>
      </c>
      <c r="N2034" s="9" t="n">
        <v>1</v>
      </c>
      <c r="O2034" s="9" t="n">
        <v>1</v>
      </c>
      <c r="P2034" s="9" t="n"/>
      <c r="Q2034" s="9" t="n"/>
      <c r="R2034" s="9" t="n"/>
      <c r="S2034" s="9" t="inlineStr">
        <is>
          <t>Surface</t>
        </is>
      </c>
      <c r="T2034" s="10" t="n">
        <v>70</v>
      </c>
      <c r="U2034" s="10" t="n">
        <v>47</v>
      </c>
      <c r="V2034" s="10">
        <f>ROUNDUP((T2034+U2034+2*'Read Me'!$B$13)*(1+'Read Me'!$B$12),-1)</f>
        <v/>
      </c>
      <c r="W2034" s="10">
        <f>V2034*N2034*O2034</f>
        <v/>
      </c>
      <c r="X2034" s="9">
        <f>IF(LEFT(I2034,2)="MV",2*N2034*IF(L2034="1/C",O2034,1),0)</f>
        <v/>
      </c>
      <c r="Y2034" s="9">
        <f>IF(OR(LEFT(K2034,4)="LVAX",LEFT(K2034,6)="MV15AX",LEFT(K2034,4)="CTAX",LEFT(K2034,2)="W|"),2*N2034*O2034,0)</f>
        <v/>
      </c>
      <c r="Z2034" s="9" t="inlineStr"/>
    </row>
    <row r="2035">
      <c r="A2035" s="9" t="inlineStr">
        <is>
          <t>I-C-0152</t>
        </is>
      </c>
      <c r="B2035" s="9" t="inlineStr">
        <is>
          <t>I</t>
        </is>
      </c>
      <c r="C2035" s="9" t="inlineStr">
        <is>
          <t>Modular / portable power</t>
        </is>
      </c>
      <c r="D2035" s="9" t="inlineStr">
        <is>
          <t>Control</t>
        </is>
      </c>
      <c r="E2035" s="9" t="inlineStr"/>
      <c r="F2035" s="9" t="inlineStr">
        <is>
          <t>PCM: power control module</t>
        </is>
      </c>
      <c r="G2035" s="9" t="inlineStr"/>
      <c r="H2035" s="9" t="inlineStr">
        <is>
          <t>Water-injection skid</t>
        </is>
      </c>
      <c r="I2035" s="9" t="inlineStr">
        <is>
          <t>Control</t>
        </is>
      </c>
      <c r="J2035" s="9" t="inlineStr">
        <is>
          <t>Control cable 600 V Type TC-ER, Cu #14 AWG, PVC jacket</t>
        </is>
      </c>
      <c r="K2035" s="9" t="inlineStr">
        <is>
          <t>CT|7/C|14</t>
        </is>
      </c>
      <c r="L2035" s="9" t="inlineStr">
        <is>
          <t>7/C</t>
        </is>
      </c>
      <c r="M2035" s="9" t="inlineStr">
        <is>
          <t>14</t>
        </is>
      </c>
      <c r="N2035" s="9" t="n">
        <v>1</v>
      </c>
      <c r="O2035" s="9" t="n">
        <v>1</v>
      </c>
      <c r="P2035" s="9" t="n"/>
      <c r="Q2035" s="9" t="n"/>
      <c r="R2035" s="9" t="n"/>
      <c r="S2035" s="9" t="inlineStr">
        <is>
          <t>Duct bank</t>
        </is>
      </c>
      <c r="T2035" s="10" t="n">
        <v>400</v>
      </c>
      <c r="U2035" s="10" t="n">
        <v>176</v>
      </c>
      <c r="V2035" s="10">
        <f>ROUNDUP((T2035+U2035+2*'Read Me'!$B$13)*(1+'Read Me'!$B$12),-1)</f>
        <v/>
      </c>
      <c r="W2035" s="10">
        <f>V2035*N2035*O2035</f>
        <v/>
      </c>
      <c r="X2035" s="9">
        <f>IF(LEFT(I2035,2)="MV",2*N2035*IF(L2035="1/C",O2035,1),0)</f>
        <v/>
      </c>
      <c r="Y2035" s="9">
        <f>IF(OR(LEFT(K2035,4)="LVAX",LEFT(K2035,6)="MV15AX",LEFT(K2035,4)="CTAX",LEFT(K2035,2)="W|"),2*N2035*O2035,0)</f>
        <v/>
      </c>
      <c r="Z2035" s="9" t="inlineStr"/>
    </row>
    <row r="2036">
      <c r="A2036" s="9" t="inlineStr">
        <is>
          <t>I-F-0001</t>
        </is>
      </c>
      <c r="B2036" s="9" t="inlineStr">
        <is>
          <t>I</t>
        </is>
      </c>
      <c r="C2036" s="9" t="inlineStr">
        <is>
          <t>Modular / portable power</t>
        </is>
      </c>
      <c r="D2036" s="9" t="inlineStr">
        <is>
          <t>Plant network / DCS fibre</t>
        </is>
      </c>
      <c r="E2036" s="9" t="inlineStr">
        <is>
          <t>CR</t>
        </is>
      </c>
      <c r="F2036" s="9" t="inlineStr">
        <is>
          <t>Control / admin building (main control room)</t>
        </is>
      </c>
      <c r="G2036" s="9" t="inlineStr">
        <is>
          <t>CONT-EH</t>
        </is>
      </c>
      <c r="H2036" s="9" t="inlineStr">
        <is>
          <t>CONT paralleling switchgear e-house</t>
        </is>
      </c>
      <c r="I2036" s="9" t="inlineStr">
        <is>
          <t>Fibre / data</t>
        </is>
      </c>
      <c r="J2036" s="9" t="inlineStr">
        <is>
          <t>Fibre optic, single-mode, 12-fibre, armored, orange jacket</t>
        </is>
      </c>
      <c r="K2036" s="9" t="inlineStr">
        <is>
          <t>FO|12 SM|-</t>
        </is>
      </c>
      <c r="L2036" s="9" t="inlineStr">
        <is>
          <t>12 SM</t>
        </is>
      </c>
      <c r="M2036" s="9" t="inlineStr">
        <is>
          <t>-</t>
        </is>
      </c>
      <c r="N2036" s="9" t="n">
        <v>1</v>
      </c>
      <c r="O2036" s="9" t="n">
        <v>1</v>
      </c>
      <c r="P2036" s="9" t="n"/>
      <c r="Q2036" s="9" t="n"/>
      <c r="R2036" s="9" t="n"/>
      <c r="S2036" s="9" t="inlineStr">
        <is>
          <t>Estimated</t>
        </is>
      </c>
      <c r="T2036" s="10" t="n">
        <v>2182</v>
      </c>
      <c r="U2036" s="10" t="n">
        <v>40</v>
      </c>
      <c r="V2036" s="10">
        <f>ROUNDUP((T2036+U2036+2*'Read Me'!$B$13)*(1+'Read Me'!$B$12),-1)</f>
        <v/>
      </c>
      <c r="W2036" s="10">
        <f>V2036*N2036*O2036</f>
        <v/>
      </c>
      <c r="X2036" s="9">
        <f>IF(LEFT(I2036,2)="MV",2*N2036*IF(L2036="1/C",O2036,1),0)</f>
        <v/>
      </c>
      <c r="Y2036" s="9">
        <f>IF(OR(LEFT(K2036,4)="LVAX",LEFT(K2036,6)="MV15AX",LEFT(K2036,4)="CTAX",LEFT(K2036,2)="W|"),2*N2036*O2036,0)</f>
        <v/>
      </c>
      <c r="Z2036" s="9" t="inlineStr"/>
    </row>
    <row r="2037">
      <c r="A2037" s="9" t="inlineStr">
        <is>
          <t>I-F-0002</t>
        </is>
      </c>
      <c r="B2037" s="9" t="inlineStr">
        <is>
          <t>I</t>
        </is>
      </c>
      <c r="C2037" s="9" t="inlineStr">
        <is>
          <t>Modular / portable power</t>
        </is>
      </c>
      <c r="D2037" s="9" t="inlineStr">
        <is>
          <t>Plant network / DCS fibre</t>
        </is>
      </c>
      <c r="E2037" s="9" t="inlineStr">
        <is>
          <t>CR</t>
        </is>
      </c>
      <c r="F2037" s="9" t="inlineStr">
        <is>
          <t>Control / admin building (main control room)</t>
        </is>
      </c>
      <c r="G2037" s="9" t="inlineStr"/>
      <c r="H2037" s="9" t="inlineStr">
        <is>
          <t>Lube oil / starting air / oily water building</t>
        </is>
      </c>
      <c r="I2037" s="9" t="inlineStr">
        <is>
          <t>Fibre / data</t>
        </is>
      </c>
      <c r="J2037" s="9" t="inlineStr">
        <is>
          <t>Fibre optic, single-mode, 12-fibre, armored, orange jacket</t>
        </is>
      </c>
      <c r="K2037" s="9" t="inlineStr">
        <is>
          <t>FO|12 SM|-</t>
        </is>
      </c>
      <c r="L2037" s="9" t="inlineStr">
        <is>
          <t>12 SM</t>
        </is>
      </c>
      <c r="M2037" s="9" t="inlineStr">
        <is>
          <t>-</t>
        </is>
      </c>
      <c r="N2037" s="9" t="n">
        <v>1</v>
      </c>
      <c r="O2037" s="9" t="n">
        <v>1</v>
      </c>
      <c r="P2037" s="9" t="n"/>
      <c r="Q2037" s="9" t="n"/>
      <c r="R2037" s="9" t="n"/>
      <c r="S2037" s="9" t="inlineStr">
        <is>
          <t>Duct bank</t>
        </is>
      </c>
      <c r="T2037" s="10" t="n">
        <v>4898</v>
      </c>
      <c r="U2037" s="10" t="n">
        <v>33</v>
      </c>
      <c r="V2037" s="10">
        <f>ROUNDUP((T2037+U2037+2*'Read Me'!$B$13)*(1+'Read Me'!$B$12),-1)</f>
        <v/>
      </c>
      <c r="W2037" s="10">
        <f>V2037*N2037*O2037</f>
        <v/>
      </c>
      <c r="X2037" s="9">
        <f>IF(LEFT(I2037,2)="MV",2*N2037*IF(L2037="1/C",O2037,1),0)</f>
        <v/>
      </c>
      <c r="Y2037" s="9">
        <f>IF(OR(LEFT(K2037,4)="LVAX",LEFT(K2037,6)="MV15AX",LEFT(K2037,4)="CTAX",LEFT(K2037,2)="W|"),2*N2037*O2037,0)</f>
        <v/>
      </c>
      <c r="Z2037" s="9" t="inlineStr"/>
    </row>
    <row r="2038">
      <c r="A2038" s="9" t="inlineStr">
        <is>
          <t>I-F-0003</t>
        </is>
      </c>
      <c r="B2038" s="9" t="inlineStr">
        <is>
          <t>I</t>
        </is>
      </c>
      <c r="C2038" s="9" t="inlineStr">
        <is>
          <t>Modular / portable power</t>
        </is>
      </c>
      <c r="D2038" s="9" t="inlineStr">
        <is>
          <t>Plant network / DCS fibre</t>
        </is>
      </c>
      <c r="E2038" s="9" t="inlineStr">
        <is>
          <t>CR</t>
        </is>
      </c>
      <c r="F2038" s="9" t="inlineStr">
        <is>
          <t>Control / admin building (main control room)</t>
        </is>
      </c>
      <c r="G2038" s="9" t="inlineStr">
        <is>
          <t>MOD-EH</t>
        </is>
      </c>
      <c r="H2038" s="9" t="inlineStr">
        <is>
          <t>MOD-EH: 13.8 kV modular collector e-house</t>
        </is>
      </c>
      <c r="I2038" s="9" t="inlineStr">
        <is>
          <t>Fibre / data</t>
        </is>
      </c>
      <c r="J2038" s="9" t="inlineStr">
        <is>
          <t>Fibre optic, single-mode, 12-fibre, armored, orange jacket</t>
        </is>
      </c>
      <c r="K2038" s="9" t="inlineStr">
        <is>
          <t>FO|12 SM|-</t>
        </is>
      </c>
      <c r="L2038" s="9" t="inlineStr">
        <is>
          <t>12 SM</t>
        </is>
      </c>
      <c r="M2038" s="9" t="inlineStr">
        <is>
          <t>-</t>
        </is>
      </c>
      <c r="N2038" s="9" t="n">
        <v>1</v>
      </c>
      <c r="O2038" s="9" t="n">
        <v>1</v>
      </c>
      <c r="P2038" s="9" t="n"/>
      <c r="Q2038" s="9" t="n"/>
      <c r="R2038" s="9" t="n"/>
      <c r="S2038" s="9" t="inlineStr">
        <is>
          <t>Trench</t>
        </is>
      </c>
      <c r="T2038" s="10" t="n">
        <v>4243</v>
      </c>
      <c r="U2038" s="10" t="n">
        <v>33</v>
      </c>
      <c r="V2038" s="10">
        <f>ROUNDUP((T2038+U2038+2*'Read Me'!$B$13)*(1+'Read Me'!$B$12),-1)</f>
        <v/>
      </c>
      <c r="W2038" s="10">
        <f>V2038*N2038*O2038</f>
        <v/>
      </c>
      <c r="X2038" s="9">
        <f>IF(LEFT(I2038,2)="MV",2*N2038*IF(L2038="1/C",O2038,1),0)</f>
        <v/>
      </c>
      <c r="Y2038" s="9">
        <f>IF(OR(LEFT(K2038,4)="LVAX",LEFT(K2038,6)="MV15AX",LEFT(K2038,4)="CTAX",LEFT(K2038,2)="W|"),2*N2038*O2038,0)</f>
        <v/>
      </c>
      <c r="Z2038" s="9" t="inlineStr"/>
    </row>
    <row r="2039">
      <c r="A2039" s="9" t="inlineStr">
        <is>
          <t>I-F-0004</t>
        </is>
      </c>
      <c r="B2039" s="9" t="inlineStr">
        <is>
          <t>I</t>
        </is>
      </c>
      <c r="C2039" s="9" t="inlineStr">
        <is>
          <t>Modular / portable power</t>
        </is>
      </c>
      <c r="D2039" s="9" t="inlineStr">
        <is>
          <t>Plant network / DCS fibre</t>
        </is>
      </c>
      <c r="E2039" s="9" t="inlineStr">
        <is>
          <t>CR</t>
        </is>
      </c>
      <c r="F2039" s="9" t="inlineStr">
        <is>
          <t>Control / admin building (main control room)</t>
        </is>
      </c>
      <c r="G2039" s="9" t="inlineStr"/>
      <c r="H2039" s="9" t="inlineStr">
        <is>
          <t>PCM: power control module</t>
        </is>
      </c>
      <c r="I2039" s="9" t="inlineStr">
        <is>
          <t>Fibre / data</t>
        </is>
      </c>
      <c r="J2039" s="9" t="inlineStr">
        <is>
          <t>Fibre optic, single-mode, 12-fibre, armored, orange jacket</t>
        </is>
      </c>
      <c r="K2039" s="9" t="inlineStr">
        <is>
          <t>FO|12 SM|-</t>
        </is>
      </c>
      <c r="L2039" s="9" t="inlineStr">
        <is>
          <t>12 SM</t>
        </is>
      </c>
      <c r="M2039" s="9" t="inlineStr">
        <is>
          <t>-</t>
        </is>
      </c>
      <c r="N2039" s="9" t="n">
        <v>1</v>
      </c>
      <c r="O2039" s="9" t="n">
        <v>1</v>
      </c>
      <c r="P2039" s="9" t="n"/>
      <c r="Q2039" s="9" t="n"/>
      <c r="R2039" s="9" t="n"/>
      <c r="S2039" s="9" t="inlineStr">
        <is>
          <t>Duct bank</t>
        </is>
      </c>
      <c r="T2039" s="10" t="n">
        <v>4674</v>
      </c>
      <c r="U2039" s="10" t="n">
        <v>33</v>
      </c>
      <c r="V2039" s="10">
        <f>ROUNDUP((T2039+U2039+2*'Read Me'!$B$13)*(1+'Read Me'!$B$12),-1)</f>
        <v/>
      </c>
      <c r="W2039" s="10">
        <f>V2039*N2039*O2039</f>
        <v/>
      </c>
      <c r="X2039" s="9">
        <f>IF(LEFT(I2039,2)="MV",2*N2039*IF(L2039="1/C",O2039,1),0)</f>
        <v/>
      </c>
      <c r="Y2039" s="9">
        <f>IF(OR(LEFT(K2039,4)="LVAX",LEFT(K2039,6)="MV15AX",LEFT(K2039,4)="CTAX",LEFT(K2039,2)="W|"),2*N2039*O2039,0)</f>
        <v/>
      </c>
      <c r="Z2039" s="9" t="inlineStr"/>
    </row>
    <row r="2040">
      <c r="A2040" s="9" t="inlineStr">
        <is>
          <t>I-F-0005</t>
        </is>
      </c>
      <c r="B2040" s="9" t="inlineStr">
        <is>
          <t>I</t>
        </is>
      </c>
      <c r="C2040" s="9" t="inlineStr">
        <is>
          <t>Modular / portable power</t>
        </is>
      </c>
      <c r="D2040" s="9" t="inlineStr">
        <is>
          <t>Plant network / DCS fibre</t>
        </is>
      </c>
      <c r="E2040" s="9" t="inlineStr">
        <is>
          <t>CR</t>
        </is>
      </c>
      <c r="F2040" s="9" t="inlineStr">
        <is>
          <t>Control / admin building (main control room)</t>
        </is>
      </c>
      <c r="G2040" s="9" t="inlineStr"/>
      <c r="H2040" s="9" t="inlineStr">
        <is>
          <t>RICE CEMS</t>
        </is>
      </c>
      <c r="I2040" s="9" t="inlineStr">
        <is>
          <t>Fibre / data</t>
        </is>
      </c>
      <c r="J2040" s="9" t="inlineStr">
        <is>
          <t>Fibre optic, single-mode, 12-fibre, armored, orange jacket</t>
        </is>
      </c>
      <c r="K2040" s="9" t="inlineStr">
        <is>
          <t>FO|12 SM|-</t>
        </is>
      </c>
      <c r="L2040" s="9" t="inlineStr">
        <is>
          <t>12 SM</t>
        </is>
      </c>
      <c r="M2040" s="9" t="inlineStr">
        <is>
          <t>-</t>
        </is>
      </c>
      <c r="N2040" s="9" t="n">
        <v>1</v>
      </c>
      <c r="O2040" s="9" t="n">
        <v>1</v>
      </c>
      <c r="P2040" s="9" t="n"/>
      <c r="Q2040" s="9" t="n"/>
      <c r="R2040" s="9" t="n"/>
      <c r="S2040" s="9" t="inlineStr">
        <is>
          <t>Trench</t>
        </is>
      </c>
      <c r="T2040" s="10" t="n">
        <v>4414</v>
      </c>
      <c r="U2040" s="10" t="n">
        <v>132</v>
      </c>
      <c r="V2040" s="10">
        <f>ROUNDUP((T2040+U2040+2*'Read Me'!$B$13)*(1+'Read Me'!$B$12),-1)</f>
        <v/>
      </c>
      <c r="W2040" s="10">
        <f>V2040*N2040*O2040</f>
        <v/>
      </c>
      <c r="X2040" s="9">
        <f>IF(LEFT(I2040,2)="MV",2*N2040*IF(L2040="1/C",O2040,1),0)</f>
        <v/>
      </c>
      <c r="Y2040" s="9">
        <f>IF(OR(LEFT(K2040,4)="LVAX",LEFT(K2040,6)="MV15AX",LEFT(K2040,4)="CTAX",LEFT(K2040,2)="W|"),2*N2040*O2040,0)</f>
        <v/>
      </c>
      <c r="Z2040" s="9" t="inlineStr"/>
    </row>
    <row r="2041">
      <c r="A2041" s="9" t="inlineStr">
        <is>
          <t>I-F-0006</t>
        </is>
      </c>
      <c r="B2041" s="9" t="inlineStr">
        <is>
          <t>I</t>
        </is>
      </c>
      <c r="C2041" s="9" t="inlineStr">
        <is>
          <t>Modular / portable power</t>
        </is>
      </c>
      <c r="D2041" s="9" t="inlineStr">
        <is>
          <t>Plant network / DCS fibre</t>
        </is>
      </c>
      <c r="E2041" s="9" t="inlineStr">
        <is>
          <t>CR</t>
        </is>
      </c>
      <c r="F2041" s="9" t="inlineStr">
        <is>
          <t>Control / admin building (main control room)</t>
        </is>
      </c>
      <c r="G2041" s="9" t="inlineStr">
        <is>
          <t>RICE</t>
        </is>
      </c>
      <c r="H2041" s="9" t="inlineStr">
        <is>
          <t>RICE engine hall (8 engines)</t>
        </is>
      </c>
      <c r="I2041" s="9" t="inlineStr">
        <is>
          <t>Fibre / data</t>
        </is>
      </c>
      <c r="J2041" s="9" t="inlineStr">
        <is>
          <t>Fibre optic, single-mode, 12-fibre, armored, orange jacket</t>
        </is>
      </c>
      <c r="K2041" s="9" t="inlineStr">
        <is>
          <t>FO|12 SM|-</t>
        </is>
      </c>
      <c r="L2041" s="9" t="inlineStr">
        <is>
          <t>12 SM</t>
        </is>
      </c>
      <c r="M2041" s="9" t="inlineStr">
        <is>
          <t>-</t>
        </is>
      </c>
      <c r="N2041" s="9" t="n">
        <v>1</v>
      </c>
      <c r="O2041" s="9" t="n">
        <v>1</v>
      </c>
      <c r="P2041" s="9" t="n"/>
      <c r="Q2041" s="9" t="n"/>
      <c r="R2041" s="9" t="n"/>
      <c r="S2041" s="9" t="inlineStr">
        <is>
          <t>Trench</t>
        </is>
      </c>
      <c r="T2041" s="10" t="n">
        <v>4520</v>
      </c>
      <c r="U2041" s="10" t="n">
        <v>96</v>
      </c>
      <c r="V2041" s="10">
        <f>ROUNDUP((T2041+U2041+2*'Read Me'!$B$13)*(1+'Read Me'!$B$12),-1)</f>
        <v/>
      </c>
      <c r="W2041" s="10">
        <f>V2041*N2041*O2041</f>
        <v/>
      </c>
      <c r="X2041" s="9">
        <f>IF(LEFT(I2041,2)="MV",2*N2041*IF(L2041="1/C",O2041,1),0)</f>
        <v/>
      </c>
      <c r="Y2041" s="9">
        <f>IF(OR(LEFT(K2041,4)="LVAX",LEFT(K2041,6)="MV15AX",LEFT(K2041,4)="CTAX",LEFT(K2041,2)="W|"),2*N2041*O2041,0)</f>
        <v/>
      </c>
      <c r="Z2041" s="9" t="inlineStr"/>
    </row>
    <row r="2042">
      <c r="A2042" s="9" t="inlineStr">
        <is>
          <t>I-F-0007</t>
        </is>
      </c>
      <c r="B2042" s="9" t="inlineStr">
        <is>
          <t>I</t>
        </is>
      </c>
      <c r="C2042" s="9" t="inlineStr">
        <is>
          <t>Modular / portable power</t>
        </is>
      </c>
      <c r="D2042" s="9" t="inlineStr">
        <is>
          <t>Plant network / DCS fibre</t>
        </is>
      </c>
      <c r="E2042" s="9" t="inlineStr">
        <is>
          <t>CR</t>
        </is>
      </c>
      <c r="F2042" s="9" t="inlineStr">
        <is>
          <t>Control / admin building (main control room)</t>
        </is>
      </c>
      <c r="G2042" s="9" t="inlineStr">
        <is>
          <t>SC-1</t>
        </is>
      </c>
      <c r="H2042" s="9" t="inlineStr">
        <is>
          <t>SC-1: aeroderivative simple-cycle unit (LM6000 class)</t>
        </is>
      </c>
      <c r="I2042" s="9" t="inlineStr">
        <is>
          <t>Fibre / data</t>
        </is>
      </c>
      <c r="J2042" s="9" t="inlineStr">
        <is>
          <t>Fibre optic, single-mode, 12-fibre, armored, orange jacket</t>
        </is>
      </c>
      <c r="K2042" s="9" t="inlineStr">
        <is>
          <t>FO|12 SM|-</t>
        </is>
      </c>
      <c r="L2042" s="9" t="inlineStr">
        <is>
          <t>12 SM</t>
        </is>
      </c>
      <c r="M2042" s="9" t="inlineStr">
        <is>
          <t>-</t>
        </is>
      </c>
      <c r="N2042" s="9" t="n">
        <v>1</v>
      </c>
      <c r="O2042" s="9" t="n">
        <v>1</v>
      </c>
      <c r="P2042" s="9" t="n"/>
      <c r="Q2042" s="9" t="n"/>
      <c r="R2042" s="9" t="n"/>
      <c r="S2042" s="9" t="inlineStr">
        <is>
          <t>Duct bank</t>
        </is>
      </c>
      <c r="T2042" s="10" t="n">
        <v>4634</v>
      </c>
      <c r="U2042" s="10" t="n">
        <v>53</v>
      </c>
      <c r="V2042" s="10">
        <f>ROUNDUP((T2042+U2042+2*'Read Me'!$B$13)*(1+'Read Me'!$B$12),-1)</f>
        <v/>
      </c>
      <c r="W2042" s="10">
        <f>V2042*N2042*O2042</f>
        <v/>
      </c>
      <c r="X2042" s="9">
        <f>IF(LEFT(I2042,2)="MV",2*N2042*IF(L2042="1/C",O2042,1),0)</f>
        <v/>
      </c>
      <c r="Y2042" s="9">
        <f>IF(OR(LEFT(K2042,4)="LVAX",LEFT(K2042,6)="MV15AX",LEFT(K2042,4)="CTAX",LEFT(K2042,2)="W|"),2*N2042*O2042,0)</f>
        <v/>
      </c>
      <c r="Z2042" s="9" t="inlineStr"/>
    </row>
    <row r="2043">
      <c r="A2043" s="9" t="inlineStr">
        <is>
          <t>I-F-0008</t>
        </is>
      </c>
      <c r="B2043" s="9" t="inlineStr">
        <is>
          <t>I</t>
        </is>
      </c>
      <c r="C2043" s="9" t="inlineStr">
        <is>
          <t>Modular / portable power</t>
        </is>
      </c>
      <c r="D2043" s="9" t="inlineStr">
        <is>
          <t>Plant network / DCS fibre</t>
        </is>
      </c>
      <c r="E2043" s="9" t="inlineStr">
        <is>
          <t>CR</t>
        </is>
      </c>
      <c r="F2043" s="9" t="inlineStr">
        <is>
          <t>Control / admin building (main control room)</t>
        </is>
      </c>
      <c r="G2043" s="9" t="inlineStr">
        <is>
          <t>SC-2</t>
        </is>
      </c>
      <c r="H2043" s="9" t="inlineStr">
        <is>
          <t>SC-2: aeroderivative simple-cycle unit (LM6000 class)</t>
        </is>
      </c>
      <c r="I2043" s="9" t="inlineStr">
        <is>
          <t>Fibre / data</t>
        </is>
      </c>
      <c r="J2043" s="9" t="inlineStr">
        <is>
          <t>Fibre optic, single-mode, 12-fibre, armored, orange jacket</t>
        </is>
      </c>
      <c r="K2043" s="9" t="inlineStr">
        <is>
          <t>FO|12 SM|-</t>
        </is>
      </c>
      <c r="L2043" s="9" t="inlineStr">
        <is>
          <t>12 SM</t>
        </is>
      </c>
      <c r="M2043" s="9" t="inlineStr">
        <is>
          <t>-</t>
        </is>
      </c>
      <c r="N2043" s="9" t="n">
        <v>1</v>
      </c>
      <c r="O2043" s="9" t="n">
        <v>1</v>
      </c>
      <c r="P2043" s="9" t="n"/>
      <c r="Q2043" s="9" t="n"/>
      <c r="R2043" s="9" t="n"/>
      <c r="S2043" s="9" t="inlineStr">
        <is>
          <t>Duct bank</t>
        </is>
      </c>
      <c r="T2043" s="10" t="n">
        <v>5047</v>
      </c>
      <c r="U2043" s="10" t="n">
        <v>33</v>
      </c>
      <c r="V2043" s="10">
        <f>ROUNDUP((T2043+U2043+2*'Read Me'!$B$13)*(1+'Read Me'!$B$12),-1)</f>
        <v/>
      </c>
      <c r="W2043" s="10">
        <f>V2043*N2043*O2043</f>
        <v/>
      </c>
      <c r="X2043" s="9">
        <f>IF(LEFT(I2043,2)="MV",2*N2043*IF(L2043="1/C",O2043,1),0)</f>
        <v/>
      </c>
      <c r="Y2043" s="9">
        <f>IF(OR(LEFT(K2043,4)="LVAX",LEFT(K2043,6)="MV15AX",LEFT(K2043,4)="CTAX",LEFT(K2043,2)="W|"),2*N2043*O2043,0)</f>
        <v/>
      </c>
      <c r="Z2043" s="9" t="inlineStr"/>
    </row>
    <row r="2044">
      <c r="A2044" s="9" t="inlineStr">
        <is>
          <t>I-F-0009</t>
        </is>
      </c>
      <c r="B2044" s="9" t="inlineStr">
        <is>
          <t>I</t>
        </is>
      </c>
      <c r="C2044" s="9" t="inlineStr">
        <is>
          <t>Modular / portable power</t>
        </is>
      </c>
      <c r="D2044" s="9" t="inlineStr">
        <is>
          <t>Plant network / DCS fibre</t>
        </is>
      </c>
      <c r="E2044" s="9" t="inlineStr">
        <is>
          <t>CR</t>
        </is>
      </c>
      <c r="F2044" s="9" t="inlineStr">
        <is>
          <t>Control / admin building (main control room)</t>
        </is>
      </c>
      <c r="G2044" s="9" t="inlineStr">
        <is>
          <t>TM-1</t>
        </is>
      </c>
      <c r="H2044" s="9" t="inlineStr">
        <is>
          <t>TM-1: trailer-mounted aeroderivative GT (TM2500 class, ~35 MW)</t>
        </is>
      </c>
      <c r="I2044" s="9" t="inlineStr">
        <is>
          <t>Fibre / data</t>
        </is>
      </c>
      <c r="J2044" s="9" t="inlineStr">
        <is>
          <t>Fibre optic, single-mode, 12-fibre, armored, orange jacket</t>
        </is>
      </c>
      <c r="K2044" s="9" t="inlineStr">
        <is>
          <t>FO|12 SM|-</t>
        </is>
      </c>
      <c r="L2044" s="9" t="inlineStr">
        <is>
          <t>12 SM</t>
        </is>
      </c>
      <c r="M2044" s="9" t="inlineStr">
        <is>
          <t>-</t>
        </is>
      </c>
      <c r="N2044" s="9" t="n">
        <v>1</v>
      </c>
      <c r="O2044" s="9" t="n">
        <v>1</v>
      </c>
      <c r="P2044" s="9" t="n"/>
      <c r="Q2044" s="9" t="n"/>
      <c r="R2044" s="9" t="n"/>
      <c r="S2044" s="9" t="inlineStr">
        <is>
          <t>Estimated</t>
        </is>
      </c>
      <c r="T2044" s="10" t="n">
        <v>1856</v>
      </c>
      <c r="U2044" s="10" t="n">
        <v>40</v>
      </c>
      <c r="V2044" s="10">
        <f>ROUNDUP((T2044+U2044+2*'Read Me'!$B$13)*(1+'Read Me'!$B$12),-1)</f>
        <v/>
      </c>
      <c r="W2044" s="10">
        <f>V2044*N2044*O2044</f>
        <v/>
      </c>
      <c r="X2044" s="9">
        <f>IF(LEFT(I2044,2)="MV",2*N2044*IF(L2044="1/C",O2044,1),0)</f>
        <v/>
      </c>
      <c r="Y2044" s="9">
        <f>IF(OR(LEFT(K2044,4)="LVAX",LEFT(K2044,6)="MV15AX",LEFT(K2044,4)="CTAX",LEFT(K2044,2)="W|"),2*N2044*O2044,0)</f>
        <v/>
      </c>
      <c r="Z2044" s="9" t="inlineStr"/>
    </row>
    <row r="2045">
      <c r="A2045" s="9" t="inlineStr">
        <is>
          <t>I-F-0010</t>
        </is>
      </c>
      <c r="B2045" s="9" t="inlineStr">
        <is>
          <t>I</t>
        </is>
      </c>
      <c r="C2045" s="9" t="inlineStr">
        <is>
          <t>Modular / portable power</t>
        </is>
      </c>
      <c r="D2045" s="9" t="inlineStr">
        <is>
          <t>Plant network / DCS fibre</t>
        </is>
      </c>
      <c r="E2045" s="9" t="inlineStr">
        <is>
          <t>CR</t>
        </is>
      </c>
      <c r="F2045" s="9" t="inlineStr">
        <is>
          <t>Control / admin building (main control room)</t>
        </is>
      </c>
      <c r="G2045" s="9" t="inlineStr">
        <is>
          <t>TM-2</t>
        </is>
      </c>
      <c r="H2045" s="9" t="inlineStr">
        <is>
          <t>TM-2: trailer-mounted aeroderivative GT (TM2500 class, ~35 MW)</t>
        </is>
      </c>
      <c r="I2045" s="9" t="inlineStr">
        <is>
          <t>Fibre / data</t>
        </is>
      </c>
      <c r="J2045" s="9" t="inlineStr">
        <is>
          <t>Fibre optic, single-mode, 12-fibre, armored, orange jacket</t>
        </is>
      </c>
      <c r="K2045" s="9" t="inlineStr">
        <is>
          <t>FO|12 SM|-</t>
        </is>
      </c>
      <c r="L2045" s="9" t="inlineStr">
        <is>
          <t>12 SM</t>
        </is>
      </c>
      <c r="M2045" s="9" t="inlineStr">
        <is>
          <t>-</t>
        </is>
      </c>
      <c r="N2045" s="9" t="n">
        <v>1</v>
      </c>
      <c r="O2045" s="9" t="n">
        <v>1</v>
      </c>
      <c r="P2045" s="9" t="n"/>
      <c r="Q2045" s="9" t="n"/>
      <c r="R2045" s="9" t="n"/>
      <c r="S2045" s="9" t="inlineStr">
        <is>
          <t>Estimated</t>
        </is>
      </c>
      <c r="T2045" s="10" t="n">
        <v>1976</v>
      </c>
      <c r="U2045" s="10" t="n">
        <v>40</v>
      </c>
      <c r="V2045" s="10">
        <f>ROUNDUP((T2045+U2045+2*'Read Me'!$B$13)*(1+'Read Me'!$B$12),-1)</f>
        <v/>
      </c>
      <c r="W2045" s="10">
        <f>V2045*N2045*O2045</f>
        <v/>
      </c>
      <c r="X2045" s="9">
        <f>IF(LEFT(I2045,2)="MV",2*N2045*IF(L2045="1/C",O2045,1),0)</f>
        <v/>
      </c>
      <c r="Y2045" s="9">
        <f>IF(OR(LEFT(K2045,4)="LVAX",LEFT(K2045,6)="MV15AX",LEFT(K2045,4)="CTAX",LEFT(K2045,2)="W|"),2*N2045*O2045,0)</f>
        <v/>
      </c>
      <c r="Z2045" s="9" t="inlineStr"/>
    </row>
    <row r="2046">
      <c r="A2046" s="9" t="inlineStr">
        <is>
          <t>I-FA-0001</t>
        </is>
      </c>
      <c r="B2046" s="9" t="inlineStr">
        <is>
          <t>I</t>
        </is>
      </c>
      <c r="C2046" s="9" t="inlineStr">
        <is>
          <t>Modular / portable power</t>
        </is>
      </c>
      <c r="D2046" s="9" t="inlineStr">
        <is>
          <t>Fire alarm / F&amp;G loop (to the local FACP / F&amp;G node)</t>
        </is>
      </c>
      <c r="E2046" s="9" t="inlineStr"/>
      <c r="F2046" s="9" t="inlineStr">
        <is>
          <t>PCM: power control module</t>
        </is>
      </c>
      <c r="G2046" s="9" t="inlineStr"/>
      <c r="H2046" s="9" t="inlineStr">
        <is>
          <t>BS black-start switchgear</t>
        </is>
      </c>
      <c r="I2046" s="9" t="inlineStr">
        <is>
          <t>Fire alarm</t>
        </is>
      </c>
      <c r="J2046" s="9" t="inlineStr">
        <is>
          <t>Fire alarm FPLR 2/C #14 shielded, red jacket (NEC 760)</t>
        </is>
      </c>
      <c r="K2046" s="9" t="inlineStr">
        <is>
          <t>FA|2/C|14</t>
        </is>
      </c>
      <c r="L2046" s="9" t="inlineStr">
        <is>
          <t>2/C</t>
        </is>
      </c>
      <c r="M2046" s="9" t="inlineStr">
        <is>
          <t>14</t>
        </is>
      </c>
      <c r="N2046" s="9" t="n">
        <v>1</v>
      </c>
      <c r="O2046" s="9" t="n">
        <v>1</v>
      </c>
      <c r="P2046" s="9" t="n"/>
      <c r="Q2046" s="9" t="n"/>
      <c r="R2046" s="9" t="n"/>
      <c r="S2046" s="9" t="inlineStr">
        <is>
          <t>Duct bank</t>
        </is>
      </c>
      <c r="T2046" s="10" t="n">
        <v>550</v>
      </c>
      <c r="U2046" s="10" t="n">
        <v>77</v>
      </c>
      <c r="V2046" s="10">
        <f>ROUNDUP((T2046+U2046+2*'Read Me'!$B$13)*(1+'Read Me'!$B$12),-1)</f>
        <v/>
      </c>
      <c r="W2046" s="10">
        <f>V2046*N2046*O2046</f>
        <v/>
      </c>
      <c r="X2046" s="9">
        <f>IF(LEFT(I2046,2)="MV",2*N2046*IF(L2046="1/C",O2046,1),0)</f>
        <v/>
      </c>
      <c r="Y2046" s="9">
        <f>IF(OR(LEFT(K2046,4)="LVAX",LEFT(K2046,6)="MV15AX",LEFT(K2046,4)="CTAX",LEFT(K2046,2)="W|"),2*N2046*O2046,0)</f>
        <v/>
      </c>
      <c r="Z2046" s="9" t="inlineStr"/>
    </row>
    <row r="2047">
      <c r="A2047" s="9" t="inlineStr">
        <is>
          <t>I-FA-0002</t>
        </is>
      </c>
      <c r="B2047" s="9" t="inlineStr">
        <is>
          <t>I</t>
        </is>
      </c>
      <c r="C2047" s="9" t="inlineStr">
        <is>
          <t>Modular / portable power</t>
        </is>
      </c>
      <c r="D2047" s="9" t="inlineStr">
        <is>
          <t>Fire alarm / F&amp;G loop (to the local FACP / F&amp;G node)</t>
        </is>
      </c>
      <c r="E2047" s="9" t="inlineStr"/>
      <c r="F2047" s="9" t="inlineStr">
        <is>
          <t>PCM: power control module</t>
        </is>
      </c>
      <c r="G2047" s="9" t="inlineStr"/>
      <c r="H2047" s="9" t="inlineStr">
        <is>
          <t>Black-start genset (proposed; requires study)</t>
        </is>
      </c>
      <c r="I2047" s="9" t="inlineStr">
        <is>
          <t>Fire alarm</t>
        </is>
      </c>
      <c r="J2047" s="9" t="inlineStr">
        <is>
          <t>Fire alarm FPLR 2/C #14 shielded, red jacket (NEC 760)</t>
        </is>
      </c>
      <c r="K2047" s="9" t="inlineStr">
        <is>
          <t>FA|2/C|14</t>
        </is>
      </c>
      <c r="L2047" s="9" t="inlineStr">
        <is>
          <t>2/C</t>
        </is>
      </c>
      <c r="M2047" s="9" t="inlineStr">
        <is>
          <t>14</t>
        </is>
      </c>
      <c r="N2047" s="9" t="n">
        <v>1</v>
      </c>
      <c r="O2047" s="9" t="n">
        <v>1</v>
      </c>
      <c r="P2047" s="9" t="n"/>
      <c r="Q2047" s="9" t="n"/>
      <c r="R2047" s="9" t="n"/>
      <c r="S2047" s="9" t="inlineStr">
        <is>
          <t>Duct bank</t>
        </is>
      </c>
      <c r="T2047" s="10" t="n">
        <v>624</v>
      </c>
      <c r="U2047" s="10" t="n">
        <v>32</v>
      </c>
      <c r="V2047" s="10">
        <f>ROUNDUP((T2047+U2047+2*'Read Me'!$B$13)*(1+'Read Me'!$B$12),-1)</f>
        <v/>
      </c>
      <c r="W2047" s="10">
        <f>V2047*N2047*O2047</f>
        <v/>
      </c>
      <c r="X2047" s="9">
        <f>IF(LEFT(I2047,2)="MV",2*N2047*IF(L2047="1/C",O2047,1),0)</f>
        <v/>
      </c>
      <c r="Y2047" s="9">
        <f>IF(OR(LEFT(K2047,4)="LVAX",LEFT(K2047,6)="MV15AX",LEFT(K2047,4)="CTAX",LEFT(K2047,2)="W|"),2*N2047*O2047,0)</f>
        <v/>
      </c>
      <c r="Z2047" s="9" t="inlineStr"/>
    </row>
    <row r="2048">
      <c r="A2048" s="9" t="inlineStr">
        <is>
          <t>I-FA-0003</t>
        </is>
      </c>
      <c r="B2048" s="9" t="inlineStr">
        <is>
          <t>I</t>
        </is>
      </c>
      <c r="C2048" s="9" t="inlineStr">
        <is>
          <t>Modular / portable power</t>
        </is>
      </c>
      <c r="D2048" s="9" t="inlineStr">
        <is>
          <t>Fire alarm / F&amp;G loop (to the local FACP / F&amp;G node)</t>
        </is>
      </c>
      <c r="E2048" s="9" t="inlineStr"/>
      <c r="F2048" s="9" t="inlineStr">
        <is>
          <t>PCM: power control module</t>
        </is>
      </c>
      <c r="G2048" s="9" t="inlineStr"/>
      <c r="H2048" s="9" t="inlineStr">
        <is>
          <t>Black-start genset (proposed; requires study)</t>
        </is>
      </c>
      <c r="I2048" s="9" t="inlineStr">
        <is>
          <t>Fire alarm</t>
        </is>
      </c>
      <c r="J2048" s="9" t="inlineStr">
        <is>
          <t>Fire alarm FPLR 2/C #14 shielded, red jacket (NEC 760)</t>
        </is>
      </c>
      <c r="K2048" s="9" t="inlineStr">
        <is>
          <t>FA|2/C|14</t>
        </is>
      </c>
      <c r="L2048" s="9" t="inlineStr">
        <is>
          <t>2/C</t>
        </is>
      </c>
      <c r="M2048" s="9" t="inlineStr">
        <is>
          <t>14</t>
        </is>
      </c>
      <c r="N2048" s="9" t="n">
        <v>1</v>
      </c>
      <c r="O2048" s="9" t="n">
        <v>1</v>
      </c>
      <c r="P2048" s="9" t="n"/>
      <c r="Q2048" s="9" t="n"/>
      <c r="R2048" s="9" t="n"/>
      <c r="S2048" s="9" t="inlineStr">
        <is>
          <t>Duct bank</t>
        </is>
      </c>
      <c r="T2048" s="10" t="n">
        <v>624</v>
      </c>
      <c r="U2048" s="10" t="n">
        <v>40</v>
      </c>
      <c r="V2048" s="10">
        <f>ROUNDUP((T2048+U2048+2*'Read Me'!$B$13)*(1+'Read Me'!$B$12),-1)</f>
        <v/>
      </c>
      <c r="W2048" s="10">
        <f>V2048*N2048*O2048</f>
        <v/>
      </c>
      <c r="X2048" s="9">
        <f>IF(LEFT(I2048,2)="MV",2*N2048*IF(L2048="1/C",O2048,1),0)</f>
        <v/>
      </c>
      <c r="Y2048" s="9">
        <f>IF(OR(LEFT(K2048,4)="LVAX",LEFT(K2048,6)="MV15AX",LEFT(K2048,4)="CTAX",LEFT(K2048,2)="W|"),2*N2048*O2048,0)</f>
        <v/>
      </c>
      <c r="Z2048" s="9" t="inlineStr"/>
    </row>
    <row r="2049">
      <c r="A2049" s="9" t="inlineStr">
        <is>
          <t>I-FA-0004</t>
        </is>
      </c>
      <c r="B2049" s="9" t="inlineStr">
        <is>
          <t>I</t>
        </is>
      </c>
      <c r="C2049" s="9" t="inlineStr">
        <is>
          <t>Modular / portable power</t>
        </is>
      </c>
      <c r="D2049" s="9" t="inlineStr">
        <is>
          <t>Fire alarm / F&amp;G loop (to the local FACP / F&amp;G node)</t>
        </is>
      </c>
      <c r="E2049" s="9" t="inlineStr"/>
      <c r="F2049" s="9" t="inlineStr">
        <is>
          <t>PCM: power control module</t>
        </is>
      </c>
      <c r="G2049" s="9" t="inlineStr"/>
      <c r="H2049" s="9" t="inlineStr">
        <is>
          <t>CONDITIONAL: BESS black-start alternative</t>
        </is>
      </c>
      <c r="I2049" s="9" t="inlineStr">
        <is>
          <t>Fire alarm</t>
        </is>
      </c>
      <c r="J2049" s="9" t="inlineStr">
        <is>
          <t>Fire alarm FPLR 2/C #14 shielded, red jacket (NEC 760)</t>
        </is>
      </c>
      <c r="K2049" s="9" t="inlineStr">
        <is>
          <t>FA|2/C|14</t>
        </is>
      </c>
      <c r="L2049" s="9" t="inlineStr">
        <is>
          <t>2/C</t>
        </is>
      </c>
      <c r="M2049" s="9" t="inlineStr">
        <is>
          <t>14</t>
        </is>
      </c>
      <c r="N2049" s="9" t="n">
        <v>1</v>
      </c>
      <c r="O2049" s="9" t="n">
        <v>1</v>
      </c>
      <c r="P2049" s="9" t="n"/>
      <c r="Q2049" s="9" t="n"/>
      <c r="R2049" s="9" t="n"/>
      <c r="S2049" s="9" t="inlineStr">
        <is>
          <t>Duct bank</t>
        </is>
      </c>
      <c r="T2049" s="10" t="n">
        <v>550</v>
      </c>
      <c r="U2049" s="10" t="n">
        <v>32</v>
      </c>
      <c r="V2049" s="10">
        <f>ROUNDUP((T2049+U2049+2*'Read Me'!$B$13)*(1+'Read Me'!$B$12),-1)</f>
        <v/>
      </c>
      <c r="W2049" s="10">
        <f>V2049*N2049*O2049</f>
        <v/>
      </c>
      <c r="X2049" s="9">
        <f>IF(LEFT(I2049,2)="MV",2*N2049*IF(L2049="1/C",O2049,1),0)</f>
        <v/>
      </c>
      <c r="Y2049" s="9">
        <f>IF(OR(LEFT(K2049,4)="LVAX",LEFT(K2049,6)="MV15AX",LEFT(K2049,4)="CTAX",LEFT(K2049,2)="W|"),2*N2049*O2049,0)</f>
        <v/>
      </c>
      <c r="Z2049" s="9" t="inlineStr"/>
    </row>
    <row r="2050">
      <c r="A2050" s="9" t="inlineStr">
        <is>
          <t>I-FA-0005</t>
        </is>
      </c>
      <c r="B2050" s="9" t="inlineStr">
        <is>
          <t>I</t>
        </is>
      </c>
      <c r="C2050" s="9" t="inlineStr">
        <is>
          <t>Modular / portable power</t>
        </is>
      </c>
      <c r="D2050" s="9" t="inlineStr">
        <is>
          <t>Fire alarm / F&amp;G loop (to the local FACP / F&amp;G node)</t>
        </is>
      </c>
      <c r="E2050" s="9" t="inlineStr"/>
      <c r="F2050" s="9" t="inlineStr">
        <is>
          <t>PCM: power control module</t>
        </is>
      </c>
      <c r="G2050" s="9" t="inlineStr"/>
      <c r="H2050" s="9" t="inlineStr">
        <is>
          <t>CONDITIONAL: SC-1 inlet chiller / evaporative cooler</t>
        </is>
      </c>
      <c r="I2050" s="9" t="inlineStr">
        <is>
          <t>Fire alarm</t>
        </is>
      </c>
      <c r="J2050" s="9" t="inlineStr">
        <is>
          <t>Fire alarm FPLR 2/C #14 shielded, red jacket (NEC 760)</t>
        </is>
      </c>
      <c r="K2050" s="9" t="inlineStr">
        <is>
          <t>FA|2/C|14</t>
        </is>
      </c>
      <c r="L2050" s="9" t="inlineStr">
        <is>
          <t>2/C</t>
        </is>
      </c>
      <c r="M2050" s="9" t="inlineStr">
        <is>
          <t>14</t>
        </is>
      </c>
      <c r="N2050" s="9" t="n">
        <v>1</v>
      </c>
      <c r="O2050" s="9" t="n">
        <v>1</v>
      </c>
      <c r="P2050" s="9" t="n"/>
      <c r="Q2050" s="9" t="n"/>
      <c r="R2050" s="9" t="n"/>
      <c r="S2050" s="9" t="inlineStr">
        <is>
          <t>Duct bank</t>
        </is>
      </c>
      <c r="T2050" s="10" t="n">
        <v>40</v>
      </c>
      <c r="U2050" s="10" t="n">
        <v>52</v>
      </c>
      <c r="V2050" s="10">
        <f>ROUNDUP((T2050+U2050+2*'Read Me'!$B$13)*(1+'Read Me'!$B$12),-1)</f>
        <v/>
      </c>
      <c r="W2050" s="10">
        <f>V2050*N2050*O2050</f>
        <v/>
      </c>
      <c r="X2050" s="9">
        <f>IF(LEFT(I2050,2)="MV",2*N2050*IF(L2050="1/C",O2050,1),0)</f>
        <v/>
      </c>
      <c r="Y2050" s="9">
        <f>IF(OR(LEFT(K2050,4)="LVAX",LEFT(K2050,6)="MV15AX",LEFT(K2050,4)="CTAX",LEFT(K2050,2)="W|"),2*N2050*O2050,0)</f>
        <v/>
      </c>
      <c r="Z2050" s="9" t="inlineStr"/>
    </row>
    <row r="2051">
      <c r="A2051" s="9" t="inlineStr">
        <is>
          <t>I-FA-0006</t>
        </is>
      </c>
      <c r="B2051" s="9" t="inlineStr">
        <is>
          <t>I</t>
        </is>
      </c>
      <c r="C2051" s="9" t="inlineStr">
        <is>
          <t>Modular / portable power</t>
        </is>
      </c>
      <c r="D2051" s="9" t="inlineStr">
        <is>
          <t>Fire alarm / F&amp;G loop (to the local FACP / F&amp;G node)</t>
        </is>
      </c>
      <c r="E2051" s="9" t="inlineStr"/>
      <c r="F2051" s="9" t="inlineStr">
        <is>
          <t>PCM: power control module</t>
        </is>
      </c>
      <c r="G2051" s="9" t="inlineStr"/>
      <c r="H2051" s="9" t="inlineStr">
        <is>
          <t>CONDITIONAL: SC-2 inlet chiller / evaporative cooler</t>
        </is>
      </c>
      <c r="I2051" s="9" t="inlineStr">
        <is>
          <t>Fire alarm</t>
        </is>
      </c>
      <c r="J2051" s="9" t="inlineStr">
        <is>
          <t>Fire alarm FPLR 2/C #14 shielded, red jacket (NEC 760)</t>
        </is>
      </c>
      <c r="K2051" s="9" t="inlineStr">
        <is>
          <t>FA|2/C|14</t>
        </is>
      </c>
      <c r="L2051" s="9" t="inlineStr">
        <is>
          <t>2/C</t>
        </is>
      </c>
      <c r="M2051" s="9" t="inlineStr">
        <is>
          <t>14</t>
        </is>
      </c>
      <c r="N2051" s="9" t="n">
        <v>1</v>
      </c>
      <c r="O2051" s="9" t="n">
        <v>1</v>
      </c>
      <c r="P2051" s="9" t="n"/>
      <c r="Q2051" s="9" t="n"/>
      <c r="R2051" s="9" t="n"/>
      <c r="S2051" s="9" t="inlineStr">
        <is>
          <t>Duct bank</t>
        </is>
      </c>
      <c r="T2051" s="10" t="n">
        <v>1050</v>
      </c>
      <c r="U2051" s="10" t="n">
        <v>119</v>
      </c>
      <c r="V2051" s="10">
        <f>ROUNDUP((T2051+U2051+2*'Read Me'!$B$13)*(1+'Read Me'!$B$12),-1)</f>
        <v/>
      </c>
      <c r="W2051" s="10">
        <f>V2051*N2051*O2051</f>
        <v/>
      </c>
      <c r="X2051" s="9">
        <f>IF(LEFT(I2051,2)="MV",2*N2051*IF(L2051="1/C",O2051,1),0)</f>
        <v/>
      </c>
      <c r="Y2051" s="9">
        <f>IF(OR(LEFT(K2051,4)="LVAX",LEFT(K2051,6)="MV15AX",LEFT(K2051,4)="CTAX",LEFT(K2051,2)="W|"),2*N2051*O2051,0)</f>
        <v/>
      </c>
      <c r="Z2051" s="9" t="inlineStr"/>
    </row>
    <row r="2052">
      <c r="A2052" s="9" t="inlineStr">
        <is>
          <t>I-FA-0007</t>
        </is>
      </c>
      <c r="B2052" s="9" t="inlineStr">
        <is>
          <t>I</t>
        </is>
      </c>
      <c r="C2052" s="9" t="inlineStr">
        <is>
          <t>Modular / portable power</t>
        </is>
      </c>
      <c r="D2052" s="9" t="inlineStr">
        <is>
          <t>Fire alarm / F&amp;G loop (to the local FACP / F&amp;G node)</t>
        </is>
      </c>
      <c r="E2052" s="9" t="inlineStr">
        <is>
          <t>PAD-EH</t>
        </is>
      </c>
      <c r="F2052" s="9" t="inlineStr">
        <is>
          <t>PAD-EH 13.8 kV switchgear e-house</t>
        </is>
      </c>
      <c r="G2052" s="9" t="inlineStr">
        <is>
          <t>CONT-EH</t>
        </is>
      </c>
      <c r="H2052" s="9" t="inlineStr">
        <is>
          <t>CONT paralleling switchgear e-house</t>
        </is>
      </c>
      <c r="I2052" s="9" t="inlineStr">
        <is>
          <t>Fire alarm</t>
        </is>
      </c>
      <c r="J2052" s="9" t="inlineStr">
        <is>
          <t>Fire alarm FPLR 2/C #14 shielded, red jacket (NEC 760)</t>
        </is>
      </c>
      <c r="K2052" s="9" t="inlineStr">
        <is>
          <t>FA|2/C|14</t>
        </is>
      </c>
      <c r="L2052" s="9" t="inlineStr">
        <is>
          <t>2/C</t>
        </is>
      </c>
      <c r="M2052" s="9" t="inlineStr">
        <is>
          <t>14</t>
        </is>
      </c>
      <c r="N2052" s="9" t="n">
        <v>1</v>
      </c>
      <c r="O2052" s="9" t="n">
        <v>1</v>
      </c>
      <c r="P2052" s="9" t="n"/>
      <c r="Q2052" s="9" t="n"/>
      <c r="R2052" s="9" t="n"/>
      <c r="S2052" s="9" t="inlineStr">
        <is>
          <t>Conduit link</t>
        </is>
      </c>
      <c r="T2052" s="10" t="n">
        <v>25</v>
      </c>
      <c r="U2052" s="10" t="n">
        <v>58</v>
      </c>
      <c r="V2052" s="10">
        <f>ROUNDUP((T2052+U2052+2*'Read Me'!$B$13)*(1+'Read Me'!$B$12),-1)</f>
        <v/>
      </c>
      <c r="W2052" s="10">
        <f>V2052*N2052*O2052</f>
        <v/>
      </c>
      <c r="X2052" s="9">
        <f>IF(LEFT(I2052,2)="MV",2*N2052*IF(L2052="1/C",O2052,1),0)</f>
        <v/>
      </c>
      <c r="Y2052" s="9">
        <f>IF(OR(LEFT(K2052,4)="LVAX",LEFT(K2052,6)="MV15AX",LEFT(K2052,4)="CTAX",LEFT(K2052,2)="W|"),2*N2052*O2052,0)</f>
        <v/>
      </c>
      <c r="Z2052" s="9" t="inlineStr"/>
    </row>
    <row r="2053">
      <c r="A2053" s="9" t="inlineStr">
        <is>
          <t>I-FA-0008</t>
        </is>
      </c>
      <c r="B2053" s="9" t="inlineStr">
        <is>
          <t>I</t>
        </is>
      </c>
      <c r="C2053" s="9" t="inlineStr">
        <is>
          <t>Modular / portable power</t>
        </is>
      </c>
      <c r="D2053" s="9" t="inlineStr">
        <is>
          <t>Fire alarm / F&amp;G loop (to the local FACP / F&amp;G node)</t>
        </is>
      </c>
      <c r="E2053" s="9" t="inlineStr">
        <is>
          <t>PAD-EH</t>
        </is>
      </c>
      <c r="F2053" s="9" t="inlineStr">
        <is>
          <t>PAD-EH 13.8 kV switchgear e-house</t>
        </is>
      </c>
      <c r="G2053" s="9" t="inlineStr">
        <is>
          <t>CONT-1</t>
        </is>
      </c>
      <c r="H2053" s="9" t="inlineStr">
        <is>
          <t>CONT-1: containerized genset 13.8 kV (40 ft)</t>
        </is>
      </c>
      <c r="I2053" s="9" t="inlineStr">
        <is>
          <t>Fire alarm</t>
        </is>
      </c>
      <c r="J2053" s="9" t="inlineStr">
        <is>
          <t>Fire alarm FPLR 2/C #14 shielded, red jacket (NEC 760)</t>
        </is>
      </c>
      <c r="K2053" s="9" t="inlineStr">
        <is>
          <t>FA|2/C|14</t>
        </is>
      </c>
      <c r="L2053" s="9" t="inlineStr">
        <is>
          <t>2/C</t>
        </is>
      </c>
      <c r="M2053" s="9" t="inlineStr">
        <is>
          <t>14</t>
        </is>
      </c>
      <c r="N2053" s="9" t="n">
        <v>1</v>
      </c>
      <c r="O2053" s="9" t="n">
        <v>1</v>
      </c>
      <c r="P2053" s="9" t="n"/>
      <c r="Q2053" s="9" t="n"/>
      <c r="R2053" s="9" t="n"/>
      <c r="S2053" s="9" t="inlineStr">
        <is>
          <t>Surface</t>
        </is>
      </c>
      <c r="T2053" s="10" t="n">
        <v>380</v>
      </c>
      <c r="U2053" s="10" t="n">
        <v>27</v>
      </c>
      <c r="V2053" s="10">
        <f>ROUNDUP((T2053+U2053+2*'Read Me'!$B$13)*(1+'Read Me'!$B$12),-1)</f>
        <v/>
      </c>
      <c r="W2053" s="10">
        <f>V2053*N2053*O2053</f>
        <v/>
      </c>
      <c r="X2053" s="9">
        <f>IF(LEFT(I2053,2)="MV",2*N2053*IF(L2053="1/C",O2053,1),0)</f>
        <v/>
      </c>
      <c r="Y2053" s="9">
        <f>IF(OR(LEFT(K2053,4)="LVAX",LEFT(K2053,6)="MV15AX",LEFT(K2053,4)="CTAX",LEFT(K2053,2)="W|"),2*N2053*O2053,0)</f>
        <v/>
      </c>
      <c r="Z2053" s="9" t="inlineStr"/>
    </row>
    <row r="2054">
      <c r="A2054" s="9" t="inlineStr">
        <is>
          <t>I-FA-0009</t>
        </is>
      </c>
      <c r="B2054" s="9" t="inlineStr">
        <is>
          <t>I</t>
        </is>
      </c>
      <c r="C2054" s="9" t="inlineStr">
        <is>
          <t>Modular / portable power</t>
        </is>
      </c>
      <c r="D2054" s="9" t="inlineStr">
        <is>
          <t>Fire alarm / F&amp;G loop (to the local FACP / F&amp;G node)</t>
        </is>
      </c>
      <c r="E2054" s="9" t="inlineStr">
        <is>
          <t>PAD-EH</t>
        </is>
      </c>
      <c r="F2054" s="9" t="inlineStr">
        <is>
          <t>PAD-EH 13.8 kV switchgear e-house</t>
        </is>
      </c>
      <c r="G2054" s="9" t="inlineStr">
        <is>
          <t>CONT-2</t>
        </is>
      </c>
      <c r="H2054" s="9" t="inlineStr">
        <is>
          <t>CONT-2: containerized genset 13.8 kV (40 ft)</t>
        </is>
      </c>
      <c r="I2054" s="9" t="inlineStr">
        <is>
          <t>Fire alarm</t>
        </is>
      </c>
      <c r="J2054" s="9" t="inlineStr">
        <is>
          <t>Fire alarm FPLR 2/C #14 shielded, red jacket (NEC 760)</t>
        </is>
      </c>
      <c r="K2054" s="9" t="inlineStr">
        <is>
          <t>FA|2/C|14</t>
        </is>
      </c>
      <c r="L2054" s="9" t="inlineStr">
        <is>
          <t>2/C</t>
        </is>
      </c>
      <c r="M2054" s="9" t="inlineStr">
        <is>
          <t>14</t>
        </is>
      </c>
      <c r="N2054" s="9" t="n">
        <v>1</v>
      </c>
      <c r="O2054" s="9" t="n">
        <v>1</v>
      </c>
      <c r="P2054" s="9" t="n"/>
      <c r="Q2054" s="9" t="n"/>
      <c r="R2054" s="9" t="n"/>
      <c r="S2054" s="9" t="inlineStr">
        <is>
          <t>Surface</t>
        </is>
      </c>
      <c r="T2054" s="10" t="n">
        <v>380</v>
      </c>
      <c r="U2054" s="10" t="n">
        <v>54</v>
      </c>
      <c r="V2054" s="10">
        <f>ROUNDUP((T2054+U2054+2*'Read Me'!$B$13)*(1+'Read Me'!$B$12),-1)</f>
        <v/>
      </c>
      <c r="W2054" s="10">
        <f>V2054*N2054*O2054</f>
        <v/>
      </c>
      <c r="X2054" s="9">
        <f>IF(LEFT(I2054,2)="MV",2*N2054*IF(L2054="1/C",O2054,1),0)</f>
        <v/>
      </c>
      <c r="Y2054" s="9">
        <f>IF(OR(LEFT(K2054,4)="LVAX",LEFT(K2054,6)="MV15AX",LEFT(K2054,4)="CTAX",LEFT(K2054,2)="W|"),2*N2054*O2054,0)</f>
        <v/>
      </c>
      <c r="Z2054" s="9" t="inlineStr"/>
    </row>
    <row r="2055">
      <c r="A2055" s="9" t="inlineStr">
        <is>
          <t>I-FA-0010</t>
        </is>
      </c>
      <c r="B2055" s="9" t="inlineStr">
        <is>
          <t>I</t>
        </is>
      </c>
      <c r="C2055" s="9" t="inlineStr">
        <is>
          <t>Modular / portable power</t>
        </is>
      </c>
      <c r="D2055" s="9" t="inlineStr">
        <is>
          <t>Fire alarm / F&amp;G loop (to the local FACP / F&amp;G node)</t>
        </is>
      </c>
      <c r="E2055" s="9" t="inlineStr">
        <is>
          <t>PAD-EH</t>
        </is>
      </c>
      <c r="F2055" s="9" t="inlineStr">
        <is>
          <t>PAD-EH 13.8 kV switchgear e-house</t>
        </is>
      </c>
      <c r="G2055" s="9" t="inlineStr">
        <is>
          <t>CONT-3</t>
        </is>
      </c>
      <c r="H2055" s="9" t="inlineStr">
        <is>
          <t>CONT-3: containerized gas genset 13.8 kV (40 ft)</t>
        </is>
      </c>
      <c r="I2055" s="9" t="inlineStr">
        <is>
          <t>Fire alarm</t>
        </is>
      </c>
      <c r="J2055" s="9" t="inlineStr">
        <is>
          <t>Fire alarm FPLR 2/C #14 shielded, red jacket (NEC 760)</t>
        </is>
      </c>
      <c r="K2055" s="9" t="inlineStr">
        <is>
          <t>FA|2/C|14</t>
        </is>
      </c>
      <c r="L2055" s="9" t="inlineStr">
        <is>
          <t>2/C</t>
        </is>
      </c>
      <c r="M2055" s="9" t="inlineStr">
        <is>
          <t>14</t>
        </is>
      </c>
      <c r="N2055" s="9" t="n">
        <v>1</v>
      </c>
      <c r="O2055" s="9" t="n">
        <v>1</v>
      </c>
      <c r="P2055" s="9" t="n"/>
      <c r="Q2055" s="9" t="n"/>
      <c r="R2055" s="9" t="n"/>
      <c r="S2055" s="9" t="inlineStr">
        <is>
          <t>Surface</t>
        </is>
      </c>
      <c r="T2055" s="10" t="n">
        <v>209</v>
      </c>
      <c r="U2055" s="10" t="n">
        <v>27</v>
      </c>
      <c r="V2055" s="10">
        <f>ROUNDUP((T2055+U2055+2*'Read Me'!$B$13)*(1+'Read Me'!$B$12),-1)</f>
        <v/>
      </c>
      <c r="W2055" s="10">
        <f>V2055*N2055*O2055</f>
        <v/>
      </c>
      <c r="X2055" s="9">
        <f>IF(LEFT(I2055,2)="MV",2*N2055*IF(L2055="1/C",O2055,1),0)</f>
        <v/>
      </c>
      <c r="Y2055" s="9">
        <f>IF(OR(LEFT(K2055,4)="LVAX",LEFT(K2055,6)="MV15AX",LEFT(K2055,4)="CTAX",LEFT(K2055,2)="W|"),2*N2055*O2055,0)</f>
        <v/>
      </c>
      <c r="Z2055" s="9" t="inlineStr"/>
    </row>
    <row r="2056">
      <c r="A2056" s="9" t="inlineStr">
        <is>
          <t>I-FA-0011</t>
        </is>
      </c>
      <c r="B2056" s="9" t="inlineStr">
        <is>
          <t>I</t>
        </is>
      </c>
      <c r="C2056" s="9" t="inlineStr">
        <is>
          <t>Modular / portable power</t>
        </is>
      </c>
      <c r="D2056" s="9" t="inlineStr">
        <is>
          <t>Fire alarm / F&amp;G loop (to the local FACP / F&amp;G node)</t>
        </is>
      </c>
      <c r="E2056" s="9" t="inlineStr">
        <is>
          <t>PAD-EH</t>
        </is>
      </c>
      <c r="F2056" s="9" t="inlineStr">
        <is>
          <t>PAD-EH 13.8 kV switchgear e-house</t>
        </is>
      </c>
      <c r="G2056" s="9" t="inlineStr">
        <is>
          <t>CONT-4</t>
        </is>
      </c>
      <c r="H2056" s="9" t="inlineStr">
        <is>
          <t>CONT-4: containerized gas genset 13.8 kV (40 ft)</t>
        </is>
      </c>
      <c r="I2056" s="9" t="inlineStr">
        <is>
          <t>Fire alarm</t>
        </is>
      </c>
      <c r="J2056" s="9" t="inlineStr">
        <is>
          <t>Fire alarm FPLR 2/C #14 shielded, red jacket (NEC 760)</t>
        </is>
      </c>
      <c r="K2056" s="9" t="inlineStr">
        <is>
          <t>FA|2/C|14</t>
        </is>
      </c>
      <c r="L2056" s="9" t="inlineStr">
        <is>
          <t>2/C</t>
        </is>
      </c>
      <c r="M2056" s="9" t="inlineStr">
        <is>
          <t>14</t>
        </is>
      </c>
      <c r="N2056" s="9" t="n">
        <v>1</v>
      </c>
      <c r="O2056" s="9" t="n">
        <v>1</v>
      </c>
      <c r="P2056" s="9" t="n"/>
      <c r="Q2056" s="9" t="n"/>
      <c r="R2056" s="9" t="n"/>
      <c r="S2056" s="9" t="inlineStr">
        <is>
          <t>Surface</t>
        </is>
      </c>
      <c r="T2056" s="10" t="n">
        <v>103</v>
      </c>
      <c r="U2056" s="10" t="n">
        <v>117</v>
      </c>
      <c r="V2056" s="10">
        <f>ROUNDUP((T2056+U2056+2*'Read Me'!$B$13)*(1+'Read Me'!$B$12),-1)</f>
        <v/>
      </c>
      <c r="W2056" s="10">
        <f>V2056*N2056*O2056</f>
        <v/>
      </c>
      <c r="X2056" s="9">
        <f>IF(LEFT(I2056,2)="MV",2*N2056*IF(L2056="1/C",O2056,1),0)</f>
        <v/>
      </c>
      <c r="Y2056" s="9">
        <f>IF(OR(LEFT(K2056,4)="LVAX",LEFT(K2056,6)="MV15AX",LEFT(K2056,4)="CTAX",LEFT(K2056,2)="W|"),2*N2056*O2056,0)</f>
        <v/>
      </c>
      <c r="Z2056" s="9" t="inlineStr"/>
    </row>
    <row r="2057">
      <c r="A2057" s="9" t="inlineStr">
        <is>
          <t>I-FA-0012</t>
        </is>
      </c>
      <c r="B2057" s="9" t="inlineStr">
        <is>
          <t>I</t>
        </is>
      </c>
      <c r="C2057" s="9" t="inlineStr">
        <is>
          <t>Modular / portable power</t>
        </is>
      </c>
      <c r="D2057" s="9" t="inlineStr">
        <is>
          <t>Fire alarm / F&amp;G loop (to the local FACP / F&amp;G node)</t>
        </is>
      </c>
      <c r="E2057" s="9" t="inlineStr">
        <is>
          <t>PAD-EH</t>
        </is>
      </c>
      <c r="F2057" s="9" t="inlineStr">
        <is>
          <t>PAD-EH 13.8 kV switchgear e-house</t>
        </is>
      </c>
      <c r="G2057" s="9" t="inlineStr">
        <is>
          <t>CONT-5</t>
        </is>
      </c>
      <c r="H2057" s="9" t="inlineStr">
        <is>
          <t>CONT-5: containerized gas genset 13.8 kV (40 ft)</t>
        </is>
      </c>
      <c r="I2057" s="9" t="inlineStr">
        <is>
          <t>Fire alarm</t>
        </is>
      </c>
      <c r="J2057" s="9" t="inlineStr">
        <is>
          <t>Fire alarm FPLR 2/C #14 shielded, red jacket (NEC 760)</t>
        </is>
      </c>
      <c r="K2057" s="9" t="inlineStr">
        <is>
          <t>FA|2/C|14</t>
        </is>
      </c>
      <c r="L2057" s="9" t="inlineStr">
        <is>
          <t>2/C</t>
        </is>
      </c>
      <c r="M2057" s="9" t="inlineStr">
        <is>
          <t>14</t>
        </is>
      </c>
      <c r="N2057" s="9" t="n">
        <v>1</v>
      </c>
      <c r="O2057" s="9" t="n">
        <v>1</v>
      </c>
      <c r="P2057" s="9" t="n"/>
      <c r="Q2057" s="9" t="n"/>
      <c r="R2057" s="9" t="n"/>
      <c r="S2057" s="9" t="inlineStr">
        <is>
          <t>Tray</t>
        </is>
      </c>
      <c r="T2057" s="10" t="n">
        <v>0</v>
      </c>
      <c r="U2057" s="10" t="n">
        <v>77</v>
      </c>
      <c r="V2057" s="10">
        <f>ROUNDUP((T2057+U2057+2*'Read Me'!$B$13)*(1+'Read Me'!$B$12),-1)</f>
        <v/>
      </c>
      <c r="W2057" s="10">
        <f>V2057*N2057*O2057</f>
        <v/>
      </c>
      <c r="X2057" s="9">
        <f>IF(LEFT(I2057,2)="MV",2*N2057*IF(L2057="1/C",O2057,1),0)</f>
        <v/>
      </c>
      <c r="Y2057" s="9">
        <f>IF(OR(LEFT(K2057,4)="LVAX",LEFT(K2057,6)="MV15AX",LEFT(K2057,4)="CTAX",LEFT(K2057,2)="W|"),2*N2057*O2057,0)</f>
        <v/>
      </c>
      <c r="Z2057" s="9" t="inlineStr"/>
    </row>
    <row r="2058">
      <c r="A2058" s="9" t="inlineStr">
        <is>
          <t>I-FA-0013</t>
        </is>
      </c>
      <c r="B2058" s="9" t="inlineStr">
        <is>
          <t>I</t>
        </is>
      </c>
      <c r="C2058" s="9" t="inlineStr">
        <is>
          <t>Modular / portable power</t>
        </is>
      </c>
      <c r="D2058" s="9" t="inlineStr">
        <is>
          <t>Fire alarm / F&amp;G loop (to the local FACP / F&amp;G node)</t>
        </is>
      </c>
      <c r="E2058" s="9" t="inlineStr">
        <is>
          <t>PAD-EH</t>
        </is>
      </c>
      <c r="F2058" s="9" t="inlineStr">
        <is>
          <t>PAD-EH 13.8 kV switchgear e-house</t>
        </is>
      </c>
      <c r="G2058" s="9" t="inlineStr">
        <is>
          <t>CONT-6</t>
        </is>
      </c>
      <c r="H2058" s="9" t="inlineStr">
        <is>
          <t>CONT-6: containerized gas genset 13.8 kV (40 ft)</t>
        </is>
      </c>
      <c r="I2058" s="9" t="inlineStr">
        <is>
          <t>Fire alarm</t>
        </is>
      </c>
      <c r="J2058" s="9" t="inlineStr">
        <is>
          <t>Fire alarm FPLR 2/C #14 shielded, red jacket (NEC 760)</t>
        </is>
      </c>
      <c r="K2058" s="9" t="inlineStr">
        <is>
          <t>FA|2/C|14</t>
        </is>
      </c>
      <c r="L2058" s="9" t="inlineStr">
        <is>
          <t>2/C</t>
        </is>
      </c>
      <c r="M2058" s="9" t="inlineStr">
        <is>
          <t>14</t>
        </is>
      </c>
      <c r="N2058" s="9" t="n">
        <v>1</v>
      </c>
      <c r="O2058" s="9" t="n">
        <v>1</v>
      </c>
      <c r="P2058" s="9" t="n"/>
      <c r="Q2058" s="9" t="n"/>
      <c r="R2058" s="9" t="n"/>
      <c r="S2058" s="9" t="inlineStr">
        <is>
          <t>Surface</t>
        </is>
      </c>
      <c r="T2058" s="10" t="n">
        <v>209</v>
      </c>
      <c r="U2058" s="10" t="n">
        <v>82</v>
      </c>
      <c r="V2058" s="10">
        <f>ROUNDUP((T2058+U2058+2*'Read Me'!$B$13)*(1+'Read Me'!$B$12),-1)</f>
        <v/>
      </c>
      <c r="W2058" s="10">
        <f>V2058*N2058*O2058</f>
        <v/>
      </c>
      <c r="X2058" s="9">
        <f>IF(LEFT(I2058,2)="MV",2*N2058*IF(L2058="1/C",O2058,1),0)</f>
        <v/>
      </c>
      <c r="Y2058" s="9">
        <f>IF(OR(LEFT(K2058,4)="LVAX",LEFT(K2058,6)="MV15AX",LEFT(K2058,4)="CTAX",LEFT(K2058,2)="W|"),2*N2058*O2058,0)</f>
        <v/>
      </c>
      <c r="Z2058" s="9" t="inlineStr"/>
    </row>
    <row r="2059">
      <c r="A2059" s="9" t="inlineStr">
        <is>
          <t>I-FA-0014</t>
        </is>
      </c>
      <c r="B2059" s="9" t="inlineStr">
        <is>
          <t>I</t>
        </is>
      </c>
      <c r="C2059" s="9" t="inlineStr">
        <is>
          <t>Modular / portable power</t>
        </is>
      </c>
      <c r="D2059" s="9" t="inlineStr">
        <is>
          <t>Fire alarm / F&amp;G loop (to the local FACP / F&amp;G node)</t>
        </is>
      </c>
      <c r="E2059" s="9" t="inlineStr">
        <is>
          <t>PAD-EH</t>
        </is>
      </c>
      <c r="F2059" s="9" t="inlineStr">
        <is>
          <t>PAD-EH 13.8 kV switchgear e-house</t>
        </is>
      </c>
      <c r="G2059" s="9" t="inlineStr">
        <is>
          <t>CONT-7</t>
        </is>
      </c>
      <c r="H2059" s="9" t="inlineStr">
        <is>
          <t>CONT-7: containerized gas genset 13.8 kV (40 ft)</t>
        </is>
      </c>
      <c r="I2059" s="9" t="inlineStr">
        <is>
          <t>Fire alarm</t>
        </is>
      </c>
      <c r="J2059" s="9" t="inlineStr">
        <is>
          <t>Fire alarm FPLR 2/C #14 shielded, red jacket (NEC 760)</t>
        </is>
      </c>
      <c r="K2059" s="9" t="inlineStr">
        <is>
          <t>FA|2/C|14</t>
        </is>
      </c>
      <c r="L2059" s="9" t="inlineStr">
        <is>
          <t>2/C</t>
        </is>
      </c>
      <c r="M2059" s="9" t="inlineStr">
        <is>
          <t>14</t>
        </is>
      </c>
      <c r="N2059" s="9" t="n">
        <v>1</v>
      </c>
      <c r="O2059" s="9" t="n">
        <v>1</v>
      </c>
      <c r="P2059" s="9" t="n"/>
      <c r="Q2059" s="9" t="n"/>
      <c r="R2059" s="9" t="n"/>
      <c r="S2059" s="9" t="inlineStr">
        <is>
          <t>Surface</t>
        </is>
      </c>
      <c r="T2059" s="10" t="n">
        <v>280</v>
      </c>
      <c r="U2059" s="10" t="n">
        <v>67</v>
      </c>
      <c r="V2059" s="10">
        <f>ROUNDUP((T2059+U2059+2*'Read Me'!$B$13)*(1+'Read Me'!$B$12),-1)</f>
        <v/>
      </c>
      <c r="W2059" s="10">
        <f>V2059*N2059*O2059</f>
        <v/>
      </c>
      <c r="X2059" s="9">
        <f>IF(LEFT(I2059,2)="MV",2*N2059*IF(L2059="1/C",O2059,1),0)</f>
        <v/>
      </c>
      <c r="Y2059" s="9">
        <f>IF(OR(LEFT(K2059,4)="LVAX",LEFT(K2059,6)="MV15AX",LEFT(K2059,4)="CTAX",LEFT(K2059,2)="W|"),2*N2059*O2059,0)</f>
        <v/>
      </c>
      <c r="Z2059" s="9" t="inlineStr"/>
    </row>
    <row r="2060">
      <c r="A2060" s="9" t="inlineStr">
        <is>
          <t>I-FA-0015</t>
        </is>
      </c>
      <c r="B2060" s="9" t="inlineStr">
        <is>
          <t>I</t>
        </is>
      </c>
      <c r="C2060" s="9" t="inlineStr">
        <is>
          <t>Modular / portable power</t>
        </is>
      </c>
      <c r="D2060" s="9" t="inlineStr">
        <is>
          <t>Fire alarm / F&amp;G loop (to the local FACP / F&amp;G node)</t>
        </is>
      </c>
      <c r="E2060" s="9" t="inlineStr">
        <is>
          <t>PAD-EH</t>
        </is>
      </c>
      <c r="F2060" s="9" t="inlineStr">
        <is>
          <t>PAD-EH 13.8 kV switchgear e-house</t>
        </is>
      </c>
      <c r="G2060" s="9" t="inlineStr">
        <is>
          <t>CONT-8</t>
        </is>
      </c>
      <c r="H2060" s="9" t="inlineStr">
        <is>
          <t>CONT-8: containerized gas genset 13.8 kV (40 ft)</t>
        </is>
      </c>
      <c r="I2060" s="9" t="inlineStr">
        <is>
          <t>Fire alarm</t>
        </is>
      </c>
      <c r="J2060" s="9" t="inlineStr">
        <is>
          <t>Fire alarm FPLR 2/C #14 shielded, red jacket (NEC 760)</t>
        </is>
      </c>
      <c r="K2060" s="9" t="inlineStr">
        <is>
          <t>FA|2/C|14</t>
        </is>
      </c>
      <c r="L2060" s="9" t="inlineStr">
        <is>
          <t>2/C</t>
        </is>
      </c>
      <c r="M2060" s="9" t="inlineStr">
        <is>
          <t>14</t>
        </is>
      </c>
      <c r="N2060" s="9" t="n">
        <v>1</v>
      </c>
      <c r="O2060" s="9" t="n">
        <v>1</v>
      </c>
      <c r="P2060" s="9" t="n"/>
      <c r="Q2060" s="9" t="n"/>
      <c r="R2060" s="9" t="n"/>
      <c r="S2060" s="9" t="inlineStr">
        <is>
          <t>Surface</t>
        </is>
      </c>
      <c r="T2060" s="10" t="n">
        <v>60</v>
      </c>
      <c r="U2060" s="10" t="n">
        <v>91</v>
      </c>
      <c r="V2060" s="10">
        <f>ROUNDUP((T2060+U2060+2*'Read Me'!$B$13)*(1+'Read Me'!$B$12),-1)</f>
        <v/>
      </c>
      <c r="W2060" s="10">
        <f>V2060*N2060*O2060</f>
        <v/>
      </c>
      <c r="X2060" s="9">
        <f>IF(LEFT(I2060,2)="MV",2*N2060*IF(L2060="1/C",O2060,1),0)</f>
        <v/>
      </c>
      <c r="Y2060" s="9">
        <f>IF(OR(LEFT(K2060,4)="LVAX",LEFT(K2060,6)="MV15AX",LEFT(K2060,4)="CTAX",LEFT(K2060,2)="W|"),2*N2060*O2060,0)</f>
        <v/>
      </c>
      <c r="Z2060" s="9" t="inlineStr"/>
    </row>
    <row r="2061">
      <c r="A2061" s="9" t="inlineStr">
        <is>
          <t>I-FA-0016</t>
        </is>
      </c>
      <c r="B2061" s="9" t="inlineStr">
        <is>
          <t>I</t>
        </is>
      </c>
      <c r="C2061" s="9" t="inlineStr">
        <is>
          <t>Modular / portable power</t>
        </is>
      </c>
      <c r="D2061" s="9" t="inlineStr">
        <is>
          <t>Fire alarm / F&amp;G loop (to the local FACP / F&amp;G node)</t>
        </is>
      </c>
      <c r="E2061" s="9" t="inlineStr"/>
      <c r="F2061" s="9" t="inlineStr">
        <is>
          <t>PCM: power control module</t>
        </is>
      </c>
      <c r="G2061" s="9" t="inlineStr">
        <is>
          <t>FC-10</t>
        </is>
      </c>
      <c r="H2061" s="9" t="inlineStr">
        <is>
          <t>FC-10: SOFC module (Bloom ES5 class, 200-300 kW)</t>
        </is>
      </c>
      <c r="I2061" s="9" t="inlineStr">
        <is>
          <t>Fire alarm</t>
        </is>
      </c>
      <c r="J2061" s="9" t="inlineStr">
        <is>
          <t>Fire alarm FPLR 2/C #14 shielded, red jacket (NEC 760)</t>
        </is>
      </c>
      <c r="K2061" s="9" t="inlineStr">
        <is>
          <t>FA|2/C|14</t>
        </is>
      </c>
      <c r="L2061" s="9" t="inlineStr">
        <is>
          <t>2/C</t>
        </is>
      </c>
      <c r="M2061" s="9" t="inlineStr">
        <is>
          <t>14</t>
        </is>
      </c>
      <c r="N2061" s="9" t="n">
        <v>1</v>
      </c>
      <c r="O2061" s="9" t="n">
        <v>1</v>
      </c>
      <c r="P2061" s="9" t="n"/>
      <c r="Q2061" s="9" t="n"/>
      <c r="R2061" s="9" t="n"/>
      <c r="S2061" s="9" t="inlineStr">
        <is>
          <t>Duct bank</t>
        </is>
      </c>
      <c r="T2061" s="10" t="n">
        <v>177</v>
      </c>
      <c r="U2061" s="10" t="n">
        <v>42</v>
      </c>
      <c r="V2061" s="10">
        <f>ROUNDUP((T2061+U2061+2*'Read Me'!$B$13)*(1+'Read Me'!$B$12),-1)</f>
        <v/>
      </c>
      <c r="W2061" s="10">
        <f>V2061*N2061*O2061</f>
        <v/>
      </c>
      <c r="X2061" s="9">
        <f>IF(LEFT(I2061,2)="MV",2*N2061*IF(L2061="1/C",O2061,1),0)</f>
        <v/>
      </c>
      <c r="Y2061" s="9">
        <f>IF(OR(LEFT(K2061,4)="LVAX",LEFT(K2061,6)="MV15AX",LEFT(K2061,4)="CTAX",LEFT(K2061,2)="W|"),2*N2061*O2061,0)</f>
        <v/>
      </c>
      <c r="Z2061" s="9" t="inlineStr"/>
    </row>
    <row r="2062">
      <c r="A2062" s="9" t="inlineStr">
        <is>
          <t>I-FA-0017</t>
        </is>
      </c>
      <c r="B2062" s="9" t="inlineStr">
        <is>
          <t>I</t>
        </is>
      </c>
      <c r="C2062" s="9" t="inlineStr">
        <is>
          <t>Modular / portable power</t>
        </is>
      </c>
      <c r="D2062" s="9" t="inlineStr">
        <is>
          <t>Fire alarm / F&amp;G loop (to the local FACP / F&amp;G node)</t>
        </is>
      </c>
      <c r="E2062" s="9" t="inlineStr"/>
      <c r="F2062" s="9" t="inlineStr">
        <is>
          <t>PCM: power control module</t>
        </is>
      </c>
      <c r="G2062" s="9" t="inlineStr">
        <is>
          <t>FC-11</t>
        </is>
      </c>
      <c r="H2062" s="9" t="inlineStr">
        <is>
          <t>FC-11: SOFC module (Bloom ES5 class, 200-300 kW)</t>
        </is>
      </c>
      <c r="I2062" s="9" t="inlineStr">
        <is>
          <t>Fire alarm</t>
        </is>
      </c>
      <c r="J2062" s="9" t="inlineStr">
        <is>
          <t>Fire alarm FPLR 2/C #14 shielded, red jacket (NEC 760)</t>
        </is>
      </c>
      <c r="K2062" s="9" t="inlineStr">
        <is>
          <t>FA|2/C|14</t>
        </is>
      </c>
      <c r="L2062" s="9" t="inlineStr">
        <is>
          <t>2/C</t>
        </is>
      </c>
      <c r="M2062" s="9" t="inlineStr">
        <is>
          <t>14</t>
        </is>
      </c>
      <c r="N2062" s="9" t="n">
        <v>1</v>
      </c>
      <c r="O2062" s="9" t="n">
        <v>1</v>
      </c>
      <c r="P2062" s="9" t="n"/>
      <c r="Q2062" s="9" t="n"/>
      <c r="R2062" s="9" t="n"/>
      <c r="S2062" s="9" t="inlineStr">
        <is>
          <t>Duct bank</t>
        </is>
      </c>
      <c r="T2062" s="10" t="n">
        <v>191</v>
      </c>
      <c r="U2062" s="10" t="n">
        <v>42</v>
      </c>
      <c r="V2062" s="10">
        <f>ROUNDUP((T2062+U2062+2*'Read Me'!$B$13)*(1+'Read Me'!$B$12),-1)</f>
        <v/>
      </c>
      <c r="W2062" s="10">
        <f>V2062*N2062*O2062</f>
        <v/>
      </c>
      <c r="X2062" s="9">
        <f>IF(LEFT(I2062,2)="MV",2*N2062*IF(L2062="1/C",O2062,1),0)</f>
        <v/>
      </c>
      <c r="Y2062" s="9">
        <f>IF(OR(LEFT(K2062,4)="LVAX",LEFT(K2062,6)="MV15AX",LEFT(K2062,4)="CTAX",LEFT(K2062,2)="W|"),2*N2062*O2062,0)</f>
        <v/>
      </c>
      <c r="Z2062" s="9" t="inlineStr"/>
    </row>
    <row r="2063">
      <c r="A2063" s="9" t="inlineStr">
        <is>
          <t>I-FA-0018</t>
        </is>
      </c>
      <c r="B2063" s="9" t="inlineStr">
        <is>
          <t>I</t>
        </is>
      </c>
      <c r="C2063" s="9" t="inlineStr">
        <is>
          <t>Modular / portable power</t>
        </is>
      </c>
      <c r="D2063" s="9" t="inlineStr">
        <is>
          <t>Fire alarm / F&amp;G loop (to the local FACP / F&amp;G node)</t>
        </is>
      </c>
      <c r="E2063" s="9" t="inlineStr"/>
      <c r="F2063" s="9" t="inlineStr">
        <is>
          <t>PCM: power control module</t>
        </is>
      </c>
      <c r="G2063" s="9" t="inlineStr">
        <is>
          <t>FC-12</t>
        </is>
      </c>
      <c r="H2063" s="9" t="inlineStr">
        <is>
          <t>FC-12: SOFC module (Bloom ES5 class, 200-300 kW)</t>
        </is>
      </c>
      <c r="I2063" s="9" t="inlineStr">
        <is>
          <t>Fire alarm</t>
        </is>
      </c>
      <c r="J2063" s="9" t="inlineStr">
        <is>
          <t>Fire alarm FPLR 2/C #14 shielded, red jacket (NEC 760)</t>
        </is>
      </c>
      <c r="K2063" s="9" t="inlineStr">
        <is>
          <t>FA|2/C|14</t>
        </is>
      </c>
      <c r="L2063" s="9" t="inlineStr">
        <is>
          <t>2/C</t>
        </is>
      </c>
      <c r="M2063" s="9" t="inlineStr">
        <is>
          <t>14</t>
        </is>
      </c>
      <c r="N2063" s="9" t="n">
        <v>1</v>
      </c>
      <c r="O2063" s="9" t="n">
        <v>1</v>
      </c>
      <c r="P2063" s="9" t="n"/>
      <c r="Q2063" s="9" t="n"/>
      <c r="R2063" s="9" t="n"/>
      <c r="S2063" s="9" t="inlineStr">
        <is>
          <t>Duct bank</t>
        </is>
      </c>
      <c r="T2063" s="10" t="n">
        <v>205</v>
      </c>
      <c r="U2063" s="10" t="n">
        <v>42</v>
      </c>
      <c r="V2063" s="10">
        <f>ROUNDUP((T2063+U2063+2*'Read Me'!$B$13)*(1+'Read Me'!$B$12),-1)</f>
        <v/>
      </c>
      <c r="W2063" s="10">
        <f>V2063*N2063*O2063</f>
        <v/>
      </c>
      <c r="X2063" s="9">
        <f>IF(LEFT(I2063,2)="MV",2*N2063*IF(L2063="1/C",O2063,1),0)</f>
        <v/>
      </c>
      <c r="Y2063" s="9">
        <f>IF(OR(LEFT(K2063,4)="LVAX",LEFT(K2063,6)="MV15AX",LEFT(K2063,4)="CTAX",LEFT(K2063,2)="W|"),2*N2063*O2063,0)</f>
        <v/>
      </c>
      <c r="Z2063" s="9" t="inlineStr"/>
    </row>
    <row r="2064">
      <c r="A2064" s="9" t="inlineStr">
        <is>
          <t>I-FA-0019</t>
        </is>
      </c>
      <c r="B2064" s="9" t="inlineStr">
        <is>
          <t>I</t>
        </is>
      </c>
      <c r="C2064" s="9" t="inlineStr">
        <is>
          <t>Modular / portable power</t>
        </is>
      </c>
      <c r="D2064" s="9" t="inlineStr">
        <is>
          <t>Fire alarm / F&amp;G loop (to the local FACP / F&amp;G node)</t>
        </is>
      </c>
      <c r="E2064" s="9" t="inlineStr"/>
      <c r="F2064" s="9" t="inlineStr">
        <is>
          <t>PCM: power control module</t>
        </is>
      </c>
      <c r="G2064" s="9" t="inlineStr"/>
      <c r="H2064" s="9" t="inlineStr">
        <is>
          <t>FC-1: SOFC module (Bloom ES5 class, 200-300 kW)</t>
        </is>
      </c>
      <c r="I2064" s="9" t="inlineStr">
        <is>
          <t>Fire alarm</t>
        </is>
      </c>
      <c r="J2064" s="9" t="inlineStr">
        <is>
          <t>Fire alarm FPLR 2/C #14 shielded, red jacket (NEC 760)</t>
        </is>
      </c>
      <c r="K2064" s="9" t="inlineStr">
        <is>
          <t>FA|2/C|14</t>
        </is>
      </c>
      <c r="L2064" s="9" t="inlineStr">
        <is>
          <t>2/C</t>
        </is>
      </c>
      <c r="M2064" s="9" t="inlineStr">
        <is>
          <t>14</t>
        </is>
      </c>
      <c r="N2064" s="9" t="n">
        <v>1</v>
      </c>
      <c r="O2064" s="9" t="n">
        <v>1</v>
      </c>
      <c r="P2064" s="9" t="n"/>
      <c r="Q2064" s="9" t="n"/>
      <c r="R2064" s="9" t="n"/>
      <c r="S2064" s="9" t="inlineStr">
        <is>
          <t>Duct bank</t>
        </is>
      </c>
      <c r="T2064" s="10" t="n">
        <v>1074</v>
      </c>
      <c r="U2064" s="10" t="n">
        <v>94</v>
      </c>
      <c r="V2064" s="10">
        <f>ROUNDUP((T2064+U2064+2*'Read Me'!$B$13)*(1+'Read Me'!$B$12),-1)</f>
        <v/>
      </c>
      <c r="W2064" s="10">
        <f>V2064*N2064*O2064</f>
        <v/>
      </c>
      <c r="X2064" s="9">
        <f>IF(LEFT(I2064,2)="MV",2*N2064*IF(L2064="1/C",O2064,1),0)</f>
        <v/>
      </c>
      <c r="Y2064" s="9">
        <f>IF(OR(LEFT(K2064,4)="LVAX",LEFT(K2064,6)="MV15AX",LEFT(K2064,4)="CTAX",LEFT(K2064,2)="W|"),2*N2064*O2064,0)</f>
        <v/>
      </c>
      <c r="Z2064" s="9" t="inlineStr"/>
    </row>
    <row r="2065">
      <c r="A2065" s="9" t="inlineStr">
        <is>
          <t>I-FA-0020</t>
        </is>
      </c>
      <c r="B2065" s="9" t="inlineStr">
        <is>
          <t>I</t>
        </is>
      </c>
      <c r="C2065" s="9" t="inlineStr">
        <is>
          <t>Modular / portable power</t>
        </is>
      </c>
      <c r="D2065" s="9" t="inlineStr">
        <is>
          <t>Fire alarm / F&amp;G loop (to the local FACP / F&amp;G node)</t>
        </is>
      </c>
      <c r="E2065" s="9" t="inlineStr"/>
      <c r="F2065" s="9" t="inlineStr">
        <is>
          <t>PCM: power control module</t>
        </is>
      </c>
      <c r="G2065" s="9" t="inlineStr"/>
      <c r="H2065" s="9" t="inlineStr">
        <is>
          <t>FC-2: SOFC module (Bloom ES5 class, 200-300 kW)</t>
        </is>
      </c>
      <c r="I2065" s="9" t="inlineStr">
        <is>
          <t>Fire alarm</t>
        </is>
      </c>
      <c r="J2065" s="9" t="inlineStr">
        <is>
          <t>Fire alarm FPLR 2/C #14 shielded, red jacket (NEC 760)</t>
        </is>
      </c>
      <c r="K2065" s="9" t="inlineStr">
        <is>
          <t>FA|2/C|14</t>
        </is>
      </c>
      <c r="L2065" s="9" t="inlineStr">
        <is>
          <t>2/C</t>
        </is>
      </c>
      <c r="M2065" s="9" t="inlineStr">
        <is>
          <t>14</t>
        </is>
      </c>
      <c r="N2065" s="9" t="n">
        <v>1</v>
      </c>
      <c r="O2065" s="9" t="n">
        <v>1</v>
      </c>
      <c r="P2065" s="9" t="n"/>
      <c r="Q2065" s="9" t="n"/>
      <c r="R2065" s="9" t="n"/>
      <c r="S2065" s="9" t="inlineStr">
        <is>
          <t>Duct bank</t>
        </is>
      </c>
      <c r="T2065" s="10" t="n">
        <v>1074</v>
      </c>
      <c r="U2065" s="10" t="n">
        <v>80</v>
      </c>
      <c r="V2065" s="10">
        <f>ROUNDUP((T2065+U2065+2*'Read Me'!$B$13)*(1+'Read Me'!$B$12),-1)</f>
        <v/>
      </c>
      <c r="W2065" s="10">
        <f>V2065*N2065*O2065</f>
        <v/>
      </c>
      <c r="X2065" s="9">
        <f>IF(LEFT(I2065,2)="MV",2*N2065*IF(L2065="1/C",O2065,1),0)</f>
        <v/>
      </c>
      <c r="Y2065" s="9">
        <f>IF(OR(LEFT(K2065,4)="LVAX",LEFT(K2065,6)="MV15AX",LEFT(K2065,4)="CTAX",LEFT(K2065,2)="W|"),2*N2065*O2065,0)</f>
        <v/>
      </c>
      <c r="Z2065" s="9" t="inlineStr"/>
    </row>
    <row r="2066">
      <c r="A2066" s="9" t="inlineStr">
        <is>
          <t>I-FA-0021</t>
        </is>
      </c>
      <c r="B2066" s="9" t="inlineStr">
        <is>
          <t>I</t>
        </is>
      </c>
      <c r="C2066" s="9" t="inlineStr">
        <is>
          <t>Modular / portable power</t>
        </is>
      </c>
      <c r="D2066" s="9" t="inlineStr">
        <is>
          <t>Fire alarm / F&amp;G loop (to the local FACP / F&amp;G node)</t>
        </is>
      </c>
      <c r="E2066" s="9" t="inlineStr"/>
      <c r="F2066" s="9" t="inlineStr">
        <is>
          <t>PCM: power control module</t>
        </is>
      </c>
      <c r="G2066" s="9" t="inlineStr"/>
      <c r="H2066" s="9" t="inlineStr">
        <is>
          <t>FC-3: SOFC module (Bloom ES5 class, 200-300 kW)</t>
        </is>
      </c>
      <c r="I2066" s="9" t="inlineStr">
        <is>
          <t>Fire alarm</t>
        </is>
      </c>
      <c r="J2066" s="9" t="inlineStr">
        <is>
          <t>Fire alarm FPLR 2/C #14 shielded, red jacket (NEC 760)</t>
        </is>
      </c>
      <c r="K2066" s="9" t="inlineStr">
        <is>
          <t>FA|2/C|14</t>
        </is>
      </c>
      <c r="L2066" s="9" t="inlineStr">
        <is>
          <t>2/C</t>
        </is>
      </c>
      <c r="M2066" s="9" t="inlineStr">
        <is>
          <t>14</t>
        </is>
      </c>
      <c r="N2066" s="9" t="n">
        <v>1</v>
      </c>
      <c r="O2066" s="9" t="n">
        <v>1</v>
      </c>
      <c r="P2066" s="9" t="n"/>
      <c r="Q2066" s="9" t="n"/>
      <c r="R2066" s="9" t="n"/>
      <c r="S2066" s="9" t="inlineStr">
        <is>
          <t>Duct bank</t>
        </is>
      </c>
      <c r="T2066" s="10" t="n">
        <v>1074</v>
      </c>
      <c r="U2066" s="10" t="n">
        <v>66</v>
      </c>
      <c r="V2066" s="10">
        <f>ROUNDUP((T2066+U2066+2*'Read Me'!$B$13)*(1+'Read Me'!$B$12),-1)</f>
        <v/>
      </c>
      <c r="W2066" s="10">
        <f>V2066*N2066*O2066</f>
        <v/>
      </c>
      <c r="X2066" s="9">
        <f>IF(LEFT(I2066,2)="MV",2*N2066*IF(L2066="1/C",O2066,1),0)</f>
        <v/>
      </c>
      <c r="Y2066" s="9">
        <f>IF(OR(LEFT(K2066,4)="LVAX",LEFT(K2066,6)="MV15AX",LEFT(K2066,4)="CTAX",LEFT(K2066,2)="W|"),2*N2066*O2066,0)</f>
        <v/>
      </c>
      <c r="Z2066" s="9" t="inlineStr"/>
    </row>
    <row r="2067">
      <c r="A2067" s="9" t="inlineStr">
        <is>
          <t>I-FA-0022</t>
        </is>
      </c>
      <c r="B2067" s="9" t="inlineStr">
        <is>
          <t>I</t>
        </is>
      </c>
      <c r="C2067" s="9" t="inlineStr">
        <is>
          <t>Modular / portable power</t>
        </is>
      </c>
      <c r="D2067" s="9" t="inlineStr">
        <is>
          <t>Fire alarm / F&amp;G loop (to the local FACP / F&amp;G node)</t>
        </is>
      </c>
      <c r="E2067" s="9" t="inlineStr"/>
      <c r="F2067" s="9" t="inlineStr">
        <is>
          <t>PCM: power control module</t>
        </is>
      </c>
      <c r="G2067" s="9" t="inlineStr"/>
      <c r="H2067" s="9" t="inlineStr">
        <is>
          <t>FC-4: SOFC module (Bloom ES5 class, 200-300 kW)</t>
        </is>
      </c>
      <c r="I2067" s="9" t="inlineStr">
        <is>
          <t>Fire alarm</t>
        </is>
      </c>
      <c r="J2067" s="9" t="inlineStr">
        <is>
          <t>Fire alarm FPLR 2/C #14 shielded, red jacket (NEC 760)</t>
        </is>
      </c>
      <c r="K2067" s="9" t="inlineStr">
        <is>
          <t>FA|2/C|14</t>
        </is>
      </c>
      <c r="L2067" s="9" t="inlineStr">
        <is>
          <t>2/C</t>
        </is>
      </c>
      <c r="M2067" s="9" t="inlineStr">
        <is>
          <t>14</t>
        </is>
      </c>
      <c r="N2067" s="9" t="n">
        <v>1</v>
      </c>
      <c r="O2067" s="9" t="n">
        <v>1</v>
      </c>
      <c r="P2067" s="9" t="n"/>
      <c r="Q2067" s="9" t="n"/>
      <c r="R2067" s="9" t="n"/>
      <c r="S2067" s="9" t="inlineStr">
        <is>
          <t>Duct bank</t>
        </is>
      </c>
      <c r="T2067" s="10" t="n">
        <v>1050</v>
      </c>
      <c r="U2067" s="10" t="n">
        <v>68</v>
      </c>
      <c r="V2067" s="10">
        <f>ROUNDUP((T2067+U2067+2*'Read Me'!$B$13)*(1+'Read Me'!$B$12),-1)</f>
        <v/>
      </c>
      <c r="W2067" s="10">
        <f>V2067*N2067*O2067</f>
        <v/>
      </c>
      <c r="X2067" s="9">
        <f>IF(LEFT(I2067,2)="MV",2*N2067*IF(L2067="1/C",O2067,1),0)</f>
        <v/>
      </c>
      <c r="Y2067" s="9">
        <f>IF(OR(LEFT(K2067,4)="LVAX",LEFT(K2067,6)="MV15AX",LEFT(K2067,4)="CTAX",LEFT(K2067,2)="W|"),2*N2067*O2067,0)</f>
        <v/>
      </c>
      <c r="Z2067" s="9" t="inlineStr"/>
    </row>
    <row r="2068">
      <c r="A2068" s="9" t="inlineStr">
        <is>
          <t>I-FA-0023</t>
        </is>
      </c>
      <c r="B2068" s="9" t="inlineStr">
        <is>
          <t>I</t>
        </is>
      </c>
      <c r="C2068" s="9" t="inlineStr">
        <is>
          <t>Modular / portable power</t>
        </is>
      </c>
      <c r="D2068" s="9" t="inlineStr">
        <is>
          <t>Fire alarm / F&amp;G loop (to the local FACP / F&amp;G node)</t>
        </is>
      </c>
      <c r="E2068" s="9" t="inlineStr"/>
      <c r="F2068" s="9" t="inlineStr">
        <is>
          <t>PCM: power control module</t>
        </is>
      </c>
      <c r="G2068" s="9" t="inlineStr"/>
      <c r="H2068" s="9" t="inlineStr">
        <is>
          <t>FC-5..12 inverter / AC cabinet / desulfurizer</t>
        </is>
      </c>
      <c r="I2068" s="9" t="inlineStr">
        <is>
          <t>Fire alarm</t>
        </is>
      </c>
      <c r="J2068" s="9" t="inlineStr">
        <is>
          <t>Fire alarm FPLR 2/C #14 shielded, red jacket (NEC 760)</t>
        </is>
      </c>
      <c r="K2068" s="9" t="inlineStr">
        <is>
          <t>FA|2/C|14</t>
        </is>
      </c>
      <c r="L2068" s="9" t="inlineStr">
        <is>
          <t>2/C</t>
        </is>
      </c>
      <c r="M2068" s="9" t="inlineStr">
        <is>
          <t>14</t>
        </is>
      </c>
      <c r="N2068" s="9" t="n">
        <v>1</v>
      </c>
      <c r="O2068" s="9" t="n">
        <v>1</v>
      </c>
      <c r="P2068" s="9" t="n"/>
      <c r="Q2068" s="9" t="n"/>
      <c r="R2068" s="9" t="n"/>
      <c r="S2068" s="9" t="inlineStr">
        <is>
          <t>Duct bank</t>
        </is>
      </c>
      <c r="T2068" s="10" t="n">
        <v>249</v>
      </c>
      <c r="U2068" s="10" t="n">
        <v>32</v>
      </c>
      <c r="V2068" s="10">
        <f>ROUNDUP((T2068+U2068+2*'Read Me'!$B$13)*(1+'Read Me'!$B$12),-1)</f>
        <v/>
      </c>
      <c r="W2068" s="10">
        <f>V2068*N2068*O2068</f>
        <v/>
      </c>
      <c r="X2068" s="9">
        <f>IF(LEFT(I2068,2)="MV",2*N2068*IF(L2068="1/C",O2068,1),0)</f>
        <v/>
      </c>
      <c r="Y2068" s="9">
        <f>IF(OR(LEFT(K2068,4)="LVAX",LEFT(K2068,6)="MV15AX",LEFT(K2068,4)="CTAX",LEFT(K2068,2)="W|"),2*N2068*O2068,0)</f>
        <v/>
      </c>
      <c r="Z2068" s="9" t="inlineStr"/>
    </row>
    <row r="2069">
      <c r="A2069" s="9" t="inlineStr">
        <is>
          <t>I-FA-0024</t>
        </is>
      </c>
      <c r="B2069" s="9" t="inlineStr">
        <is>
          <t>I</t>
        </is>
      </c>
      <c r="C2069" s="9" t="inlineStr">
        <is>
          <t>Modular / portable power</t>
        </is>
      </c>
      <c r="D2069" s="9" t="inlineStr">
        <is>
          <t>Fire alarm / F&amp;G loop (to the local FACP / F&amp;G node)</t>
        </is>
      </c>
      <c r="E2069" s="9" t="inlineStr"/>
      <c r="F2069" s="9" t="inlineStr">
        <is>
          <t>PCM: power control module</t>
        </is>
      </c>
      <c r="G2069" s="9" t="inlineStr">
        <is>
          <t>FC-5</t>
        </is>
      </c>
      <c r="H2069" s="9" t="inlineStr">
        <is>
          <t>FC-5: SOFC module (Bloom ES5 class, 200-300 kW)</t>
        </is>
      </c>
      <c r="I2069" s="9" t="inlineStr">
        <is>
          <t>Fire alarm</t>
        </is>
      </c>
      <c r="J2069" s="9" t="inlineStr">
        <is>
          <t>Fire alarm FPLR 2/C #14 shielded, red jacket (NEC 760)</t>
        </is>
      </c>
      <c r="K2069" s="9" t="inlineStr">
        <is>
          <t>FA|2/C|14</t>
        </is>
      </c>
      <c r="L2069" s="9" t="inlineStr">
        <is>
          <t>2/C</t>
        </is>
      </c>
      <c r="M2069" s="9" t="inlineStr">
        <is>
          <t>14</t>
        </is>
      </c>
      <c r="N2069" s="9" t="n">
        <v>1</v>
      </c>
      <c r="O2069" s="9" t="n">
        <v>1</v>
      </c>
      <c r="P2069" s="9" t="n"/>
      <c r="Q2069" s="9" t="n"/>
      <c r="R2069" s="9" t="n"/>
      <c r="S2069" s="9" t="inlineStr">
        <is>
          <t>Duct bank</t>
        </is>
      </c>
      <c r="T2069" s="10" t="n">
        <v>121</v>
      </c>
      <c r="U2069" s="10" t="n">
        <v>32</v>
      </c>
      <c r="V2069" s="10">
        <f>ROUNDUP((T2069+U2069+2*'Read Me'!$B$13)*(1+'Read Me'!$B$12),-1)</f>
        <v/>
      </c>
      <c r="W2069" s="10">
        <f>V2069*N2069*O2069</f>
        <v/>
      </c>
      <c r="X2069" s="9">
        <f>IF(LEFT(I2069,2)="MV",2*N2069*IF(L2069="1/C",O2069,1),0)</f>
        <v/>
      </c>
      <c r="Y2069" s="9">
        <f>IF(OR(LEFT(K2069,4)="LVAX",LEFT(K2069,6)="MV15AX",LEFT(K2069,4)="CTAX",LEFT(K2069,2)="W|"),2*N2069*O2069,0)</f>
        <v/>
      </c>
      <c r="Z2069" s="9" t="inlineStr"/>
    </row>
    <row r="2070">
      <c r="A2070" s="9" t="inlineStr">
        <is>
          <t>I-FA-0025</t>
        </is>
      </c>
      <c r="B2070" s="9" t="inlineStr">
        <is>
          <t>I</t>
        </is>
      </c>
      <c r="C2070" s="9" t="inlineStr">
        <is>
          <t>Modular / portable power</t>
        </is>
      </c>
      <c r="D2070" s="9" t="inlineStr">
        <is>
          <t>Fire alarm / F&amp;G loop (to the local FACP / F&amp;G node)</t>
        </is>
      </c>
      <c r="E2070" s="9" t="inlineStr"/>
      <c r="F2070" s="9" t="inlineStr">
        <is>
          <t>PCM: power control module</t>
        </is>
      </c>
      <c r="G2070" s="9" t="inlineStr">
        <is>
          <t>FC-6</t>
        </is>
      </c>
      <c r="H2070" s="9" t="inlineStr">
        <is>
          <t>FC-6: SOFC module (Bloom ES5 class, 200-300 kW)</t>
        </is>
      </c>
      <c r="I2070" s="9" t="inlineStr">
        <is>
          <t>Fire alarm</t>
        </is>
      </c>
      <c r="J2070" s="9" t="inlineStr">
        <is>
          <t>Fire alarm FPLR 2/C #14 shielded, red jacket (NEC 760)</t>
        </is>
      </c>
      <c r="K2070" s="9" t="inlineStr">
        <is>
          <t>FA|2/C|14</t>
        </is>
      </c>
      <c r="L2070" s="9" t="inlineStr">
        <is>
          <t>2/C</t>
        </is>
      </c>
      <c r="M2070" s="9" t="inlineStr">
        <is>
          <t>14</t>
        </is>
      </c>
      <c r="N2070" s="9" t="n">
        <v>1</v>
      </c>
      <c r="O2070" s="9" t="n">
        <v>1</v>
      </c>
      <c r="P2070" s="9" t="n"/>
      <c r="Q2070" s="9" t="n"/>
      <c r="R2070" s="9" t="n"/>
      <c r="S2070" s="9" t="inlineStr">
        <is>
          <t>Duct bank</t>
        </is>
      </c>
      <c r="T2070" s="10" t="n">
        <v>121</v>
      </c>
      <c r="U2070" s="10" t="n">
        <v>42</v>
      </c>
      <c r="V2070" s="10">
        <f>ROUNDUP((T2070+U2070+2*'Read Me'!$B$13)*(1+'Read Me'!$B$12),-1)</f>
        <v/>
      </c>
      <c r="W2070" s="10">
        <f>V2070*N2070*O2070</f>
        <v/>
      </c>
      <c r="X2070" s="9">
        <f>IF(LEFT(I2070,2)="MV",2*N2070*IF(L2070="1/C",O2070,1),0)</f>
        <v/>
      </c>
      <c r="Y2070" s="9">
        <f>IF(OR(LEFT(K2070,4)="LVAX",LEFT(K2070,6)="MV15AX",LEFT(K2070,4)="CTAX",LEFT(K2070,2)="W|"),2*N2070*O2070,0)</f>
        <v/>
      </c>
      <c r="Z2070" s="9" t="inlineStr"/>
    </row>
    <row r="2071">
      <c r="A2071" s="9" t="inlineStr">
        <is>
          <t>I-FA-0026</t>
        </is>
      </c>
      <c r="B2071" s="9" t="inlineStr">
        <is>
          <t>I</t>
        </is>
      </c>
      <c r="C2071" s="9" t="inlineStr">
        <is>
          <t>Modular / portable power</t>
        </is>
      </c>
      <c r="D2071" s="9" t="inlineStr">
        <is>
          <t>Fire alarm / F&amp;G loop (to the local FACP / F&amp;G node)</t>
        </is>
      </c>
      <c r="E2071" s="9" t="inlineStr"/>
      <c r="F2071" s="9" t="inlineStr">
        <is>
          <t>PCM: power control module</t>
        </is>
      </c>
      <c r="G2071" s="9" t="inlineStr">
        <is>
          <t>FC-7</t>
        </is>
      </c>
      <c r="H2071" s="9" t="inlineStr">
        <is>
          <t>FC-7: SOFC module (Bloom ES5 class, 200-300 kW)</t>
        </is>
      </c>
      <c r="I2071" s="9" t="inlineStr">
        <is>
          <t>Fire alarm</t>
        </is>
      </c>
      <c r="J2071" s="9" t="inlineStr">
        <is>
          <t>Fire alarm FPLR 2/C #14 shielded, red jacket (NEC 760)</t>
        </is>
      </c>
      <c r="K2071" s="9" t="inlineStr">
        <is>
          <t>FA|2/C|14</t>
        </is>
      </c>
      <c r="L2071" s="9" t="inlineStr">
        <is>
          <t>2/C</t>
        </is>
      </c>
      <c r="M2071" s="9" t="inlineStr">
        <is>
          <t>14</t>
        </is>
      </c>
      <c r="N2071" s="9" t="n">
        <v>1</v>
      </c>
      <c r="O2071" s="9" t="n">
        <v>1</v>
      </c>
      <c r="P2071" s="9" t="n"/>
      <c r="Q2071" s="9" t="n"/>
      <c r="R2071" s="9" t="n"/>
      <c r="S2071" s="9" t="inlineStr">
        <is>
          <t>Duct bank</t>
        </is>
      </c>
      <c r="T2071" s="10" t="n">
        <v>135</v>
      </c>
      <c r="U2071" s="10" t="n">
        <v>42</v>
      </c>
      <c r="V2071" s="10">
        <f>ROUNDUP((T2071+U2071+2*'Read Me'!$B$13)*(1+'Read Me'!$B$12),-1)</f>
        <v/>
      </c>
      <c r="W2071" s="10">
        <f>V2071*N2071*O2071</f>
        <v/>
      </c>
      <c r="X2071" s="9">
        <f>IF(LEFT(I2071,2)="MV",2*N2071*IF(L2071="1/C",O2071,1),0)</f>
        <v/>
      </c>
      <c r="Y2071" s="9">
        <f>IF(OR(LEFT(K2071,4)="LVAX",LEFT(K2071,6)="MV15AX",LEFT(K2071,4)="CTAX",LEFT(K2071,2)="W|"),2*N2071*O2071,0)</f>
        <v/>
      </c>
      <c r="Z2071" s="9" t="inlineStr"/>
    </row>
    <row r="2072">
      <c r="A2072" s="9" t="inlineStr">
        <is>
          <t>I-FA-0027</t>
        </is>
      </c>
      <c r="B2072" s="9" t="inlineStr">
        <is>
          <t>I</t>
        </is>
      </c>
      <c r="C2072" s="9" t="inlineStr">
        <is>
          <t>Modular / portable power</t>
        </is>
      </c>
      <c r="D2072" s="9" t="inlineStr">
        <is>
          <t>Fire alarm / F&amp;G loop (to the local FACP / F&amp;G node)</t>
        </is>
      </c>
      <c r="E2072" s="9" t="inlineStr"/>
      <c r="F2072" s="9" t="inlineStr">
        <is>
          <t>PCM: power control module</t>
        </is>
      </c>
      <c r="G2072" s="9" t="inlineStr">
        <is>
          <t>FC-8</t>
        </is>
      </c>
      <c r="H2072" s="9" t="inlineStr">
        <is>
          <t>FC-8: SOFC module (Bloom ES5 class, 200-300 kW)</t>
        </is>
      </c>
      <c r="I2072" s="9" t="inlineStr">
        <is>
          <t>Fire alarm</t>
        </is>
      </c>
      <c r="J2072" s="9" t="inlineStr">
        <is>
          <t>Fire alarm FPLR 2/C #14 shielded, red jacket (NEC 760)</t>
        </is>
      </c>
      <c r="K2072" s="9" t="inlineStr">
        <is>
          <t>FA|2/C|14</t>
        </is>
      </c>
      <c r="L2072" s="9" t="inlineStr">
        <is>
          <t>2/C</t>
        </is>
      </c>
      <c r="M2072" s="9" t="inlineStr">
        <is>
          <t>14</t>
        </is>
      </c>
      <c r="N2072" s="9" t="n">
        <v>1</v>
      </c>
      <c r="O2072" s="9" t="n">
        <v>1</v>
      </c>
      <c r="P2072" s="9" t="n"/>
      <c r="Q2072" s="9" t="n"/>
      <c r="R2072" s="9" t="n"/>
      <c r="S2072" s="9" t="inlineStr">
        <is>
          <t>Duct bank</t>
        </is>
      </c>
      <c r="T2072" s="10" t="n">
        <v>149</v>
      </c>
      <c r="U2072" s="10" t="n">
        <v>42</v>
      </c>
      <c r="V2072" s="10">
        <f>ROUNDUP((T2072+U2072+2*'Read Me'!$B$13)*(1+'Read Me'!$B$12),-1)</f>
        <v/>
      </c>
      <c r="W2072" s="10">
        <f>V2072*N2072*O2072</f>
        <v/>
      </c>
      <c r="X2072" s="9">
        <f>IF(LEFT(I2072,2)="MV",2*N2072*IF(L2072="1/C",O2072,1),0)</f>
        <v/>
      </c>
      <c r="Y2072" s="9">
        <f>IF(OR(LEFT(K2072,4)="LVAX",LEFT(K2072,6)="MV15AX",LEFT(K2072,4)="CTAX",LEFT(K2072,2)="W|"),2*N2072*O2072,0)</f>
        <v/>
      </c>
      <c r="Z2072" s="9" t="inlineStr"/>
    </row>
    <row r="2073">
      <c r="A2073" s="9" t="inlineStr">
        <is>
          <t>I-FA-0028</t>
        </is>
      </c>
      <c r="B2073" s="9" t="inlineStr">
        <is>
          <t>I</t>
        </is>
      </c>
      <c r="C2073" s="9" t="inlineStr">
        <is>
          <t>Modular / portable power</t>
        </is>
      </c>
      <c r="D2073" s="9" t="inlineStr">
        <is>
          <t>Fire alarm / F&amp;G loop (to the local FACP / F&amp;G node)</t>
        </is>
      </c>
      <c r="E2073" s="9" t="inlineStr"/>
      <c r="F2073" s="9" t="inlineStr">
        <is>
          <t>PCM: power control module</t>
        </is>
      </c>
      <c r="G2073" s="9" t="inlineStr">
        <is>
          <t>FC-9</t>
        </is>
      </c>
      <c r="H2073" s="9" t="inlineStr">
        <is>
          <t>FC-9: SOFC module (Bloom ES5 class, 200-300 kW)</t>
        </is>
      </c>
      <c r="I2073" s="9" t="inlineStr">
        <is>
          <t>Fire alarm</t>
        </is>
      </c>
      <c r="J2073" s="9" t="inlineStr">
        <is>
          <t>Fire alarm FPLR 2/C #14 shielded, red jacket (NEC 760)</t>
        </is>
      </c>
      <c r="K2073" s="9" t="inlineStr">
        <is>
          <t>FA|2/C|14</t>
        </is>
      </c>
      <c r="L2073" s="9" t="inlineStr">
        <is>
          <t>2/C</t>
        </is>
      </c>
      <c r="M2073" s="9" t="inlineStr">
        <is>
          <t>14</t>
        </is>
      </c>
      <c r="N2073" s="9" t="n">
        <v>1</v>
      </c>
      <c r="O2073" s="9" t="n">
        <v>1</v>
      </c>
      <c r="P2073" s="9" t="n"/>
      <c r="Q2073" s="9" t="n"/>
      <c r="R2073" s="9" t="n"/>
      <c r="S2073" s="9" t="inlineStr">
        <is>
          <t>Duct bank</t>
        </is>
      </c>
      <c r="T2073" s="10" t="n">
        <v>163</v>
      </c>
      <c r="U2073" s="10" t="n">
        <v>42</v>
      </c>
      <c r="V2073" s="10">
        <f>ROUNDUP((T2073+U2073+2*'Read Me'!$B$13)*(1+'Read Me'!$B$12),-1)</f>
        <v/>
      </c>
      <c r="W2073" s="10">
        <f>V2073*N2073*O2073</f>
        <v/>
      </c>
      <c r="X2073" s="9">
        <f>IF(LEFT(I2073,2)="MV",2*N2073*IF(L2073="1/C",O2073,1),0)</f>
        <v/>
      </c>
      <c r="Y2073" s="9">
        <f>IF(OR(LEFT(K2073,4)="LVAX",LEFT(K2073,6)="MV15AX",LEFT(K2073,4)="CTAX",LEFT(K2073,2)="W|"),2*N2073*O2073,0)</f>
        <v/>
      </c>
      <c r="Z2073" s="9" t="inlineStr"/>
    </row>
    <row r="2074">
      <c r="A2074" s="9" t="inlineStr">
        <is>
          <t>I-FA-0029</t>
        </is>
      </c>
      <c r="B2074" s="9" t="inlineStr">
        <is>
          <t>I</t>
        </is>
      </c>
      <c r="C2074" s="9" t="inlineStr">
        <is>
          <t>Modular / portable power</t>
        </is>
      </c>
      <c r="D2074" s="9" t="inlineStr">
        <is>
          <t>Fire alarm / F&amp;G loop (to the local FACP / F&amp;G node)</t>
        </is>
      </c>
      <c r="E2074" s="9" t="inlineStr"/>
      <c r="F2074" s="9" t="inlineStr">
        <is>
          <t>PCM: power control module</t>
        </is>
      </c>
      <c r="G2074" s="9" t="inlineStr"/>
      <c r="H2074" s="9" t="inlineStr">
        <is>
          <t>Fuel-cell inverter / AC cabinet / desulfurizer</t>
        </is>
      </c>
      <c r="I2074" s="9" t="inlineStr">
        <is>
          <t>Fire alarm</t>
        </is>
      </c>
      <c r="J2074" s="9" t="inlineStr">
        <is>
          <t>Fire alarm FPLR 2/C #14 shielded, red jacket (NEC 760)</t>
        </is>
      </c>
      <c r="K2074" s="9" t="inlineStr">
        <is>
          <t>FA|2/C|14</t>
        </is>
      </c>
      <c r="L2074" s="9" t="inlineStr">
        <is>
          <t>2/C</t>
        </is>
      </c>
      <c r="M2074" s="9" t="inlineStr">
        <is>
          <t>14</t>
        </is>
      </c>
      <c r="N2074" s="9" t="n">
        <v>1</v>
      </c>
      <c r="O2074" s="9" t="n">
        <v>1</v>
      </c>
      <c r="P2074" s="9" t="n"/>
      <c r="Q2074" s="9" t="n"/>
      <c r="R2074" s="9" t="n"/>
      <c r="S2074" s="9" t="inlineStr">
        <is>
          <t>Duct bank</t>
        </is>
      </c>
      <c r="T2074" s="10" t="n">
        <v>1050</v>
      </c>
      <c r="U2074" s="10" t="n">
        <v>32</v>
      </c>
      <c r="V2074" s="10">
        <f>ROUNDUP((T2074+U2074+2*'Read Me'!$B$13)*(1+'Read Me'!$B$12),-1)</f>
        <v/>
      </c>
      <c r="W2074" s="10">
        <f>V2074*N2074*O2074</f>
        <v/>
      </c>
      <c r="X2074" s="9">
        <f>IF(LEFT(I2074,2)="MV",2*N2074*IF(L2074="1/C",O2074,1),0)</f>
        <v/>
      </c>
      <c r="Y2074" s="9">
        <f>IF(OR(LEFT(K2074,4)="LVAX",LEFT(K2074,6)="MV15AX",LEFT(K2074,4)="CTAX",LEFT(K2074,2)="W|"),2*N2074*O2074,0)</f>
        <v/>
      </c>
      <c r="Z2074" s="9" t="inlineStr"/>
    </row>
    <row r="2075">
      <c r="A2075" s="9" t="inlineStr">
        <is>
          <t>I-FA-0030</t>
        </is>
      </c>
      <c r="B2075" s="9" t="inlineStr">
        <is>
          <t>I</t>
        </is>
      </c>
      <c r="C2075" s="9" t="inlineStr">
        <is>
          <t>Modular / portable power</t>
        </is>
      </c>
      <c r="D2075" s="9" t="inlineStr">
        <is>
          <t>Fire alarm / F&amp;G loop (to the local FACP / F&amp;G node)</t>
        </is>
      </c>
      <c r="E2075" s="9" t="inlineStr">
        <is>
          <t>PAD-EH</t>
        </is>
      </c>
      <c r="F2075" s="9" t="inlineStr">
        <is>
          <t>PAD-EH 13.8 kV switchgear e-house</t>
        </is>
      </c>
      <c r="G2075" s="9" t="inlineStr">
        <is>
          <t>GEN-E</t>
        </is>
      </c>
      <c r="H2075" s="9" t="inlineStr">
        <is>
          <t>GEN-E: enclosed industrial gas genset 2 MW</t>
        </is>
      </c>
      <c r="I2075" s="9" t="inlineStr">
        <is>
          <t>Fire alarm</t>
        </is>
      </c>
      <c r="J2075" s="9" t="inlineStr">
        <is>
          <t>Fire alarm FPLR 2/C #14 shielded, red jacket (NEC 760)</t>
        </is>
      </c>
      <c r="K2075" s="9" t="inlineStr">
        <is>
          <t>FA|2/C|14</t>
        </is>
      </c>
      <c r="L2075" s="9" t="inlineStr">
        <is>
          <t>2/C</t>
        </is>
      </c>
      <c r="M2075" s="9" t="inlineStr">
        <is>
          <t>14</t>
        </is>
      </c>
      <c r="N2075" s="9" t="n">
        <v>1</v>
      </c>
      <c r="O2075" s="9" t="n">
        <v>1</v>
      </c>
      <c r="P2075" s="9" t="n"/>
      <c r="Q2075" s="9" t="n"/>
      <c r="R2075" s="9" t="n"/>
      <c r="S2075" s="9" t="inlineStr">
        <is>
          <t>Surface</t>
        </is>
      </c>
      <c r="T2075" s="10" t="n">
        <v>197</v>
      </c>
      <c r="U2075" s="10" t="n">
        <v>27</v>
      </c>
      <c r="V2075" s="10">
        <f>ROUNDUP((T2075+U2075+2*'Read Me'!$B$13)*(1+'Read Me'!$B$12),-1)</f>
        <v/>
      </c>
      <c r="W2075" s="10">
        <f>V2075*N2075*O2075</f>
        <v/>
      </c>
      <c r="X2075" s="9">
        <f>IF(LEFT(I2075,2)="MV",2*N2075*IF(L2075="1/C",O2075,1),0)</f>
        <v/>
      </c>
      <c r="Y2075" s="9">
        <f>IF(OR(LEFT(K2075,4)="LVAX",LEFT(K2075,6)="MV15AX",LEFT(K2075,4)="CTAX",LEFT(K2075,2)="W|"),2*N2075*O2075,0)</f>
        <v/>
      </c>
      <c r="Z2075" s="9" t="inlineStr"/>
    </row>
    <row r="2076">
      <c r="A2076" s="9" t="inlineStr">
        <is>
          <t>I-FA-0031</t>
        </is>
      </c>
      <c r="B2076" s="9" t="inlineStr">
        <is>
          <t>I</t>
        </is>
      </c>
      <c r="C2076" s="9" t="inlineStr">
        <is>
          <t>Modular / portable power</t>
        </is>
      </c>
      <c r="D2076" s="9" t="inlineStr">
        <is>
          <t>Fire alarm / F&amp;G loop (to the local FACP / F&amp;G node)</t>
        </is>
      </c>
      <c r="E2076" s="9" t="inlineStr">
        <is>
          <t>PAD-EH</t>
        </is>
      </c>
      <c r="F2076" s="9" t="inlineStr">
        <is>
          <t>PAD-EH 13.8 kV switchgear e-house</t>
        </is>
      </c>
      <c r="G2076" s="9" t="inlineStr">
        <is>
          <t>GEN-O</t>
        </is>
      </c>
      <c r="H2076" s="9" t="inlineStr">
        <is>
          <t>GEN-O: open engine-generator skid</t>
        </is>
      </c>
      <c r="I2076" s="9" t="inlineStr">
        <is>
          <t>Fire alarm</t>
        </is>
      </c>
      <c r="J2076" s="9" t="inlineStr">
        <is>
          <t>Fire alarm FPLR 2/C #14 shielded, red jacket (NEC 760)</t>
        </is>
      </c>
      <c r="K2076" s="9" t="inlineStr">
        <is>
          <t>FA|2/C|14</t>
        </is>
      </c>
      <c r="L2076" s="9" t="inlineStr">
        <is>
          <t>2/C</t>
        </is>
      </c>
      <c r="M2076" s="9" t="inlineStr">
        <is>
          <t>14</t>
        </is>
      </c>
      <c r="N2076" s="9" t="n">
        <v>1</v>
      </c>
      <c r="O2076" s="9" t="n">
        <v>1</v>
      </c>
      <c r="P2076" s="9" t="n"/>
      <c r="Q2076" s="9" t="n"/>
      <c r="R2076" s="9" t="n"/>
      <c r="S2076" s="9" t="inlineStr">
        <is>
          <t>Surface</t>
        </is>
      </c>
      <c r="T2076" s="10" t="n">
        <v>190</v>
      </c>
      <c r="U2076" s="10" t="n">
        <v>27</v>
      </c>
      <c r="V2076" s="10">
        <f>ROUNDUP((T2076+U2076+2*'Read Me'!$B$13)*(1+'Read Me'!$B$12),-1)</f>
        <v/>
      </c>
      <c r="W2076" s="10">
        <f>V2076*N2076*O2076</f>
        <v/>
      </c>
      <c r="X2076" s="9">
        <f>IF(LEFT(I2076,2)="MV",2*N2076*IF(L2076="1/C",O2076,1),0)</f>
        <v/>
      </c>
      <c r="Y2076" s="9">
        <f>IF(OR(LEFT(K2076,4)="LVAX",LEFT(K2076,6)="MV15AX",LEFT(K2076,4)="CTAX",LEFT(K2076,2)="W|"),2*N2076*O2076,0)</f>
        <v/>
      </c>
      <c r="Z2076" s="9" t="inlineStr"/>
    </row>
    <row r="2077">
      <c r="A2077" s="9" t="inlineStr">
        <is>
          <t>I-FA-0032</t>
        </is>
      </c>
      <c r="B2077" s="9" t="inlineStr">
        <is>
          <t>I</t>
        </is>
      </c>
      <c r="C2077" s="9" t="inlineStr">
        <is>
          <t>Modular / portable power</t>
        </is>
      </c>
      <c r="D2077" s="9" t="inlineStr">
        <is>
          <t>Fire alarm / F&amp;G loop (to the local FACP / F&amp;G node)</t>
        </is>
      </c>
      <c r="E2077" s="9" t="inlineStr"/>
      <c r="F2077" s="9" t="inlineStr">
        <is>
          <t>PCM: power control module</t>
        </is>
      </c>
      <c r="G2077" s="9" t="inlineStr"/>
      <c r="H2077" s="9" t="inlineStr">
        <is>
          <t>Lube oil / starting air / oily water building</t>
        </is>
      </c>
      <c r="I2077" s="9" t="inlineStr">
        <is>
          <t>Fire alarm</t>
        </is>
      </c>
      <c r="J2077" s="9" t="inlineStr">
        <is>
          <t>Fire alarm FPLR 2/C #14 shielded, red jacket (NEC 760)</t>
        </is>
      </c>
      <c r="K2077" s="9" t="inlineStr">
        <is>
          <t>FA|2/C|14</t>
        </is>
      </c>
      <c r="L2077" s="9" t="inlineStr">
        <is>
          <t>2/C</t>
        </is>
      </c>
      <c r="M2077" s="9" t="inlineStr">
        <is>
          <t>14</t>
        </is>
      </c>
      <c r="N2077" s="9" t="n">
        <v>1</v>
      </c>
      <c r="O2077" s="9" t="n">
        <v>1</v>
      </c>
      <c r="P2077" s="9" t="n"/>
      <c r="Q2077" s="9" t="n"/>
      <c r="R2077" s="9" t="n"/>
      <c r="S2077" s="9" t="inlineStr">
        <is>
          <t>Tray</t>
        </is>
      </c>
      <c r="T2077" s="10" t="n">
        <v>32</v>
      </c>
      <c r="U2077" s="10" t="n">
        <v>164</v>
      </c>
      <c r="V2077" s="10">
        <f>ROUNDUP((T2077+U2077+2*'Read Me'!$B$13)*(1+'Read Me'!$B$12),-1)</f>
        <v/>
      </c>
      <c r="W2077" s="10">
        <f>V2077*N2077*O2077</f>
        <v/>
      </c>
      <c r="X2077" s="9">
        <f>IF(LEFT(I2077,2)="MV",2*N2077*IF(L2077="1/C",O2077,1),0)</f>
        <v/>
      </c>
      <c r="Y2077" s="9">
        <f>IF(OR(LEFT(K2077,4)="LVAX",LEFT(K2077,6)="MV15AX",LEFT(K2077,4)="CTAX",LEFT(K2077,2)="W|"),2*N2077*O2077,0)</f>
        <v/>
      </c>
      <c r="Z2077" s="9" t="inlineStr"/>
    </row>
    <row r="2078">
      <c r="A2078" s="9" t="inlineStr">
        <is>
          <t>I-FA-0033</t>
        </is>
      </c>
      <c r="B2078" s="9" t="inlineStr">
        <is>
          <t>I</t>
        </is>
      </c>
      <c r="C2078" s="9" t="inlineStr">
        <is>
          <t>Modular / portable power</t>
        </is>
      </c>
      <c r="D2078" s="9" t="inlineStr">
        <is>
          <t>Fire alarm / F&amp;G loop (to the local FACP / F&amp;G node)</t>
        </is>
      </c>
      <c r="E2078" s="9" t="inlineStr">
        <is>
          <t>PAD-EH</t>
        </is>
      </c>
      <c r="F2078" s="9" t="inlineStr">
        <is>
          <t>PAD-EH 13.8 kV switchgear e-house</t>
        </is>
      </c>
      <c r="G2078" s="9" t="inlineStr">
        <is>
          <t>MOB-1</t>
        </is>
      </c>
      <c r="H2078" s="9" t="inlineStr">
        <is>
          <t>MOB-1: trailer genset</t>
        </is>
      </c>
      <c r="I2078" s="9" t="inlineStr">
        <is>
          <t>Fire alarm</t>
        </is>
      </c>
      <c r="J2078" s="9" t="inlineStr">
        <is>
          <t>Fire alarm FPLR 2/C #14 shielded, red jacket (NEC 760)</t>
        </is>
      </c>
      <c r="K2078" s="9" t="inlineStr">
        <is>
          <t>FA|2/C|14</t>
        </is>
      </c>
      <c r="L2078" s="9" t="inlineStr">
        <is>
          <t>2/C</t>
        </is>
      </c>
      <c r="M2078" s="9" t="inlineStr">
        <is>
          <t>14</t>
        </is>
      </c>
      <c r="N2078" s="9" t="n">
        <v>1</v>
      </c>
      <c r="O2078" s="9" t="n">
        <v>1</v>
      </c>
      <c r="P2078" s="9" t="n"/>
      <c r="Q2078" s="9" t="n"/>
      <c r="R2078" s="9" t="n"/>
      <c r="S2078" s="9" t="inlineStr">
        <is>
          <t>Surface</t>
        </is>
      </c>
      <c r="T2078" s="10" t="n">
        <v>96</v>
      </c>
      <c r="U2078" s="10" t="n">
        <v>150</v>
      </c>
      <c r="V2078" s="10">
        <f>ROUNDUP((T2078+U2078+2*'Read Me'!$B$13)*(1+'Read Me'!$B$12),-1)</f>
        <v/>
      </c>
      <c r="W2078" s="10">
        <f>V2078*N2078*O2078</f>
        <v/>
      </c>
      <c r="X2078" s="9">
        <f>IF(LEFT(I2078,2)="MV",2*N2078*IF(L2078="1/C",O2078,1),0)</f>
        <v/>
      </c>
      <c r="Y2078" s="9">
        <f>IF(OR(LEFT(K2078,4)="LVAX",LEFT(K2078,6)="MV15AX",LEFT(K2078,4)="CTAX",LEFT(K2078,2)="W|"),2*N2078*O2078,0)</f>
        <v/>
      </c>
      <c r="Z2078" s="9" t="inlineStr"/>
    </row>
    <row r="2079">
      <c r="A2079" s="9" t="inlineStr">
        <is>
          <t>I-FA-0034</t>
        </is>
      </c>
      <c r="B2079" s="9" t="inlineStr">
        <is>
          <t>I</t>
        </is>
      </c>
      <c r="C2079" s="9" t="inlineStr">
        <is>
          <t>Modular / portable power</t>
        </is>
      </c>
      <c r="D2079" s="9" t="inlineStr">
        <is>
          <t>Fire alarm / F&amp;G loop (to the local FACP / F&amp;G node)</t>
        </is>
      </c>
      <c r="E2079" s="9" t="inlineStr"/>
      <c r="F2079" s="9" t="inlineStr">
        <is>
          <t>PCM: power control module</t>
        </is>
      </c>
      <c r="G2079" s="9" t="inlineStr">
        <is>
          <t>MOD-EH</t>
        </is>
      </c>
      <c r="H2079" s="9" t="inlineStr">
        <is>
          <t>MOD-EH: 13.8 kV modular collector e-house</t>
        </is>
      </c>
      <c r="I2079" s="9" t="inlineStr">
        <is>
          <t>Fire alarm</t>
        </is>
      </c>
      <c r="J2079" s="9" t="inlineStr">
        <is>
          <t>Fire alarm FPLR 2/C #14 shielded, red jacket (NEC 760)</t>
        </is>
      </c>
      <c r="K2079" s="9" t="inlineStr">
        <is>
          <t>FA|2/C|14</t>
        </is>
      </c>
      <c r="L2079" s="9" t="inlineStr">
        <is>
          <t>2/C</t>
        </is>
      </c>
      <c r="M2079" s="9" t="inlineStr">
        <is>
          <t>14</t>
        </is>
      </c>
      <c r="N2079" s="9" t="n">
        <v>1</v>
      </c>
      <c r="O2079" s="9" t="n">
        <v>1</v>
      </c>
      <c r="P2079" s="9" t="n"/>
      <c r="Q2079" s="9" t="n"/>
      <c r="R2079" s="9" t="n"/>
      <c r="S2079" s="9" t="inlineStr">
        <is>
          <t>Duct bank</t>
        </is>
      </c>
      <c r="T2079" s="10" t="n">
        <v>355</v>
      </c>
      <c r="U2079" s="10" t="n">
        <v>32</v>
      </c>
      <c r="V2079" s="10">
        <f>ROUNDUP((T2079+U2079+2*'Read Me'!$B$13)*(1+'Read Me'!$B$12),-1)</f>
        <v/>
      </c>
      <c r="W2079" s="10">
        <f>V2079*N2079*O2079</f>
        <v/>
      </c>
      <c r="X2079" s="9">
        <f>IF(LEFT(I2079,2)="MV",2*N2079*IF(L2079="1/C",O2079,1),0)</f>
        <v/>
      </c>
      <c r="Y2079" s="9">
        <f>IF(OR(LEFT(K2079,4)="LVAX",LEFT(K2079,6)="MV15AX",LEFT(K2079,4)="CTAX",LEFT(K2079,2)="W|"),2*N2079*O2079,0)</f>
        <v/>
      </c>
      <c r="Z2079" s="9" t="inlineStr"/>
    </row>
    <row r="2080">
      <c r="A2080" s="9" t="inlineStr">
        <is>
          <t>I-FA-0035</t>
        </is>
      </c>
      <c r="B2080" s="9" t="inlineStr">
        <is>
          <t>I</t>
        </is>
      </c>
      <c r="C2080" s="9" t="inlineStr">
        <is>
          <t>Modular / portable power</t>
        </is>
      </c>
      <c r="D2080" s="9" t="inlineStr">
        <is>
          <t>Fire alarm / F&amp;G loop (to the local FACP / F&amp;G node)</t>
        </is>
      </c>
      <c r="E2080" s="9" t="inlineStr"/>
      <c r="F2080" s="9" t="inlineStr">
        <is>
          <t>PCM: power control module</t>
        </is>
      </c>
      <c r="G2080" s="9" t="inlineStr"/>
      <c r="H2080" s="9" t="inlineStr">
        <is>
          <t>MT-1: microturbine 1 MW (Capstone C1000 class)</t>
        </is>
      </c>
      <c r="I2080" s="9" t="inlineStr">
        <is>
          <t>Fire alarm</t>
        </is>
      </c>
      <c r="J2080" s="9" t="inlineStr">
        <is>
          <t>Fire alarm FPLR 2/C #14 shielded, red jacket (NEC 760)</t>
        </is>
      </c>
      <c r="K2080" s="9" t="inlineStr">
        <is>
          <t>FA|2/C|14</t>
        </is>
      </c>
      <c r="L2080" s="9" t="inlineStr">
        <is>
          <t>2/C</t>
        </is>
      </c>
      <c r="M2080" s="9" t="inlineStr">
        <is>
          <t>14</t>
        </is>
      </c>
      <c r="N2080" s="9" t="n">
        <v>1</v>
      </c>
      <c r="O2080" s="9" t="n">
        <v>1</v>
      </c>
      <c r="P2080" s="9" t="n"/>
      <c r="Q2080" s="9" t="n"/>
      <c r="R2080" s="9" t="n"/>
      <c r="S2080" s="9" t="inlineStr">
        <is>
          <t>Duct bank</t>
        </is>
      </c>
      <c r="T2080" s="10" t="n">
        <v>806</v>
      </c>
      <c r="U2080" s="10" t="n">
        <v>105</v>
      </c>
      <c r="V2080" s="10">
        <f>ROUNDUP((T2080+U2080+2*'Read Me'!$B$13)*(1+'Read Me'!$B$12),-1)</f>
        <v/>
      </c>
      <c r="W2080" s="10">
        <f>V2080*N2080*O2080</f>
        <v/>
      </c>
      <c r="X2080" s="9">
        <f>IF(LEFT(I2080,2)="MV",2*N2080*IF(L2080="1/C",O2080,1),0)</f>
        <v/>
      </c>
      <c r="Y2080" s="9">
        <f>IF(OR(LEFT(K2080,4)="LVAX",LEFT(K2080,6)="MV15AX",LEFT(K2080,4)="CTAX",LEFT(K2080,2)="W|"),2*N2080*O2080,0)</f>
        <v/>
      </c>
      <c r="Z2080" s="9" t="inlineStr"/>
    </row>
    <row r="2081">
      <c r="A2081" s="9" t="inlineStr">
        <is>
          <t>I-FA-0036</t>
        </is>
      </c>
      <c r="B2081" s="9" t="inlineStr">
        <is>
          <t>I</t>
        </is>
      </c>
      <c r="C2081" s="9" t="inlineStr">
        <is>
          <t>Modular / portable power</t>
        </is>
      </c>
      <c r="D2081" s="9" t="inlineStr">
        <is>
          <t>Fire alarm / F&amp;G loop (to the local FACP / F&amp;G node)</t>
        </is>
      </c>
      <c r="E2081" s="9" t="inlineStr"/>
      <c r="F2081" s="9" t="inlineStr">
        <is>
          <t>PCM: power control module</t>
        </is>
      </c>
      <c r="G2081" s="9" t="inlineStr"/>
      <c r="H2081" s="9" t="inlineStr">
        <is>
          <t>MT-2: microturbine 1 MW (Capstone C1000 class)</t>
        </is>
      </c>
      <c r="I2081" s="9" t="inlineStr">
        <is>
          <t>Fire alarm</t>
        </is>
      </c>
      <c r="J2081" s="9" t="inlineStr">
        <is>
          <t>Fire alarm FPLR 2/C #14 shielded, red jacket (NEC 760)</t>
        </is>
      </c>
      <c r="K2081" s="9" t="inlineStr">
        <is>
          <t>FA|2/C|14</t>
        </is>
      </c>
      <c r="L2081" s="9" t="inlineStr">
        <is>
          <t>2/C</t>
        </is>
      </c>
      <c r="M2081" s="9" t="inlineStr">
        <is>
          <t>14</t>
        </is>
      </c>
      <c r="N2081" s="9" t="n">
        <v>1</v>
      </c>
      <c r="O2081" s="9" t="n">
        <v>1</v>
      </c>
      <c r="P2081" s="9" t="n"/>
      <c r="Q2081" s="9" t="n"/>
      <c r="R2081" s="9" t="n"/>
      <c r="S2081" s="9" t="inlineStr">
        <is>
          <t>Duct bank</t>
        </is>
      </c>
      <c r="T2081" s="10" t="n">
        <v>841</v>
      </c>
      <c r="U2081" s="10" t="n">
        <v>98</v>
      </c>
      <c r="V2081" s="10">
        <f>ROUNDUP((T2081+U2081+2*'Read Me'!$B$13)*(1+'Read Me'!$B$12),-1)</f>
        <v/>
      </c>
      <c r="W2081" s="10">
        <f>V2081*N2081*O2081</f>
        <v/>
      </c>
      <c r="X2081" s="9">
        <f>IF(LEFT(I2081,2)="MV",2*N2081*IF(L2081="1/C",O2081,1),0)</f>
        <v/>
      </c>
      <c r="Y2081" s="9">
        <f>IF(OR(LEFT(K2081,4)="LVAX",LEFT(K2081,6)="MV15AX",LEFT(K2081,4)="CTAX",LEFT(K2081,2)="W|"),2*N2081*O2081,0)</f>
        <v/>
      </c>
      <c r="Z2081" s="9" t="inlineStr"/>
    </row>
    <row r="2082">
      <c r="A2082" s="9" t="inlineStr">
        <is>
          <t>I-FA-0037</t>
        </is>
      </c>
      <c r="B2082" s="9" t="inlineStr">
        <is>
          <t>I</t>
        </is>
      </c>
      <c r="C2082" s="9" t="inlineStr">
        <is>
          <t>Modular / portable power</t>
        </is>
      </c>
      <c r="D2082" s="9" t="inlineStr">
        <is>
          <t>Fire alarm / F&amp;G loop (to the local FACP / F&amp;G node)</t>
        </is>
      </c>
      <c r="E2082" s="9" t="inlineStr"/>
      <c r="F2082" s="9" t="inlineStr">
        <is>
          <t>PCM: power control module</t>
        </is>
      </c>
      <c r="G2082" s="9" t="inlineStr"/>
      <c r="H2082" s="9" t="inlineStr">
        <is>
          <t>MT-3: microturbine 1 MW (Capstone C1000 class)</t>
        </is>
      </c>
      <c r="I2082" s="9" t="inlineStr">
        <is>
          <t>Fire alarm</t>
        </is>
      </c>
      <c r="J2082" s="9" t="inlineStr">
        <is>
          <t>Fire alarm FPLR 2/C #14 shielded, red jacket (NEC 760)</t>
        </is>
      </c>
      <c r="K2082" s="9" t="inlineStr">
        <is>
          <t>FA|2/C|14</t>
        </is>
      </c>
      <c r="L2082" s="9" t="inlineStr">
        <is>
          <t>2/C</t>
        </is>
      </c>
      <c r="M2082" s="9" t="inlineStr">
        <is>
          <t>14</t>
        </is>
      </c>
      <c r="N2082" s="9" t="n">
        <v>1</v>
      </c>
      <c r="O2082" s="9" t="n">
        <v>1</v>
      </c>
      <c r="P2082" s="9" t="n"/>
      <c r="Q2082" s="9" t="n"/>
      <c r="R2082" s="9" t="n"/>
      <c r="S2082" s="9" t="inlineStr">
        <is>
          <t>Duct bank</t>
        </is>
      </c>
      <c r="T2082" s="10" t="n">
        <v>841</v>
      </c>
      <c r="U2082" s="10" t="n">
        <v>98</v>
      </c>
      <c r="V2082" s="10">
        <f>ROUNDUP((T2082+U2082+2*'Read Me'!$B$13)*(1+'Read Me'!$B$12),-1)</f>
        <v/>
      </c>
      <c r="W2082" s="10">
        <f>V2082*N2082*O2082</f>
        <v/>
      </c>
      <c r="X2082" s="9">
        <f>IF(LEFT(I2082,2)="MV",2*N2082*IF(L2082="1/C",O2082,1),0)</f>
        <v/>
      </c>
      <c r="Y2082" s="9">
        <f>IF(OR(LEFT(K2082,4)="LVAX",LEFT(K2082,6)="MV15AX",LEFT(K2082,4)="CTAX",LEFT(K2082,2)="W|"),2*N2082*O2082,0)</f>
        <v/>
      </c>
      <c r="Z2082" s="9" t="inlineStr"/>
    </row>
    <row r="2083">
      <c r="A2083" s="9" t="inlineStr">
        <is>
          <t>I-FA-0038</t>
        </is>
      </c>
      <c r="B2083" s="9" t="inlineStr">
        <is>
          <t>I</t>
        </is>
      </c>
      <c r="C2083" s="9" t="inlineStr">
        <is>
          <t>Modular / portable power</t>
        </is>
      </c>
      <c r="D2083" s="9" t="inlineStr">
        <is>
          <t>Fire alarm / F&amp;G loop (to the local FACP / F&amp;G node)</t>
        </is>
      </c>
      <c r="E2083" s="9" t="inlineStr"/>
      <c r="F2083" s="9" t="inlineStr">
        <is>
          <t>PCM: power control module</t>
        </is>
      </c>
      <c r="G2083" s="9" t="inlineStr">
        <is>
          <t>MT-4</t>
        </is>
      </c>
      <c r="H2083" s="9" t="inlineStr">
        <is>
          <t>MT-4: microturbine 1 MW (Capstone C1000 class)</t>
        </is>
      </c>
      <c r="I2083" s="9" t="inlineStr">
        <is>
          <t>Fire alarm</t>
        </is>
      </c>
      <c r="J2083" s="9" t="inlineStr">
        <is>
          <t>Fire alarm FPLR 2/C #14 shielded, red jacket (NEC 760)</t>
        </is>
      </c>
      <c r="K2083" s="9" t="inlineStr">
        <is>
          <t>FA|2/C|14</t>
        </is>
      </c>
      <c r="L2083" s="9" t="inlineStr">
        <is>
          <t>2/C</t>
        </is>
      </c>
      <c r="M2083" s="9" t="inlineStr">
        <is>
          <t>14</t>
        </is>
      </c>
      <c r="N2083" s="9" t="n">
        <v>1</v>
      </c>
      <c r="O2083" s="9" t="n">
        <v>1</v>
      </c>
      <c r="P2083" s="9" t="n"/>
      <c r="Q2083" s="9" t="n"/>
      <c r="R2083" s="9" t="n"/>
      <c r="S2083" s="9" t="inlineStr">
        <is>
          <t>Duct bank</t>
        </is>
      </c>
      <c r="T2083" s="10" t="n">
        <v>303</v>
      </c>
      <c r="U2083" s="10" t="n">
        <v>40</v>
      </c>
      <c r="V2083" s="10">
        <f>ROUNDUP((T2083+U2083+2*'Read Me'!$B$13)*(1+'Read Me'!$B$12),-1)</f>
        <v/>
      </c>
      <c r="W2083" s="10">
        <f>V2083*N2083*O2083</f>
        <v/>
      </c>
      <c r="X2083" s="9">
        <f>IF(LEFT(I2083,2)="MV",2*N2083*IF(L2083="1/C",O2083,1),0)</f>
        <v/>
      </c>
      <c r="Y2083" s="9">
        <f>IF(OR(LEFT(K2083,4)="LVAX",LEFT(K2083,6)="MV15AX",LEFT(K2083,4)="CTAX",LEFT(K2083,2)="W|"),2*N2083*O2083,0)</f>
        <v/>
      </c>
      <c r="Z2083" s="9" t="inlineStr"/>
    </row>
    <row r="2084">
      <c r="A2084" s="9" t="inlineStr">
        <is>
          <t>I-FA-0039</t>
        </is>
      </c>
      <c r="B2084" s="9" t="inlineStr">
        <is>
          <t>I</t>
        </is>
      </c>
      <c r="C2084" s="9" t="inlineStr">
        <is>
          <t>Modular / portable power</t>
        </is>
      </c>
      <c r="D2084" s="9" t="inlineStr">
        <is>
          <t>Fire alarm / F&amp;G loop (to the local FACP / F&amp;G node)</t>
        </is>
      </c>
      <c r="E2084" s="9" t="inlineStr"/>
      <c r="F2084" s="9" t="inlineStr">
        <is>
          <t>PCM: power control module</t>
        </is>
      </c>
      <c r="G2084" s="9" t="inlineStr">
        <is>
          <t>MT-5</t>
        </is>
      </c>
      <c r="H2084" s="9" t="inlineStr">
        <is>
          <t>MT-5: microturbine 1 MW (Capstone C1000 class)</t>
        </is>
      </c>
      <c r="I2084" s="9" t="inlineStr">
        <is>
          <t>Fire alarm</t>
        </is>
      </c>
      <c r="J2084" s="9" t="inlineStr">
        <is>
          <t>Fire alarm FPLR 2/C #14 shielded, red jacket (NEC 760)</t>
        </is>
      </c>
      <c r="K2084" s="9" t="inlineStr">
        <is>
          <t>FA|2/C|14</t>
        </is>
      </c>
      <c r="L2084" s="9" t="inlineStr">
        <is>
          <t>2/C</t>
        </is>
      </c>
      <c r="M2084" s="9" t="inlineStr">
        <is>
          <t>14</t>
        </is>
      </c>
      <c r="N2084" s="9" t="n">
        <v>1</v>
      </c>
      <c r="O2084" s="9" t="n">
        <v>1</v>
      </c>
      <c r="P2084" s="9" t="n"/>
      <c r="Q2084" s="9" t="n"/>
      <c r="R2084" s="9" t="n"/>
      <c r="S2084" s="9" t="inlineStr">
        <is>
          <t>Duct bank</t>
        </is>
      </c>
      <c r="T2084" s="10" t="n">
        <v>303</v>
      </c>
      <c r="U2084" s="10" t="n">
        <v>54</v>
      </c>
      <c r="V2084" s="10">
        <f>ROUNDUP((T2084+U2084+2*'Read Me'!$B$13)*(1+'Read Me'!$B$12),-1)</f>
        <v/>
      </c>
      <c r="W2084" s="10">
        <f>V2084*N2084*O2084</f>
        <v/>
      </c>
      <c r="X2084" s="9">
        <f>IF(LEFT(I2084,2)="MV",2*N2084*IF(L2084="1/C",O2084,1),0)</f>
        <v/>
      </c>
      <c r="Y2084" s="9">
        <f>IF(OR(LEFT(K2084,4)="LVAX",LEFT(K2084,6)="MV15AX",LEFT(K2084,4)="CTAX",LEFT(K2084,2)="W|"),2*N2084*O2084,0)</f>
        <v/>
      </c>
      <c r="Z2084" s="9" t="inlineStr"/>
    </row>
    <row r="2085">
      <c r="A2085" s="9" t="inlineStr">
        <is>
          <t>I-FA-0040</t>
        </is>
      </c>
      <c r="B2085" s="9" t="inlineStr">
        <is>
          <t>I</t>
        </is>
      </c>
      <c r="C2085" s="9" t="inlineStr">
        <is>
          <t>Modular / portable power</t>
        </is>
      </c>
      <c r="D2085" s="9" t="inlineStr">
        <is>
          <t>Fire alarm / F&amp;G loop (to the local FACP / F&amp;G node)</t>
        </is>
      </c>
      <c r="E2085" s="9" t="inlineStr"/>
      <c r="F2085" s="9" t="inlineStr">
        <is>
          <t>PCM: power control module</t>
        </is>
      </c>
      <c r="G2085" s="9" t="inlineStr">
        <is>
          <t>MT-6</t>
        </is>
      </c>
      <c r="H2085" s="9" t="inlineStr">
        <is>
          <t>MT-6: microturbine 1 MW (Capstone C1000 class)</t>
        </is>
      </c>
      <c r="I2085" s="9" t="inlineStr">
        <is>
          <t>Fire alarm</t>
        </is>
      </c>
      <c r="J2085" s="9" t="inlineStr">
        <is>
          <t>Fire alarm FPLR 2/C #14 shielded, red jacket (NEC 760)</t>
        </is>
      </c>
      <c r="K2085" s="9" t="inlineStr">
        <is>
          <t>FA|2/C|14</t>
        </is>
      </c>
      <c r="L2085" s="9" t="inlineStr">
        <is>
          <t>2/C</t>
        </is>
      </c>
      <c r="M2085" s="9" t="inlineStr">
        <is>
          <t>14</t>
        </is>
      </c>
      <c r="N2085" s="9" t="n">
        <v>1</v>
      </c>
      <c r="O2085" s="9" t="n">
        <v>1</v>
      </c>
      <c r="P2085" s="9" t="n"/>
      <c r="Q2085" s="9" t="n"/>
      <c r="R2085" s="9" t="n"/>
      <c r="S2085" s="9" t="inlineStr">
        <is>
          <t>Duct bank</t>
        </is>
      </c>
      <c r="T2085" s="10" t="n">
        <v>303</v>
      </c>
      <c r="U2085" s="10" t="n">
        <v>68</v>
      </c>
      <c r="V2085" s="10">
        <f>ROUNDUP((T2085+U2085+2*'Read Me'!$B$13)*(1+'Read Me'!$B$12),-1)</f>
        <v/>
      </c>
      <c r="W2085" s="10">
        <f>V2085*N2085*O2085</f>
        <v/>
      </c>
      <c r="X2085" s="9">
        <f>IF(LEFT(I2085,2)="MV",2*N2085*IF(L2085="1/C",O2085,1),0)</f>
        <v/>
      </c>
      <c r="Y2085" s="9">
        <f>IF(OR(LEFT(K2085,4)="LVAX",LEFT(K2085,6)="MV15AX",LEFT(K2085,4)="CTAX",LEFT(K2085,2)="W|"),2*N2085*O2085,0)</f>
        <v/>
      </c>
      <c r="Z2085" s="9" t="inlineStr"/>
    </row>
    <row r="2086">
      <c r="A2086" s="9" t="inlineStr">
        <is>
          <t>I-FA-0041</t>
        </is>
      </c>
      <c r="B2086" s="9" t="inlineStr">
        <is>
          <t>I</t>
        </is>
      </c>
      <c r="C2086" s="9" t="inlineStr">
        <is>
          <t>Modular / portable power</t>
        </is>
      </c>
      <c r="D2086" s="9" t="inlineStr">
        <is>
          <t>Fire alarm / F&amp;G loop (to the local FACP / F&amp;G node)</t>
        </is>
      </c>
      <c r="E2086" s="9" t="inlineStr"/>
      <c r="F2086" s="9" t="inlineStr">
        <is>
          <t>PCM: power control module</t>
        </is>
      </c>
      <c r="G2086" s="9" t="inlineStr"/>
      <c r="H2086" s="9" t="inlineStr">
        <is>
          <t>PCM: power control module</t>
        </is>
      </c>
      <c r="I2086" s="9" t="inlineStr">
        <is>
          <t>Fire alarm</t>
        </is>
      </c>
      <c r="J2086" s="9" t="inlineStr">
        <is>
          <t>Fire alarm FPLR 2/C #14 shielded, red jacket (NEC 760)</t>
        </is>
      </c>
      <c r="K2086" s="9" t="inlineStr">
        <is>
          <t>FA|2/C|14</t>
        </is>
      </c>
      <c r="L2086" s="9" t="inlineStr">
        <is>
          <t>2/C</t>
        </is>
      </c>
      <c r="M2086" s="9" t="inlineStr">
        <is>
          <t>14</t>
        </is>
      </c>
      <c r="N2086" s="9" t="n">
        <v>1</v>
      </c>
      <c r="O2086" s="9" t="n">
        <v>1</v>
      </c>
      <c r="P2086" s="9" t="n"/>
      <c r="Q2086" s="9" t="n"/>
      <c r="R2086" s="9" t="n"/>
      <c r="S2086" s="9" t="inlineStr">
        <is>
          <t>Tray</t>
        </is>
      </c>
      <c r="T2086" s="10" t="n">
        <v>0</v>
      </c>
      <c r="U2086" s="10" t="n">
        <v>32</v>
      </c>
      <c r="V2086" s="10">
        <f>ROUNDUP((T2086+U2086+2*'Read Me'!$B$13)*(1+'Read Me'!$B$12),-1)</f>
        <v/>
      </c>
      <c r="W2086" s="10">
        <f>V2086*N2086*O2086</f>
        <v/>
      </c>
      <c r="X2086" s="9">
        <f>IF(LEFT(I2086,2)="MV",2*N2086*IF(L2086="1/C",O2086,1),0)</f>
        <v/>
      </c>
      <c r="Y2086" s="9">
        <f>IF(OR(LEFT(K2086,4)="LVAX",LEFT(K2086,6)="MV15AX",LEFT(K2086,4)="CTAX",LEFT(K2086,2)="W|"),2*N2086*O2086,0)</f>
        <v/>
      </c>
      <c r="Z2086" s="9" t="inlineStr"/>
    </row>
    <row r="2087">
      <c r="A2087" s="9" t="inlineStr">
        <is>
          <t>I-FA-0042</t>
        </is>
      </c>
      <c r="B2087" s="9" t="inlineStr">
        <is>
          <t>I</t>
        </is>
      </c>
      <c r="C2087" s="9" t="inlineStr">
        <is>
          <t>Modular / portable power</t>
        </is>
      </c>
      <c r="D2087" s="9" t="inlineStr">
        <is>
          <t>Fire alarm / F&amp;G loop (to the local FACP / F&amp;G node)</t>
        </is>
      </c>
      <c r="E2087" s="9" t="inlineStr"/>
      <c r="F2087" s="9" t="inlineStr">
        <is>
          <t>PCM: power control module</t>
        </is>
      </c>
      <c r="G2087" s="9" t="inlineStr"/>
      <c r="H2087" s="9" t="inlineStr">
        <is>
          <t>RICE CEMS</t>
        </is>
      </c>
      <c r="I2087" s="9" t="inlineStr">
        <is>
          <t>Fire alarm</t>
        </is>
      </c>
      <c r="J2087" s="9" t="inlineStr">
        <is>
          <t>Fire alarm FPLR 2/C #14 shielded, red jacket (NEC 760)</t>
        </is>
      </c>
      <c r="K2087" s="9" t="inlineStr">
        <is>
          <t>FA|2/C|14</t>
        </is>
      </c>
      <c r="L2087" s="9" t="inlineStr">
        <is>
          <t>2/C</t>
        </is>
      </c>
      <c r="M2087" s="9" t="inlineStr">
        <is>
          <t>14</t>
        </is>
      </c>
      <c r="N2087" s="9" t="n">
        <v>1</v>
      </c>
      <c r="O2087" s="9" t="n">
        <v>1</v>
      </c>
      <c r="P2087" s="9" t="n"/>
      <c r="Q2087" s="9" t="n"/>
      <c r="R2087" s="9" t="n"/>
      <c r="S2087" s="9" t="inlineStr">
        <is>
          <t>Duct bank</t>
        </is>
      </c>
      <c r="T2087" s="10" t="n">
        <v>260</v>
      </c>
      <c r="U2087" s="10" t="n">
        <v>131</v>
      </c>
      <c r="V2087" s="10">
        <f>ROUNDUP((T2087+U2087+2*'Read Me'!$B$13)*(1+'Read Me'!$B$12),-1)</f>
        <v/>
      </c>
      <c r="W2087" s="10">
        <f>V2087*N2087*O2087</f>
        <v/>
      </c>
      <c r="X2087" s="9">
        <f>IF(LEFT(I2087,2)="MV",2*N2087*IF(L2087="1/C",O2087,1),0)</f>
        <v/>
      </c>
      <c r="Y2087" s="9">
        <f>IF(OR(LEFT(K2087,4)="LVAX",LEFT(K2087,6)="MV15AX",LEFT(K2087,4)="CTAX",LEFT(K2087,2)="W|"),2*N2087*O2087,0)</f>
        <v/>
      </c>
      <c r="Z2087" s="9" t="inlineStr"/>
    </row>
    <row r="2088">
      <c r="A2088" s="9" t="inlineStr">
        <is>
          <t>I-FA-0043</t>
        </is>
      </c>
      <c r="B2088" s="9" t="inlineStr">
        <is>
          <t>I</t>
        </is>
      </c>
      <c r="C2088" s="9" t="inlineStr">
        <is>
          <t>Modular / portable power</t>
        </is>
      </c>
      <c r="D2088" s="9" t="inlineStr">
        <is>
          <t>Fire alarm / F&amp;G loop (to the local FACP / F&amp;G node)</t>
        </is>
      </c>
      <c r="E2088" s="9" t="inlineStr"/>
      <c r="F2088" s="9" t="inlineStr">
        <is>
          <t>PCM: power control module</t>
        </is>
      </c>
      <c r="G2088" s="9" t="inlineStr">
        <is>
          <t>RICE</t>
        </is>
      </c>
      <c r="H2088" s="9" t="inlineStr">
        <is>
          <t>RICE engine hall (8 engines)</t>
        </is>
      </c>
      <c r="I2088" s="9" t="inlineStr">
        <is>
          <t>Fire alarm</t>
        </is>
      </c>
      <c r="J2088" s="9" t="inlineStr">
        <is>
          <t>Fire alarm FPLR 2/C #14 shielded, red jacket (NEC 760)</t>
        </is>
      </c>
      <c r="K2088" s="9" t="inlineStr">
        <is>
          <t>FA|2/C|14</t>
        </is>
      </c>
      <c r="L2088" s="9" t="inlineStr">
        <is>
          <t>2/C</t>
        </is>
      </c>
      <c r="M2088" s="9" t="inlineStr">
        <is>
          <t>14</t>
        </is>
      </c>
      <c r="N2088" s="9" t="n">
        <v>1</v>
      </c>
      <c r="O2088" s="9" t="n">
        <v>1</v>
      </c>
      <c r="P2088" s="9" t="n"/>
      <c r="Q2088" s="9" t="n"/>
      <c r="R2088" s="9" t="n"/>
      <c r="S2088" s="9" t="inlineStr">
        <is>
          <t>Duct bank</t>
        </is>
      </c>
      <c r="T2088" s="10" t="n">
        <v>367</v>
      </c>
      <c r="U2088" s="10" t="n">
        <v>95</v>
      </c>
      <c r="V2088" s="10">
        <f>ROUNDUP((T2088+U2088+2*'Read Me'!$B$13)*(1+'Read Me'!$B$12),-1)</f>
        <v/>
      </c>
      <c r="W2088" s="10">
        <f>V2088*N2088*O2088</f>
        <v/>
      </c>
      <c r="X2088" s="9">
        <f>IF(LEFT(I2088,2)="MV",2*N2088*IF(L2088="1/C",O2088,1),0)</f>
        <v/>
      </c>
      <c r="Y2088" s="9">
        <f>IF(OR(LEFT(K2088,4)="LVAX",LEFT(K2088,6)="MV15AX",LEFT(K2088,4)="CTAX",LEFT(K2088,2)="W|"),2*N2088*O2088,0)</f>
        <v/>
      </c>
      <c r="Z2088" s="9" t="inlineStr"/>
    </row>
    <row r="2089">
      <c r="A2089" s="9" t="inlineStr">
        <is>
          <t>I-FA-0044</t>
        </is>
      </c>
      <c r="B2089" s="9" t="inlineStr">
        <is>
          <t>I</t>
        </is>
      </c>
      <c r="C2089" s="9" t="inlineStr">
        <is>
          <t>Modular / portable power</t>
        </is>
      </c>
      <c r="D2089" s="9" t="inlineStr">
        <is>
          <t>Fire alarm / F&amp;G loop (to the local FACP / F&amp;G node)</t>
        </is>
      </c>
      <c r="E2089" s="9" t="inlineStr"/>
      <c r="F2089" s="9" t="inlineStr">
        <is>
          <t>PCM: power control module</t>
        </is>
      </c>
      <c r="G2089" s="9" t="inlineStr">
        <is>
          <t>SC-1</t>
        </is>
      </c>
      <c r="H2089" s="9" t="inlineStr">
        <is>
          <t>SC-1: aeroderivative simple-cycle unit (LM6000 class)</t>
        </is>
      </c>
      <c r="I2089" s="9" t="inlineStr">
        <is>
          <t>Fire alarm</t>
        </is>
      </c>
      <c r="J2089" s="9" t="inlineStr">
        <is>
          <t>Fire alarm FPLR 2/C #14 shielded, red jacket (NEC 760)</t>
        </is>
      </c>
      <c r="K2089" s="9" t="inlineStr">
        <is>
          <t>FA|2/C|14</t>
        </is>
      </c>
      <c r="L2089" s="9" t="inlineStr">
        <is>
          <t>2/C</t>
        </is>
      </c>
      <c r="M2089" s="9" t="inlineStr">
        <is>
          <t>14</t>
        </is>
      </c>
      <c r="N2089" s="9" t="n">
        <v>1</v>
      </c>
      <c r="O2089" s="9" t="n">
        <v>1</v>
      </c>
      <c r="P2089" s="9" t="n"/>
      <c r="Q2089" s="9" t="n"/>
      <c r="R2089" s="9" t="n"/>
      <c r="S2089" s="9" t="inlineStr">
        <is>
          <t>Duct bank</t>
        </is>
      </c>
      <c r="T2089" s="10" t="n">
        <v>40</v>
      </c>
      <c r="U2089" s="10" t="n">
        <v>52</v>
      </c>
      <c r="V2089" s="10">
        <f>ROUNDUP((T2089+U2089+2*'Read Me'!$B$13)*(1+'Read Me'!$B$12),-1)</f>
        <v/>
      </c>
      <c r="W2089" s="10">
        <f>V2089*N2089*O2089</f>
        <v/>
      </c>
      <c r="X2089" s="9">
        <f>IF(LEFT(I2089,2)="MV",2*N2089*IF(L2089="1/C",O2089,1),0)</f>
        <v/>
      </c>
      <c r="Y2089" s="9">
        <f>IF(OR(LEFT(K2089,4)="LVAX",LEFT(K2089,6)="MV15AX",LEFT(K2089,4)="CTAX",LEFT(K2089,2)="W|"),2*N2089*O2089,0)</f>
        <v/>
      </c>
      <c r="Z2089" s="9" t="inlineStr"/>
    </row>
    <row r="2090">
      <c r="A2090" s="9" t="inlineStr">
        <is>
          <t>I-FA-0045</t>
        </is>
      </c>
      <c r="B2090" s="9" t="inlineStr">
        <is>
          <t>I</t>
        </is>
      </c>
      <c r="C2090" s="9" t="inlineStr">
        <is>
          <t>Modular / portable power</t>
        </is>
      </c>
      <c r="D2090" s="9" t="inlineStr">
        <is>
          <t>Fire alarm / F&amp;G loop (to the local FACP / F&amp;G node)</t>
        </is>
      </c>
      <c r="E2090" s="9" t="inlineStr"/>
      <c r="F2090" s="9" t="inlineStr">
        <is>
          <t>PCM: power control module</t>
        </is>
      </c>
      <c r="G2090" s="9" t="inlineStr">
        <is>
          <t>SC-2</t>
        </is>
      </c>
      <c r="H2090" s="9" t="inlineStr">
        <is>
          <t>SC-2: aeroderivative simple-cycle unit (LM6000 class)</t>
        </is>
      </c>
      <c r="I2090" s="9" t="inlineStr">
        <is>
          <t>Fire alarm</t>
        </is>
      </c>
      <c r="J2090" s="9" t="inlineStr">
        <is>
          <t>Fire alarm FPLR 2/C #14 shielded, red jacket (NEC 760)</t>
        </is>
      </c>
      <c r="K2090" s="9" t="inlineStr">
        <is>
          <t>FA|2/C|14</t>
        </is>
      </c>
      <c r="L2090" s="9" t="inlineStr">
        <is>
          <t>2/C</t>
        </is>
      </c>
      <c r="M2090" s="9" t="inlineStr">
        <is>
          <t>14</t>
        </is>
      </c>
      <c r="N2090" s="9" t="n">
        <v>1</v>
      </c>
      <c r="O2090" s="9" t="n">
        <v>1</v>
      </c>
      <c r="P2090" s="9" t="n"/>
      <c r="Q2090" s="9" t="n"/>
      <c r="R2090" s="9" t="n"/>
      <c r="S2090" s="9" t="inlineStr">
        <is>
          <t>Duct bank</t>
        </is>
      </c>
      <c r="T2090" s="10" t="n">
        <v>410</v>
      </c>
      <c r="U2090" s="10" t="n">
        <v>115</v>
      </c>
      <c r="V2090" s="10">
        <f>ROUNDUP((T2090+U2090+2*'Read Me'!$B$13)*(1+'Read Me'!$B$12),-1)</f>
        <v/>
      </c>
      <c r="W2090" s="10">
        <f>V2090*N2090*O2090</f>
        <v/>
      </c>
      <c r="X2090" s="9">
        <f>IF(LEFT(I2090,2)="MV",2*N2090*IF(L2090="1/C",O2090,1),0)</f>
        <v/>
      </c>
      <c r="Y2090" s="9">
        <f>IF(OR(LEFT(K2090,4)="LVAX",LEFT(K2090,6)="MV15AX",LEFT(K2090,4)="CTAX",LEFT(K2090,2)="W|"),2*N2090*O2090,0)</f>
        <v/>
      </c>
      <c r="Z2090" s="9" t="inlineStr"/>
    </row>
    <row r="2091">
      <c r="A2091" s="9" t="inlineStr">
        <is>
          <t>I-FA-0046</t>
        </is>
      </c>
      <c r="B2091" s="9" t="inlineStr">
        <is>
          <t>I</t>
        </is>
      </c>
      <c r="C2091" s="9" t="inlineStr">
        <is>
          <t>Modular / portable power</t>
        </is>
      </c>
      <c r="D2091" s="9" t="inlineStr">
        <is>
          <t>Fire alarm / F&amp;G loop (to the local FACP / F&amp;G node)</t>
        </is>
      </c>
      <c r="E2091" s="9" t="inlineStr">
        <is>
          <t>PAD-EH</t>
        </is>
      </c>
      <c r="F2091" s="9" t="inlineStr">
        <is>
          <t>PAD-EH 13.8 kV switchgear e-house</t>
        </is>
      </c>
      <c r="G2091" s="9" t="inlineStr">
        <is>
          <t>TM-1</t>
        </is>
      </c>
      <c r="H2091" s="9" t="inlineStr">
        <is>
          <t>TM-1: trailer-mounted aeroderivative GT (TM2500 class, ~35 MW)</t>
        </is>
      </c>
      <c r="I2091" s="9" t="inlineStr">
        <is>
          <t>Fire alarm</t>
        </is>
      </c>
      <c r="J2091" s="9" t="inlineStr">
        <is>
          <t>Fire alarm FPLR 2/C #14 shielded, red jacket (NEC 760)</t>
        </is>
      </c>
      <c r="K2091" s="9" t="inlineStr">
        <is>
          <t>FA|2/C|14</t>
        </is>
      </c>
      <c r="L2091" s="9" t="inlineStr">
        <is>
          <t>2/C</t>
        </is>
      </c>
      <c r="M2091" s="9" t="inlineStr">
        <is>
          <t>14</t>
        </is>
      </c>
      <c r="N2091" s="9" t="n">
        <v>1</v>
      </c>
      <c r="O2091" s="9" t="n">
        <v>1</v>
      </c>
      <c r="P2091" s="9" t="n"/>
      <c r="Q2091" s="9" t="n"/>
      <c r="R2091" s="9" t="n"/>
      <c r="S2091" s="9" t="inlineStr">
        <is>
          <t>Surface</t>
        </is>
      </c>
      <c r="T2091" s="10" t="n">
        <v>185</v>
      </c>
      <c r="U2091" s="10" t="n">
        <v>27</v>
      </c>
      <c r="V2091" s="10">
        <f>ROUNDUP((T2091+U2091+2*'Read Me'!$B$13)*(1+'Read Me'!$B$12),-1)</f>
        <v/>
      </c>
      <c r="W2091" s="10">
        <f>V2091*N2091*O2091</f>
        <v/>
      </c>
      <c r="X2091" s="9">
        <f>IF(LEFT(I2091,2)="MV",2*N2091*IF(L2091="1/C",O2091,1),0)</f>
        <v/>
      </c>
      <c r="Y2091" s="9">
        <f>IF(OR(LEFT(K2091,4)="LVAX",LEFT(K2091,6)="MV15AX",LEFT(K2091,4)="CTAX",LEFT(K2091,2)="W|"),2*N2091*O2091,0)</f>
        <v/>
      </c>
      <c r="Z2091" s="9" t="inlineStr"/>
    </row>
    <row r="2092">
      <c r="A2092" s="9" t="inlineStr">
        <is>
          <t>I-FA-0047</t>
        </is>
      </c>
      <c r="B2092" s="9" t="inlineStr">
        <is>
          <t>I</t>
        </is>
      </c>
      <c r="C2092" s="9" t="inlineStr">
        <is>
          <t>Modular / portable power</t>
        </is>
      </c>
      <c r="D2092" s="9" t="inlineStr">
        <is>
          <t>Fire alarm / F&amp;G loop (to the local FACP / F&amp;G node)</t>
        </is>
      </c>
      <c r="E2092" s="9" t="inlineStr">
        <is>
          <t>PAD-EH</t>
        </is>
      </c>
      <c r="F2092" s="9" t="inlineStr">
        <is>
          <t>PAD-EH 13.8 kV switchgear e-house</t>
        </is>
      </c>
      <c r="G2092" s="9" t="inlineStr">
        <is>
          <t>TM-2</t>
        </is>
      </c>
      <c r="H2092" s="9" t="inlineStr">
        <is>
          <t>TM-2: trailer-mounted aeroderivative GT (TM2500 class, ~35 MW)</t>
        </is>
      </c>
      <c r="I2092" s="9" t="inlineStr">
        <is>
          <t>Fire alarm</t>
        </is>
      </c>
      <c r="J2092" s="9" t="inlineStr">
        <is>
          <t>Fire alarm FPLR 2/C #14 shielded, red jacket (NEC 760)</t>
        </is>
      </c>
      <c r="K2092" s="9" t="inlineStr">
        <is>
          <t>FA|2/C|14</t>
        </is>
      </c>
      <c r="L2092" s="9" t="inlineStr">
        <is>
          <t>2/C</t>
        </is>
      </c>
      <c r="M2092" s="9" t="inlineStr">
        <is>
          <t>14</t>
        </is>
      </c>
      <c r="N2092" s="9" t="n">
        <v>1</v>
      </c>
      <c r="O2092" s="9" t="n">
        <v>1</v>
      </c>
      <c r="P2092" s="9" t="n"/>
      <c r="Q2092" s="9" t="n"/>
      <c r="R2092" s="9" t="n"/>
      <c r="S2092" s="9" t="inlineStr">
        <is>
          <t>Surface</t>
        </is>
      </c>
      <c r="T2092" s="10" t="n">
        <v>70</v>
      </c>
      <c r="U2092" s="10" t="n">
        <v>47</v>
      </c>
      <c r="V2092" s="10">
        <f>ROUNDUP((T2092+U2092+2*'Read Me'!$B$13)*(1+'Read Me'!$B$12),-1)</f>
        <v/>
      </c>
      <c r="W2092" s="10">
        <f>V2092*N2092*O2092</f>
        <v/>
      </c>
      <c r="X2092" s="9">
        <f>IF(LEFT(I2092,2)="MV",2*N2092*IF(L2092="1/C",O2092,1),0)</f>
        <v/>
      </c>
      <c r="Y2092" s="9">
        <f>IF(OR(LEFT(K2092,4)="LVAX",LEFT(K2092,6)="MV15AX",LEFT(K2092,4)="CTAX",LEFT(K2092,2)="W|"),2*N2092*O2092,0)</f>
        <v/>
      </c>
      <c r="Z2092" s="9" t="inlineStr"/>
    </row>
    <row r="2093">
      <c r="A2093" s="9" t="inlineStr">
        <is>
          <t>I-I-0001</t>
        </is>
      </c>
      <c r="B2093" s="9" t="inlineStr">
        <is>
          <t>I</t>
        </is>
      </c>
      <c r="C2093" s="9" t="inlineStr">
        <is>
          <t>Modular / portable power</t>
        </is>
      </c>
      <c r="D2093" s="9" t="inlineStr">
        <is>
          <t>Instrumentation</t>
        </is>
      </c>
      <c r="E2093" s="9" t="inlineStr"/>
      <c r="F2093" s="9" t="inlineStr">
        <is>
          <t>PCM: power control module</t>
        </is>
      </c>
      <c r="G2093" s="9" t="inlineStr"/>
      <c r="H2093" s="9" t="inlineStr">
        <is>
          <t>Aqueous ammonia (SC units)</t>
        </is>
      </c>
      <c r="I2093" s="9" t="inlineStr">
        <is>
          <t>Instrumentation</t>
        </is>
      </c>
      <c r="J2093" s="9" t="inlineStr">
        <is>
          <t>Instrumentation PLTC / TC-ER 300 V, #18 twisted shielded pairs, overall shield</t>
        </is>
      </c>
      <c r="K2093" s="9" t="inlineStr">
        <is>
          <t>PLTC|4 pr|18</t>
        </is>
      </c>
      <c r="L2093" s="9" t="inlineStr">
        <is>
          <t>4 pr</t>
        </is>
      </c>
      <c r="M2093" s="9" t="inlineStr">
        <is>
          <t>18</t>
        </is>
      </c>
      <c r="N2093" s="9" t="n">
        <v>1</v>
      </c>
      <c r="O2093" s="9" t="n">
        <v>1</v>
      </c>
      <c r="P2093" s="9" t="n"/>
      <c r="Q2093" s="9" t="n"/>
      <c r="R2093" s="9" t="n"/>
      <c r="S2093" s="9" t="inlineStr">
        <is>
          <t>Duct bank</t>
        </is>
      </c>
      <c r="T2093" s="10" t="n">
        <v>542</v>
      </c>
      <c r="U2093" s="10" t="n">
        <v>37</v>
      </c>
      <c r="V2093" s="10">
        <f>ROUNDUP((T2093+U2093+2*'Read Me'!$B$13)*(1+'Read Me'!$B$12),-1)</f>
        <v/>
      </c>
      <c r="W2093" s="10">
        <f>V2093*N2093*O2093</f>
        <v/>
      </c>
      <c r="X2093" s="9">
        <f>IF(LEFT(I2093,2)="MV",2*N2093*IF(L2093="1/C",O2093,1),0)</f>
        <v/>
      </c>
      <c r="Y2093" s="9">
        <f>IF(OR(LEFT(K2093,4)="LVAX",LEFT(K2093,6)="MV15AX",LEFT(K2093,4)="CTAX",LEFT(K2093,2)="W|"),2*N2093*O2093,0)</f>
        <v/>
      </c>
      <c r="Z2093" s="9" t="inlineStr"/>
    </row>
    <row r="2094">
      <c r="A2094" s="9" t="inlineStr">
        <is>
          <t>I-I-0002</t>
        </is>
      </c>
      <c r="B2094" s="9" t="inlineStr">
        <is>
          <t>I</t>
        </is>
      </c>
      <c r="C2094" s="9" t="inlineStr">
        <is>
          <t>Modular / portable power</t>
        </is>
      </c>
      <c r="D2094" s="9" t="inlineStr">
        <is>
          <t>Instrumentation</t>
        </is>
      </c>
      <c r="E2094" s="9" t="inlineStr"/>
      <c r="F2094" s="9" t="inlineStr">
        <is>
          <t>PCM: power control module</t>
        </is>
      </c>
      <c r="G2094" s="9" t="inlineStr"/>
      <c r="H2094" s="9" t="inlineStr">
        <is>
          <t>Black-start genset (proposed; requires study)</t>
        </is>
      </c>
      <c r="I2094" s="9" t="inlineStr">
        <is>
          <t>Instrumentation</t>
        </is>
      </c>
      <c r="J2094" s="9" t="inlineStr">
        <is>
          <t>Instrumentation PLTC / TC-ER 300 V, #18 twisted shielded pairs, overall shield</t>
        </is>
      </c>
      <c r="K2094" s="9" t="inlineStr">
        <is>
          <t>PLTC|4 pr|18</t>
        </is>
      </c>
      <c r="L2094" s="9" t="inlineStr">
        <is>
          <t>4 pr</t>
        </is>
      </c>
      <c r="M2094" s="9" t="inlineStr">
        <is>
          <t>18</t>
        </is>
      </c>
      <c r="N2094" s="9" t="n">
        <v>1</v>
      </c>
      <c r="O2094" s="9" t="n">
        <v>1</v>
      </c>
      <c r="P2094" s="9" t="n"/>
      <c r="Q2094" s="9" t="n"/>
      <c r="R2094" s="9" t="n"/>
      <c r="S2094" s="9" t="inlineStr">
        <is>
          <t>Duct bank</t>
        </is>
      </c>
      <c r="T2094" s="10" t="n">
        <v>624</v>
      </c>
      <c r="U2094" s="10" t="n">
        <v>32</v>
      </c>
      <c r="V2094" s="10">
        <f>ROUNDUP((T2094+U2094+2*'Read Me'!$B$13)*(1+'Read Me'!$B$12),-1)</f>
        <v/>
      </c>
      <c r="W2094" s="10">
        <f>V2094*N2094*O2094</f>
        <v/>
      </c>
      <c r="X2094" s="9">
        <f>IF(LEFT(I2094,2)="MV",2*N2094*IF(L2094="1/C",O2094,1),0)</f>
        <v/>
      </c>
      <c r="Y2094" s="9">
        <f>IF(OR(LEFT(K2094,4)="LVAX",LEFT(K2094,6)="MV15AX",LEFT(K2094,4)="CTAX",LEFT(K2094,2)="W|"),2*N2094*O2094,0)</f>
        <v/>
      </c>
      <c r="Z2094" s="9" t="inlineStr"/>
    </row>
    <row r="2095">
      <c r="A2095" s="9" t="inlineStr">
        <is>
          <t>I-I-0003</t>
        </is>
      </c>
      <c r="B2095" s="9" t="inlineStr">
        <is>
          <t>I</t>
        </is>
      </c>
      <c r="C2095" s="9" t="inlineStr">
        <is>
          <t>Modular / portable power</t>
        </is>
      </c>
      <c r="D2095" s="9" t="inlineStr">
        <is>
          <t>Thermocouples</t>
        </is>
      </c>
      <c r="E2095" s="9" t="inlineStr"/>
      <c r="F2095" s="9" t="inlineStr">
        <is>
          <t>PCM: power control module</t>
        </is>
      </c>
      <c r="G2095" s="9" t="inlineStr"/>
      <c r="H2095" s="9" t="inlineStr">
        <is>
          <t>Black-start genset (proposed; requires study)</t>
        </is>
      </c>
      <c r="I2095" s="9" t="inlineStr">
        <is>
          <t>Instrumentation</t>
        </is>
      </c>
      <c r="J2095" s="9" t="inlineStr">
        <is>
          <t>Thermocouple extension KX, #16 shielded pairs, PLTC</t>
        </is>
      </c>
      <c r="K2095" s="9" t="inlineStr">
        <is>
          <t>TCX|12 pr|16</t>
        </is>
      </c>
      <c r="L2095" s="9" t="inlineStr">
        <is>
          <t>12 pr</t>
        </is>
      </c>
      <c r="M2095" s="9" t="inlineStr">
        <is>
          <t>16</t>
        </is>
      </c>
      <c r="N2095" s="9" t="n">
        <v>1</v>
      </c>
      <c r="O2095" s="9" t="n">
        <v>1</v>
      </c>
      <c r="P2095" s="9" t="n"/>
      <c r="Q2095" s="9" t="n"/>
      <c r="R2095" s="9" t="n"/>
      <c r="S2095" s="9" t="inlineStr">
        <is>
          <t>Duct bank</t>
        </is>
      </c>
      <c r="T2095" s="10" t="n">
        <v>624</v>
      </c>
      <c r="U2095" s="10" t="n">
        <v>32</v>
      </c>
      <c r="V2095" s="10">
        <f>ROUNDUP((T2095+U2095+2*'Read Me'!$B$13)*(1+'Read Me'!$B$12),-1)</f>
        <v/>
      </c>
      <c r="W2095" s="10">
        <f>V2095*N2095*O2095</f>
        <v/>
      </c>
      <c r="X2095" s="9">
        <f>IF(LEFT(I2095,2)="MV",2*N2095*IF(L2095="1/C",O2095,1),0)</f>
        <v/>
      </c>
      <c r="Y2095" s="9">
        <f>IF(OR(LEFT(K2095,4)="LVAX",LEFT(K2095,6)="MV15AX",LEFT(K2095,4)="CTAX",LEFT(K2095,2)="W|"),2*N2095*O2095,0)</f>
        <v/>
      </c>
      <c r="Z2095" s="9" t="inlineStr"/>
    </row>
    <row r="2096">
      <c r="A2096" s="9" t="inlineStr">
        <is>
          <t>I-I-0004</t>
        </is>
      </c>
      <c r="B2096" s="9" t="inlineStr">
        <is>
          <t>I</t>
        </is>
      </c>
      <c r="C2096" s="9" t="inlineStr">
        <is>
          <t>Modular / portable power</t>
        </is>
      </c>
      <c r="D2096" s="9" t="inlineStr">
        <is>
          <t>Thermocouples</t>
        </is>
      </c>
      <c r="E2096" s="9" t="inlineStr"/>
      <c r="F2096" s="9" t="inlineStr">
        <is>
          <t>PCM: power control module</t>
        </is>
      </c>
      <c r="G2096" s="9" t="inlineStr"/>
      <c r="H2096" s="9" t="inlineStr">
        <is>
          <t>Black-start genset (proposed; requires study)</t>
        </is>
      </c>
      <c r="I2096" s="9" t="inlineStr">
        <is>
          <t>Instrumentation</t>
        </is>
      </c>
      <c r="J2096" s="9" t="inlineStr">
        <is>
          <t>Thermocouple extension KX, #16 shielded pairs, PLTC</t>
        </is>
      </c>
      <c r="K2096" s="9" t="inlineStr">
        <is>
          <t>TCX|12 pr|16</t>
        </is>
      </c>
      <c r="L2096" s="9" t="inlineStr">
        <is>
          <t>12 pr</t>
        </is>
      </c>
      <c r="M2096" s="9" t="inlineStr">
        <is>
          <t>16</t>
        </is>
      </c>
      <c r="N2096" s="9" t="n">
        <v>1</v>
      </c>
      <c r="O2096" s="9" t="n">
        <v>1</v>
      </c>
      <c r="P2096" s="9" t="n"/>
      <c r="Q2096" s="9" t="n"/>
      <c r="R2096" s="9" t="n"/>
      <c r="S2096" s="9" t="inlineStr">
        <is>
          <t>Duct bank</t>
        </is>
      </c>
      <c r="T2096" s="10" t="n">
        <v>624</v>
      </c>
      <c r="U2096" s="10" t="n">
        <v>32</v>
      </c>
      <c r="V2096" s="10">
        <f>ROUNDUP((T2096+U2096+2*'Read Me'!$B$13)*(1+'Read Me'!$B$12),-1)</f>
        <v/>
      </c>
      <c r="W2096" s="10">
        <f>V2096*N2096*O2096</f>
        <v/>
      </c>
      <c r="X2096" s="9">
        <f>IF(LEFT(I2096,2)="MV",2*N2096*IF(L2096="1/C",O2096,1),0)</f>
        <v/>
      </c>
      <c r="Y2096" s="9">
        <f>IF(OR(LEFT(K2096,4)="LVAX",LEFT(K2096,6)="MV15AX",LEFT(K2096,4)="CTAX",LEFT(K2096,2)="W|"),2*N2096*O2096,0)</f>
        <v/>
      </c>
      <c r="Z2096" s="9" t="inlineStr"/>
    </row>
    <row r="2097">
      <c r="A2097" s="9" t="inlineStr">
        <is>
          <t>I-I-0005</t>
        </is>
      </c>
      <c r="B2097" s="9" t="inlineStr">
        <is>
          <t>I</t>
        </is>
      </c>
      <c r="C2097" s="9" t="inlineStr">
        <is>
          <t>Modular / portable power</t>
        </is>
      </c>
      <c r="D2097" s="9" t="inlineStr">
        <is>
          <t>Instrumentation</t>
        </is>
      </c>
      <c r="E2097" s="9" t="inlineStr"/>
      <c r="F2097" s="9" t="inlineStr">
        <is>
          <t>PCM: power control module</t>
        </is>
      </c>
      <c r="G2097" s="9" t="inlineStr"/>
      <c r="H2097" s="9" t="inlineStr">
        <is>
          <t>Black-start genset (proposed; requires study)</t>
        </is>
      </c>
      <c r="I2097" s="9" t="inlineStr">
        <is>
          <t>Instrumentation</t>
        </is>
      </c>
      <c r="J2097" s="9" t="inlineStr">
        <is>
          <t>Instrumentation PLTC / TC-ER 300 V, #18 twisted shielded pairs, overall shield</t>
        </is>
      </c>
      <c r="K2097" s="9" t="inlineStr">
        <is>
          <t>PLTC|4 pr|18</t>
        </is>
      </c>
      <c r="L2097" s="9" t="inlineStr">
        <is>
          <t>4 pr</t>
        </is>
      </c>
      <c r="M2097" s="9" t="inlineStr">
        <is>
          <t>18</t>
        </is>
      </c>
      <c r="N2097" s="9" t="n">
        <v>1</v>
      </c>
      <c r="O2097" s="9" t="n">
        <v>1</v>
      </c>
      <c r="P2097" s="9" t="n"/>
      <c r="Q2097" s="9" t="n"/>
      <c r="R2097" s="9" t="n"/>
      <c r="S2097" s="9" t="inlineStr">
        <is>
          <t>Duct bank</t>
        </is>
      </c>
      <c r="T2097" s="10" t="n">
        <v>624</v>
      </c>
      <c r="U2097" s="10" t="n">
        <v>40</v>
      </c>
      <c r="V2097" s="10">
        <f>ROUNDUP((T2097+U2097+2*'Read Me'!$B$13)*(1+'Read Me'!$B$12),-1)</f>
        <v/>
      </c>
      <c r="W2097" s="10">
        <f>V2097*N2097*O2097</f>
        <v/>
      </c>
      <c r="X2097" s="9">
        <f>IF(LEFT(I2097,2)="MV",2*N2097*IF(L2097="1/C",O2097,1),0)</f>
        <v/>
      </c>
      <c r="Y2097" s="9">
        <f>IF(OR(LEFT(K2097,4)="LVAX",LEFT(K2097,6)="MV15AX",LEFT(K2097,4)="CTAX",LEFT(K2097,2)="W|"),2*N2097*O2097,0)</f>
        <v/>
      </c>
      <c r="Z2097" s="9" t="inlineStr"/>
    </row>
    <row r="2098">
      <c r="A2098" s="9" t="inlineStr">
        <is>
          <t>I-I-0006</t>
        </is>
      </c>
      <c r="B2098" s="9" t="inlineStr">
        <is>
          <t>I</t>
        </is>
      </c>
      <c r="C2098" s="9" t="inlineStr">
        <is>
          <t>Modular / portable power</t>
        </is>
      </c>
      <c r="D2098" s="9" t="inlineStr">
        <is>
          <t>Thermocouples</t>
        </is>
      </c>
      <c r="E2098" s="9" t="inlineStr"/>
      <c r="F2098" s="9" t="inlineStr">
        <is>
          <t>PCM: power control module</t>
        </is>
      </c>
      <c r="G2098" s="9" t="inlineStr"/>
      <c r="H2098" s="9" t="inlineStr">
        <is>
          <t>Black-start genset (proposed; requires study)</t>
        </is>
      </c>
      <c r="I2098" s="9" t="inlineStr">
        <is>
          <t>Instrumentation</t>
        </is>
      </c>
      <c r="J2098" s="9" t="inlineStr">
        <is>
          <t>Thermocouple extension KX, #16 shielded pairs, PLTC</t>
        </is>
      </c>
      <c r="K2098" s="9" t="inlineStr">
        <is>
          <t>TCX|12 pr|16</t>
        </is>
      </c>
      <c r="L2098" s="9" t="inlineStr">
        <is>
          <t>12 pr</t>
        </is>
      </c>
      <c r="M2098" s="9" t="inlineStr">
        <is>
          <t>16</t>
        </is>
      </c>
      <c r="N2098" s="9" t="n">
        <v>1</v>
      </c>
      <c r="O2098" s="9" t="n">
        <v>1</v>
      </c>
      <c r="P2098" s="9" t="n"/>
      <c r="Q2098" s="9" t="n"/>
      <c r="R2098" s="9" t="n"/>
      <c r="S2098" s="9" t="inlineStr">
        <is>
          <t>Duct bank</t>
        </is>
      </c>
      <c r="T2098" s="10" t="n">
        <v>624</v>
      </c>
      <c r="U2098" s="10" t="n">
        <v>40</v>
      </c>
      <c r="V2098" s="10">
        <f>ROUNDUP((T2098+U2098+2*'Read Me'!$B$13)*(1+'Read Me'!$B$12),-1)</f>
        <v/>
      </c>
      <c r="W2098" s="10">
        <f>V2098*N2098*O2098</f>
        <v/>
      </c>
      <c r="X2098" s="9">
        <f>IF(LEFT(I2098,2)="MV",2*N2098*IF(L2098="1/C",O2098,1),0)</f>
        <v/>
      </c>
      <c r="Y2098" s="9">
        <f>IF(OR(LEFT(K2098,4)="LVAX",LEFT(K2098,6)="MV15AX",LEFT(K2098,4)="CTAX",LEFT(K2098,2)="W|"),2*N2098*O2098,0)</f>
        <v/>
      </c>
      <c r="Z2098" s="9" t="inlineStr"/>
    </row>
    <row r="2099">
      <c r="A2099" s="9" t="inlineStr">
        <is>
          <t>I-I-0007</t>
        </is>
      </c>
      <c r="B2099" s="9" t="inlineStr">
        <is>
          <t>I</t>
        </is>
      </c>
      <c r="C2099" s="9" t="inlineStr">
        <is>
          <t>Modular / portable power</t>
        </is>
      </c>
      <c r="D2099" s="9" t="inlineStr">
        <is>
          <t>Thermocouples</t>
        </is>
      </c>
      <c r="E2099" s="9" t="inlineStr"/>
      <c r="F2099" s="9" t="inlineStr">
        <is>
          <t>PCM: power control module</t>
        </is>
      </c>
      <c r="G2099" s="9" t="inlineStr"/>
      <c r="H2099" s="9" t="inlineStr">
        <is>
          <t>Black-start genset (proposed; requires study)</t>
        </is>
      </c>
      <c r="I2099" s="9" t="inlineStr">
        <is>
          <t>Instrumentation</t>
        </is>
      </c>
      <c r="J2099" s="9" t="inlineStr">
        <is>
          <t>Thermocouple extension KX, #16 shielded pairs, PLTC</t>
        </is>
      </c>
      <c r="K2099" s="9" t="inlineStr">
        <is>
          <t>TCX|12 pr|16</t>
        </is>
      </c>
      <c r="L2099" s="9" t="inlineStr">
        <is>
          <t>12 pr</t>
        </is>
      </c>
      <c r="M2099" s="9" t="inlineStr">
        <is>
          <t>16</t>
        </is>
      </c>
      <c r="N2099" s="9" t="n">
        <v>1</v>
      </c>
      <c r="O2099" s="9" t="n">
        <v>1</v>
      </c>
      <c r="P2099" s="9" t="n"/>
      <c r="Q2099" s="9" t="n"/>
      <c r="R2099" s="9" t="n"/>
      <c r="S2099" s="9" t="inlineStr">
        <is>
          <t>Duct bank</t>
        </is>
      </c>
      <c r="T2099" s="10" t="n">
        <v>624</v>
      </c>
      <c r="U2099" s="10" t="n">
        <v>40</v>
      </c>
      <c r="V2099" s="10">
        <f>ROUNDUP((T2099+U2099+2*'Read Me'!$B$13)*(1+'Read Me'!$B$12),-1)</f>
        <v/>
      </c>
      <c r="W2099" s="10">
        <f>V2099*N2099*O2099</f>
        <v/>
      </c>
      <c r="X2099" s="9">
        <f>IF(LEFT(I2099,2)="MV",2*N2099*IF(L2099="1/C",O2099,1),0)</f>
        <v/>
      </c>
      <c r="Y2099" s="9">
        <f>IF(OR(LEFT(K2099,4)="LVAX",LEFT(K2099,6)="MV15AX",LEFT(K2099,4)="CTAX",LEFT(K2099,2)="W|"),2*N2099*O2099,0)</f>
        <v/>
      </c>
      <c r="Z2099" s="9" t="inlineStr"/>
    </row>
    <row r="2100">
      <c r="A2100" s="9" t="inlineStr">
        <is>
          <t>I-I-0008</t>
        </is>
      </c>
      <c r="B2100" s="9" t="inlineStr">
        <is>
          <t>I</t>
        </is>
      </c>
      <c r="C2100" s="9" t="inlineStr">
        <is>
          <t>Modular / portable power</t>
        </is>
      </c>
      <c r="D2100" s="9" t="inlineStr">
        <is>
          <t>Instrumentation</t>
        </is>
      </c>
      <c r="E2100" s="9" t="inlineStr"/>
      <c r="F2100" s="9" t="inlineStr">
        <is>
          <t>PCM: power control module</t>
        </is>
      </c>
      <c r="G2100" s="9" t="inlineStr"/>
      <c r="H2100" s="9" t="inlineStr">
        <is>
          <t>CONDITIONAL: BESS black-start alternative</t>
        </is>
      </c>
      <c r="I2100" s="9" t="inlineStr">
        <is>
          <t>Instrumentation</t>
        </is>
      </c>
      <c r="J2100" s="9" t="inlineStr">
        <is>
          <t>Instrumentation PLTC / TC-ER 300 V, #18 twisted shielded pairs, overall shield</t>
        </is>
      </c>
      <c r="K2100" s="9" t="inlineStr">
        <is>
          <t>PLTC|4 pr|18</t>
        </is>
      </c>
      <c r="L2100" s="9" t="inlineStr">
        <is>
          <t>4 pr</t>
        </is>
      </c>
      <c r="M2100" s="9" t="inlineStr">
        <is>
          <t>18</t>
        </is>
      </c>
      <c r="N2100" s="9" t="n">
        <v>1</v>
      </c>
      <c r="O2100" s="9" t="n">
        <v>1</v>
      </c>
      <c r="P2100" s="9" t="n"/>
      <c r="Q2100" s="9" t="n"/>
      <c r="R2100" s="9" t="n"/>
      <c r="S2100" s="9" t="inlineStr">
        <is>
          <t>Duct bank</t>
        </is>
      </c>
      <c r="T2100" s="10" t="n">
        <v>550</v>
      </c>
      <c r="U2100" s="10" t="n">
        <v>32</v>
      </c>
      <c r="V2100" s="10">
        <f>ROUNDUP((T2100+U2100+2*'Read Me'!$B$13)*(1+'Read Me'!$B$12),-1)</f>
        <v/>
      </c>
      <c r="W2100" s="10">
        <f>V2100*N2100*O2100</f>
        <v/>
      </c>
      <c r="X2100" s="9">
        <f>IF(LEFT(I2100,2)="MV",2*N2100*IF(L2100="1/C",O2100,1),0)</f>
        <v/>
      </c>
      <c r="Y2100" s="9">
        <f>IF(OR(LEFT(K2100,4)="LVAX",LEFT(K2100,6)="MV15AX",LEFT(K2100,4)="CTAX",LEFT(K2100,2)="W|"),2*N2100*O2100,0)</f>
        <v/>
      </c>
      <c r="Z2100" s="9" t="inlineStr"/>
    </row>
    <row r="2101">
      <c r="A2101" s="9" t="inlineStr">
        <is>
          <t>I-I-0009</t>
        </is>
      </c>
      <c r="B2101" s="9" t="inlineStr">
        <is>
          <t>I</t>
        </is>
      </c>
      <c r="C2101" s="9" t="inlineStr">
        <is>
          <t>Modular / portable power</t>
        </is>
      </c>
      <c r="D2101" s="9" t="inlineStr">
        <is>
          <t>Thermocouples</t>
        </is>
      </c>
      <c r="E2101" s="9" t="inlineStr"/>
      <c r="F2101" s="9" t="inlineStr">
        <is>
          <t>PCM: power control module</t>
        </is>
      </c>
      <c r="G2101" s="9" t="inlineStr"/>
      <c r="H2101" s="9" t="inlineStr">
        <is>
          <t>CONDITIONAL: BESS black-start alternative</t>
        </is>
      </c>
      <c r="I2101" s="9" t="inlineStr">
        <is>
          <t>Instrumentation</t>
        </is>
      </c>
      <c r="J2101" s="9" t="inlineStr">
        <is>
          <t>Thermocouple extension KX, #16 shielded pairs, PLTC</t>
        </is>
      </c>
      <c r="K2101" s="9" t="inlineStr">
        <is>
          <t>TCX|12 pr|16</t>
        </is>
      </c>
      <c r="L2101" s="9" t="inlineStr">
        <is>
          <t>12 pr</t>
        </is>
      </c>
      <c r="M2101" s="9" t="inlineStr">
        <is>
          <t>16</t>
        </is>
      </c>
      <c r="N2101" s="9" t="n">
        <v>1</v>
      </c>
      <c r="O2101" s="9" t="n">
        <v>1</v>
      </c>
      <c r="P2101" s="9" t="n"/>
      <c r="Q2101" s="9" t="n"/>
      <c r="R2101" s="9" t="n"/>
      <c r="S2101" s="9" t="inlineStr">
        <is>
          <t>Duct bank</t>
        </is>
      </c>
      <c r="T2101" s="10" t="n">
        <v>550</v>
      </c>
      <c r="U2101" s="10" t="n">
        <v>32</v>
      </c>
      <c r="V2101" s="10">
        <f>ROUNDUP((T2101+U2101+2*'Read Me'!$B$13)*(1+'Read Me'!$B$12),-1)</f>
        <v/>
      </c>
      <c r="W2101" s="10">
        <f>V2101*N2101*O2101</f>
        <v/>
      </c>
      <c r="X2101" s="9">
        <f>IF(LEFT(I2101,2)="MV",2*N2101*IF(L2101="1/C",O2101,1),0)</f>
        <v/>
      </c>
      <c r="Y2101" s="9">
        <f>IF(OR(LEFT(K2101,4)="LVAX",LEFT(K2101,6)="MV15AX",LEFT(K2101,4)="CTAX",LEFT(K2101,2)="W|"),2*N2101*O2101,0)</f>
        <v/>
      </c>
      <c r="Z2101" s="9" t="inlineStr"/>
    </row>
    <row r="2102">
      <c r="A2102" s="9" t="inlineStr">
        <is>
          <t>I-I-0010</t>
        </is>
      </c>
      <c r="B2102" s="9" t="inlineStr">
        <is>
          <t>I</t>
        </is>
      </c>
      <c r="C2102" s="9" t="inlineStr">
        <is>
          <t>Modular / portable power</t>
        </is>
      </c>
      <c r="D2102" s="9" t="inlineStr">
        <is>
          <t>Thermocouples</t>
        </is>
      </c>
      <c r="E2102" s="9" t="inlineStr"/>
      <c r="F2102" s="9" t="inlineStr">
        <is>
          <t>PCM: power control module</t>
        </is>
      </c>
      <c r="G2102" s="9" t="inlineStr"/>
      <c r="H2102" s="9" t="inlineStr">
        <is>
          <t>CONDITIONAL: BESS black-start alternative</t>
        </is>
      </c>
      <c r="I2102" s="9" t="inlineStr">
        <is>
          <t>Instrumentation</t>
        </is>
      </c>
      <c r="J2102" s="9" t="inlineStr">
        <is>
          <t>Thermocouple extension KX, #16 shielded pairs, PLTC</t>
        </is>
      </c>
      <c r="K2102" s="9" t="inlineStr">
        <is>
          <t>TCX|12 pr|16</t>
        </is>
      </c>
      <c r="L2102" s="9" t="inlineStr">
        <is>
          <t>12 pr</t>
        </is>
      </c>
      <c r="M2102" s="9" t="inlineStr">
        <is>
          <t>16</t>
        </is>
      </c>
      <c r="N2102" s="9" t="n">
        <v>1</v>
      </c>
      <c r="O2102" s="9" t="n">
        <v>1</v>
      </c>
      <c r="P2102" s="9" t="n"/>
      <c r="Q2102" s="9" t="n"/>
      <c r="R2102" s="9" t="n"/>
      <c r="S2102" s="9" t="inlineStr">
        <is>
          <t>Duct bank</t>
        </is>
      </c>
      <c r="T2102" s="10" t="n">
        <v>550</v>
      </c>
      <c r="U2102" s="10" t="n">
        <v>32</v>
      </c>
      <c r="V2102" s="10">
        <f>ROUNDUP((T2102+U2102+2*'Read Me'!$B$13)*(1+'Read Me'!$B$12),-1)</f>
        <v/>
      </c>
      <c r="W2102" s="10">
        <f>V2102*N2102*O2102</f>
        <v/>
      </c>
      <c r="X2102" s="9">
        <f>IF(LEFT(I2102,2)="MV",2*N2102*IF(L2102="1/C",O2102,1),0)</f>
        <v/>
      </c>
      <c r="Y2102" s="9">
        <f>IF(OR(LEFT(K2102,4)="LVAX",LEFT(K2102,6)="MV15AX",LEFT(K2102,4)="CTAX",LEFT(K2102,2)="W|"),2*N2102*O2102,0)</f>
        <v/>
      </c>
      <c r="Z2102" s="9" t="inlineStr"/>
    </row>
    <row r="2103">
      <c r="A2103" s="9" t="inlineStr">
        <is>
          <t>I-I-0011</t>
        </is>
      </c>
      <c r="B2103" s="9" t="inlineStr">
        <is>
          <t>I</t>
        </is>
      </c>
      <c r="C2103" s="9" t="inlineStr">
        <is>
          <t>Modular / portable power</t>
        </is>
      </c>
      <c r="D2103" s="9" t="inlineStr">
        <is>
          <t>Instrumentation</t>
        </is>
      </c>
      <c r="E2103" s="9" t="inlineStr"/>
      <c r="F2103" s="9" t="inlineStr">
        <is>
          <t>PCM: power control module</t>
        </is>
      </c>
      <c r="G2103" s="9" t="inlineStr"/>
      <c r="H2103" s="9" t="inlineStr">
        <is>
          <t>CONDITIONAL: SC-1 inlet chiller / evaporative cooler</t>
        </is>
      </c>
      <c r="I2103" s="9" t="inlineStr">
        <is>
          <t>Instrumentation</t>
        </is>
      </c>
      <c r="J2103" s="9" t="inlineStr">
        <is>
          <t>Instrumentation PLTC / TC-ER 300 V, #18 twisted shielded pairs, overall shield</t>
        </is>
      </c>
      <c r="K2103" s="9" t="inlineStr">
        <is>
          <t>PLTC|4 pr|18</t>
        </is>
      </c>
      <c r="L2103" s="9" t="inlineStr">
        <is>
          <t>4 pr</t>
        </is>
      </c>
      <c r="M2103" s="9" t="inlineStr">
        <is>
          <t>18</t>
        </is>
      </c>
      <c r="N2103" s="9" t="n">
        <v>1</v>
      </c>
      <c r="O2103" s="9" t="n">
        <v>1</v>
      </c>
      <c r="P2103" s="9" t="n"/>
      <c r="Q2103" s="9" t="n"/>
      <c r="R2103" s="9" t="n"/>
      <c r="S2103" s="9" t="inlineStr">
        <is>
          <t>Duct bank</t>
        </is>
      </c>
      <c r="T2103" s="10" t="n">
        <v>40</v>
      </c>
      <c r="U2103" s="10" t="n">
        <v>52</v>
      </c>
      <c r="V2103" s="10">
        <f>ROUNDUP((T2103+U2103+2*'Read Me'!$B$13)*(1+'Read Me'!$B$12),-1)</f>
        <v/>
      </c>
      <c r="W2103" s="10">
        <f>V2103*N2103*O2103</f>
        <v/>
      </c>
      <c r="X2103" s="9">
        <f>IF(LEFT(I2103,2)="MV",2*N2103*IF(L2103="1/C",O2103,1),0)</f>
        <v/>
      </c>
      <c r="Y2103" s="9">
        <f>IF(OR(LEFT(K2103,4)="LVAX",LEFT(K2103,6)="MV15AX",LEFT(K2103,4)="CTAX",LEFT(K2103,2)="W|"),2*N2103*O2103,0)</f>
        <v/>
      </c>
      <c r="Z2103" s="9" t="inlineStr"/>
    </row>
    <row r="2104">
      <c r="A2104" s="9" t="inlineStr">
        <is>
          <t>I-I-0012</t>
        </is>
      </c>
      <c r="B2104" s="9" t="inlineStr">
        <is>
          <t>I</t>
        </is>
      </c>
      <c r="C2104" s="9" t="inlineStr">
        <is>
          <t>Modular / portable power</t>
        </is>
      </c>
      <c r="D2104" s="9" t="inlineStr">
        <is>
          <t>Thermocouples</t>
        </is>
      </c>
      <c r="E2104" s="9" t="inlineStr"/>
      <c r="F2104" s="9" t="inlineStr">
        <is>
          <t>PCM: power control module</t>
        </is>
      </c>
      <c r="G2104" s="9" t="inlineStr"/>
      <c r="H2104" s="9" t="inlineStr">
        <is>
          <t>CONDITIONAL: SC-1 inlet chiller / evaporative cooler</t>
        </is>
      </c>
      <c r="I2104" s="9" t="inlineStr">
        <is>
          <t>Instrumentation</t>
        </is>
      </c>
      <c r="J2104" s="9" t="inlineStr">
        <is>
          <t>Thermocouple extension KX, #16 shielded pairs, PLTC</t>
        </is>
      </c>
      <c r="K2104" s="9" t="inlineStr">
        <is>
          <t>TCX|12 pr|16</t>
        </is>
      </c>
      <c r="L2104" s="9" t="inlineStr">
        <is>
          <t>12 pr</t>
        </is>
      </c>
      <c r="M2104" s="9" t="inlineStr">
        <is>
          <t>16</t>
        </is>
      </c>
      <c r="N2104" s="9" t="n">
        <v>1</v>
      </c>
      <c r="O2104" s="9" t="n">
        <v>1</v>
      </c>
      <c r="P2104" s="9" t="n"/>
      <c r="Q2104" s="9" t="n"/>
      <c r="R2104" s="9" t="n"/>
      <c r="S2104" s="9" t="inlineStr">
        <is>
          <t>Duct bank</t>
        </is>
      </c>
      <c r="T2104" s="10" t="n">
        <v>40</v>
      </c>
      <c r="U2104" s="10" t="n">
        <v>52</v>
      </c>
      <c r="V2104" s="10">
        <f>ROUNDUP((T2104+U2104+2*'Read Me'!$B$13)*(1+'Read Me'!$B$12),-1)</f>
        <v/>
      </c>
      <c r="W2104" s="10">
        <f>V2104*N2104*O2104</f>
        <v/>
      </c>
      <c r="X2104" s="9">
        <f>IF(LEFT(I2104,2)="MV",2*N2104*IF(L2104="1/C",O2104,1),0)</f>
        <v/>
      </c>
      <c r="Y2104" s="9">
        <f>IF(OR(LEFT(K2104,4)="LVAX",LEFT(K2104,6)="MV15AX",LEFT(K2104,4)="CTAX",LEFT(K2104,2)="W|"),2*N2104*O2104,0)</f>
        <v/>
      </c>
      <c r="Z2104" s="9" t="inlineStr"/>
    </row>
    <row r="2105">
      <c r="A2105" s="9" t="inlineStr">
        <is>
          <t>I-I-0013</t>
        </is>
      </c>
      <c r="B2105" s="9" t="inlineStr">
        <is>
          <t>I</t>
        </is>
      </c>
      <c r="C2105" s="9" t="inlineStr">
        <is>
          <t>Modular / portable power</t>
        </is>
      </c>
      <c r="D2105" s="9" t="inlineStr">
        <is>
          <t>Thermocouples</t>
        </is>
      </c>
      <c r="E2105" s="9" t="inlineStr"/>
      <c r="F2105" s="9" t="inlineStr">
        <is>
          <t>PCM: power control module</t>
        </is>
      </c>
      <c r="G2105" s="9" t="inlineStr"/>
      <c r="H2105" s="9" t="inlineStr">
        <is>
          <t>CONDITIONAL: SC-1 inlet chiller / evaporative cooler</t>
        </is>
      </c>
      <c r="I2105" s="9" t="inlineStr">
        <is>
          <t>Instrumentation</t>
        </is>
      </c>
      <c r="J2105" s="9" t="inlineStr">
        <is>
          <t>Thermocouple extension KX, #16 shielded pairs, PLTC</t>
        </is>
      </c>
      <c r="K2105" s="9" t="inlineStr">
        <is>
          <t>TCX|12 pr|16</t>
        </is>
      </c>
      <c r="L2105" s="9" t="inlineStr">
        <is>
          <t>12 pr</t>
        </is>
      </c>
      <c r="M2105" s="9" t="inlineStr">
        <is>
          <t>16</t>
        </is>
      </c>
      <c r="N2105" s="9" t="n">
        <v>1</v>
      </c>
      <c r="O2105" s="9" t="n">
        <v>1</v>
      </c>
      <c r="P2105" s="9" t="n"/>
      <c r="Q2105" s="9" t="n"/>
      <c r="R2105" s="9" t="n"/>
      <c r="S2105" s="9" t="inlineStr">
        <is>
          <t>Duct bank</t>
        </is>
      </c>
      <c r="T2105" s="10" t="n">
        <v>40</v>
      </c>
      <c r="U2105" s="10" t="n">
        <v>52</v>
      </c>
      <c r="V2105" s="10">
        <f>ROUNDUP((T2105+U2105+2*'Read Me'!$B$13)*(1+'Read Me'!$B$12),-1)</f>
        <v/>
      </c>
      <c r="W2105" s="10">
        <f>V2105*N2105*O2105</f>
        <v/>
      </c>
      <c r="X2105" s="9">
        <f>IF(LEFT(I2105,2)="MV",2*N2105*IF(L2105="1/C",O2105,1),0)</f>
        <v/>
      </c>
      <c r="Y2105" s="9">
        <f>IF(OR(LEFT(K2105,4)="LVAX",LEFT(K2105,6)="MV15AX",LEFT(K2105,4)="CTAX",LEFT(K2105,2)="W|"),2*N2105*O2105,0)</f>
        <v/>
      </c>
      <c r="Z2105" s="9" t="inlineStr"/>
    </row>
    <row r="2106">
      <c r="A2106" s="9" t="inlineStr">
        <is>
          <t>I-I-0014</t>
        </is>
      </c>
      <c r="B2106" s="9" t="inlineStr">
        <is>
          <t>I</t>
        </is>
      </c>
      <c r="C2106" s="9" t="inlineStr">
        <is>
          <t>Modular / portable power</t>
        </is>
      </c>
      <c r="D2106" s="9" t="inlineStr">
        <is>
          <t>Instrumentation</t>
        </is>
      </c>
      <c r="E2106" s="9" t="inlineStr"/>
      <c r="F2106" s="9" t="inlineStr">
        <is>
          <t>PCM: power control module</t>
        </is>
      </c>
      <c r="G2106" s="9" t="inlineStr"/>
      <c r="H2106" s="9" t="inlineStr">
        <is>
          <t>CONDITIONAL: SC-2 inlet chiller / evaporative cooler</t>
        </is>
      </c>
      <c r="I2106" s="9" t="inlineStr">
        <is>
          <t>Instrumentation</t>
        </is>
      </c>
      <c r="J2106" s="9" t="inlineStr">
        <is>
          <t>Instrumentation PLTC / TC-ER 300 V, #18 twisted shielded pairs, overall shield</t>
        </is>
      </c>
      <c r="K2106" s="9" t="inlineStr">
        <is>
          <t>PLTC|4 pr|18</t>
        </is>
      </c>
      <c r="L2106" s="9" t="inlineStr">
        <is>
          <t>4 pr</t>
        </is>
      </c>
      <c r="M2106" s="9" t="inlineStr">
        <is>
          <t>18</t>
        </is>
      </c>
      <c r="N2106" s="9" t="n">
        <v>1</v>
      </c>
      <c r="O2106" s="9" t="n">
        <v>1</v>
      </c>
      <c r="P2106" s="9" t="n"/>
      <c r="Q2106" s="9" t="n"/>
      <c r="R2106" s="9" t="n"/>
      <c r="S2106" s="9" t="inlineStr">
        <is>
          <t>Duct bank</t>
        </is>
      </c>
      <c r="T2106" s="10" t="n">
        <v>1050</v>
      </c>
      <c r="U2106" s="10" t="n">
        <v>119</v>
      </c>
      <c r="V2106" s="10">
        <f>ROUNDUP((T2106+U2106+2*'Read Me'!$B$13)*(1+'Read Me'!$B$12),-1)</f>
        <v/>
      </c>
      <c r="W2106" s="10">
        <f>V2106*N2106*O2106</f>
        <v/>
      </c>
      <c r="X2106" s="9">
        <f>IF(LEFT(I2106,2)="MV",2*N2106*IF(L2106="1/C",O2106,1),0)</f>
        <v/>
      </c>
      <c r="Y2106" s="9">
        <f>IF(OR(LEFT(K2106,4)="LVAX",LEFT(K2106,6)="MV15AX",LEFT(K2106,4)="CTAX",LEFT(K2106,2)="W|"),2*N2106*O2106,0)</f>
        <v/>
      </c>
      <c r="Z2106" s="9" t="inlineStr"/>
    </row>
    <row r="2107">
      <c r="A2107" s="9" t="inlineStr">
        <is>
          <t>I-I-0015</t>
        </is>
      </c>
      <c r="B2107" s="9" t="inlineStr">
        <is>
          <t>I</t>
        </is>
      </c>
      <c r="C2107" s="9" t="inlineStr">
        <is>
          <t>Modular / portable power</t>
        </is>
      </c>
      <c r="D2107" s="9" t="inlineStr">
        <is>
          <t>Thermocouples</t>
        </is>
      </c>
      <c r="E2107" s="9" t="inlineStr"/>
      <c r="F2107" s="9" t="inlineStr">
        <is>
          <t>PCM: power control module</t>
        </is>
      </c>
      <c r="G2107" s="9" t="inlineStr"/>
      <c r="H2107" s="9" t="inlineStr">
        <is>
          <t>CONDITIONAL: SC-2 inlet chiller / evaporative cooler</t>
        </is>
      </c>
      <c r="I2107" s="9" t="inlineStr">
        <is>
          <t>Instrumentation</t>
        </is>
      </c>
      <c r="J2107" s="9" t="inlineStr">
        <is>
          <t>Thermocouple extension KX, #16 shielded pairs, PLTC</t>
        </is>
      </c>
      <c r="K2107" s="9" t="inlineStr">
        <is>
          <t>TCX|12 pr|16</t>
        </is>
      </c>
      <c r="L2107" s="9" t="inlineStr">
        <is>
          <t>12 pr</t>
        </is>
      </c>
      <c r="M2107" s="9" t="inlineStr">
        <is>
          <t>16</t>
        </is>
      </c>
      <c r="N2107" s="9" t="n">
        <v>1</v>
      </c>
      <c r="O2107" s="9" t="n">
        <v>1</v>
      </c>
      <c r="P2107" s="9" t="n"/>
      <c r="Q2107" s="9" t="n"/>
      <c r="R2107" s="9" t="n"/>
      <c r="S2107" s="9" t="inlineStr">
        <is>
          <t>Duct bank</t>
        </is>
      </c>
      <c r="T2107" s="10" t="n">
        <v>1050</v>
      </c>
      <c r="U2107" s="10" t="n">
        <v>119</v>
      </c>
      <c r="V2107" s="10">
        <f>ROUNDUP((T2107+U2107+2*'Read Me'!$B$13)*(1+'Read Me'!$B$12),-1)</f>
        <v/>
      </c>
      <c r="W2107" s="10">
        <f>V2107*N2107*O2107</f>
        <v/>
      </c>
      <c r="X2107" s="9">
        <f>IF(LEFT(I2107,2)="MV",2*N2107*IF(L2107="1/C",O2107,1),0)</f>
        <v/>
      </c>
      <c r="Y2107" s="9">
        <f>IF(OR(LEFT(K2107,4)="LVAX",LEFT(K2107,6)="MV15AX",LEFT(K2107,4)="CTAX",LEFT(K2107,2)="W|"),2*N2107*O2107,0)</f>
        <v/>
      </c>
      <c r="Z2107" s="9" t="inlineStr"/>
    </row>
    <row r="2108">
      <c r="A2108" s="9" t="inlineStr">
        <is>
          <t>I-I-0016</t>
        </is>
      </c>
      <c r="B2108" s="9" t="inlineStr">
        <is>
          <t>I</t>
        </is>
      </c>
      <c r="C2108" s="9" t="inlineStr">
        <is>
          <t>Modular / portable power</t>
        </is>
      </c>
      <c r="D2108" s="9" t="inlineStr">
        <is>
          <t>Thermocouples</t>
        </is>
      </c>
      <c r="E2108" s="9" t="inlineStr"/>
      <c r="F2108" s="9" t="inlineStr">
        <is>
          <t>PCM: power control module</t>
        </is>
      </c>
      <c r="G2108" s="9" t="inlineStr"/>
      <c r="H2108" s="9" t="inlineStr">
        <is>
          <t>CONDITIONAL: SC-2 inlet chiller / evaporative cooler</t>
        </is>
      </c>
      <c r="I2108" s="9" t="inlineStr">
        <is>
          <t>Instrumentation</t>
        </is>
      </c>
      <c r="J2108" s="9" t="inlineStr">
        <is>
          <t>Thermocouple extension KX, #16 shielded pairs, PLTC</t>
        </is>
      </c>
      <c r="K2108" s="9" t="inlineStr">
        <is>
          <t>TCX|12 pr|16</t>
        </is>
      </c>
      <c r="L2108" s="9" t="inlineStr">
        <is>
          <t>12 pr</t>
        </is>
      </c>
      <c r="M2108" s="9" t="inlineStr">
        <is>
          <t>16</t>
        </is>
      </c>
      <c r="N2108" s="9" t="n">
        <v>1</v>
      </c>
      <c r="O2108" s="9" t="n">
        <v>1</v>
      </c>
      <c r="P2108" s="9" t="n"/>
      <c r="Q2108" s="9" t="n"/>
      <c r="R2108" s="9" t="n"/>
      <c r="S2108" s="9" t="inlineStr">
        <is>
          <t>Duct bank</t>
        </is>
      </c>
      <c r="T2108" s="10" t="n">
        <v>1050</v>
      </c>
      <c r="U2108" s="10" t="n">
        <v>119</v>
      </c>
      <c r="V2108" s="10">
        <f>ROUNDUP((T2108+U2108+2*'Read Me'!$B$13)*(1+'Read Me'!$B$12),-1)</f>
        <v/>
      </c>
      <c r="W2108" s="10">
        <f>V2108*N2108*O2108</f>
        <v/>
      </c>
      <c r="X2108" s="9">
        <f>IF(LEFT(I2108,2)="MV",2*N2108*IF(L2108="1/C",O2108,1),0)</f>
        <v/>
      </c>
      <c r="Y2108" s="9">
        <f>IF(OR(LEFT(K2108,4)="LVAX",LEFT(K2108,6)="MV15AX",LEFT(K2108,4)="CTAX",LEFT(K2108,2)="W|"),2*N2108*O2108,0)</f>
        <v/>
      </c>
      <c r="Z2108" s="9" t="inlineStr"/>
    </row>
    <row r="2109">
      <c r="A2109" s="9" t="inlineStr">
        <is>
          <t>I-I-0017</t>
        </is>
      </c>
      <c r="B2109" s="9" t="inlineStr">
        <is>
          <t>I</t>
        </is>
      </c>
      <c r="C2109" s="9" t="inlineStr">
        <is>
          <t>Modular / portable power</t>
        </is>
      </c>
      <c r="D2109" s="9" t="inlineStr">
        <is>
          <t>Instrumentation</t>
        </is>
      </c>
      <c r="E2109" s="9" t="inlineStr">
        <is>
          <t>PAD-EH</t>
        </is>
      </c>
      <c r="F2109" s="9" t="inlineStr">
        <is>
          <t>PAD-EH 13.8 kV switchgear e-house</t>
        </is>
      </c>
      <c r="G2109" s="9" t="inlineStr">
        <is>
          <t>CONT-1</t>
        </is>
      </c>
      <c r="H2109" s="9" t="inlineStr">
        <is>
          <t>CONT-1: containerized genset 13.8 kV (40 ft)</t>
        </is>
      </c>
      <c r="I2109" s="9" t="inlineStr">
        <is>
          <t>Instrumentation</t>
        </is>
      </c>
      <c r="J2109" s="9" t="inlineStr">
        <is>
          <t>Instrumentation PLTC / TC-ER 300 V, #18 twisted shielded pairs, overall shield</t>
        </is>
      </c>
      <c r="K2109" s="9" t="inlineStr">
        <is>
          <t>PLTC|4 pr|18</t>
        </is>
      </c>
      <c r="L2109" s="9" t="inlineStr">
        <is>
          <t>4 pr</t>
        </is>
      </c>
      <c r="M2109" s="9" t="inlineStr">
        <is>
          <t>18</t>
        </is>
      </c>
      <c r="N2109" s="9" t="n">
        <v>1</v>
      </c>
      <c r="O2109" s="9" t="n">
        <v>1</v>
      </c>
      <c r="P2109" s="9" t="n"/>
      <c r="Q2109" s="9" t="n"/>
      <c r="R2109" s="9" t="n"/>
      <c r="S2109" s="9" t="inlineStr">
        <is>
          <t>Surface</t>
        </is>
      </c>
      <c r="T2109" s="10" t="n">
        <v>380</v>
      </c>
      <c r="U2109" s="10" t="n">
        <v>27</v>
      </c>
      <c r="V2109" s="10">
        <f>ROUNDUP((T2109+U2109+2*'Read Me'!$B$13)*(1+'Read Me'!$B$12),-1)</f>
        <v/>
      </c>
      <c r="W2109" s="10">
        <f>V2109*N2109*O2109</f>
        <v/>
      </c>
      <c r="X2109" s="9">
        <f>IF(LEFT(I2109,2)="MV",2*N2109*IF(L2109="1/C",O2109,1),0)</f>
        <v/>
      </c>
      <c r="Y2109" s="9">
        <f>IF(OR(LEFT(K2109,4)="LVAX",LEFT(K2109,6)="MV15AX",LEFT(K2109,4)="CTAX",LEFT(K2109,2)="W|"),2*N2109*O2109,0)</f>
        <v/>
      </c>
      <c r="Z2109" s="9" t="inlineStr"/>
    </row>
    <row r="2110">
      <c r="A2110" s="9" t="inlineStr">
        <is>
          <t>I-I-0018</t>
        </is>
      </c>
      <c r="B2110" s="9" t="inlineStr">
        <is>
          <t>I</t>
        </is>
      </c>
      <c r="C2110" s="9" t="inlineStr">
        <is>
          <t>Modular / portable power</t>
        </is>
      </c>
      <c r="D2110" s="9" t="inlineStr">
        <is>
          <t>Thermocouples</t>
        </is>
      </c>
      <c r="E2110" s="9" t="inlineStr">
        <is>
          <t>PAD-EH</t>
        </is>
      </c>
      <c r="F2110" s="9" t="inlineStr">
        <is>
          <t>PAD-EH 13.8 kV switchgear e-house</t>
        </is>
      </c>
      <c r="G2110" s="9" t="inlineStr">
        <is>
          <t>CONT-1</t>
        </is>
      </c>
      <c r="H2110" s="9" t="inlineStr">
        <is>
          <t>CONT-1: containerized genset 13.8 kV (40 ft)</t>
        </is>
      </c>
      <c r="I2110" s="9" t="inlineStr">
        <is>
          <t>Instrumentation</t>
        </is>
      </c>
      <c r="J2110" s="9" t="inlineStr">
        <is>
          <t>Thermocouple extension KX, #16 shielded pairs, PLTC</t>
        </is>
      </c>
      <c r="K2110" s="9" t="inlineStr">
        <is>
          <t>TCX|12 pr|16</t>
        </is>
      </c>
      <c r="L2110" s="9" t="inlineStr">
        <is>
          <t>12 pr</t>
        </is>
      </c>
      <c r="M2110" s="9" t="inlineStr">
        <is>
          <t>16</t>
        </is>
      </c>
      <c r="N2110" s="9" t="n">
        <v>1</v>
      </c>
      <c r="O2110" s="9" t="n">
        <v>1</v>
      </c>
      <c r="P2110" s="9" t="n"/>
      <c r="Q2110" s="9" t="n"/>
      <c r="R2110" s="9" t="n"/>
      <c r="S2110" s="9" t="inlineStr">
        <is>
          <t>Surface</t>
        </is>
      </c>
      <c r="T2110" s="10" t="n">
        <v>380</v>
      </c>
      <c r="U2110" s="10" t="n">
        <v>27</v>
      </c>
      <c r="V2110" s="10">
        <f>ROUNDUP((T2110+U2110+2*'Read Me'!$B$13)*(1+'Read Me'!$B$12),-1)</f>
        <v/>
      </c>
      <c r="W2110" s="10">
        <f>V2110*N2110*O2110</f>
        <v/>
      </c>
      <c r="X2110" s="9">
        <f>IF(LEFT(I2110,2)="MV",2*N2110*IF(L2110="1/C",O2110,1),0)</f>
        <v/>
      </c>
      <c r="Y2110" s="9">
        <f>IF(OR(LEFT(K2110,4)="LVAX",LEFT(K2110,6)="MV15AX",LEFT(K2110,4)="CTAX",LEFT(K2110,2)="W|"),2*N2110*O2110,0)</f>
        <v/>
      </c>
      <c r="Z2110" s="9" t="inlineStr"/>
    </row>
    <row r="2111">
      <c r="A2111" s="9" t="inlineStr">
        <is>
          <t>I-I-0019</t>
        </is>
      </c>
      <c r="B2111" s="9" t="inlineStr">
        <is>
          <t>I</t>
        </is>
      </c>
      <c r="C2111" s="9" t="inlineStr">
        <is>
          <t>Modular / portable power</t>
        </is>
      </c>
      <c r="D2111" s="9" t="inlineStr">
        <is>
          <t>Thermocouples</t>
        </is>
      </c>
      <c r="E2111" s="9" t="inlineStr">
        <is>
          <t>PAD-EH</t>
        </is>
      </c>
      <c r="F2111" s="9" t="inlineStr">
        <is>
          <t>PAD-EH 13.8 kV switchgear e-house</t>
        </is>
      </c>
      <c r="G2111" s="9" t="inlineStr">
        <is>
          <t>CONT-1</t>
        </is>
      </c>
      <c r="H2111" s="9" t="inlineStr">
        <is>
          <t>CONT-1: containerized genset 13.8 kV (40 ft)</t>
        </is>
      </c>
      <c r="I2111" s="9" t="inlineStr">
        <is>
          <t>Instrumentation</t>
        </is>
      </c>
      <c r="J2111" s="9" t="inlineStr">
        <is>
          <t>Thermocouple extension KX, #16 shielded pairs, PLTC</t>
        </is>
      </c>
      <c r="K2111" s="9" t="inlineStr">
        <is>
          <t>TCX|12 pr|16</t>
        </is>
      </c>
      <c r="L2111" s="9" t="inlineStr">
        <is>
          <t>12 pr</t>
        </is>
      </c>
      <c r="M2111" s="9" t="inlineStr">
        <is>
          <t>16</t>
        </is>
      </c>
      <c r="N2111" s="9" t="n">
        <v>1</v>
      </c>
      <c r="O2111" s="9" t="n">
        <v>1</v>
      </c>
      <c r="P2111" s="9" t="n"/>
      <c r="Q2111" s="9" t="n"/>
      <c r="R2111" s="9" t="n"/>
      <c r="S2111" s="9" t="inlineStr">
        <is>
          <t>Surface</t>
        </is>
      </c>
      <c r="T2111" s="10" t="n">
        <v>380</v>
      </c>
      <c r="U2111" s="10" t="n">
        <v>27</v>
      </c>
      <c r="V2111" s="10">
        <f>ROUNDUP((T2111+U2111+2*'Read Me'!$B$13)*(1+'Read Me'!$B$12),-1)</f>
        <v/>
      </c>
      <c r="W2111" s="10">
        <f>V2111*N2111*O2111</f>
        <v/>
      </c>
      <c r="X2111" s="9">
        <f>IF(LEFT(I2111,2)="MV",2*N2111*IF(L2111="1/C",O2111,1),0)</f>
        <v/>
      </c>
      <c r="Y2111" s="9">
        <f>IF(OR(LEFT(K2111,4)="LVAX",LEFT(K2111,6)="MV15AX",LEFT(K2111,4)="CTAX",LEFT(K2111,2)="W|"),2*N2111*O2111,0)</f>
        <v/>
      </c>
      <c r="Z2111" s="9" t="inlineStr"/>
    </row>
    <row r="2112">
      <c r="A2112" s="9" t="inlineStr">
        <is>
          <t>I-I-0020</t>
        </is>
      </c>
      <c r="B2112" s="9" t="inlineStr">
        <is>
          <t>I</t>
        </is>
      </c>
      <c r="C2112" s="9" t="inlineStr">
        <is>
          <t>Modular / portable power</t>
        </is>
      </c>
      <c r="D2112" s="9" t="inlineStr">
        <is>
          <t>Instrumentation</t>
        </is>
      </c>
      <c r="E2112" s="9" t="inlineStr">
        <is>
          <t>PAD-EH</t>
        </is>
      </c>
      <c r="F2112" s="9" t="inlineStr">
        <is>
          <t>PAD-EH 13.8 kV switchgear e-house</t>
        </is>
      </c>
      <c r="G2112" s="9" t="inlineStr">
        <is>
          <t>CONT-2</t>
        </is>
      </c>
      <c r="H2112" s="9" t="inlineStr">
        <is>
          <t>CONT-2: containerized genset 13.8 kV (40 ft)</t>
        </is>
      </c>
      <c r="I2112" s="9" t="inlineStr">
        <is>
          <t>Instrumentation</t>
        </is>
      </c>
      <c r="J2112" s="9" t="inlineStr">
        <is>
          <t>Instrumentation PLTC / TC-ER 300 V, #18 twisted shielded pairs, overall shield</t>
        </is>
      </c>
      <c r="K2112" s="9" t="inlineStr">
        <is>
          <t>PLTC|4 pr|18</t>
        </is>
      </c>
      <c r="L2112" s="9" t="inlineStr">
        <is>
          <t>4 pr</t>
        </is>
      </c>
      <c r="M2112" s="9" t="inlineStr">
        <is>
          <t>18</t>
        </is>
      </c>
      <c r="N2112" s="9" t="n">
        <v>1</v>
      </c>
      <c r="O2112" s="9" t="n">
        <v>1</v>
      </c>
      <c r="P2112" s="9" t="n"/>
      <c r="Q2112" s="9" t="n"/>
      <c r="R2112" s="9" t="n"/>
      <c r="S2112" s="9" t="inlineStr">
        <is>
          <t>Surface</t>
        </is>
      </c>
      <c r="T2112" s="10" t="n">
        <v>380</v>
      </c>
      <c r="U2112" s="10" t="n">
        <v>54</v>
      </c>
      <c r="V2112" s="10">
        <f>ROUNDUP((T2112+U2112+2*'Read Me'!$B$13)*(1+'Read Me'!$B$12),-1)</f>
        <v/>
      </c>
      <c r="W2112" s="10">
        <f>V2112*N2112*O2112</f>
        <v/>
      </c>
      <c r="X2112" s="9">
        <f>IF(LEFT(I2112,2)="MV",2*N2112*IF(L2112="1/C",O2112,1),0)</f>
        <v/>
      </c>
      <c r="Y2112" s="9">
        <f>IF(OR(LEFT(K2112,4)="LVAX",LEFT(K2112,6)="MV15AX",LEFT(K2112,4)="CTAX",LEFT(K2112,2)="W|"),2*N2112*O2112,0)</f>
        <v/>
      </c>
      <c r="Z2112" s="9" t="inlineStr"/>
    </row>
    <row r="2113">
      <c r="A2113" s="9" t="inlineStr">
        <is>
          <t>I-I-0021</t>
        </is>
      </c>
      <c r="B2113" s="9" t="inlineStr">
        <is>
          <t>I</t>
        </is>
      </c>
      <c r="C2113" s="9" t="inlineStr">
        <is>
          <t>Modular / portable power</t>
        </is>
      </c>
      <c r="D2113" s="9" t="inlineStr">
        <is>
          <t>Thermocouples</t>
        </is>
      </c>
      <c r="E2113" s="9" t="inlineStr">
        <is>
          <t>PAD-EH</t>
        </is>
      </c>
      <c r="F2113" s="9" t="inlineStr">
        <is>
          <t>PAD-EH 13.8 kV switchgear e-house</t>
        </is>
      </c>
      <c r="G2113" s="9" t="inlineStr">
        <is>
          <t>CONT-2</t>
        </is>
      </c>
      <c r="H2113" s="9" t="inlineStr">
        <is>
          <t>CONT-2: containerized genset 13.8 kV (40 ft)</t>
        </is>
      </c>
      <c r="I2113" s="9" t="inlineStr">
        <is>
          <t>Instrumentation</t>
        </is>
      </c>
      <c r="J2113" s="9" t="inlineStr">
        <is>
          <t>Thermocouple extension KX, #16 shielded pairs, PLTC</t>
        </is>
      </c>
      <c r="K2113" s="9" t="inlineStr">
        <is>
          <t>TCX|12 pr|16</t>
        </is>
      </c>
      <c r="L2113" s="9" t="inlineStr">
        <is>
          <t>12 pr</t>
        </is>
      </c>
      <c r="M2113" s="9" t="inlineStr">
        <is>
          <t>16</t>
        </is>
      </c>
      <c r="N2113" s="9" t="n">
        <v>1</v>
      </c>
      <c r="O2113" s="9" t="n">
        <v>1</v>
      </c>
      <c r="P2113" s="9" t="n"/>
      <c r="Q2113" s="9" t="n"/>
      <c r="R2113" s="9" t="n"/>
      <c r="S2113" s="9" t="inlineStr">
        <is>
          <t>Surface</t>
        </is>
      </c>
      <c r="T2113" s="10" t="n">
        <v>380</v>
      </c>
      <c r="U2113" s="10" t="n">
        <v>54</v>
      </c>
      <c r="V2113" s="10">
        <f>ROUNDUP((T2113+U2113+2*'Read Me'!$B$13)*(1+'Read Me'!$B$12),-1)</f>
        <v/>
      </c>
      <c r="W2113" s="10">
        <f>V2113*N2113*O2113</f>
        <v/>
      </c>
      <c r="X2113" s="9">
        <f>IF(LEFT(I2113,2)="MV",2*N2113*IF(L2113="1/C",O2113,1),0)</f>
        <v/>
      </c>
      <c r="Y2113" s="9">
        <f>IF(OR(LEFT(K2113,4)="LVAX",LEFT(K2113,6)="MV15AX",LEFT(K2113,4)="CTAX",LEFT(K2113,2)="W|"),2*N2113*O2113,0)</f>
        <v/>
      </c>
      <c r="Z2113" s="9" t="inlineStr"/>
    </row>
    <row r="2114">
      <c r="A2114" s="9" t="inlineStr">
        <is>
          <t>I-I-0022</t>
        </is>
      </c>
      <c r="B2114" s="9" t="inlineStr">
        <is>
          <t>I</t>
        </is>
      </c>
      <c r="C2114" s="9" t="inlineStr">
        <is>
          <t>Modular / portable power</t>
        </is>
      </c>
      <c r="D2114" s="9" t="inlineStr">
        <is>
          <t>Thermocouples</t>
        </is>
      </c>
      <c r="E2114" s="9" t="inlineStr">
        <is>
          <t>PAD-EH</t>
        </is>
      </c>
      <c r="F2114" s="9" t="inlineStr">
        <is>
          <t>PAD-EH 13.8 kV switchgear e-house</t>
        </is>
      </c>
      <c r="G2114" s="9" t="inlineStr">
        <is>
          <t>CONT-2</t>
        </is>
      </c>
      <c r="H2114" s="9" t="inlineStr">
        <is>
          <t>CONT-2: containerized genset 13.8 kV (40 ft)</t>
        </is>
      </c>
      <c r="I2114" s="9" t="inlineStr">
        <is>
          <t>Instrumentation</t>
        </is>
      </c>
      <c r="J2114" s="9" t="inlineStr">
        <is>
          <t>Thermocouple extension KX, #16 shielded pairs, PLTC</t>
        </is>
      </c>
      <c r="K2114" s="9" t="inlineStr">
        <is>
          <t>TCX|12 pr|16</t>
        </is>
      </c>
      <c r="L2114" s="9" t="inlineStr">
        <is>
          <t>12 pr</t>
        </is>
      </c>
      <c r="M2114" s="9" t="inlineStr">
        <is>
          <t>16</t>
        </is>
      </c>
      <c r="N2114" s="9" t="n">
        <v>1</v>
      </c>
      <c r="O2114" s="9" t="n">
        <v>1</v>
      </c>
      <c r="P2114" s="9" t="n"/>
      <c r="Q2114" s="9" t="n"/>
      <c r="R2114" s="9" t="n"/>
      <c r="S2114" s="9" t="inlineStr">
        <is>
          <t>Surface</t>
        </is>
      </c>
      <c r="T2114" s="10" t="n">
        <v>380</v>
      </c>
      <c r="U2114" s="10" t="n">
        <v>54</v>
      </c>
      <c r="V2114" s="10">
        <f>ROUNDUP((T2114+U2114+2*'Read Me'!$B$13)*(1+'Read Me'!$B$12),-1)</f>
        <v/>
      </c>
      <c r="W2114" s="10">
        <f>V2114*N2114*O2114</f>
        <v/>
      </c>
      <c r="X2114" s="9">
        <f>IF(LEFT(I2114,2)="MV",2*N2114*IF(L2114="1/C",O2114,1),0)</f>
        <v/>
      </c>
      <c r="Y2114" s="9">
        <f>IF(OR(LEFT(K2114,4)="LVAX",LEFT(K2114,6)="MV15AX",LEFT(K2114,4)="CTAX",LEFT(K2114,2)="W|"),2*N2114*O2114,0)</f>
        <v/>
      </c>
      <c r="Z2114" s="9" t="inlineStr"/>
    </row>
    <row r="2115">
      <c r="A2115" s="9" t="inlineStr">
        <is>
          <t>I-I-0023</t>
        </is>
      </c>
      <c r="B2115" s="9" t="inlineStr">
        <is>
          <t>I</t>
        </is>
      </c>
      <c r="C2115" s="9" t="inlineStr">
        <is>
          <t>Modular / portable power</t>
        </is>
      </c>
      <c r="D2115" s="9" t="inlineStr">
        <is>
          <t>Instrumentation</t>
        </is>
      </c>
      <c r="E2115" s="9" t="inlineStr">
        <is>
          <t>PAD-EH</t>
        </is>
      </c>
      <c r="F2115" s="9" t="inlineStr">
        <is>
          <t>PAD-EH 13.8 kV switchgear e-house</t>
        </is>
      </c>
      <c r="G2115" s="9" t="inlineStr">
        <is>
          <t>CONT-3</t>
        </is>
      </c>
      <c r="H2115" s="9" t="inlineStr">
        <is>
          <t>CONT-3: containerized gas genset 13.8 kV (40 ft)</t>
        </is>
      </c>
      <c r="I2115" s="9" t="inlineStr">
        <is>
          <t>Instrumentation</t>
        </is>
      </c>
      <c r="J2115" s="9" t="inlineStr">
        <is>
          <t>Instrumentation PLTC / TC-ER 300 V, #18 twisted shielded pairs, overall shield</t>
        </is>
      </c>
      <c r="K2115" s="9" t="inlineStr">
        <is>
          <t>PLTC|4 pr|18</t>
        </is>
      </c>
      <c r="L2115" s="9" t="inlineStr">
        <is>
          <t>4 pr</t>
        </is>
      </c>
      <c r="M2115" s="9" t="inlineStr">
        <is>
          <t>18</t>
        </is>
      </c>
      <c r="N2115" s="9" t="n">
        <v>1</v>
      </c>
      <c r="O2115" s="9" t="n">
        <v>1</v>
      </c>
      <c r="P2115" s="9" t="n"/>
      <c r="Q2115" s="9" t="n"/>
      <c r="R2115" s="9" t="n"/>
      <c r="S2115" s="9" t="inlineStr">
        <is>
          <t>Surface</t>
        </is>
      </c>
      <c r="T2115" s="10" t="n">
        <v>209</v>
      </c>
      <c r="U2115" s="10" t="n">
        <v>27</v>
      </c>
      <c r="V2115" s="10">
        <f>ROUNDUP((T2115+U2115+2*'Read Me'!$B$13)*(1+'Read Me'!$B$12),-1)</f>
        <v/>
      </c>
      <c r="W2115" s="10">
        <f>V2115*N2115*O2115</f>
        <v/>
      </c>
      <c r="X2115" s="9">
        <f>IF(LEFT(I2115,2)="MV",2*N2115*IF(L2115="1/C",O2115,1),0)</f>
        <v/>
      </c>
      <c r="Y2115" s="9">
        <f>IF(OR(LEFT(K2115,4)="LVAX",LEFT(K2115,6)="MV15AX",LEFT(K2115,4)="CTAX",LEFT(K2115,2)="W|"),2*N2115*O2115,0)</f>
        <v/>
      </c>
      <c r="Z2115" s="9" t="inlineStr"/>
    </row>
    <row r="2116">
      <c r="A2116" s="9" t="inlineStr">
        <is>
          <t>I-I-0024</t>
        </is>
      </c>
      <c r="B2116" s="9" t="inlineStr">
        <is>
          <t>I</t>
        </is>
      </c>
      <c r="C2116" s="9" t="inlineStr">
        <is>
          <t>Modular / portable power</t>
        </is>
      </c>
      <c r="D2116" s="9" t="inlineStr">
        <is>
          <t>Thermocouples</t>
        </is>
      </c>
      <c r="E2116" s="9" t="inlineStr">
        <is>
          <t>PAD-EH</t>
        </is>
      </c>
      <c r="F2116" s="9" t="inlineStr">
        <is>
          <t>PAD-EH 13.8 kV switchgear e-house</t>
        </is>
      </c>
      <c r="G2116" s="9" t="inlineStr">
        <is>
          <t>CONT-3</t>
        </is>
      </c>
      <c r="H2116" s="9" t="inlineStr">
        <is>
          <t>CONT-3: containerized gas genset 13.8 kV (40 ft)</t>
        </is>
      </c>
      <c r="I2116" s="9" t="inlineStr">
        <is>
          <t>Instrumentation</t>
        </is>
      </c>
      <c r="J2116" s="9" t="inlineStr">
        <is>
          <t>Thermocouple extension KX, #16 shielded pairs, PLTC</t>
        </is>
      </c>
      <c r="K2116" s="9" t="inlineStr">
        <is>
          <t>TCX|12 pr|16</t>
        </is>
      </c>
      <c r="L2116" s="9" t="inlineStr">
        <is>
          <t>12 pr</t>
        </is>
      </c>
      <c r="M2116" s="9" t="inlineStr">
        <is>
          <t>16</t>
        </is>
      </c>
      <c r="N2116" s="9" t="n">
        <v>1</v>
      </c>
      <c r="O2116" s="9" t="n">
        <v>1</v>
      </c>
      <c r="P2116" s="9" t="n"/>
      <c r="Q2116" s="9" t="n"/>
      <c r="R2116" s="9" t="n"/>
      <c r="S2116" s="9" t="inlineStr">
        <is>
          <t>Surface</t>
        </is>
      </c>
      <c r="T2116" s="10" t="n">
        <v>209</v>
      </c>
      <c r="U2116" s="10" t="n">
        <v>27</v>
      </c>
      <c r="V2116" s="10">
        <f>ROUNDUP((T2116+U2116+2*'Read Me'!$B$13)*(1+'Read Me'!$B$12),-1)</f>
        <v/>
      </c>
      <c r="W2116" s="10">
        <f>V2116*N2116*O2116</f>
        <v/>
      </c>
      <c r="X2116" s="9">
        <f>IF(LEFT(I2116,2)="MV",2*N2116*IF(L2116="1/C",O2116,1),0)</f>
        <v/>
      </c>
      <c r="Y2116" s="9">
        <f>IF(OR(LEFT(K2116,4)="LVAX",LEFT(K2116,6)="MV15AX",LEFT(K2116,4)="CTAX",LEFT(K2116,2)="W|"),2*N2116*O2116,0)</f>
        <v/>
      </c>
      <c r="Z2116" s="9" t="inlineStr"/>
    </row>
    <row r="2117">
      <c r="A2117" s="9" t="inlineStr">
        <is>
          <t>I-I-0025</t>
        </is>
      </c>
      <c r="B2117" s="9" t="inlineStr">
        <is>
          <t>I</t>
        </is>
      </c>
      <c r="C2117" s="9" t="inlineStr">
        <is>
          <t>Modular / portable power</t>
        </is>
      </c>
      <c r="D2117" s="9" t="inlineStr">
        <is>
          <t>Thermocouples</t>
        </is>
      </c>
      <c r="E2117" s="9" t="inlineStr">
        <is>
          <t>PAD-EH</t>
        </is>
      </c>
      <c r="F2117" s="9" t="inlineStr">
        <is>
          <t>PAD-EH 13.8 kV switchgear e-house</t>
        </is>
      </c>
      <c r="G2117" s="9" t="inlineStr">
        <is>
          <t>CONT-3</t>
        </is>
      </c>
      <c r="H2117" s="9" t="inlineStr">
        <is>
          <t>CONT-3: containerized gas genset 13.8 kV (40 ft)</t>
        </is>
      </c>
      <c r="I2117" s="9" t="inlineStr">
        <is>
          <t>Instrumentation</t>
        </is>
      </c>
      <c r="J2117" s="9" t="inlineStr">
        <is>
          <t>Thermocouple extension KX, #16 shielded pairs, PLTC</t>
        </is>
      </c>
      <c r="K2117" s="9" t="inlineStr">
        <is>
          <t>TCX|12 pr|16</t>
        </is>
      </c>
      <c r="L2117" s="9" t="inlineStr">
        <is>
          <t>12 pr</t>
        </is>
      </c>
      <c r="M2117" s="9" t="inlineStr">
        <is>
          <t>16</t>
        </is>
      </c>
      <c r="N2117" s="9" t="n">
        <v>1</v>
      </c>
      <c r="O2117" s="9" t="n">
        <v>1</v>
      </c>
      <c r="P2117" s="9" t="n"/>
      <c r="Q2117" s="9" t="n"/>
      <c r="R2117" s="9" t="n"/>
      <c r="S2117" s="9" t="inlineStr">
        <is>
          <t>Surface</t>
        </is>
      </c>
      <c r="T2117" s="10" t="n">
        <v>209</v>
      </c>
      <c r="U2117" s="10" t="n">
        <v>27</v>
      </c>
      <c r="V2117" s="10">
        <f>ROUNDUP((T2117+U2117+2*'Read Me'!$B$13)*(1+'Read Me'!$B$12),-1)</f>
        <v/>
      </c>
      <c r="W2117" s="10">
        <f>V2117*N2117*O2117</f>
        <v/>
      </c>
      <c r="X2117" s="9">
        <f>IF(LEFT(I2117,2)="MV",2*N2117*IF(L2117="1/C",O2117,1),0)</f>
        <v/>
      </c>
      <c r="Y2117" s="9">
        <f>IF(OR(LEFT(K2117,4)="LVAX",LEFT(K2117,6)="MV15AX",LEFT(K2117,4)="CTAX",LEFT(K2117,2)="W|"),2*N2117*O2117,0)</f>
        <v/>
      </c>
      <c r="Z2117" s="9" t="inlineStr"/>
    </row>
    <row r="2118">
      <c r="A2118" s="9" t="inlineStr">
        <is>
          <t>I-I-0026</t>
        </is>
      </c>
      <c r="B2118" s="9" t="inlineStr">
        <is>
          <t>I</t>
        </is>
      </c>
      <c r="C2118" s="9" t="inlineStr">
        <is>
          <t>Modular / portable power</t>
        </is>
      </c>
      <c r="D2118" s="9" t="inlineStr">
        <is>
          <t>Instrumentation</t>
        </is>
      </c>
      <c r="E2118" s="9" t="inlineStr">
        <is>
          <t>PAD-EH</t>
        </is>
      </c>
      <c r="F2118" s="9" t="inlineStr">
        <is>
          <t>PAD-EH 13.8 kV switchgear e-house</t>
        </is>
      </c>
      <c r="G2118" s="9" t="inlineStr">
        <is>
          <t>CONT-4</t>
        </is>
      </c>
      <c r="H2118" s="9" t="inlineStr">
        <is>
          <t>CONT-4: containerized gas genset 13.8 kV (40 ft)</t>
        </is>
      </c>
      <c r="I2118" s="9" t="inlineStr">
        <is>
          <t>Instrumentation</t>
        </is>
      </c>
      <c r="J2118" s="9" t="inlineStr">
        <is>
          <t>Instrumentation PLTC / TC-ER 300 V, #18 twisted shielded pairs, overall shield</t>
        </is>
      </c>
      <c r="K2118" s="9" t="inlineStr">
        <is>
          <t>PLTC|4 pr|18</t>
        </is>
      </c>
      <c r="L2118" s="9" t="inlineStr">
        <is>
          <t>4 pr</t>
        </is>
      </c>
      <c r="M2118" s="9" t="inlineStr">
        <is>
          <t>18</t>
        </is>
      </c>
      <c r="N2118" s="9" t="n">
        <v>1</v>
      </c>
      <c r="O2118" s="9" t="n">
        <v>1</v>
      </c>
      <c r="P2118" s="9" t="n"/>
      <c r="Q2118" s="9" t="n"/>
      <c r="R2118" s="9" t="n"/>
      <c r="S2118" s="9" t="inlineStr">
        <is>
          <t>Surface</t>
        </is>
      </c>
      <c r="T2118" s="10" t="n">
        <v>103</v>
      </c>
      <c r="U2118" s="10" t="n">
        <v>117</v>
      </c>
      <c r="V2118" s="10">
        <f>ROUNDUP((T2118+U2118+2*'Read Me'!$B$13)*(1+'Read Me'!$B$12),-1)</f>
        <v/>
      </c>
      <c r="W2118" s="10">
        <f>V2118*N2118*O2118</f>
        <v/>
      </c>
      <c r="X2118" s="9">
        <f>IF(LEFT(I2118,2)="MV",2*N2118*IF(L2118="1/C",O2118,1),0)</f>
        <v/>
      </c>
      <c r="Y2118" s="9">
        <f>IF(OR(LEFT(K2118,4)="LVAX",LEFT(K2118,6)="MV15AX",LEFT(K2118,4)="CTAX",LEFT(K2118,2)="W|"),2*N2118*O2118,0)</f>
        <v/>
      </c>
      <c r="Z2118" s="9" t="inlineStr"/>
    </row>
    <row r="2119">
      <c r="A2119" s="9" t="inlineStr">
        <is>
          <t>I-I-0027</t>
        </is>
      </c>
      <c r="B2119" s="9" t="inlineStr">
        <is>
          <t>I</t>
        </is>
      </c>
      <c r="C2119" s="9" t="inlineStr">
        <is>
          <t>Modular / portable power</t>
        </is>
      </c>
      <c r="D2119" s="9" t="inlineStr">
        <is>
          <t>Thermocouples</t>
        </is>
      </c>
      <c r="E2119" s="9" t="inlineStr">
        <is>
          <t>PAD-EH</t>
        </is>
      </c>
      <c r="F2119" s="9" t="inlineStr">
        <is>
          <t>PAD-EH 13.8 kV switchgear e-house</t>
        </is>
      </c>
      <c r="G2119" s="9" t="inlineStr">
        <is>
          <t>CONT-4</t>
        </is>
      </c>
      <c r="H2119" s="9" t="inlineStr">
        <is>
          <t>CONT-4: containerized gas genset 13.8 kV (40 ft)</t>
        </is>
      </c>
      <c r="I2119" s="9" t="inlineStr">
        <is>
          <t>Instrumentation</t>
        </is>
      </c>
      <c r="J2119" s="9" t="inlineStr">
        <is>
          <t>Thermocouple extension KX, #16 shielded pairs, PLTC</t>
        </is>
      </c>
      <c r="K2119" s="9" t="inlineStr">
        <is>
          <t>TCX|12 pr|16</t>
        </is>
      </c>
      <c r="L2119" s="9" t="inlineStr">
        <is>
          <t>12 pr</t>
        </is>
      </c>
      <c r="M2119" s="9" t="inlineStr">
        <is>
          <t>16</t>
        </is>
      </c>
      <c r="N2119" s="9" t="n">
        <v>1</v>
      </c>
      <c r="O2119" s="9" t="n">
        <v>1</v>
      </c>
      <c r="P2119" s="9" t="n"/>
      <c r="Q2119" s="9" t="n"/>
      <c r="R2119" s="9" t="n"/>
      <c r="S2119" s="9" t="inlineStr">
        <is>
          <t>Surface</t>
        </is>
      </c>
      <c r="T2119" s="10" t="n">
        <v>103</v>
      </c>
      <c r="U2119" s="10" t="n">
        <v>117</v>
      </c>
      <c r="V2119" s="10">
        <f>ROUNDUP((T2119+U2119+2*'Read Me'!$B$13)*(1+'Read Me'!$B$12),-1)</f>
        <v/>
      </c>
      <c r="W2119" s="10">
        <f>V2119*N2119*O2119</f>
        <v/>
      </c>
      <c r="X2119" s="9">
        <f>IF(LEFT(I2119,2)="MV",2*N2119*IF(L2119="1/C",O2119,1),0)</f>
        <v/>
      </c>
      <c r="Y2119" s="9">
        <f>IF(OR(LEFT(K2119,4)="LVAX",LEFT(K2119,6)="MV15AX",LEFT(K2119,4)="CTAX",LEFT(K2119,2)="W|"),2*N2119*O2119,0)</f>
        <v/>
      </c>
      <c r="Z2119" s="9" t="inlineStr"/>
    </row>
    <row r="2120">
      <c r="A2120" s="9" t="inlineStr">
        <is>
          <t>I-I-0028</t>
        </is>
      </c>
      <c r="B2120" s="9" t="inlineStr">
        <is>
          <t>I</t>
        </is>
      </c>
      <c r="C2120" s="9" t="inlineStr">
        <is>
          <t>Modular / portable power</t>
        </is>
      </c>
      <c r="D2120" s="9" t="inlineStr">
        <is>
          <t>Thermocouples</t>
        </is>
      </c>
      <c r="E2120" s="9" t="inlineStr">
        <is>
          <t>PAD-EH</t>
        </is>
      </c>
      <c r="F2120" s="9" t="inlineStr">
        <is>
          <t>PAD-EH 13.8 kV switchgear e-house</t>
        </is>
      </c>
      <c r="G2120" s="9" t="inlineStr">
        <is>
          <t>CONT-4</t>
        </is>
      </c>
      <c r="H2120" s="9" t="inlineStr">
        <is>
          <t>CONT-4: containerized gas genset 13.8 kV (40 ft)</t>
        </is>
      </c>
      <c r="I2120" s="9" t="inlineStr">
        <is>
          <t>Instrumentation</t>
        </is>
      </c>
      <c r="J2120" s="9" t="inlineStr">
        <is>
          <t>Thermocouple extension KX, #16 shielded pairs, PLTC</t>
        </is>
      </c>
      <c r="K2120" s="9" t="inlineStr">
        <is>
          <t>TCX|12 pr|16</t>
        </is>
      </c>
      <c r="L2120" s="9" t="inlineStr">
        <is>
          <t>12 pr</t>
        </is>
      </c>
      <c r="M2120" s="9" t="inlineStr">
        <is>
          <t>16</t>
        </is>
      </c>
      <c r="N2120" s="9" t="n">
        <v>1</v>
      </c>
      <c r="O2120" s="9" t="n">
        <v>1</v>
      </c>
      <c r="P2120" s="9" t="n"/>
      <c r="Q2120" s="9" t="n"/>
      <c r="R2120" s="9" t="n"/>
      <c r="S2120" s="9" t="inlineStr">
        <is>
          <t>Surface</t>
        </is>
      </c>
      <c r="T2120" s="10" t="n">
        <v>103</v>
      </c>
      <c r="U2120" s="10" t="n">
        <v>117</v>
      </c>
      <c r="V2120" s="10">
        <f>ROUNDUP((T2120+U2120+2*'Read Me'!$B$13)*(1+'Read Me'!$B$12),-1)</f>
        <v/>
      </c>
      <c r="W2120" s="10">
        <f>V2120*N2120*O2120</f>
        <v/>
      </c>
      <c r="X2120" s="9">
        <f>IF(LEFT(I2120,2)="MV",2*N2120*IF(L2120="1/C",O2120,1),0)</f>
        <v/>
      </c>
      <c r="Y2120" s="9">
        <f>IF(OR(LEFT(K2120,4)="LVAX",LEFT(K2120,6)="MV15AX",LEFT(K2120,4)="CTAX",LEFT(K2120,2)="W|"),2*N2120*O2120,0)</f>
        <v/>
      </c>
      <c r="Z2120" s="9" t="inlineStr"/>
    </row>
    <row r="2121">
      <c r="A2121" s="9" t="inlineStr">
        <is>
          <t>I-I-0029</t>
        </is>
      </c>
      <c r="B2121" s="9" t="inlineStr">
        <is>
          <t>I</t>
        </is>
      </c>
      <c r="C2121" s="9" t="inlineStr">
        <is>
          <t>Modular / portable power</t>
        </is>
      </c>
      <c r="D2121" s="9" t="inlineStr">
        <is>
          <t>Instrumentation</t>
        </is>
      </c>
      <c r="E2121" s="9" t="inlineStr">
        <is>
          <t>PAD-EH</t>
        </is>
      </c>
      <c r="F2121" s="9" t="inlineStr">
        <is>
          <t>PAD-EH 13.8 kV switchgear e-house</t>
        </is>
      </c>
      <c r="G2121" s="9" t="inlineStr">
        <is>
          <t>CONT-5</t>
        </is>
      </c>
      <c r="H2121" s="9" t="inlineStr">
        <is>
          <t>CONT-5: containerized gas genset 13.8 kV (40 ft)</t>
        </is>
      </c>
      <c r="I2121" s="9" t="inlineStr">
        <is>
          <t>Instrumentation</t>
        </is>
      </c>
      <c r="J2121" s="9" t="inlineStr">
        <is>
          <t>Instrumentation PLTC / TC-ER 300 V, #18 twisted shielded pairs, overall shield</t>
        </is>
      </c>
      <c r="K2121" s="9" t="inlineStr">
        <is>
          <t>PLTC|4 pr|18</t>
        </is>
      </c>
      <c r="L2121" s="9" t="inlineStr">
        <is>
          <t>4 pr</t>
        </is>
      </c>
      <c r="M2121" s="9" t="inlineStr">
        <is>
          <t>18</t>
        </is>
      </c>
      <c r="N2121" s="9" t="n">
        <v>1</v>
      </c>
      <c r="O2121" s="9" t="n">
        <v>1</v>
      </c>
      <c r="P2121" s="9" t="n"/>
      <c r="Q2121" s="9" t="n"/>
      <c r="R2121" s="9" t="n"/>
      <c r="S2121" s="9" t="inlineStr">
        <is>
          <t>Tray</t>
        </is>
      </c>
      <c r="T2121" s="10" t="n">
        <v>0</v>
      </c>
      <c r="U2121" s="10" t="n">
        <v>77</v>
      </c>
      <c r="V2121" s="10">
        <f>ROUNDUP((T2121+U2121+2*'Read Me'!$B$13)*(1+'Read Me'!$B$12),-1)</f>
        <v/>
      </c>
      <c r="W2121" s="10">
        <f>V2121*N2121*O2121</f>
        <v/>
      </c>
      <c r="X2121" s="9">
        <f>IF(LEFT(I2121,2)="MV",2*N2121*IF(L2121="1/C",O2121,1),0)</f>
        <v/>
      </c>
      <c r="Y2121" s="9">
        <f>IF(OR(LEFT(K2121,4)="LVAX",LEFT(K2121,6)="MV15AX",LEFT(K2121,4)="CTAX",LEFT(K2121,2)="W|"),2*N2121*O2121,0)</f>
        <v/>
      </c>
      <c r="Z2121" s="9" t="inlineStr"/>
    </row>
    <row r="2122">
      <c r="A2122" s="9" t="inlineStr">
        <is>
          <t>I-I-0030</t>
        </is>
      </c>
      <c r="B2122" s="9" t="inlineStr">
        <is>
          <t>I</t>
        </is>
      </c>
      <c r="C2122" s="9" t="inlineStr">
        <is>
          <t>Modular / portable power</t>
        </is>
      </c>
      <c r="D2122" s="9" t="inlineStr">
        <is>
          <t>Thermocouples</t>
        </is>
      </c>
      <c r="E2122" s="9" t="inlineStr">
        <is>
          <t>PAD-EH</t>
        </is>
      </c>
      <c r="F2122" s="9" t="inlineStr">
        <is>
          <t>PAD-EH 13.8 kV switchgear e-house</t>
        </is>
      </c>
      <c r="G2122" s="9" t="inlineStr">
        <is>
          <t>CONT-5</t>
        </is>
      </c>
      <c r="H2122" s="9" t="inlineStr">
        <is>
          <t>CONT-5: containerized gas genset 13.8 kV (40 ft)</t>
        </is>
      </c>
      <c r="I2122" s="9" t="inlineStr">
        <is>
          <t>Instrumentation</t>
        </is>
      </c>
      <c r="J2122" s="9" t="inlineStr">
        <is>
          <t>Thermocouple extension KX, #16 shielded pairs, PLTC</t>
        </is>
      </c>
      <c r="K2122" s="9" t="inlineStr">
        <is>
          <t>TCX|12 pr|16</t>
        </is>
      </c>
      <c r="L2122" s="9" t="inlineStr">
        <is>
          <t>12 pr</t>
        </is>
      </c>
      <c r="M2122" s="9" t="inlineStr">
        <is>
          <t>16</t>
        </is>
      </c>
      <c r="N2122" s="9" t="n">
        <v>1</v>
      </c>
      <c r="O2122" s="9" t="n">
        <v>1</v>
      </c>
      <c r="P2122" s="9" t="n"/>
      <c r="Q2122" s="9" t="n"/>
      <c r="R2122" s="9" t="n"/>
      <c r="S2122" s="9" t="inlineStr">
        <is>
          <t>Tray</t>
        </is>
      </c>
      <c r="T2122" s="10" t="n">
        <v>0</v>
      </c>
      <c r="U2122" s="10" t="n">
        <v>77</v>
      </c>
      <c r="V2122" s="10">
        <f>ROUNDUP((T2122+U2122+2*'Read Me'!$B$13)*(1+'Read Me'!$B$12),-1)</f>
        <v/>
      </c>
      <c r="W2122" s="10">
        <f>V2122*N2122*O2122</f>
        <v/>
      </c>
      <c r="X2122" s="9">
        <f>IF(LEFT(I2122,2)="MV",2*N2122*IF(L2122="1/C",O2122,1),0)</f>
        <v/>
      </c>
      <c r="Y2122" s="9">
        <f>IF(OR(LEFT(K2122,4)="LVAX",LEFT(K2122,6)="MV15AX",LEFT(K2122,4)="CTAX",LEFT(K2122,2)="W|"),2*N2122*O2122,0)</f>
        <v/>
      </c>
      <c r="Z2122" s="9" t="inlineStr"/>
    </row>
    <row r="2123">
      <c r="A2123" s="9" t="inlineStr">
        <is>
          <t>I-I-0031</t>
        </is>
      </c>
      <c r="B2123" s="9" t="inlineStr">
        <is>
          <t>I</t>
        </is>
      </c>
      <c r="C2123" s="9" t="inlineStr">
        <is>
          <t>Modular / portable power</t>
        </is>
      </c>
      <c r="D2123" s="9" t="inlineStr">
        <is>
          <t>Thermocouples</t>
        </is>
      </c>
      <c r="E2123" s="9" t="inlineStr">
        <is>
          <t>PAD-EH</t>
        </is>
      </c>
      <c r="F2123" s="9" t="inlineStr">
        <is>
          <t>PAD-EH 13.8 kV switchgear e-house</t>
        </is>
      </c>
      <c r="G2123" s="9" t="inlineStr">
        <is>
          <t>CONT-5</t>
        </is>
      </c>
      <c r="H2123" s="9" t="inlineStr">
        <is>
          <t>CONT-5: containerized gas genset 13.8 kV (40 ft)</t>
        </is>
      </c>
      <c r="I2123" s="9" t="inlineStr">
        <is>
          <t>Instrumentation</t>
        </is>
      </c>
      <c r="J2123" s="9" t="inlineStr">
        <is>
          <t>Thermocouple extension KX, #16 shielded pairs, PLTC</t>
        </is>
      </c>
      <c r="K2123" s="9" t="inlineStr">
        <is>
          <t>TCX|12 pr|16</t>
        </is>
      </c>
      <c r="L2123" s="9" t="inlineStr">
        <is>
          <t>12 pr</t>
        </is>
      </c>
      <c r="M2123" s="9" t="inlineStr">
        <is>
          <t>16</t>
        </is>
      </c>
      <c r="N2123" s="9" t="n">
        <v>1</v>
      </c>
      <c r="O2123" s="9" t="n">
        <v>1</v>
      </c>
      <c r="P2123" s="9" t="n"/>
      <c r="Q2123" s="9" t="n"/>
      <c r="R2123" s="9" t="n"/>
      <c r="S2123" s="9" t="inlineStr">
        <is>
          <t>Tray</t>
        </is>
      </c>
      <c r="T2123" s="10" t="n">
        <v>0</v>
      </c>
      <c r="U2123" s="10" t="n">
        <v>77</v>
      </c>
      <c r="V2123" s="10">
        <f>ROUNDUP((T2123+U2123+2*'Read Me'!$B$13)*(1+'Read Me'!$B$12),-1)</f>
        <v/>
      </c>
      <c r="W2123" s="10">
        <f>V2123*N2123*O2123</f>
        <v/>
      </c>
      <c r="X2123" s="9">
        <f>IF(LEFT(I2123,2)="MV",2*N2123*IF(L2123="1/C",O2123,1),0)</f>
        <v/>
      </c>
      <c r="Y2123" s="9">
        <f>IF(OR(LEFT(K2123,4)="LVAX",LEFT(K2123,6)="MV15AX",LEFT(K2123,4)="CTAX",LEFT(K2123,2)="W|"),2*N2123*O2123,0)</f>
        <v/>
      </c>
      <c r="Z2123" s="9" t="inlineStr"/>
    </row>
    <row r="2124">
      <c r="A2124" s="9" t="inlineStr">
        <is>
          <t>I-I-0032</t>
        </is>
      </c>
      <c r="B2124" s="9" t="inlineStr">
        <is>
          <t>I</t>
        </is>
      </c>
      <c r="C2124" s="9" t="inlineStr">
        <is>
          <t>Modular / portable power</t>
        </is>
      </c>
      <c r="D2124" s="9" t="inlineStr">
        <is>
          <t>Instrumentation</t>
        </is>
      </c>
      <c r="E2124" s="9" t="inlineStr">
        <is>
          <t>PAD-EH</t>
        </is>
      </c>
      <c r="F2124" s="9" t="inlineStr">
        <is>
          <t>PAD-EH 13.8 kV switchgear e-house</t>
        </is>
      </c>
      <c r="G2124" s="9" t="inlineStr">
        <is>
          <t>CONT-6</t>
        </is>
      </c>
      <c r="H2124" s="9" t="inlineStr">
        <is>
          <t>CONT-6: containerized gas genset 13.8 kV (40 ft)</t>
        </is>
      </c>
      <c r="I2124" s="9" t="inlineStr">
        <is>
          <t>Instrumentation</t>
        </is>
      </c>
      <c r="J2124" s="9" t="inlineStr">
        <is>
          <t>Instrumentation PLTC / TC-ER 300 V, #18 twisted shielded pairs, overall shield</t>
        </is>
      </c>
      <c r="K2124" s="9" t="inlineStr">
        <is>
          <t>PLTC|4 pr|18</t>
        </is>
      </c>
      <c r="L2124" s="9" t="inlineStr">
        <is>
          <t>4 pr</t>
        </is>
      </c>
      <c r="M2124" s="9" t="inlineStr">
        <is>
          <t>18</t>
        </is>
      </c>
      <c r="N2124" s="9" t="n">
        <v>1</v>
      </c>
      <c r="O2124" s="9" t="n">
        <v>1</v>
      </c>
      <c r="P2124" s="9" t="n"/>
      <c r="Q2124" s="9" t="n"/>
      <c r="R2124" s="9" t="n"/>
      <c r="S2124" s="9" t="inlineStr">
        <is>
          <t>Surface</t>
        </is>
      </c>
      <c r="T2124" s="10" t="n">
        <v>209</v>
      </c>
      <c r="U2124" s="10" t="n">
        <v>82</v>
      </c>
      <c r="V2124" s="10">
        <f>ROUNDUP((T2124+U2124+2*'Read Me'!$B$13)*(1+'Read Me'!$B$12),-1)</f>
        <v/>
      </c>
      <c r="W2124" s="10">
        <f>V2124*N2124*O2124</f>
        <v/>
      </c>
      <c r="X2124" s="9">
        <f>IF(LEFT(I2124,2)="MV",2*N2124*IF(L2124="1/C",O2124,1),0)</f>
        <v/>
      </c>
      <c r="Y2124" s="9">
        <f>IF(OR(LEFT(K2124,4)="LVAX",LEFT(K2124,6)="MV15AX",LEFT(K2124,4)="CTAX",LEFT(K2124,2)="W|"),2*N2124*O2124,0)</f>
        <v/>
      </c>
      <c r="Z2124" s="9" t="inlineStr"/>
    </row>
    <row r="2125">
      <c r="A2125" s="9" t="inlineStr">
        <is>
          <t>I-I-0033</t>
        </is>
      </c>
      <c r="B2125" s="9" t="inlineStr">
        <is>
          <t>I</t>
        </is>
      </c>
      <c r="C2125" s="9" t="inlineStr">
        <is>
          <t>Modular / portable power</t>
        </is>
      </c>
      <c r="D2125" s="9" t="inlineStr">
        <is>
          <t>Thermocouples</t>
        </is>
      </c>
      <c r="E2125" s="9" t="inlineStr">
        <is>
          <t>PAD-EH</t>
        </is>
      </c>
      <c r="F2125" s="9" t="inlineStr">
        <is>
          <t>PAD-EH 13.8 kV switchgear e-house</t>
        </is>
      </c>
      <c r="G2125" s="9" t="inlineStr">
        <is>
          <t>CONT-6</t>
        </is>
      </c>
      <c r="H2125" s="9" t="inlineStr">
        <is>
          <t>CONT-6: containerized gas genset 13.8 kV (40 ft)</t>
        </is>
      </c>
      <c r="I2125" s="9" t="inlineStr">
        <is>
          <t>Instrumentation</t>
        </is>
      </c>
      <c r="J2125" s="9" t="inlineStr">
        <is>
          <t>Thermocouple extension KX, #16 shielded pairs, PLTC</t>
        </is>
      </c>
      <c r="K2125" s="9" t="inlineStr">
        <is>
          <t>TCX|12 pr|16</t>
        </is>
      </c>
      <c r="L2125" s="9" t="inlineStr">
        <is>
          <t>12 pr</t>
        </is>
      </c>
      <c r="M2125" s="9" t="inlineStr">
        <is>
          <t>16</t>
        </is>
      </c>
      <c r="N2125" s="9" t="n">
        <v>1</v>
      </c>
      <c r="O2125" s="9" t="n">
        <v>1</v>
      </c>
      <c r="P2125" s="9" t="n"/>
      <c r="Q2125" s="9" t="n"/>
      <c r="R2125" s="9" t="n"/>
      <c r="S2125" s="9" t="inlineStr">
        <is>
          <t>Surface</t>
        </is>
      </c>
      <c r="T2125" s="10" t="n">
        <v>209</v>
      </c>
      <c r="U2125" s="10" t="n">
        <v>82</v>
      </c>
      <c r="V2125" s="10">
        <f>ROUNDUP((T2125+U2125+2*'Read Me'!$B$13)*(1+'Read Me'!$B$12),-1)</f>
        <v/>
      </c>
      <c r="W2125" s="10">
        <f>V2125*N2125*O2125</f>
        <v/>
      </c>
      <c r="X2125" s="9">
        <f>IF(LEFT(I2125,2)="MV",2*N2125*IF(L2125="1/C",O2125,1),0)</f>
        <v/>
      </c>
      <c r="Y2125" s="9">
        <f>IF(OR(LEFT(K2125,4)="LVAX",LEFT(K2125,6)="MV15AX",LEFT(K2125,4)="CTAX",LEFT(K2125,2)="W|"),2*N2125*O2125,0)</f>
        <v/>
      </c>
      <c r="Z2125" s="9" t="inlineStr"/>
    </row>
    <row r="2126">
      <c r="A2126" s="9" t="inlineStr">
        <is>
          <t>I-I-0034</t>
        </is>
      </c>
      <c r="B2126" s="9" t="inlineStr">
        <is>
          <t>I</t>
        </is>
      </c>
      <c r="C2126" s="9" t="inlineStr">
        <is>
          <t>Modular / portable power</t>
        </is>
      </c>
      <c r="D2126" s="9" t="inlineStr">
        <is>
          <t>Thermocouples</t>
        </is>
      </c>
      <c r="E2126" s="9" t="inlineStr">
        <is>
          <t>PAD-EH</t>
        </is>
      </c>
      <c r="F2126" s="9" t="inlineStr">
        <is>
          <t>PAD-EH 13.8 kV switchgear e-house</t>
        </is>
      </c>
      <c r="G2126" s="9" t="inlineStr">
        <is>
          <t>CONT-6</t>
        </is>
      </c>
      <c r="H2126" s="9" t="inlineStr">
        <is>
          <t>CONT-6: containerized gas genset 13.8 kV (40 ft)</t>
        </is>
      </c>
      <c r="I2126" s="9" t="inlineStr">
        <is>
          <t>Instrumentation</t>
        </is>
      </c>
      <c r="J2126" s="9" t="inlineStr">
        <is>
          <t>Thermocouple extension KX, #16 shielded pairs, PLTC</t>
        </is>
      </c>
      <c r="K2126" s="9" t="inlineStr">
        <is>
          <t>TCX|12 pr|16</t>
        </is>
      </c>
      <c r="L2126" s="9" t="inlineStr">
        <is>
          <t>12 pr</t>
        </is>
      </c>
      <c r="M2126" s="9" t="inlineStr">
        <is>
          <t>16</t>
        </is>
      </c>
      <c r="N2126" s="9" t="n">
        <v>1</v>
      </c>
      <c r="O2126" s="9" t="n">
        <v>1</v>
      </c>
      <c r="P2126" s="9" t="n"/>
      <c r="Q2126" s="9" t="n"/>
      <c r="R2126" s="9" t="n"/>
      <c r="S2126" s="9" t="inlineStr">
        <is>
          <t>Surface</t>
        </is>
      </c>
      <c r="T2126" s="10" t="n">
        <v>209</v>
      </c>
      <c r="U2126" s="10" t="n">
        <v>82</v>
      </c>
      <c r="V2126" s="10">
        <f>ROUNDUP((T2126+U2126+2*'Read Me'!$B$13)*(1+'Read Me'!$B$12),-1)</f>
        <v/>
      </c>
      <c r="W2126" s="10">
        <f>V2126*N2126*O2126</f>
        <v/>
      </c>
      <c r="X2126" s="9">
        <f>IF(LEFT(I2126,2)="MV",2*N2126*IF(L2126="1/C",O2126,1),0)</f>
        <v/>
      </c>
      <c r="Y2126" s="9">
        <f>IF(OR(LEFT(K2126,4)="LVAX",LEFT(K2126,6)="MV15AX",LEFT(K2126,4)="CTAX",LEFT(K2126,2)="W|"),2*N2126*O2126,0)</f>
        <v/>
      </c>
      <c r="Z2126" s="9" t="inlineStr"/>
    </row>
    <row r="2127">
      <c r="A2127" s="9" t="inlineStr">
        <is>
          <t>I-I-0035</t>
        </is>
      </c>
      <c r="B2127" s="9" t="inlineStr">
        <is>
          <t>I</t>
        </is>
      </c>
      <c r="C2127" s="9" t="inlineStr">
        <is>
          <t>Modular / portable power</t>
        </is>
      </c>
      <c r="D2127" s="9" t="inlineStr">
        <is>
          <t>Instrumentation</t>
        </is>
      </c>
      <c r="E2127" s="9" t="inlineStr">
        <is>
          <t>PAD-EH</t>
        </is>
      </c>
      <c r="F2127" s="9" t="inlineStr">
        <is>
          <t>PAD-EH 13.8 kV switchgear e-house</t>
        </is>
      </c>
      <c r="G2127" s="9" t="inlineStr">
        <is>
          <t>CONT-7</t>
        </is>
      </c>
      <c r="H2127" s="9" t="inlineStr">
        <is>
          <t>CONT-7: containerized gas genset 13.8 kV (40 ft)</t>
        </is>
      </c>
      <c r="I2127" s="9" t="inlineStr">
        <is>
          <t>Instrumentation</t>
        </is>
      </c>
      <c r="J2127" s="9" t="inlineStr">
        <is>
          <t>Instrumentation PLTC / TC-ER 300 V, #18 twisted shielded pairs, overall shield</t>
        </is>
      </c>
      <c r="K2127" s="9" t="inlineStr">
        <is>
          <t>PLTC|4 pr|18</t>
        </is>
      </c>
      <c r="L2127" s="9" t="inlineStr">
        <is>
          <t>4 pr</t>
        </is>
      </c>
      <c r="M2127" s="9" t="inlineStr">
        <is>
          <t>18</t>
        </is>
      </c>
      <c r="N2127" s="9" t="n">
        <v>1</v>
      </c>
      <c r="O2127" s="9" t="n">
        <v>1</v>
      </c>
      <c r="P2127" s="9" t="n"/>
      <c r="Q2127" s="9" t="n"/>
      <c r="R2127" s="9" t="n"/>
      <c r="S2127" s="9" t="inlineStr">
        <is>
          <t>Surface</t>
        </is>
      </c>
      <c r="T2127" s="10" t="n">
        <v>280</v>
      </c>
      <c r="U2127" s="10" t="n">
        <v>67</v>
      </c>
      <c r="V2127" s="10">
        <f>ROUNDUP((T2127+U2127+2*'Read Me'!$B$13)*(1+'Read Me'!$B$12),-1)</f>
        <v/>
      </c>
      <c r="W2127" s="10">
        <f>V2127*N2127*O2127</f>
        <v/>
      </c>
      <c r="X2127" s="9">
        <f>IF(LEFT(I2127,2)="MV",2*N2127*IF(L2127="1/C",O2127,1),0)</f>
        <v/>
      </c>
      <c r="Y2127" s="9">
        <f>IF(OR(LEFT(K2127,4)="LVAX",LEFT(K2127,6)="MV15AX",LEFT(K2127,4)="CTAX",LEFT(K2127,2)="W|"),2*N2127*O2127,0)</f>
        <v/>
      </c>
      <c r="Z2127" s="9" t="inlineStr"/>
    </row>
    <row r="2128">
      <c r="A2128" s="9" t="inlineStr">
        <is>
          <t>I-I-0036</t>
        </is>
      </c>
      <c r="B2128" s="9" t="inlineStr">
        <is>
          <t>I</t>
        </is>
      </c>
      <c r="C2128" s="9" t="inlineStr">
        <is>
          <t>Modular / portable power</t>
        </is>
      </c>
      <c r="D2128" s="9" t="inlineStr">
        <is>
          <t>Thermocouples</t>
        </is>
      </c>
      <c r="E2128" s="9" t="inlineStr">
        <is>
          <t>PAD-EH</t>
        </is>
      </c>
      <c r="F2128" s="9" t="inlineStr">
        <is>
          <t>PAD-EH 13.8 kV switchgear e-house</t>
        </is>
      </c>
      <c r="G2128" s="9" t="inlineStr">
        <is>
          <t>CONT-7</t>
        </is>
      </c>
      <c r="H2128" s="9" t="inlineStr">
        <is>
          <t>CONT-7: containerized gas genset 13.8 kV (40 ft)</t>
        </is>
      </c>
      <c r="I2128" s="9" t="inlineStr">
        <is>
          <t>Instrumentation</t>
        </is>
      </c>
      <c r="J2128" s="9" t="inlineStr">
        <is>
          <t>Thermocouple extension KX, #16 shielded pairs, PLTC</t>
        </is>
      </c>
      <c r="K2128" s="9" t="inlineStr">
        <is>
          <t>TCX|12 pr|16</t>
        </is>
      </c>
      <c r="L2128" s="9" t="inlineStr">
        <is>
          <t>12 pr</t>
        </is>
      </c>
      <c r="M2128" s="9" t="inlineStr">
        <is>
          <t>16</t>
        </is>
      </c>
      <c r="N2128" s="9" t="n">
        <v>1</v>
      </c>
      <c r="O2128" s="9" t="n">
        <v>1</v>
      </c>
      <c r="P2128" s="9" t="n"/>
      <c r="Q2128" s="9" t="n"/>
      <c r="R2128" s="9" t="n"/>
      <c r="S2128" s="9" t="inlineStr">
        <is>
          <t>Surface</t>
        </is>
      </c>
      <c r="T2128" s="10" t="n">
        <v>280</v>
      </c>
      <c r="U2128" s="10" t="n">
        <v>67</v>
      </c>
      <c r="V2128" s="10">
        <f>ROUNDUP((T2128+U2128+2*'Read Me'!$B$13)*(1+'Read Me'!$B$12),-1)</f>
        <v/>
      </c>
      <c r="W2128" s="10">
        <f>V2128*N2128*O2128</f>
        <v/>
      </c>
      <c r="X2128" s="9">
        <f>IF(LEFT(I2128,2)="MV",2*N2128*IF(L2128="1/C",O2128,1),0)</f>
        <v/>
      </c>
      <c r="Y2128" s="9">
        <f>IF(OR(LEFT(K2128,4)="LVAX",LEFT(K2128,6)="MV15AX",LEFT(K2128,4)="CTAX",LEFT(K2128,2)="W|"),2*N2128*O2128,0)</f>
        <v/>
      </c>
      <c r="Z2128" s="9" t="inlineStr"/>
    </row>
    <row r="2129">
      <c r="A2129" s="9" t="inlineStr">
        <is>
          <t>I-I-0037</t>
        </is>
      </c>
      <c r="B2129" s="9" t="inlineStr">
        <is>
          <t>I</t>
        </is>
      </c>
      <c r="C2129" s="9" t="inlineStr">
        <is>
          <t>Modular / portable power</t>
        </is>
      </c>
      <c r="D2129" s="9" t="inlineStr">
        <is>
          <t>Thermocouples</t>
        </is>
      </c>
      <c r="E2129" s="9" t="inlineStr">
        <is>
          <t>PAD-EH</t>
        </is>
      </c>
      <c r="F2129" s="9" t="inlineStr">
        <is>
          <t>PAD-EH 13.8 kV switchgear e-house</t>
        </is>
      </c>
      <c r="G2129" s="9" t="inlineStr">
        <is>
          <t>CONT-7</t>
        </is>
      </c>
      <c r="H2129" s="9" t="inlineStr">
        <is>
          <t>CONT-7: containerized gas genset 13.8 kV (40 ft)</t>
        </is>
      </c>
      <c r="I2129" s="9" t="inlineStr">
        <is>
          <t>Instrumentation</t>
        </is>
      </c>
      <c r="J2129" s="9" t="inlineStr">
        <is>
          <t>Thermocouple extension KX, #16 shielded pairs, PLTC</t>
        </is>
      </c>
      <c r="K2129" s="9" t="inlineStr">
        <is>
          <t>TCX|12 pr|16</t>
        </is>
      </c>
      <c r="L2129" s="9" t="inlineStr">
        <is>
          <t>12 pr</t>
        </is>
      </c>
      <c r="M2129" s="9" t="inlineStr">
        <is>
          <t>16</t>
        </is>
      </c>
      <c r="N2129" s="9" t="n">
        <v>1</v>
      </c>
      <c r="O2129" s="9" t="n">
        <v>1</v>
      </c>
      <c r="P2129" s="9" t="n"/>
      <c r="Q2129" s="9" t="n"/>
      <c r="R2129" s="9" t="n"/>
      <c r="S2129" s="9" t="inlineStr">
        <is>
          <t>Surface</t>
        </is>
      </c>
      <c r="T2129" s="10" t="n">
        <v>280</v>
      </c>
      <c r="U2129" s="10" t="n">
        <v>67</v>
      </c>
      <c r="V2129" s="10">
        <f>ROUNDUP((T2129+U2129+2*'Read Me'!$B$13)*(1+'Read Me'!$B$12),-1)</f>
        <v/>
      </c>
      <c r="W2129" s="10">
        <f>V2129*N2129*O2129</f>
        <v/>
      </c>
      <c r="X2129" s="9">
        <f>IF(LEFT(I2129,2)="MV",2*N2129*IF(L2129="1/C",O2129,1),0)</f>
        <v/>
      </c>
      <c r="Y2129" s="9">
        <f>IF(OR(LEFT(K2129,4)="LVAX",LEFT(K2129,6)="MV15AX",LEFT(K2129,4)="CTAX",LEFT(K2129,2)="W|"),2*N2129*O2129,0)</f>
        <v/>
      </c>
      <c r="Z2129" s="9" t="inlineStr"/>
    </row>
    <row r="2130">
      <c r="A2130" s="9" t="inlineStr">
        <is>
          <t>I-I-0038</t>
        </is>
      </c>
      <c r="B2130" s="9" t="inlineStr">
        <is>
          <t>I</t>
        </is>
      </c>
      <c r="C2130" s="9" t="inlineStr">
        <is>
          <t>Modular / portable power</t>
        </is>
      </c>
      <c r="D2130" s="9" t="inlineStr">
        <is>
          <t>Instrumentation</t>
        </is>
      </c>
      <c r="E2130" s="9" t="inlineStr">
        <is>
          <t>PAD-EH</t>
        </is>
      </c>
      <c r="F2130" s="9" t="inlineStr">
        <is>
          <t>PAD-EH 13.8 kV switchgear e-house</t>
        </is>
      </c>
      <c r="G2130" s="9" t="inlineStr">
        <is>
          <t>CONT-8</t>
        </is>
      </c>
      <c r="H2130" s="9" t="inlineStr">
        <is>
          <t>CONT-8: containerized gas genset 13.8 kV (40 ft)</t>
        </is>
      </c>
      <c r="I2130" s="9" t="inlineStr">
        <is>
          <t>Instrumentation</t>
        </is>
      </c>
      <c r="J2130" s="9" t="inlineStr">
        <is>
          <t>Instrumentation PLTC / TC-ER 300 V, #18 twisted shielded pairs, overall shield</t>
        </is>
      </c>
      <c r="K2130" s="9" t="inlineStr">
        <is>
          <t>PLTC|4 pr|18</t>
        </is>
      </c>
      <c r="L2130" s="9" t="inlineStr">
        <is>
          <t>4 pr</t>
        </is>
      </c>
      <c r="M2130" s="9" t="inlineStr">
        <is>
          <t>18</t>
        </is>
      </c>
      <c r="N2130" s="9" t="n">
        <v>1</v>
      </c>
      <c r="O2130" s="9" t="n">
        <v>1</v>
      </c>
      <c r="P2130" s="9" t="n"/>
      <c r="Q2130" s="9" t="n"/>
      <c r="R2130" s="9" t="n"/>
      <c r="S2130" s="9" t="inlineStr">
        <is>
          <t>Surface</t>
        </is>
      </c>
      <c r="T2130" s="10" t="n">
        <v>60</v>
      </c>
      <c r="U2130" s="10" t="n">
        <v>91</v>
      </c>
      <c r="V2130" s="10">
        <f>ROUNDUP((T2130+U2130+2*'Read Me'!$B$13)*(1+'Read Me'!$B$12),-1)</f>
        <v/>
      </c>
      <c r="W2130" s="10">
        <f>V2130*N2130*O2130</f>
        <v/>
      </c>
      <c r="X2130" s="9">
        <f>IF(LEFT(I2130,2)="MV",2*N2130*IF(L2130="1/C",O2130,1),0)</f>
        <v/>
      </c>
      <c r="Y2130" s="9">
        <f>IF(OR(LEFT(K2130,4)="LVAX",LEFT(K2130,6)="MV15AX",LEFT(K2130,4)="CTAX",LEFT(K2130,2)="W|"),2*N2130*O2130,0)</f>
        <v/>
      </c>
      <c r="Z2130" s="9" t="inlineStr"/>
    </row>
    <row r="2131">
      <c r="A2131" s="9" t="inlineStr">
        <is>
          <t>I-I-0039</t>
        </is>
      </c>
      <c r="B2131" s="9" t="inlineStr">
        <is>
          <t>I</t>
        </is>
      </c>
      <c r="C2131" s="9" t="inlineStr">
        <is>
          <t>Modular / portable power</t>
        </is>
      </c>
      <c r="D2131" s="9" t="inlineStr">
        <is>
          <t>Thermocouples</t>
        </is>
      </c>
      <c r="E2131" s="9" t="inlineStr">
        <is>
          <t>PAD-EH</t>
        </is>
      </c>
      <c r="F2131" s="9" t="inlineStr">
        <is>
          <t>PAD-EH 13.8 kV switchgear e-house</t>
        </is>
      </c>
      <c r="G2131" s="9" t="inlineStr">
        <is>
          <t>CONT-8</t>
        </is>
      </c>
      <c r="H2131" s="9" t="inlineStr">
        <is>
          <t>CONT-8: containerized gas genset 13.8 kV (40 ft)</t>
        </is>
      </c>
      <c r="I2131" s="9" t="inlineStr">
        <is>
          <t>Instrumentation</t>
        </is>
      </c>
      <c r="J2131" s="9" t="inlineStr">
        <is>
          <t>Thermocouple extension KX, #16 shielded pairs, PLTC</t>
        </is>
      </c>
      <c r="K2131" s="9" t="inlineStr">
        <is>
          <t>TCX|12 pr|16</t>
        </is>
      </c>
      <c r="L2131" s="9" t="inlineStr">
        <is>
          <t>12 pr</t>
        </is>
      </c>
      <c r="M2131" s="9" t="inlineStr">
        <is>
          <t>16</t>
        </is>
      </c>
      <c r="N2131" s="9" t="n">
        <v>1</v>
      </c>
      <c r="O2131" s="9" t="n">
        <v>1</v>
      </c>
      <c r="P2131" s="9" t="n"/>
      <c r="Q2131" s="9" t="n"/>
      <c r="R2131" s="9" t="n"/>
      <c r="S2131" s="9" t="inlineStr">
        <is>
          <t>Surface</t>
        </is>
      </c>
      <c r="T2131" s="10" t="n">
        <v>60</v>
      </c>
      <c r="U2131" s="10" t="n">
        <v>91</v>
      </c>
      <c r="V2131" s="10">
        <f>ROUNDUP((T2131+U2131+2*'Read Me'!$B$13)*(1+'Read Me'!$B$12),-1)</f>
        <v/>
      </c>
      <c r="W2131" s="10">
        <f>V2131*N2131*O2131</f>
        <v/>
      </c>
      <c r="X2131" s="9">
        <f>IF(LEFT(I2131,2)="MV",2*N2131*IF(L2131="1/C",O2131,1),0)</f>
        <v/>
      </c>
      <c r="Y2131" s="9">
        <f>IF(OR(LEFT(K2131,4)="LVAX",LEFT(K2131,6)="MV15AX",LEFT(K2131,4)="CTAX",LEFT(K2131,2)="W|"),2*N2131*O2131,0)</f>
        <v/>
      </c>
      <c r="Z2131" s="9" t="inlineStr"/>
    </row>
    <row r="2132">
      <c r="A2132" s="9" t="inlineStr">
        <is>
          <t>I-I-0040</t>
        </is>
      </c>
      <c r="B2132" s="9" t="inlineStr">
        <is>
          <t>I</t>
        </is>
      </c>
      <c r="C2132" s="9" t="inlineStr">
        <is>
          <t>Modular / portable power</t>
        </is>
      </c>
      <c r="D2132" s="9" t="inlineStr">
        <is>
          <t>Thermocouples</t>
        </is>
      </c>
      <c r="E2132" s="9" t="inlineStr">
        <is>
          <t>PAD-EH</t>
        </is>
      </c>
      <c r="F2132" s="9" t="inlineStr">
        <is>
          <t>PAD-EH 13.8 kV switchgear e-house</t>
        </is>
      </c>
      <c r="G2132" s="9" t="inlineStr">
        <is>
          <t>CONT-8</t>
        </is>
      </c>
      <c r="H2132" s="9" t="inlineStr">
        <is>
          <t>CONT-8: containerized gas genset 13.8 kV (40 ft)</t>
        </is>
      </c>
      <c r="I2132" s="9" t="inlineStr">
        <is>
          <t>Instrumentation</t>
        </is>
      </c>
      <c r="J2132" s="9" t="inlineStr">
        <is>
          <t>Thermocouple extension KX, #16 shielded pairs, PLTC</t>
        </is>
      </c>
      <c r="K2132" s="9" t="inlineStr">
        <is>
          <t>TCX|12 pr|16</t>
        </is>
      </c>
      <c r="L2132" s="9" t="inlineStr">
        <is>
          <t>12 pr</t>
        </is>
      </c>
      <c r="M2132" s="9" t="inlineStr">
        <is>
          <t>16</t>
        </is>
      </c>
      <c r="N2132" s="9" t="n">
        <v>1</v>
      </c>
      <c r="O2132" s="9" t="n">
        <v>1</v>
      </c>
      <c r="P2132" s="9" t="n"/>
      <c r="Q2132" s="9" t="n"/>
      <c r="R2132" s="9" t="n"/>
      <c r="S2132" s="9" t="inlineStr">
        <is>
          <t>Surface</t>
        </is>
      </c>
      <c r="T2132" s="10" t="n">
        <v>60</v>
      </c>
      <c r="U2132" s="10" t="n">
        <v>91</v>
      </c>
      <c r="V2132" s="10">
        <f>ROUNDUP((T2132+U2132+2*'Read Me'!$B$13)*(1+'Read Me'!$B$12),-1)</f>
        <v/>
      </c>
      <c r="W2132" s="10">
        <f>V2132*N2132*O2132</f>
        <v/>
      </c>
      <c r="X2132" s="9">
        <f>IF(LEFT(I2132,2)="MV",2*N2132*IF(L2132="1/C",O2132,1),0)</f>
        <v/>
      </c>
      <c r="Y2132" s="9">
        <f>IF(OR(LEFT(K2132,4)="LVAX",LEFT(K2132,6)="MV15AX",LEFT(K2132,4)="CTAX",LEFT(K2132,2)="W|"),2*N2132*O2132,0)</f>
        <v/>
      </c>
      <c r="Z2132" s="9" t="inlineStr"/>
    </row>
    <row r="2133">
      <c r="A2133" s="9" t="inlineStr">
        <is>
          <t>I-I-0041</t>
        </is>
      </c>
      <c r="B2133" s="9" t="inlineStr">
        <is>
          <t>I</t>
        </is>
      </c>
      <c r="C2133" s="9" t="inlineStr">
        <is>
          <t>Modular / portable power</t>
        </is>
      </c>
      <c r="D2133" s="9" t="inlineStr">
        <is>
          <t>Instrumentation</t>
        </is>
      </c>
      <c r="E2133" s="9" t="inlineStr"/>
      <c r="F2133" s="9" t="inlineStr">
        <is>
          <t>PCM: power control module</t>
        </is>
      </c>
      <c r="G2133" s="9" t="inlineStr">
        <is>
          <t>FC-10</t>
        </is>
      </c>
      <c r="H2133" s="9" t="inlineStr">
        <is>
          <t>FC-10: SOFC module (Bloom ES5 class, 200-300 kW)</t>
        </is>
      </c>
      <c r="I2133" s="9" t="inlineStr">
        <is>
          <t>Instrumentation</t>
        </is>
      </c>
      <c r="J2133" s="9" t="inlineStr">
        <is>
          <t>Instrumentation PLTC / TC-ER 300 V, #18 twisted shielded pairs, overall shield</t>
        </is>
      </c>
      <c r="K2133" s="9" t="inlineStr">
        <is>
          <t>PLTC|4 pr|18</t>
        </is>
      </c>
      <c r="L2133" s="9" t="inlineStr">
        <is>
          <t>4 pr</t>
        </is>
      </c>
      <c r="M2133" s="9" t="inlineStr">
        <is>
          <t>18</t>
        </is>
      </c>
      <c r="N2133" s="9" t="n">
        <v>1</v>
      </c>
      <c r="O2133" s="9" t="n">
        <v>1</v>
      </c>
      <c r="P2133" s="9" t="n"/>
      <c r="Q2133" s="9" t="n"/>
      <c r="R2133" s="9" t="n"/>
      <c r="S2133" s="9" t="inlineStr">
        <is>
          <t>Duct bank</t>
        </is>
      </c>
      <c r="T2133" s="10" t="n">
        <v>177</v>
      </c>
      <c r="U2133" s="10" t="n">
        <v>42</v>
      </c>
      <c r="V2133" s="10">
        <f>ROUNDUP((T2133+U2133+2*'Read Me'!$B$13)*(1+'Read Me'!$B$12),-1)</f>
        <v/>
      </c>
      <c r="W2133" s="10">
        <f>V2133*N2133*O2133</f>
        <v/>
      </c>
      <c r="X2133" s="9">
        <f>IF(LEFT(I2133,2)="MV",2*N2133*IF(L2133="1/C",O2133,1),0)</f>
        <v/>
      </c>
      <c r="Y2133" s="9">
        <f>IF(OR(LEFT(K2133,4)="LVAX",LEFT(K2133,6)="MV15AX",LEFT(K2133,4)="CTAX",LEFT(K2133,2)="W|"),2*N2133*O2133,0)</f>
        <v/>
      </c>
      <c r="Z2133" s="9" t="inlineStr"/>
    </row>
    <row r="2134">
      <c r="A2134" s="9" t="inlineStr">
        <is>
          <t>I-I-0042</t>
        </is>
      </c>
      <c r="B2134" s="9" t="inlineStr">
        <is>
          <t>I</t>
        </is>
      </c>
      <c r="C2134" s="9" t="inlineStr">
        <is>
          <t>Modular / portable power</t>
        </is>
      </c>
      <c r="D2134" s="9" t="inlineStr">
        <is>
          <t>Instrumentation</t>
        </is>
      </c>
      <c r="E2134" s="9" t="inlineStr"/>
      <c r="F2134" s="9" t="inlineStr">
        <is>
          <t>PCM: power control module</t>
        </is>
      </c>
      <c r="G2134" s="9" t="inlineStr">
        <is>
          <t>FC-10</t>
        </is>
      </c>
      <c r="H2134" s="9" t="inlineStr">
        <is>
          <t>FC-10: SOFC module (Bloom ES5 class, 200-300 kW)</t>
        </is>
      </c>
      <c r="I2134" s="9" t="inlineStr">
        <is>
          <t>Instrumentation</t>
        </is>
      </c>
      <c r="J2134" s="9" t="inlineStr">
        <is>
          <t>Instrumentation PLTC / TC-ER 300 V, #18 twisted shielded pairs, overall shield</t>
        </is>
      </c>
      <c r="K2134" s="9" t="inlineStr">
        <is>
          <t>PLTC|12 pr|18</t>
        </is>
      </c>
      <c r="L2134" s="9" t="inlineStr">
        <is>
          <t>12 pr</t>
        </is>
      </c>
      <c r="M2134" s="9" t="inlineStr">
        <is>
          <t>18</t>
        </is>
      </c>
      <c r="N2134" s="9" t="n">
        <v>1</v>
      </c>
      <c r="O2134" s="9" t="n">
        <v>1</v>
      </c>
      <c r="P2134" s="9" t="n"/>
      <c r="Q2134" s="9" t="n"/>
      <c r="R2134" s="9" t="n"/>
      <c r="S2134" s="9" t="inlineStr">
        <is>
          <t>Duct bank</t>
        </is>
      </c>
      <c r="T2134" s="10" t="n">
        <v>177</v>
      </c>
      <c r="U2134" s="10" t="n">
        <v>42</v>
      </c>
      <c r="V2134" s="10">
        <f>ROUNDUP((T2134+U2134+2*'Read Me'!$B$13)*(1+'Read Me'!$B$12),-1)</f>
        <v/>
      </c>
      <c r="W2134" s="10">
        <f>V2134*N2134*O2134</f>
        <v/>
      </c>
      <c r="X2134" s="9">
        <f>IF(LEFT(I2134,2)="MV",2*N2134*IF(L2134="1/C",O2134,1),0)</f>
        <v/>
      </c>
      <c r="Y2134" s="9">
        <f>IF(OR(LEFT(K2134,4)="LVAX",LEFT(K2134,6)="MV15AX",LEFT(K2134,4)="CTAX",LEFT(K2134,2)="W|"),2*N2134*O2134,0)</f>
        <v/>
      </c>
      <c r="Z2134" s="9" t="inlineStr"/>
    </row>
    <row r="2135">
      <c r="A2135" s="9" t="inlineStr">
        <is>
          <t>I-I-0043</t>
        </is>
      </c>
      <c r="B2135" s="9" t="inlineStr">
        <is>
          <t>I</t>
        </is>
      </c>
      <c r="C2135" s="9" t="inlineStr">
        <is>
          <t>Modular / portable power</t>
        </is>
      </c>
      <c r="D2135" s="9" t="inlineStr">
        <is>
          <t>Thermocouples</t>
        </is>
      </c>
      <c r="E2135" s="9" t="inlineStr"/>
      <c r="F2135" s="9" t="inlineStr">
        <is>
          <t>PCM: power control module</t>
        </is>
      </c>
      <c r="G2135" s="9" t="inlineStr">
        <is>
          <t>FC-10</t>
        </is>
      </c>
      <c r="H2135" s="9" t="inlineStr">
        <is>
          <t>FC-10: SOFC module (Bloom ES5 class, 200-300 kW)</t>
        </is>
      </c>
      <c r="I2135" s="9" t="inlineStr">
        <is>
          <t>Instrumentation</t>
        </is>
      </c>
      <c r="J2135" s="9" t="inlineStr">
        <is>
          <t>Thermocouple extension KX, #16 shielded pairs, PLTC</t>
        </is>
      </c>
      <c r="K2135" s="9" t="inlineStr">
        <is>
          <t>TCX|12 pr|16</t>
        </is>
      </c>
      <c r="L2135" s="9" t="inlineStr">
        <is>
          <t>12 pr</t>
        </is>
      </c>
      <c r="M2135" s="9" t="inlineStr">
        <is>
          <t>16</t>
        </is>
      </c>
      <c r="N2135" s="9" t="n">
        <v>1</v>
      </c>
      <c r="O2135" s="9" t="n">
        <v>1</v>
      </c>
      <c r="P2135" s="9" t="n"/>
      <c r="Q2135" s="9" t="n"/>
      <c r="R2135" s="9" t="n"/>
      <c r="S2135" s="9" t="inlineStr">
        <is>
          <t>Duct bank</t>
        </is>
      </c>
      <c r="T2135" s="10" t="n">
        <v>177</v>
      </c>
      <c r="U2135" s="10" t="n">
        <v>42</v>
      </c>
      <c r="V2135" s="10">
        <f>ROUNDUP((T2135+U2135+2*'Read Me'!$B$13)*(1+'Read Me'!$B$12),-1)</f>
        <v/>
      </c>
      <c r="W2135" s="10">
        <f>V2135*N2135*O2135</f>
        <v/>
      </c>
      <c r="X2135" s="9">
        <f>IF(LEFT(I2135,2)="MV",2*N2135*IF(L2135="1/C",O2135,1),0)</f>
        <v/>
      </c>
      <c r="Y2135" s="9">
        <f>IF(OR(LEFT(K2135,4)="LVAX",LEFT(K2135,6)="MV15AX",LEFT(K2135,4)="CTAX",LEFT(K2135,2)="W|"),2*N2135*O2135,0)</f>
        <v/>
      </c>
      <c r="Z2135" s="9" t="inlineStr"/>
    </row>
    <row r="2136">
      <c r="A2136" s="9" t="inlineStr">
        <is>
          <t>I-I-0044</t>
        </is>
      </c>
      <c r="B2136" s="9" t="inlineStr">
        <is>
          <t>I</t>
        </is>
      </c>
      <c r="C2136" s="9" t="inlineStr">
        <is>
          <t>Modular / portable power</t>
        </is>
      </c>
      <c r="D2136" s="9" t="inlineStr">
        <is>
          <t>Thermocouples</t>
        </is>
      </c>
      <c r="E2136" s="9" t="inlineStr"/>
      <c r="F2136" s="9" t="inlineStr">
        <is>
          <t>PCM: power control module</t>
        </is>
      </c>
      <c r="G2136" s="9" t="inlineStr">
        <is>
          <t>FC-10</t>
        </is>
      </c>
      <c r="H2136" s="9" t="inlineStr">
        <is>
          <t>FC-10: SOFC module (Bloom ES5 class, 200-300 kW)</t>
        </is>
      </c>
      <c r="I2136" s="9" t="inlineStr">
        <is>
          <t>Instrumentation</t>
        </is>
      </c>
      <c r="J2136" s="9" t="inlineStr">
        <is>
          <t>Thermocouple extension KX, #16 shielded pairs, PLTC</t>
        </is>
      </c>
      <c r="K2136" s="9" t="inlineStr">
        <is>
          <t>TCX|12 pr|16</t>
        </is>
      </c>
      <c r="L2136" s="9" t="inlineStr">
        <is>
          <t>12 pr</t>
        </is>
      </c>
      <c r="M2136" s="9" t="inlineStr">
        <is>
          <t>16</t>
        </is>
      </c>
      <c r="N2136" s="9" t="n">
        <v>1</v>
      </c>
      <c r="O2136" s="9" t="n">
        <v>1</v>
      </c>
      <c r="P2136" s="9" t="n"/>
      <c r="Q2136" s="9" t="n"/>
      <c r="R2136" s="9" t="n"/>
      <c r="S2136" s="9" t="inlineStr">
        <is>
          <t>Duct bank</t>
        </is>
      </c>
      <c r="T2136" s="10" t="n">
        <v>177</v>
      </c>
      <c r="U2136" s="10" t="n">
        <v>42</v>
      </c>
      <c r="V2136" s="10">
        <f>ROUNDUP((T2136+U2136+2*'Read Me'!$B$13)*(1+'Read Me'!$B$12),-1)</f>
        <v/>
      </c>
      <c r="W2136" s="10">
        <f>V2136*N2136*O2136</f>
        <v/>
      </c>
      <c r="X2136" s="9">
        <f>IF(LEFT(I2136,2)="MV",2*N2136*IF(L2136="1/C",O2136,1),0)</f>
        <v/>
      </c>
      <c r="Y2136" s="9">
        <f>IF(OR(LEFT(K2136,4)="LVAX",LEFT(K2136,6)="MV15AX",LEFT(K2136,4)="CTAX",LEFT(K2136,2)="W|"),2*N2136*O2136,0)</f>
        <v/>
      </c>
      <c r="Z2136" s="9" t="inlineStr"/>
    </row>
    <row r="2137">
      <c r="A2137" s="9" t="inlineStr">
        <is>
          <t>I-I-0045</t>
        </is>
      </c>
      <c r="B2137" s="9" t="inlineStr">
        <is>
          <t>I</t>
        </is>
      </c>
      <c r="C2137" s="9" t="inlineStr">
        <is>
          <t>Modular / portable power</t>
        </is>
      </c>
      <c r="D2137" s="9" t="inlineStr">
        <is>
          <t>Instrumentation</t>
        </is>
      </c>
      <c r="E2137" s="9" t="inlineStr"/>
      <c r="F2137" s="9" t="inlineStr">
        <is>
          <t>PCM: power control module</t>
        </is>
      </c>
      <c r="G2137" s="9" t="inlineStr">
        <is>
          <t>FC-11</t>
        </is>
      </c>
      <c r="H2137" s="9" t="inlineStr">
        <is>
          <t>FC-11: SOFC module (Bloom ES5 class, 200-300 kW)</t>
        </is>
      </c>
      <c r="I2137" s="9" t="inlineStr">
        <is>
          <t>Instrumentation</t>
        </is>
      </c>
      <c r="J2137" s="9" t="inlineStr">
        <is>
          <t>Instrumentation PLTC / TC-ER 300 V, #18 twisted shielded pairs, overall shield</t>
        </is>
      </c>
      <c r="K2137" s="9" t="inlineStr">
        <is>
          <t>PLTC|4 pr|18</t>
        </is>
      </c>
      <c r="L2137" s="9" t="inlineStr">
        <is>
          <t>4 pr</t>
        </is>
      </c>
      <c r="M2137" s="9" t="inlineStr">
        <is>
          <t>18</t>
        </is>
      </c>
      <c r="N2137" s="9" t="n">
        <v>1</v>
      </c>
      <c r="O2137" s="9" t="n">
        <v>1</v>
      </c>
      <c r="P2137" s="9" t="n"/>
      <c r="Q2137" s="9" t="n"/>
      <c r="R2137" s="9" t="n"/>
      <c r="S2137" s="9" t="inlineStr">
        <is>
          <t>Duct bank</t>
        </is>
      </c>
      <c r="T2137" s="10" t="n">
        <v>191</v>
      </c>
      <c r="U2137" s="10" t="n">
        <v>42</v>
      </c>
      <c r="V2137" s="10">
        <f>ROUNDUP((T2137+U2137+2*'Read Me'!$B$13)*(1+'Read Me'!$B$12),-1)</f>
        <v/>
      </c>
      <c r="W2137" s="10">
        <f>V2137*N2137*O2137</f>
        <v/>
      </c>
      <c r="X2137" s="9">
        <f>IF(LEFT(I2137,2)="MV",2*N2137*IF(L2137="1/C",O2137,1),0)</f>
        <v/>
      </c>
      <c r="Y2137" s="9">
        <f>IF(OR(LEFT(K2137,4)="LVAX",LEFT(K2137,6)="MV15AX",LEFT(K2137,4)="CTAX",LEFT(K2137,2)="W|"),2*N2137*O2137,0)</f>
        <v/>
      </c>
      <c r="Z2137" s="9" t="inlineStr"/>
    </row>
    <row r="2138">
      <c r="A2138" s="9" t="inlineStr">
        <is>
          <t>I-I-0046</t>
        </is>
      </c>
      <c r="B2138" s="9" t="inlineStr">
        <is>
          <t>I</t>
        </is>
      </c>
      <c r="C2138" s="9" t="inlineStr">
        <is>
          <t>Modular / portable power</t>
        </is>
      </c>
      <c r="D2138" s="9" t="inlineStr">
        <is>
          <t>Instrumentation</t>
        </is>
      </c>
      <c r="E2138" s="9" t="inlineStr"/>
      <c r="F2138" s="9" t="inlineStr">
        <is>
          <t>PCM: power control module</t>
        </is>
      </c>
      <c r="G2138" s="9" t="inlineStr">
        <is>
          <t>FC-11</t>
        </is>
      </c>
      <c r="H2138" s="9" t="inlineStr">
        <is>
          <t>FC-11: SOFC module (Bloom ES5 class, 200-300 kW)</t>
        </is>
      </c>
      <c r="I2138" s="9" t="inlineStr">
        <is>
          <t>Instrumentation</t>
        </is>
      </c>
      <c r="J2138" s="9" t="inlineStr">
        <is>
          <t>Instrumentation PLTC / TC-ER 300 V, #18 twisted shielded pairs, overall shield</t>
        </is>
      </c>
      <c r="K2138" s="9" t="inlineStr">
        <is>
          <t>PLTC|12 pr|18</t>
        </is>
      </c>
      <c r="L2138" s="9" t="inlineStr">
        <is>
          <t>12 pr</t>
        </is>
      </c>
      <c r="M2138" s="9" t="inlineStr">
        <is>
          <t>18</t>
        </is>
      </c>
      <c r="N2138" s="9" t="n">
        <v>1</v>
      </c>
      <c r="O2138" s="9" t="n">
        <v>1</v>
      </c>
      <c r="P2138" s="9" t="n"/>
      <c r="Q2138" s="9" t="n"/>
      <c r="R2138" s="9" t="n"/>
      <c r="S2138" s="9" t="inlineStr">
        <is>
          <t>Duct bank</t>
        </is>
      </c>
      <c r="T2138" s="10" t="n">
        <v>191</v>
      </c>
      <c r="U2138" s="10" t="n">
        <v>42</v>
      </c>
      <c r="V2138" s="10">
        <f>ROUNDUP((T2138+U2138+2*'Read Me'!$B$13)*(1+'Read Me'!$B$12),-1)</f>
        <v/>
      </c>
      <c r="W2138" s="10">
        <f>V2138*N2138*O2138</f>
        <v/>
      </c>
      <c r="X2138" s="9">
        <f>IF(LEFT(I2138,2)="MV",2*N2138*IF(L2138="1/C",O2138,1),0)</f>
        <v/>
      </c>
      <c r="Y2138" s="9">
        <f>IF(OR(LEFT(K2138,4)="LVAX",LEFT(K2138,6)="MV15AX",LEFT(K2138,4)="CTAX",LEFT(K2138,2)="W|"),2*N2138*O2138,0)</f>
        <v/>
      </c>
      <c r="Z2138" s="9" t="inlineStr"/>
    </row>
    <row r="2139">
      <c r="A2139" s="9" t="inlineStr">
        <is>
          <t>I-I-0047</t>
        </is>
      </c>
      <c r="B2139" s="9" t="inlineStr">
        <is>
          <t>I</t>
        </is>
      </c>
      <c r="C2139" s="9" t="inlineStr">
        <is>
          <t>Modular / portable power</t>
        </is>
      </c>
      <c r="D2139" s="9" t="inlineStr">
        <is>
          <t>Thermocouples</t>
        </is>
      </c>
      <c r="E2139" s="9" t="inlineStr"/>
      <c r="F2139" s="9" t="inlineStr">
        <is>
          <t>PCM: power control module</t>
        </is>
      </c>
      <c r="G2139" s="9" t="inlineStr">
        <is>
          <t>FC-11</t>
        </is>
      </c>
      <c r="H2139" s="9" t="inlineStr">
        <is>
          <t>FC-11: SOFC module (Bloom ES5 class, 200-300 kW)</t>
        </is>
      </c>
      <c r="I2139" s="9" t="inlineStr">
        <is>
          <t>Instrumentation</t>
        </is>
      </c>
      <c r="J2139" s="9" t="inlineStr">
        <is>
          <t>Thermocouple extension KX, #16 shielded pairs, PLTC</t>
        </is>
      </c>
      <c r="K2139" s="9" t="inlineStr">
        <is>
          <t>TCX|12 pr|16</t>
        </is>
      </c>
      <c r="L2139" s="9" t="inlineStr">
        <is>
          <t>12 pr</t>
        </is>
      </c>
      <c r="M2139" s="9" t="inlineStr">
        <is>
          <t>16</t>
        </is>
      </c>
      <c r="N2139" s="9" t="n">
        <v>1</v>
      </c>
      <c r="O2139" s="9" t="n">
        <v>1</v>
      </c>
      <c r="P2139" s="9" t="n"/>
      <c r="Q2139" s="9" t="n"/>
      <c r="R2139" s="9" t="n"/>
      <c r="S2139" s="9" t="inlineStr">
        <is>
          <t>Duct bank</t>
        </is>
      </c>
      <c r="T2139" s="10" t="n">
        <v>191</v>
      </c>
      <c r="U2139" s="10" t="n">
        <v>42</v>
      </c>
      <c r="V2139" s="10">
        <f>ROUNDUP((T2139+U2139+2*'Read Me'!$B$13)*(1+'Read Me'!$B$12),-1)</f>
        <v/>
      </c>
      <c r="W2139" s="10">
        <f>V2139*N2139*O2139</f>
        <v/>
      </c>
      <c r="X2139" s="9">
        <f>IF(LEFT(I2139,2)="MV",2*N2139*IF(L2139="1/C",O2139,1),0)</f>
        <v/>
      </c>
      <c r="Y2139" s="9">
        <f>IF(OR(LEFT(K2139,4)="LVAX",LEFT(K2139,6)="MV15AX",LEFT(K2139,4)="CTAX",LEFT(K2139,2)="W|"),2*N2139*O2139,0)</f>
        <v/>
      </c>
      <c r="Z2139" s="9" t="inlineStr"/>
    </row>
    <row r="2140">
      <c r="A2140" s="9" t="inlineStr">
        <is>
          <t>I-I-0048</t>
        </is>
      </c>
      <c r="B2140" s="9" t="inlineStr">
        <is>
          <t>I</t>
        </is>
      </c>
      <c r="C2140" s="9" t="inlineStr">
        <is>
          <t>Modular / portable power</t>
        </is>
      </c>
      <c r="D2140" s="9" t="inlineStr">
        <is>
          <t>Thermocouples</t>
        </is>
      </c>
      <c r="E2140" s="9" t="inlineStr"/>
      <c r="F2140" s="9" t="inlineStr">
        <is>
          <t>PCM: power control module</t>
        </is>
      </c>
      <c r="G2140" s="9" t="inlineStr">
        <is>
          <t>FC-11</t>
        </is>
      </c>
      <c r="H2140" s="9" t="inlineStr">
        <is>
          <t>FC-11: SOFC module (Bloom ES5 class, 200-300 kW)</t>
        </is>
      </c>
      <c r="I2140" s="9" t="inlineStr">
        <is>
          <t>Instrumentation</t>
        </is>
      </c>
      <c r="J2140" s="9" t="inlineStr">
        <is>
          <t>Thermocouple extension KX, #16 shielded pairs, PLTC</t>
        </is>
      </c>
      <c r="K2140" s="9" t="inlineStr">
        <is>
          <t>TCX|12 pr|16</t>
        </is>
      </c>
      <c r="L2140" s="9" t="inlineStr">
        <is>
          <t>12 pr</t>
        </is>
      </c>
      <c r="M2140" s="9" t="inlineStr">
        <is>
          <t>16</t>
        </is>
      </c>
      <c r="N2140" s="9" t="n">
        <v>1</v>
      </c>
      <c r="O2140" s="9" t="n">
        <v>1</v>
      </c>
      <c r="P2140" s="9" t="n"/>
      <c r="Q2140" s="9" t="n"/>
      <c r="R2140" s="9" t="n"/>
      <c r="S2140" s="9" t="inlineStr">
        <is>
          <t>Duct bank</t>
        </is>
      </c>
      <c r="T2140" s="10" t="n">
        <v>191</v>
      </c>
      <c r="U2140" s="10" t="n">
        <v>42</v>
      </c>
      <c r="V2140" s="10">
        <f>ROUNDUP((T2140+U2140+2*'Read Me'!$B$13)*(1+'Read Me'!$B$12),-1)</f>
        <v/>
      </c>
      <c r="W2140" s="10">
        <f>V2140*N2140*O2140</f>
        <v/>
      </c>
      <c r="X2140" s="9">
        <f>IF(LEFT(I2140,2)="MV",2*N2140*IF(L2140="1/C",O2140,1),0)</f>
        <v/>
      </c>
      <c r="Y2140" s="9">
        <f>IF(OR(LEFT(K2140,4)="LVAX",LEFT(K2140,6)="MV15AX",LEFT(K2140,4)="CTAX",LEFT(K2140,2)="W|"),2*N2140*O2140,0)</f>
        <v/>
      </c>
      <c r="Z2140" s="9" t="inlineStr"/>
    </row>
    <row r="2141">
      <c r="A2141" s="9" t="inlineStr">
        <is>
          <t>I-I-0049</t>
        </is>
      </c>
      <c r="B2141" s="9" t="inlineStr">
        <is>
          <t>I</t>
        </is>
      </c>
      <c r="C2141" s="9" t="inlineStr">
        <is>
          <t>Modular / portable power</t>
        </is>
      </c>
      <c r="D2141" s="9" t="inlineStr">
        <is>
          <t>Instrumentation</t>
        </is>
      </c>
      <c r="E2141" s="9" t="inlineStr"/>
      <c r="F2141" s="9" t="inlineStr">
        <is>
          <t>PCM: power control module</t>
        </is>
      </c>
      <c r="G2141" s="9" t="inlineStr">
        <is>
          <t>FC-12</t>
        </is>
      </c>
      <c r="H2141" s="9" t="inlineStr">
        <is>
          <t>FC-12: SOFC module (Bloom ES5 class, 200-300 kW)</t>
        </is>
      </c>
      <c r="I2141" s="9" t="inlineStr">
        <is>
          <t>Instrumentation</t>
        </is>
      </c>
      <c r="J2141" s="9" t="inlineStr">
        <is>
          <t>Instrumentation PLTC / TC-ER 300 V, #18 twisted shielded pairs, overall shield</t>
        </is>
      </c>
      <c r="K2141" s="9" t="inlineStr">
        <is>
          <t>PLTC|4 pr|18</t>
        </is>
      </c>
      <c r="L2141" s="9" t="inlineStr">
        <is>
          <t>4 pr</t>
        </is>
      </c>
      <c r="M2141" s="9" t="inlineStr">
        <is>
          <t>18</t>
        </is>
      </c>
      <c r="N2141" s="9" t="n">
        <v>1</v>
      </c>
      <c r="O2141" s="9" t="n">
        <v>1</v>
      </c>
      <c r="P2141" s="9" t="n"/>
      <c r="Q2141" s="9" t="n"/>
      <c r="R2141" s="9" t="n"/>
      <c r="S2141" s="9" t="inlineStr">
        <is>
          <t>Duct bank</t>
        </is>
      </c>
      <c r="T2141" s="10" t="n">
        <v>205</v>
      </c>
      <c r="U2141" s="10" t="n">
        <v>42</v>
      </c>
      <c r="V2141" s="10">
        <f>ROUNDUP((T2141+U2141+2*'Read Me'!$B$13)*(1+'Read Me'!$B$12),-1)</f>
        <v/>
      </c>
      <c r="W2141" s="10">
        <f>V2141*N2141*O2141</f>
        <v/>
      </c>
      <c r="X2141" s="9">
        <f>IF(LEFT(I2141,2)="MV",2*N2141*IF(L2141="1/C",O2141,1),0)</f>
        <v/>
      </c>
      <c r="Y2141" s="9">
        <f>IF(OR(LEFT(K2141,4)="LVAX",LEFT(K2141,6)="MV15AX",LEFT(K2141,4)="CTAX",LEFT(K2141,2)="W|"),2*N2141*O2141,0)</f>
        <v/>
      </c>
      <c r="Z2141" s="9" t="inlineStr"/>
    </row>
    <row r="2142">
      <c r="A2142" s="9" t="inlineStr">
        <is>
          <t>I-I-0050</t>
        </is>
      </c>
      <c r="B2142" s="9" t="inlineStr">
        <is>
          <t>I</t>
        </is>
      </c>
      <c r="C2142" s="9" t="inlineStr">
        <is>
          <t>Modular / portable power</t>
        </is>
      </c>
      <c r="D2142" s="9" t="inlineStr">
        <is>
          <t>Instrumentation</t>
        </is>
      </c>
      <c r="E2142" s="9" t="inlineStr"/>
      <c r="F2142" s="9" t="inlineStr">
        <is>
          <t>PCM: power control module</t>
        </is>
      </c>
      <c r="G2142" s="9" t="inlineStr">
        <is>
          <t>FC-12</t>
        </is>
      </c>
      <c r="H2142" s="9" t="inlineStr">
        <is>
          <t>FC-12: SOFC module (Bloom ES5 class, 200-300 kW)</t>
        </is>
      </c>
      <c r="I2142" s="9" t="inlineStr">
        <is>
          <t>Instrumentation</t>
        </is>
      </c>
      <c r="J2142" s="9" t="inlineStr">
        <is>
          <t>Instrumentation PLTC / TC-ER 300 V, #18 twisted shielded pairs, overall shield</t>
        </is>
      </c>
      <c r="K2142" s="9" t="inlineStr">
        <is>
          <t>PLTC|12 pr|18</t>
        </is>
      </c>
      <c r="L2142" s="9" t="inlineStr">
        <is>
          <t>12 pr</t>
        </is>
      </c>
      <c r="M2142" s="9" t="inlineStr">
        <is>
          <t>18</t>
        </is>
      </c>
      <c r="N2142" s="9" t="n">
        <v>1</v>
      </c>
      <c r="O2142" s="9" t="n">
        <v>1</v>
      </c>
      <c r="P2142" s="9" t="n"/>
      <c r="Q2142" s="9" t="n"/>
      <c r="R2142" s="9" t="n"/>
      <c r="S2142" s="9" t="inlineStr">
        <is>
          <t>Duct bank</t>
        </is>
      </c>
      <c r="T2142" s="10" t="n">
        <v>205</v>
      </c>
      <c r="U2142" s="10" t="n">
        <v>42</v>
      </c>
      <c r="V2142" s="10">
        <f>ROUNDUP((T2142+U2142+2*'Read Me'!$B$13)*(1+'Read Me'!$B$12),-1)</f>
        <v/>
      </c>
      <c r="W2142" s="10">
        <f>V2142*N2142*O2142</f>
        <v/>
      </c>
      <c r="X2142" s="9">
        <f>IF(LEFT(I2142,2)="MV",2*N2142*IF(L2142="1/C",O2142,1),0)</f>
        <v/>
      </c>
      <c r="Y2142" s="9">
        <f>IF(OR(LEFT(K2142,4)="LVAX",LEFT(K2142,6)="MV15AX",LEFT(K2142,4)="CTAX",LEFT(K2142,2)="W|"),2*N2142*O2142,0)</f>
        <v/>
      </c>
      <c r="Z2142" s="9" t="inlineStr"/>
    </row>
    <row r="2143">
      <c r="A2143" s="9" t="inlineStr">
        <is>
          <t>I-I-0051</t>
        </is>
      </c>
      <c r="B2143" s="9" t="inlineStr">
        <is>
          <t>I</t>
        </is>
      </c>
      <c r="C2143" s="9" t="inlineStr">
        <is>
          <t>Modular / portable power</t>
        </is>
      </c>
      <c r="D2143" s="9" t="inlineStr">
        <is>
          <t>Thermocouples</t>
        </is>
      </c>
      <c r="E2143" s="9" t="inlineStr"/>
      <c r="F2143" s="9" t="inlineStr">
        <is>
          <t>PCM: power control module</t>
        </is>
      </c>
      <c r="G2143" s="9" t="inlineStr">
        <is>
          <t>FC-12</t>
        </is>
      </c>
      <c r="H2143" s="9" t="inlineStr">
        <is>
          <t>FC-12: SOFC module (Bloom ES5 class, 200-300 kW)</t>
        </is>
      </c>
      <c r="I2143" s="9" t="inlineStr">
        <is>
          <t>Instrumentation</t>
        </is>
      </c>
      <c r="J2143" s="9" t="inlineStr">
        <is>
          <t>Thermocouple extension KX, #16 shielded pairs, PLTC</t>
        </is>
      </c>
      <c r="K2143" s="9" t="inlineStr">
        <is>
          <t>TCX|12 pr|16</t>
        </is>
      </c>
      <c r="L2143" s="9" t="inlineStr">
        <is>
          <t>12 pr</t>
        </is>
      </c>
      <c r="M2143" s="9" t="inlineStr">
        <is>
          <t>16</t>
        </is>
      </c>
      <c r="N2143" s="9" t="n">
        <v>1</v>
      </c>
      <c r="O2143" s="9" t="n">
        <v>1</v>
      </c>
      <c r="P2143" s="9" t="n"/>
      <c r="Q2143" s="9" t="n"/>
      <c r="R2143" s="9" t="n"/>
      <c r="S2143" s="9" t="inlineStr">
        <is>
          <t>Duct bank</t>
        </is>
      </c>
      <c r="T2143" s="10" t="n">
        <v>205</v>
      </c>
      <c r="U2143" s="10" t="n">
        <v>42</v>
      </c>
      <c r="V2143" s="10">
        <f>ROUNDUP((T2143+U2143+2*'Read Me'!$B$13)*(1+'Read Me'!$B$12),-1)</f>
        <v/>
      </c>
      <c r="W2143" s="10">
        <f>V2143*N2143*O2143</f>
        <v/>
      </c>
      <c r="X2143" s="9">
        <f>IF(LEFT(I2143,2)="MV",2*N2143*IF(L2143="1/C",O2143,1),0)</f>
        <v/>
      </c>
      <c r="Y2143" s="9">
        <f>IF(OR(LEFT(K2143,4)="LVAX",LEFT(K2143,6)="MV15AX",LEFT(K2143,4)="CTAX",LEFT(K2143,2)="W|"),2*N2143*O2143,0)</f>
        <v/>
      </c>
      <c r="Z2143" s="9" t="inlineStr"/>
    </row>
    <row r="2144">
      <c r="A2144" s="9" t="inlineStr">
        <is>
          <t>I-I-0052</t>
        </is>
      </c>
      <c r="B2144" s="9" t="inlineStr">
        <is>
          <t>I</t>
        </is>
      </c>
      <c r="C2144" s="9" t="inlineStr">
        <is>
          <t>Modular / portable power</t>
        </is>
      </c>
      <c r="D2144" s="9" t="inlineStr">
        <is>
          <t>Thermocouples</t>
        </is>
      </c>
      <c r="E2144" s="9" t="inlineStr"/>
      <c r="F2144" s="9" t="inlineStr">
        <is>
          <t>PCM: power control module</t>
        </is>
      </c>
      <c r="G2144" s="9" t="inlineStr">
        <is>
          <t>FC-12</t>
        </is>
      </c>
      <c r="H2144" s="9" t="inlineStr">
        <is>
          <t>FC-12: SOFC module (Bloom ES5 class, 200-300 kW)</t>
        </is>
      </c>
      <c r="I2144" s="9" t="inlineStr">
        <is>
          <t>Instrumentation</t>
        </is>
      </c>
      <c r="J2144" s="9" t="inlineStr">
        <is>
          <t>Thermocouple extension KX, #16 shielded pairs, PLTC</t>
        </is>
      </c>
      <c r="K2144" s="9" t="inlineStr">
        <is>
          <t>TCX|12 pr|16</t>
        </is>
      </c>
      <c r="L2144" s="9" t="inlineStr">
        <is>
          <t>12 pr</t>
        </is>
      </c>
      <c r="M2144" s="9" t="inlineStr">
        <is>
          <t>16</t>
        </is>
      </c>
      <c r="N2144" s="9" t="n">
        <v>1</v>
      </c>
      <c r="O2144" s="9" t="n">
        <v>1</v>
      </c>
      <c r="P2144" s="9" t="n"/>
      <c r="Q2144" s="9" t="n"/>
      <c r="R2144" s="9" t="n"/>
      <c r="S2144" s="9" t="inlineStr">
        <is>
          <t>Duct bank</t>
        </is>
      </c>
      <c r="T2144" s="10" t="n">
        <v>205</v>
      </c>
      <c r="U2144" s="10" t="n">
        <v>42</v>
      </c>
      <c r="V2144" s="10">
        <f>ROUNDUP((T2144+U2144+2*'Read Me'!$B$13)*(1+'Read Me'!$B$12),-1)</f>
        <v/>
      </c>
      <c r="W2144" s="10">
        <f>V2144*N2144*O2144</f>
        <v/>
      </c>
      <c r="X2144" s="9">
        <f>IF(LEFT(I2144,2)="MV",2*N2144*IF(L2144="1/C",O2144,1),0)</f>
        <v/>
      </c>
      <c r="Y2144" s="9">
        <f>IF(OR(LEFT(K2144,4)="LVAX",LEFT(K2144,6)="MV15AX",LEFT(K2144,4)="CTAX",LEFT(K2144,2)="W|"),2*N2144*O2144,0)</f>
        <v/>
      </c>
      <c r="Z2144" s="9" t="inlineStr"/>
    </row>
    <row r="2145">
      <c r="A2145" s="9" t="inlineStr">
        <is>
          <t>I-I-0053</t>
        </is>
      </c>
      <c r="B2145" s="9" t="inlineStr">
        <is>
          <t>I</t>
        </is>
      </c>
      <c r="C2145" s="9" t="inlineStr">
        <is>
          <t>Modular / portable power</t>
        </is>
      </c>
      <c r="D2145" s="9" t="inlineStr">
        <is>
          <t>Instrumentation</t>
        </is>
      </c>
      <c r="E2145" s="9" t="inlineStr"/>
      <c r="F2145" s="9" t="inlineStr">
        <is>
          <t>PCM: power control module</t>
        </is>
      </c>
      <c r="G2145" s="9" t="inlineStr"/>
      <c r="H2145" s="9" t="inlineStr">
        <is>
          <t>FC-1: SOFC module (Bloom ES5 class, 200-300 kW)</t>
        </is>
      </c>
      <c r="I2145" s="9" t="inlineStr">
        <is>
          <t>Instrumentation</t>
        </is>
      </c>
      <c r="J2145" s="9" t="inlineStr">
        <is>
          <t>Instrumentation PLTC / TC-ER 300 V, #18 twisted shielded pairs, overall shield</t>
        </is>
      </c>
      <c r="K2145" s="9" t="inlineStr">
        <is>
          <t>PLTC|4 pr|18</t>
        </is>
      </c>
      <c r="L2145" s="9" t="inlineStr">
        <is>
          <t>4 pr</t>
        </is>
      </c>
      <c r="M2145" s="9" t="inlineStr">
        <is>
          <t>18</t>
        </is>
      </c>
      <c r="N2145" s="9" t="n">
        <v>1</v>
      </c>
      <c r="O2145" s="9" t="n">
        <v>1</v>
      </c>
      <c r="P2145" s="9" t="n"/>
      <c r="Q2145" s="9" t="n"/>
      <c r="R2145" s="9" t="n"/>
      <c r="S2145" s="9" t="inlineStr">
        <is>
          <t>Duct bank</t>
        </is>
      </c>
      <c r="T2145" s="10" t="n">
        <v>1074</v>
      </c>
      <c r="U2145" s="10" t="n">
        <v>94</v>
      </c>
      <c r="V2145" s="10">
        <f>ROUNDUP((T2145+U2145+2*'Read Me'!$B$13)*(1+'Read Me'!$B$12),-1)</f>
        <v/>
      </c>
      <c r="W2145" s="10">
        <f>V2145*N2145*O2145</f>
        <v/>
      </c>
      <c r="X2145" s="9">
        <f>IF(LEFT(I2145,2)="MV",2*N2145*IF(L2145="1/C",O2145,1),0)</f>
        <v/>
      </c>
      <c r="Y2145" s="9">
        <f>IF(OR(LEFT(K2145,4)="LVAX",LEFT(K2145,6)="MV15AX",LEFT(K2145,4)="CTAX",LEFT(K2145,2)="W|"),2*N2145*O2145,0)</f>
        <v/>
      </c>
      <c r="Z2145" s="9" t="inlineStr"/>
    </row>
    <row r="2146">
      <c r="A2146" s="9" t="inlineStr">
        <is>
          <t>I-I-0054</t>
        </is>
      </c>
      <c r="B2146" s="9" t="inlineStr">
        <is>
          <t>I</t>
        </is>
      </c>
      <c r="C2146" s="9" t="inlineStr">
        <is>
          <t>Modular / portable power</t>
        </is>
      </c>
      <c r="D2146" s="9" t="inlineStr">
        <is>
          <t>Instrumentation</t>
        </is>
      </c>
      <c r="E2146" s="9" t="inlineStr"/>
      <c r="F2146" s="9" t="inlineStr">
        <is>
          <t>PCM: power control module</t>
        </is>
      </c>
      <c r="G2146" s="9" t="inlineStr"/>
      <c r="H2146" s="9" t="inlineStr">
        <is>
          <t>FC-1: SOFC module (Bloom ES5 class, 200-300 kW)</t>
        </is>
      </c>
      <c r="I2146" s="9" t="inlineStr">
        <is>
          <t>Instrumentation</t>
        </is>
      </c>
      <c r="J2146" s="9" t="inlineStr">
        <is>
          <t>Instrumentation PLTC / TC-ER 300 V, #18 twisted shielded pairs, overall shield</t>
        </is>
      </c>
      <c r="K2146" s="9" t="inlineStr">
        <is>
          <t>PLTC|12 pr|18</t>
        </is>
      </c>
      <c r="L2146" s="9" t="inlineStr">
        <is>
          <t>12 pr</t>
        </is>
      </c>
      <c r="M2146" s="9" t="inlineStr">
        <is>
          <t>18</t>
        </is>
      </c>
      <c r="N2146" s="9" t="n">
        <v>1</v>
      </c>
      <c r="O2146" s="9" t="n">
        <v>1</v>
      </c>
      <c r="P2146" s="9" t="n"/>
      <c r="Q2146" s="9" t="n"/>
      <c r="R2146" s="9" t="n"/>
      <c r="S2146" s="9" t="inlineStr">
        <is>
          <t>Duct bank</t>
        </is>
      </c>
      <c r="T2146" s="10" t="n">
        <v>1074</v>
      </c>
      <c r="U2146" s="10" t="n">
        <v>94</v>
      </c>
      <c r="V2146" s="10">
        <f>ROUNDUP((T2146+U2146+2*'Read Me'!$B$13)*(1+'Read Me'!$B$12),-1)</f>
        <v/>
      </c>
      <c r="W2146" s="10">
        <f>V2146*N2146*O2146</f>
        <v/>
      </c>
      <c r="X2146" s="9">
        <f>IF(LEFT(I2146,2)="MV",2*N2146*IF(L2146="1/C",O2146,1),0)</f>
        <v/>
      </c>
      <c r="Y2146" s="9">
        <f>IF(OR(LEFT(K2146,4)="LVAX",LEFT(K2146,6)="MV15AX",LEFT(K2146,4)="CTAX",LEFT(K2146,2)="W|"),2*N2146*O2146,0)</f>
        <v/>
      </c>
      <c r="Z2146" s="9" t="inlineStr"/>
    </row>
    <row r="2147">
      <c r="A2147" s="9" t="inlineStr">
        <is>
          <t>I-I-0055</t>
        </is>
      </c>
      <c r="B2147" s="9" t="inlineStr">
        <is>
          <t>I</t>
        </is>
      </c>
      <c r="C2147" s="9" t="inlineStr">
        <is>
          <t>Modular / portable power</t>
        </is>
      </c>
      <c r="D2147" s="9" t="inlineStr">
        <is>
          <t>Thermocouples</t>
        </is>
      </c>
      <c r="E2147" s="9" t="inlineStr"/>
      <c r="F2147" s="9" t="inlineStr">
        <is>
          <t>PCM: power control module</t>
        </is>
      </c>
      <c r="G2147" s="9" t="inlineStr"/>
      <c r="H2147" s="9" t="inlineStr">
        <is>
          <t>FC-1: SOFC module (Bloom ES5 class, 200-300 kW)</t>
        </is>
      </c>
      <c r="I2147" s="9" t="inlineStr">
        <is>
          <t>Instrumentation</t>
        </is>
      </c>
      <c r="J2147" s="9" t="inlineStr">
        <is>
          <t>Thermocouple extension KX, #16 shielded pairs, PLTC</t>
        </is>
      </c>
      <c r="K2147" s="9" t="inlineStr">
        <is>
          <t>TCX|12 pr|16</t>
        </is>
      </c>
      <c r="L2147" s="9" t="inlineStr">
        <is>
          <t>12 pr</t>
        </is>
      </c>
      <c r="M2147" s="9" t="inlineStr">
        <is>
          <t>16</t>
        </is>
      </c>
      <c r="N2147" s="9" t="n">
        <v>1</v>
      </c>
      <c r="O2147" s="9" t="n">
        <v>1</v>
      </c>
      <c r="P2147" s="9" t="n"/>
      <c r="Q2147" s="9" t="n"/>
      <c r="R2147" s="9" t="n"/>
      <c r="S2147" s="9" t="inlineStr">
        <is>
          <t>Duct bank</t>
        </is>
      </c>
      <c r="T2147" s="10" t="n">
        <v>1074</v>
      </c>
      <c r="U2147" s="10" t="n">
        <v>94</v>
      </c>
      <c r="V2147" s="10">
        <f>ROUNDUP((T2147+U2147+2*'Read Me'!$B$13)*(1+'Read Me'!$B$12),-1)</f>
        <v/>
      </c>
      <c r="W2147" s="10">
        <f>V2147*N2147*O2147</f>
        <v/>
      </c>
      <c r="X2147" s="9">
        <f>IF(LEFT(I2147,2)="MV",2*N2147*IF(L2147="1/C",O2147,1),0)</f>
        <v/>
      </c>
      <c r="Y2147" s="9">
        <f>IF(OR(LEFT(K2147,4)="LVAX",LEFT(K2147,6)="MV15AX",LEFT(K2147,4)="CTAX",LEFT(K2147,2)="W|"),2*N2147*O2147,0)</f>
        <v/>
      </c>
      <c r="Z2147" s="9" t="inlineStr"/>
    </row>
    <row r="2148">
      <c r="A2148" s="9" t="inlineStr">
        <is>
          <t>I-I-0056</t>
        </is>
      </c>
      <c r="B2148" s="9" t="inlineStr">
        <is>
          <t>I</t>
        </is>
      </c>
      <c r="C2148" s="9" t="inlineStr">
        <is>
          <t>Modular / portable power</t>
        </is>
      </c>
      <c r="D2148" s="9" t="inlineStr">
        <is>
          <t>Thermocouples</t>
        </is>
      </c>
      <c r="E2148" s="9" t="inlineStr"/>
      <c r="F2148" s="9" t="inlineStr">
        <is>
          <t>PCM: power control module</t>
        </is>
      </c>
      <c r="G2148" s="9" t="inlineStr"/>
      <c r="H2148" s="9" t="inlineStr">
        <is>
          <t>FC-1: SOFC module (Bloom ES5 class, 200-300 kW)</t>
        </is>
      </c>
      <c r="I2148" s="9" t="inlineStr">
        <is>
          <t>Instrumentation</t>
        </is>
      </c>
      <c r="J2148" s="9" t="inlineStr">
        <is>
          <t>Thermocouple extension KX, #16 shielded pairs, PLTC</t>
        </is>
      </c>
      <c r="K2148" s="9" t="inlineStr">
        <is>
          <t>TCX|12 pr|16</t>
        </is>
      </c>
      <c r="L2148" s="9" t="inlineStr">
        <is>
          <t>12 pr</t>
        </is>
      </c>
      <c r="M2148" s="9" t="inlineStr">
        <is>
          <t>16</t>
        </is>
      </c>
      <c r="N2148" s="9" t="n">
        <v>1</v>
      </c>
      <c r="O2148" s="9" t="n">
        <v>1</v>
      </c>
      <c r="P2148" s="9" t="n"/>
      <c r="Q2148" s="9" t="n"/>
      <c r="R2148" s="9" t="n"/>
      <c r="S2148" s="9" t="inlineStr">
        <is>
          <t>Duct bank</t>
        </is>
      </c>
      <c r="T2148" s="10" t="n">
        <v>1074</v>
      </c>
      <c r="U2148" s="10" t="n">
        <v>94</v>
      </c>
      <c r="V2148" s="10">
        <f>ROUNDUP((T2148+U2148+2*'Read Me'!$B$13)*(1+'Read Me'!$B$12),-1)</f>
        <v/>
      </c>
      <c r="W2148" s="10">
        <f>V2148*N2148*O2148</f>
        <v/>
      </c>
      <c r="X2148" s="9">
        <f>IF(LEFT(I2148,2)="MV",2*N2148*IF(L2148="1/C",O2148,1),0)</f>
        <v/>
      </c>
      <c r="Y2148" s="9">
        <f>IF(OR(LEFT(K2148,4)="LVAX",LEFT(K2148,6)="MV15AX",LEFT(K2148,4)="CTAX",LEFT(K2148,2)="W|"),2*N2148*O2148,0)</f>
        <v/>
      </c>
      <c r="Z2148" s="9" t="inlineStr"/>
    </row>
    <row r="2149">
      <c r="A2149" s="9" t="inlineStr">
        <is>
          <t>I-I-0057</t>
        </is>
      </c>
      <c r="B2149" s="9" t="inlineStr">
        <is>
          <t>I</t>
        </is>
      </c>
      <c r="C2149" s="9" t="inlineStr">
        <is>
          <t>Modular / portable power</t>
        </is>
      </c>
      <c r="D2149" s="9" t="inlineStr">
        <is>
          <t>Instrumentation</t>
        </is>
      </c>
      <c r="E2149" s="9" t="inlineStr"/>
      <c r="F2149" s="9" t="inlineStr">
        <is>
          <t>PCM: power control module</t>
        </is>
      </c>
      <c r="G2149" s="9" t="inlineStr"/>
      <c r="H2149" s="9" t="inlineStr">
        <is>
          <t>FC-2: SOFC module (Bloom ES5 class, 200-300 kW)</t>
        </is>
      </c>
      <c r="I2149" s="9" t="inlineStr">
        <is>
          <t>Instrumentation</t>
        </is>
      </c>
      <c r="J2149" s="9" t="inlineStr">
        <is>
          <t>Instrumentation PLTC / TC-ER 300 V, #18 twisted shielded pairs, overall shield</t>
        </is>
      </c>
      <c r="K2149" s="9" t="inlineStr">
        <is>
          <t>PLTC|4 pr|18</t>
        </is>
      </c>
      <c r="L2149" s="9" t="inlineStr">
        <is>
          <t>4 pr</t>
        </is>
      </c>
      <c r="M2149" s="9" t="inlineStr">
        <is>
          <t>18</t>
        </is>
      </c>
      <c r="N2149" s="9" t="n">
        <v>1</v>
      </c>
      <c r="O2149" s="9" t="n">
        <v>1</v>
      </c>
      <c r="P2149" s="9" t="n"/>
      <c r="Q2149" s="9" t="n"/>
      <c r="R2149" s="9" t="n"/>
      <c r="S2149" s="9" t="inlineStr">
        <is>
          <t>Duct bank</t>
        </is>
      </c>
      <c r="T2149" s="10" t="n">
        <v>1074</v>
      </c>
      <c r="U2149" s="10" t="n">
        <v>80</v>
      </c>
      <c r="V2149" s="10">
        <f>ROUNDUP((T2149+U2149+2*'Read Me'!$B$13)*(1+'Read Me'!$B$12),-1)</f>
        <v/>
      </c>
      <c r="W2149" s="10">
        <f>V2149*N2149*O2149</f>
        <v/>
      </c>
      <c r="X2149" s="9">
        <f>IF(LEFT(I2149,2)="MV",2*N2149*IF(L2149="1/C",O2149,1),0)</f>
        <v/>
      </c>
      <c r="Y2149" s="9">
        <f>IF(OR(LEFT(K2149,4)="LVAX",LEFT(K2149,6)="MV15AX",LEFT(K2149,4)="CTAX",LEFT(K2149,2)="W|"),2*N2149*O2149,0)</f>
        <v/>
      </c>
      <c r="Z2149" s="9" t="inlineStr"/>
    </row>
    <row r="2150">
      <c r="A2150" s="9" t="inlineStr">
        <is>
          <t>I-I-0058</t>
        </is>
      </c>
      <c r="B2150" s="9" t="inlineStr">
        <is>
          <t>I</t>
        </is>
      </c>
      <c r="C2150" s="9" t="inlineStr">
        <is>
          <t>Modular / portable power</t>
        </is>
      </c>
      <c r="D2150" s="9" t="inlineStr">
        <is>
          <t>Instrumentation</t>
        </is>
      </c>
      <c r="E2150" s="9" t="inlineStr"/>
      <c r="F2150" s="9" t="inlineStr">
        <is>
          <t>PCM: power control module</t>
        </is>
      </c>
      <c r="G2150" s="9" t="inlineStr"/>
      <c r="H2150" s="9" t="inlineStr">
        <is>
          <t>FC-2: SOFC module (Bloom ES5 class, 200-300 kW)</t>
        </is>
      </c>
      <c r="I2150" s="9" t="inlineStr">
        <is>
          <t>Instrumentation</t>
        </is>
      </c>
      <c r="J2150" s="9" t="inlineStr">
        <is>
          <t>Instrumentation PLTC / TC-ER 300 V, #18 twisted shielded pairs, overall shield</t>
        </is>
      </c>
      <c r="K2150" s="9" t="inlineStr">
        <is>
          <t>PLTC|12 pr|18</t>
        </is>
      </c>
      <c r="L2150" s="9" t="inlineStr">
        <is>
          <t>12 pr</t>
        </is>
      </c>
      <c r="M2150" s="9" t="inlineStr">
        <is>
          <t>18</t>
        </is>
      </c>
      <c r="N2150" s="9" t="n">
        <v>1</v>
      </c>
      <c r="O2150" s="9" t="n">
        <v>1</v>
      </c>
      <c r="P2150" s="9" t="n"/>
      <c r="Q2150" s="9" t="n"/>
      <c r="R2150" s="9" t="n"/>
      <c r="S2150" s="9" t="inlineStr">
        <is>
          <t>Duct bank</t>
        </is>
      </c>
      <c r="T2150" s="10" t="n">
        <v>1074</v>
      </c>
      <c r="U2150" s="10" t="n">
        <v>80</v>
      </c>
      <c r="V2150" s="10">
        <f>ROUNDUP((T2150+U2150+2*'Read Me'!$B$13)*(1+'Read Me'!$B$12),-1)</f>
        <v/>
      </c>
      <c r="W2150" s="10">
        <f>V2150*N2150*O2150</f>
        <v/>
      </c>
      <c r="X2150" s="9">
        <f>IF(LEFT(I2150,2)="MV",2*N2150*IF(L2150="1/C",O2150,1),0)</f>
        <v/>
      </c>
      <c r="Y2150" s="9">
        <f>IF(OR(LEFT(K2150,4)="LVAX",LEFT(K2150,6)="MV15AX",LEFT(K2150,4)="CTAX",LEFT(K2150,2)="W|"),2*N2150*O2150,0)</f>
        <v/>
      </c>
      <c r="Z2150" s="9" t="inlineStr"/>
    </row>
    <row r="2151">
      <c r="A2151" s="9" t="inlineStr">
        <is>
          <t>I-I-0059</t>
        </is>
      </c>
      <c r="B2151" s="9" t="inlineStr">
        <is>
          <t>I</t>
        </is>
      </c>
      <c r="C2151" s="9" t="inlineStr">
        <is>
          <t>Modular / portable power</t>
        </is>
      </c>
      <c r="D2151" s="9" t="inlineStr">
        <is>
          <t>Thermocouples</t>
        </is>
      </c>
      <c r="E2151" s="9" t="inlineStr"/>
      <c r="F2151" s="9" t="inlineStr">
        <is>
          <t>PCM: power control module</t>
        </is>
      </c>
      <c r="G2151" s="9" t="inlineStr"/>
      <c r="H2151" s="9" t="inlineStr">
        <is>
          <t>FC-2: SOFC module (Bloom ES5 class, 200-300 kW)</t>
        </is>
      </c>
      <c r="I2151" s="9" t="inlineStr">
        <is>
          <t>Instrumentation</t>
        </is>
      </c>
      <c r="J2151" s="9" t="inlineStr">
        <is>
          <t>Thermocouple extension KX, #16 shielded pairs, PLTC</t>
        </is>
      </c>
      <c r="K2151" s="9" t="inlineStr">
        <is>
          <t>TCX|12 pr|16</t>
        </is>
      </c>
      <c r="L2151" s="9" t="inlineStr">
        <is>
          <t>12 pr</t>
        </is>
      </c>
      <c r="M2151" s="9" t="inlineStr">
        <is>
          <t>16</t>
        </is>
      </c>
      <c r="N2151" s="9" t="n">
        <v>1</v>
      </c>
      <c r="O2151" s="9" t="n">
        <v>1</v>
      </c>
      <c r="P2151" s="9" t="n"/>
      <c r="Q2151" s="9" t="n"/>
      <c r="R2151" s="9" t="n"/>
      <c r="S2151" s="9" t="inlineStr">
        <is>
          <t>Duct bank</t>
        </is>
      </c>
      <c r="T2151" s="10" t="n">
        <v>1074</v>
      </c>
      <c r="U2151" s="10" t="n">
        <v>80</v>
      </c>
      <c r="V2151" s="10">
        <f>ROUNDUP((T2151+U2151+2*'Read Me'!$B$13)*(1+'Read Me'!$B$12),-1)</f>
        <v/>
      </c>
      <c r="W2151" s="10">
        <f>V2151*N2151*O2151</f>
        <v/>
      </c>
      <c r="X2151" s="9">
        <f>IF(LEFT(I2151,2)="MV",2*N2151*IF(L2151="1/C",O2151,1),0)</f>
        <v/>
      </c>
      <c r="Y2151" s="9">
        <f>IF(OR(LEFT(K2151,4)="LVAX",LEFT(K2151,6)="MV15AX",LEFT(K2151,4)="CTAX",LEFT(K2151,2)="W|"),2*N2151*O2151,0)</f>
        <v/>
      </c>
      <c r="Z2151" s="9" t="inlineStr"/>
    </row>
    <row r="2152">
      <c r="A2152" s="9" t="inlineStr">
        <is>
          <t>I-I-0060</t>
        </is>
      </c>
      <c r="B2152" s="9" t="inlineStr">
        <is>
          <t>I</t>
        </is>
      </c>
      <c r="C2152" s="9" t="inlineStr">
        <is>
          <t>Modular / portable power</t>
        </is>
      </c>
      <c r="D2152" s="9" t="inlineStr">
        <is>
          <t>Thermocouples</t>
        </is>
      </c>
      <c r="E2152" s="9" t="inlineStr"/>
      <c r="F2152" s="9" t="inlineStr">
        <is>
          <t>PCM: power control module</t>
        </is>
      </c>
      <c r="G2152" s="9" t="inlineStr"/>
      <c r="H2152" s="9" t="inlineStr">
        <is>
          <t>FC-2: SOFC module (Bloom ES5 class, 200-300 kW)</t>
        </is>
      </c>
      <c r="I2152" s="9" t="inlineStr">
        <is>
          <t>Instrumentation</t>
        </is>
      </c>
      <c r="J2152" s="9" t="inlineStr">
        <is>
          <t>Thermocouple extension KX, #16 shielded pairs, PLTC</t>
        </is>
      </c>
      <c r="K2152" s="9" t="inlineStr">
        <is>
          <t>TCX|12 pr|16</t>
        </is>
      </c>
      <c r="L2152" s="9" t="inlineStr">
        <is>
          <t>12 pr</t>
        </is>
      </c>
      <c r="M2152" s="9" t="inlineStr">
        <is>
          <t>16</t>
        </is>
      </c>
      <c r="N2152" s="9" t="n">
        <v>1</v>
      </c>
      <c r="O2152" s="9" t="n">
        <v>1</v>
      </c>
      <c r="P2152" s="9" t="n"/>
      <c r="Q2152" s="9" t="n"/>
      <c r="R2152" s="9" t="n"/>
      <c r="S2152" s="9" t="inlineStr">
        <is>
          <t>Duct bank</t>
        </is>
      </c>
      <c r="T2152" s="10" t="n">
        <v>1074</v>
      </c>
      <c r="U2152" s="10" t="n">
        <v>80</v>
      </c>
      <c r="V2152" s="10">
        <f>ROUNDUP((T2152+U2152+2*'Read Me'!$B$13)*(1+'Read Me'!$B$12),-1)</f>
        <v/>
      </c>
      <c r="W2152" s="10">
        <f>V2152*N2152*O2152</f>
        <v/>
      </c>
      <c r="X2152" s="9">
        <f>IF(LEFT(I2152,2)="MV",2*N2152*IF(L2152="1/C",O2152,1),0)</f>
        <v/>
      </c>
      <c r="Y2152" s="9">
        <f>IF(OR(LEFT(K2152,4)="LVAX",LEFT(K2152,6)="MV15AX",LEFT(K2152,4)="CTAX",LEFT(K2152,2)="W|"),2*N2152*O2152,0)</f>
        <v/>
      </c>
      <c r="Z2152" s="9" t="inlineStr"/>
    </row>
    <row r="2153">
      <c r="A2153" s="9" t="inlineStr">
        <is>
          <t>I-I-0061</t>
        </is>
      </c>
      <c r="B2153" s="9" t="inlineStr">
        <is>
          <t>I</t>
        </is>
      </c>
      <c r="C2153" s="9" t="inlineStr">
        <is>
          <t>Modular / portable power</t>
        </is>
      </c>
      <c r="D2153" s="9" t="inlineStr">
        <is>
          <t>Instrumentation</t>
        </is>
      </c>
      <c r="E2153" s="9" t="inlineStr"/>
      <c r="F2153" s="9" t="inlineStr">
        <is>
          <t>PCM: power control module</t>
        </is>
      </c>
      <c r="G2153" s="9" t="inlineStr"/>
      <c r="H2153" s="9" t="inlineStr">
        <is>
          <t>FC-3: SOFC module (Bloom ES5 class, 200-300 kW)</t>
        </is>
      </c>
      <c r="I2153" s="9" t="inlineStr">
        <is>
          <t>Instrumentation</t>
        </is>
      </c>
      <c r="J2153" s="9" t="inlineStr">
        <is>
          <t>Instrumentation PLTC / TC-ER 300 V, #18 twisted shielded pairs, overall shield</t>
        </is>
      </c>
      <c r="K2153" s="9" t="inlineStr">
        <is>
          <t>PLTC|4 pr|18</t>
        </is>
      </c>
      <c r="L2153" s="9" t="inlineStr">
        <is>
          <t>4 pr</t>
        </is>
      </c>
      <c r="M2153" s="9" t="inlineStr">
        <is>
          <t>18</t>
        </is>
      </c>
      <c r="N2153" s="9" t="n">
        <v>1</v>
      </c>
      <c r="O2153" s="9" t="n">
        <v>1</v>
      </c>
      <c r="P2153" s="9" t="n"/>
      <c r="Q2153" s="9" t="n"/>
      <c r="R2153" s="9" t="n"/>
      <c r="S2153" s="9" t="inlineStr">
        <is>
          <t>Duct bank</t>
        </is>
      </c>
      <c r="T2153" s="10" t="n">
        <v>1074</v>
      </c>
      <c r="U2153" s="10" t="n">
        <v>66</v>
      </c>
      <c r="V2153" s="10">
        <f>ROUNDUP((T2153+U2153+2*'Read Me'!$B$13)*(1+'Read Me'!$B$12),-1)</f>
        <v/>
      </c>
      <c r="W2153" s="10">
        <f>V2153*N2153*O2153</f>
        <v/>
      </c>
      <c r="X2153" s="9">
        <f>IF(LEFT(I2153,2)="MV",2*N2153*IF(L2153="1/C",O2153,1),0)</f>
        <v/>
      </c>
      <c r="Y2153" s="9">
        <f>IF(OR(LEFT(K2153,4)="LVAX",LEFT(K2153,6)="MV15AX",LEFT(K2153,4)="CTAX",LEFT(K2153,2)="W|"),2*N2153*O2153,0)</f>
        <v/>
      </c>
      <c r="Z2153" s="9" t="inlineStr"/>
    </row>
    <row r="2154">
      <c r="A2154" s="9" t="inlineStr">
        <is>
          <t>I-I-0062</t>
        </is>
      </c>
      <c r="B2154" s="9" t="inlineStr">
        <is>
          <t>I</t>
        </is>
      </c>
      <c r="C2154" s="9" t="inlineStr">
        <is>
          <t>Modular / portable power</t>
        </is>
      </c>
      <c r="D2154" s="9" t="inlineStr">
        <is>
          <t>Instrumentation</t>
        </is>
      </c>
      <c r="E2154" s="9" t="inlineStr"/>
      <c r="F2154" s="9" t="inlineStr">
        <is>
          <t>PCM: power control module</t>
        </is>
      </c>
      <c r="G2154" s="9" t="inlineStr"/>
      <c r="H2154" s="9" t="inlineStr">
        <is>
          <t>FC-3: SOFC module (Bloom ES5 class, 200-300 kW)</t>
        </is>
      </c>
      <c r="I2154" s="9" t="inlineStr">
        <is>
          <t>Instrumentation</t>
        </is>
      </c>
      <c r="J2154" s="9" t="inlineStr">
        <is>
          <t>Instrumentation PLTC / TC-ER 300 V, #18 twisted shielded pairs, overall shield</t>
        </is>
      </c>
      <c r="K2154" s="9" t="inlineStr">
        <is>
          <t>PLTC|12 pr|18</t>
        </is>
      </c>
      <c r="L2154" s="9" t="inlineStr">
        <is>
          <t>12 pr</t>
        </is>
      </c>
      <c r="M2154" s="9" t="inlineStr">
        <is>
          <t>18</t>
        </is>
      </c>
      <c r="N2154" s="9" t="n">
        <v>1</v>
      </c>
      <c r="O2154" s="9" t="n">
        <v>1</v>
      </c>
      <c r="P2154" s="9" t="n"/>
      <c r="Q2154" s="9" t="n"/>
      <c r="R2154" s="9" t="n"/>
      <c r="S2154" s="9" t="inlineStr">
        <is>
          <t>Duct bank</t>
        </is>
      </c>
      <c r="T2154" s="10" t="n">
        <v>1074</v>
      </c>
      <c r="U2154" s="10" t="n">
        <v>66</v>
      </c>
      <c r="V2154" s="10">
        <f>ROUNDUP((T2154+U2154+2*'Read Me'!$B$13)*(1+'Read Me'!$B$12),-1)</f>
        <v/>
      </c>
      <c r="W2154" s="10">
        <f>V2154*N2154*O2154</f>
        <v/>
      </c>
      <c r="X2154" s="9">
        <f>IF(LEFT(I2154,2)="MV",2*N2154*IF(L2154="1/C",O2154,1),0)</f>
        <v/>
      </c>
      <c r="Y2154" s="9">
        <f>IF(OR(LEFT(K2154,4)="LVAX",LEFT(K2154,6)="MV15AX",LEFT(K2154,4)="CTAX",LEFT(K2154,2)="W|"),2*N2154*O2154,0)</f>
        <v/>
      </c>
      <c r="Z2154" s="9" t="inlineStr"/>
    </row>
    <row r="2155">
      <c r="A2155" s="9" t="inlineStr">
        <is>
          <t>I-I-0063</t>
        </is>
      </c>
      <c r="B2155" s="9" t="inlineStr">
        <is>
          <t>I</t>
        </is>
      </c>
      <c r="C2155" s="9" t="inlineStr">
        <is>
          <t>Modular / portable power</t>
        </is>
      </c>
      <c r="D2155" s="9" t="inlineStr">
        <is>
          <t>Thermocouples</t>
        </is>
      </c>
      <c r="E2155" s="9" t="inlineStr"/>
      <c r="F2155" s="9" t="inlineStr">
        <is>
          <t>PCM: power control module</t>
        </is>
      </c>
      <c r="G2155" s="9" t="inlineStr"/>
      <c r="H2155" s="9" t="inlineStr">
        <is>
          <t>FC-3: SOFC module (Bloom ES5 class, 200-300 kW)</t>
        </is>
      </c>
      <c r="I2155" s="9" t="inlineStr">
        <is>
          <t>Instrumentation</t>
        </is>
      </c>
      <c r="J2155" s="9" t="inlineStr">
        <is>
          <t>Thermocouple extension KX, #16 shielded pairs, PLTC</t>
        </is>
      </c>
      <c r="K2155" s="9" t="inlineStr">
        <is>
          <t>TCX|12 pr|16</t>
        </is>
      </c>
      <c r="L2155" s="9" t="inlineStr">
        <is>
          <t>12 pr</t>
        </is>
      </c>
      <c r="M2155" s="9" t="inlineStr">
        <is>
          <t>16</t>
        </is>
      </c>
      <c r="N2155" s="9" t="n">
        <v>1</v>
      </c>
      <c r="O2155" s="9" t="n">
        <v>1</v>
      </c>
      <c r="P2155" s="9" t="n"/>
      <c r="Q2155" s="9" t="n"/>
      <c r="R2155" s="9" t="n"/>
      <c r="S2155" s="9" t="inlineStr">
        <is>
          <t>Duct bank</t>
        </is>
      </c>
      <c r="T2155" s="10" t="n">
        <v>1074</v>
      </c>
      <c r="U2155" s="10" t="n">
        <v>66</v>
      </c>
      <c r="V2155" s="10">
        <f>ROUNDUP((T2155+U2155+2*'Read Me'!$B$13)*(1+'Read Me'!$B$12),-1)</f>
        <v/>
      </c>
      <c r="W2155" s="10">
        <f>V2155*N2155*O2155</f>
        <v/>
      </c>
      <c r="X2155" s="9">
        <f>IF(LEFT(I2155,2)="MV",2*N2155*IF(L2155="1/C",O2155,1),0)</f>
        <v/>
      </c>
      <c r="Y2155" s="9">
        <f>IF(OR(LEFT(K2155,4)="LVAX",LEFT(K2155,6)="MV15AX",LEFT(K2155,4)="CTAX",LEFT(K2155,2)="W|"),2*N2155*O2155,0)</f>
        <v/>
      </c>
      <c r="Z2155" s="9" t="inlineStr"/>
    </row>
    <row r="2156">
      <c r="A2156" s="9" t="inlineStr">
        <is>
          <t>I-I-0064</t>
        </is>
      </c>
      <c r="B2156" s="9" t="inlineStr">
        <is>
          <t>I</t>
        </is>
      </c>
      <c r="C2156" s="9" t="inlineStr">
        <is>
          <t>Modular / portable power</t>
        </is>
      </c>
      <c r="D2156" s="9" t="inlineStr">
        <is>
          <t>Thermocouples</t>
        </is>
      </c>
      <c r="E2156" s="9" t="inlineStr"/>
      <c r="F2156" s="9" t="inlineStr">
        <is>
          <t>PCM: power control module</t>
        </is>
      </c>
      <c r="G2156" s="9" t="inlineStr"/>
      <c r="H2156" s="9" t="inlineStr">
        <is>
          <t>FC-3: SOFC module (Bloom ES5 class, 200-300 kW)</t>
        </is>
      </c>
      <c r="I2156" s="9" t="inlineStr">
        <is>
          <t>Instrumentation</t>
        </is>
      </c>
      <c r="J2156" s="9" t="inlineStr">
        <is>
          <t>Thermocouple extension KX, #16 shielded pairs, PLTC</t>
        </is>
      </c>
      <c r="K2156" s="9" t="inlineStr">
        <is>
          <t>TCX|12 pr|16</t>
        </is>
      </c>
      <c r="L2156" s="9" t="inlineStr">
        <is>
          <t>12 pr</t>
        </is>
      </c>
      <c r="M2156" s="9" t="inlineStr">
        <is>
          <t>16</t>
        </is>
      </c>
      <c r="N2156" s="9" t="n">
        <v>1</v>
      </c>
      <c r="O2156" s="9" t="n">
        <v>1</v>
      </c>
      <c r="P2156" s="9" t="n"/>
      <c r="Q2156" s="9" t="n"/>
      <c r="R2156" s="9" t="n"/>
      <c r="S2156" s="9" t="inlineStr">
        <is>
          <t>Duct bank</t>
        </is>
      </c>
      <c r="T2156" s="10" t="n">
        <v>1074</v>
      </c>
      <c r="U2156" s="10" t="n">
        <v>66</v>
      </c>
      <c r="V2156" s="10">
        <f>ROUNDUP((T2156+U2156+2*'Read Me'!$B$13)*(1+'Read Me'!$B$12),-1)</f>
        <v/>
      </c>
      <c r="W2156" s="10">
        <f>V2156*N2156*O2156</f>
        <v/>
      </c>
      <c r="X2156" s="9">
        <f>IF(LEFT(I2156,2)="MV",2*N2156*IF(L2156="1/C",O2156,1),0)</f>
        <v/>
      </c>
      <c r="Y2156" s="9">
        <f>IF(OR(LEFT(K2156,4)="LVAX",LEFT(K2156,6)="MV15AX",LEFT(K2156,4)="CTAX",LEFT(K2156,2)="W|"),2*N2156*O2156,0)</f>
        <v/>
      </c>
      <c r="Z2156" s="9" t="inlineStr"/>
    </row>
    <row r="2157">
      <c r="A2157" s="9" t="inlineStr">
        <is>
          <t>I-I-0065</t>
        </is>
      </c>
      <c r="B2157" s="9" t="inlineStr">
        <is>
          <t>I</t>
        </is>
      </c>
      <c r="C2157" s="9" t="inlineStr">
        <is>
          <t>Modular / portable power</t>
        </is>
      </c>
      <c r="D2157" s="9" t="inlineStr">
        <is>
          <t>Instrumentation</t>
        </is>
      </c>
      <c r="E2157" s="9" t="inlineStr"/>
      <c r="F2157" s="9" t="inlineStr">
        <is>
          <t>PCM: power control module</t>
        </is>
      </c>
      <c r="G2157" s="9" t="inlineStr"/>
      <c r="H2157" s="9" t="inlineStr">
        <is>
          <t>FC-4: SOFC module (Bloom ES5 class, 200-300 kW)</t>
        </is>
      </c>
      <c r="I2157" s="9" t="inlineStr">
        <is>
          <t>Instrumentation</t>
        </is>
      </c>
      <c r="J2157" s="9" t="inlineStr">
        <is>
          <t>Instrumentation PLTC / TC-ER 300 V, #18 twisted shielded pairs, overall shield</t>
        </is>
      </c>
      <c r="K2157" s="9" t="inlineStr">
        <is>
          <t>PLTC|4 pr|18</t>
        </is>
      </c>
      <c r="L2157" s="9" t="inlineStr">
        <is>
          <t>4 pr</t>
        </is>
      </c>
      <c r="M2157" s="9" t="inlineStr">
        <is>
          <t>18</t>
        </is>
      </c>
      <c r="N2157" s="9" t="n">
        <v>1</v>
      </c>
      <c r="O2157" s="9" t="n">
        <v>1</v>
      </c>
      <c r="P2157" s="9" t="n"/>
      <c r="Q2157" s="9" t="n"/>
      <c r="R2157" s="9" t="n"/>
      <c r="S2157" s="9" t="inlineStr">
        <is>
          <t>Duct bank</t>
        </is>
      </c>
      <c r="T2157" s="10" t="n">
        <v>1050</v>
      </c>
      <c r="U2157" s="10" t="n">
        <v>68</v>
      </c>
      <c r="V2157" s="10">
        <f>ROUNDUP((T2157+U2157+2*'Read Me'!$B$13)*(1+'Read Me'!$B$12),-1)</f>
        <v/>
      </c>
      <c r="W2157" s="10">
        <f>V2157*N2157*O2157</f>
        <v/>
      </c>
      <c r="X2157" s="9">
        <f>IF(LEFT(I2157,2)="MV",2*N2157*IF(L2157="1/C",O2157,1),0)</f>
        <v/>
      </c>
      <c r="Y2157" s="9">
        <f>IF(OR(LEFT(K2157,4)="LVAX",LEFT(K2157,6)="MV15AX",LEFT(K2157,4)="CTAX",LEFT(K2157,2)="W|"),2*N2157*O2157,0)</f>
        <v/>
      </c>
      <c r="Z2157" s="9" t="inlineStr"/>
    </row>
    <row r="2158">
      <c r="A2158" s="9" t="inlineStr">
        <is>
          <t>I-I-0066</t>
        </is>
      </c>
      <c r="B2158" s="9" t="inlineStr">
        <is>
          <t>I</t>
        </is>
      </c>
      <c r="C2158" s="9" t="inlineStr">
        <is>
          <t>Modular / portable power</t>
        </is>
      </c>
      <c r="D2158" s="9" t="inlineStr">
        <is>
          <t>Instrumentation</t>
        </is>
      </c>
      <c r="E2158" s="9" t="inlineStr"/>
      <c r="F2158" s="9" t="inlineStr">
        <is>
          <t>PCM: power control module</t>
        </is>
      </c>
      <c r="G2158" s="9" t="inlineStr"/>
      <c r="H2158" s="9" t="inlineStr">
        <is>
          <t>FC-4: SOFC module (Bloom ES5 class, 200-300 kW)</t>
        </is>
      </c>
      <c r="I2158" s="9" t="inlineStr">
        <is>
          <t>Instrumentation</t>
        </is>
      </c>
      <c r="J2158" s="9" t="inlineStr">
        <is>
          <t>Instrumentation PLTC / TC-ER 300 V, #18 twisted shielded pairs, overall shield</t>
        </is>
      </c>
      <c r="K2158" s="9" t="inlineStr">
        <is>
          <t>PLTC|12 pr|18</t>
        </is>
      </c>
      <c r="L2158" s="9" t="inlineStr">
        <is>
          <t>12 pr</t>
        </is>
      </c>
      <c r="M2158" s="9" t="inlineStr">
        <is>
          <t>18</t>
        </is>
      </c>
      <c r="N2158" s="9" t="n">
        <v>1</v>
      </c>
      <c r="O2158" s="9" t="n">
        <v>1</v>
      </c>
      <c r="P2158" s="9" t="n"/>
      <c r="Q2158" s="9" t="n"/>
      <c r="R2158" s="9" t="n"/>
      <c r="S2158" s="9" t="inlineStr">
        <is>
          <t>Duct bank</t>
        </is>
      </c>
      <c r="T2158" s="10" t="n">
        <v>1050</v>
      </c>
      <c r="U2158" s="10" t="n">
        <v>68</v>
      </c>
      <c r="V2158" s="10">
        <f>ROUNDUP((T2158+U2158+2*'Read Me'!$B$13)*(1+'Read Me'!$B$12),-1)</f>
        <v/>
      </c>
      <c r="W2158" s="10">
        <f>V2158*N2158*O2158</f>
        <v/>
      </c>
      <c r="X2158" s="9">
        <f>IF(LEFT(I2158,2)="MV",2*N2158*IF(L2158="1/C",O2158,1),0)</f>
        <v/>
      </c>
      <c r="Y2158" s="9">
        <f>IF(OR(LEFT(K2158,4)="LVAX",LEFT(K2158,6)="MV15AX",LEFT(K2158,4)="CTAX",LEFT(K2158,2)="W|"),2*N2158*O2158,0)</f>
        <v/>
      </c>
      <c r="Z2158" s="9" t="inlineStr"/>
    </row>
    <row r="2159">
      <c r="A2159" s="9" t="inlineStr">
        <is>
          <t>I-I-0067</t>
        </is>
      </c>
      <c r="B2159" s="9" t="inlineStr">
        <is>
          <t>I</t>
        </is>
      </c>
      <c r="C2159" s="9" t="inlineStr">
        <is>
          <t>Modular / portable power</t>
        </is>
      </c>
      <c r="D2159" s="9" t="inlineStr">
        <is>
          <t>Thermocouples</t>
        </is>
      </c>
      <c r="E2159" s="9" t="inlineStr"/>
      <c r="F2159" s="9" t="inlineStr">
        <is>
          <t>PCM: power control module</t>
        </is>
      </c>
      <c r="G2159" s="9" t="inlineStr"/>
      <c r="H2159" s="9" t="inlineStr">
        <is>
          <t>FC-4: SOFC module (Bloom ES5 class, 200-300 kW)</t>
        </is>
      </c>
      <c r="I2159" s="9" t="inlineStr">
        <is>
          <t>Instrumentation</t>
        </is>
      </c>
      <c r="J2159" s="9" t="inlineStr">
        <is>
          <t>Thermocouple extension KX, #16 shielded pairs, PLTC</t>
        </is>
      </c>
      <c r="K2159" s="9" t="inlineStr">
        <is>
          <t>TCX|12 pr|16</t>
        </is>
      </c>
      <c r="L2159" s="9" t="inlineStr">
        <is>
          <t>12 pr</t>
        </is>
      </c>
      <c r="M2159" s="9" t="inlineStr">
        <is>
          <t>16</t>
        </is>
      </c>
      <c r="N2159" s="9" t="n">
        <v>1</v>
      </c>
      <c r="O2159" s="9" t="n">
        <v>1</v>
      </c>
      <c r="P2159" s="9" t="n"/>
      <c r="Q2159" s="9" t="n"/>
      <c r="R2159" s="9" t="n"/>
      <c r="S2159" s="9" t="inlineStr">
        <is>
          <t>Duct bank</t>
        </is>
      </c>
      <c r="T2159" s="10" t="n">
        <v>1050</v>
      </c>
      <c r="U2159" s="10" t="n">
        <v>68</v>
      </c>
      <c r="V2159" s="10">
        <f>ROUNDUP((T2159+U2159+2*'Read Me'!$B$13)*(1+'Read Me'!$B$12),-1)</f>
        <v/>
      </c>
      <c r="W2159" s="10">
        <f>V2159*N2159*O2159</f>
        <v/>
      </c>
      <c r="X2159" s="9">
        <f>IF(LEFT(I2159,2)="MV",2*N2159*IF(L2159="1/C",O2159,1),0)</f>
        <v/>
      </c>
      <c r="Y2159" s="9">
        <f>IF(OR(LEFT(K2159,4)="LVAX",LEFT(K2159,6)="MV15AX",LEFT(K2159,4)="CTAX",LEFT(K2159,2)="W|"),2*N2159*O2159,0)</f>
        <v/>
      </c>
      <c r="Z2159" s="9" t="inlineStr"/>
    </row>
    <row r="2160">
      <c r="A2160" s="9" t="inlineStr">
        <is>
          <t>I-I-0068</t>
        </is>
      </c>
      <c r="B2160" s="9" t="inlineStr">
        <is>
          <t>I</t>
        </is>
      </c>
      <c r="C2160" s="9" t="inlineStr">
        <is>
          <t>Modular / portable power</t>
        </is>
      </c>
      <c r="D2160" s="9" t="inlineStr">
        <is>
          <t>Thermocouples</t>
        </is>
      </c>
      <c r="E2160" s="9" t="inlineStr"/>
      <c r="F2160" s="9" t="inlineStr">
        <is>
          <t>PCM: power control module</t>
        </is>
      </c>
      <c r="G2160" s="9" t="inlineStr"/>
      <c r="H2160" s="9" t="inlineStr">
        <is>
          <t>FC-4: SOFC module (Bloom ES5 class, 200-300 kW)</t>
        </is>
      </c>
      <c r="I2160" s="9" t="inlineStr">
        <is>
          <t>Instrumentation</t>
        </is>
      </c>
      <c r="J2160" s="9" t="inlineStr">
        <is>
          <t>Thermocouple extension KX, #16 shielded pairs, PLTC</t>
        </is>
      </c>
      <c r="K2160" s="9" t="inlineStr">
        <is>
          <t>TCX|12 pr|16</t>
        </is>
      </c>
      <c r="L2160" s="9" t="inlineStr">
        <is>
          <t>12 pr</t>
        </is>
      </c>
      <c r="M2160" s="9" t="inlineStr">
        <is>
          <t>16</t>
        </is>
      </c>
      <c r="N2160" s="9" t="n">
        <v>1</v>
      </c>
      <c r="O2160" s="9" t="n">
        <v>1</v>
      </c>
      <c r="P2160" s="9" t="n"/>
      <c r="Q2160" s="9" t="n"/>
      <c r="R2160" s="9" t="n"/>
      <c r="S2160" s="9" t="inlineStr">
        <is>
          <t>Duct bank</t>
        </is>
      </c>
      <c r="T2160" s="10" t="n">
        <v>1050</v>
      </c>
      <c r="U2160" s="10" t="n">
        <v>68</v>
      </c>
      <c r="V2160" s="10">
        <f>ROUNDUP((T2160+U2160+2*'Read Me'!$B$13)*(1+'Read Me'!$B$12),-1)</f>
        <v/>
      </c>
      <c r="W2160" s="10">
        <f>V2160*N2160*O2160</f>
        <v/>
      </c>
      <c r="X2160" s="9">
        <f>IF(LEFT(I2160,2)="MV",2*N2160*IF(L2160="1/C",O2160,1),0)</f>
        <v/>
      </c>
      <c r="Y2160" s="9">
        <f>IF(OR(LEFT(K2160,4)="LVAX",LEFT(K2160,6)="MV15AX",LEFT(K2160,4)="CTAX",LEFT(K2160,2)="W|"),2*N2160*O2160,0)</f>
        <v/>
      </c>
      <c r="Z2160" s="9" t="inlineStr"/>
    </row>
    <row r="2161">
      <c r="A2161" s="9" t="inlineStr">
        <is>
          <t>I-I-0069</t>
        </is>
      </c>
      <c r="B2161" s="9" t="inlineStr">
        <is>
          <t>I</t>
        </is>
      </c>
      <c r="C2161" s="9" t="inlineStr">
        <is>
          <t>Modular / portable power</t>
        </is>
      </c>
      <c r="D2161" s="9" t="inlineStr">
        <is>
          <t>Instrumentation</t>
        </is>
      </c>
      <c r="E2161" s="9" t="inlineStr"/>
      <c r="F2161" s="9" t="inlineStr">
        <is>
          <t>PCM: power control module</t>
        </is>
      </c>
      <c r="G2161" s="9" t="inlineStr"/>
      <c r="H2161" s="9" t="inlineStr">
        <is>
          <t>FC-5..12 inverter / AC cabinet / desulfurizer</t>
        </is>
      </c>
      <c r="I2161" s="9" t="inlineStr">
        <is>
          <t>Instrumentation</t>
        </is>
      </c>
      <c r="J2161" s="9" t="inlineStr">
        <is>
          <t>Instrumentation PLTC / TC-ER 300 V, #18 twisted shielded pairs, overall shield</t>
        </is>
      </c>
      <c r="K2161" s="9" t="inlineStr">
        <is>
          <t>PLTC|4 pr|18</t>
        </is>
      </c>
      <c r="L2161" s="9" t="inlineStr">
        <is>
          <t>4 pr</t>
        </is>
      </c>
      <c r="M2161" s="9" t="inlineStr">
        <is>
          <t>18</t>
        </is>
      </c>
      <c r="N2161" s="9" t="n">
        <v>1</v>
      </c>
      <c r="O2161" s="9" t="n">
        <v>1</v>
      </c>
      <c r="P2161" s="9" t="n"/>
      <c r="Q2161" s="9" t="n"/>
      <c r="R2161" s="9" t="n"/>
      <c r="S2161" s="9" t="inlineStr">
        <is>
          <t>Duct bank</t>
        </is>
      </c>
      <c r="T2161" s="10" t="n">
        <v>249</v>
      </c>
      <c r="U2161" s="10" t="n">
        <v>32</v>
      </c>
      <c r="V2161" s="10">
        <f>ROUNDUP((T2161+U2161+2*'Read Me'!$B$13)*(1+'Read Me'!$B$12),-1)</f>
        <v/>
      </c>
      <c r="W2161" s="10">
        <f>V2161*N2161*O2161</f>
        <v/>
      </c>
      <c r="X2161" s="9">
        <f>IF(LEFT(I2161,2)="MV",2*N2161*IF(L2161="1/C",O2161,1),0)</f>
        <v/>
      </c>
      <c r="Y2161" s="9">
        <f>IF(OR(LEFT(K2161,4)="LVAX",LEFT(K2161,6)="MV15AX",LEFT(K2161,4)="CTAX",LEFT(K2161,2)="W|"),2*N2161*O2161,0)</f>
        <v/>
      </c>
      <c r="Z2161" s="9" t="inlineStr"/>
    </row>
    <row r="2162">
      <c r="A2162" s="9" t="inlineStr">
        <is>
          <t>I-I-0070</t>
        </is>
      </c>
      <c r="B2162" s="9" t="inlineStr">
        <is>
          <t>I</t>
        </is>
      </c>
      <c r="C2162" s="9" t="inlineStr">
        <is>
          <t>Modular / portable power</t>
        </is>
      </c>
      <c r="D2162" s="9" t="inlineStr">
        <is>
          <t>Thermocouples</t>
        </is>
      </c>
      <c r="E2162" s="9" t="inlineStr"/>
      <c r="F2162" s="9" t="inlineStr">
        <is>
          <t>PCM: power control module</t>
        </is>
      </c>
      <c r="G2162" s="9" t="inlineStr"/>
      <c r="H2162" s="9" t="inlineStr">
        <is>
          <t>FC-5..12 inverter / AC cabinet / desulfurizer</t>
        </is>
      </c>
      <c r="I2162" s="9" t="inlineStr">
        <is>
          <t>Instrumentation</t>
        </is>
      </c>
      <c r="J2162" s="9" t="inlineStr">
        <is>
          <t>Thermocouple extension KX, #16 shielded pairs, PLTC</t>
        </is>
      </c>
      <c r="K2162" s="9" t="inlineStr">
        <is>
          <t>TCX|12 pr|16</t>
        </is>
      </c>
      <c r="L2162" s="9" t="inlineStr">
        <is>
          <t>12 pr</t>
        </is>
      </c>
      <c r="M2162" s="9" t="inlineStr">
        <is>
          <t>16</t>
        </is>
      </c>
      <c r="N2162" s="9" t="n">
        <v>1</v>
      </c>
      <c r="O2162" s="9" t="n">
        <v>1</v>
      </c>
      <c r="P2162" s="9" t="n"/>
      <c r="Q2162" s="9" t="n"/>
      <c r="R2162" s="9" t="n"/>
      <c r="S2162" s="9" t="inlineStr">
        <is>
          <t>Duct bank</t>
        </is>
      </c>
      <c r="T2162" s="10" t="n">
        <v>249</v>
      </c>
      <c r="U2162" s="10" t="n">
        <v>32</v>
      </c>
      <c r="V2162" s="10">
        <f>ROUNDUP((T2162+U2162+2*'Read Me'!$B$13)*(1+'Read Me'!$B$12),-1)</f>
        <v/>
      </c>
      <c r="W2162" s="10">
        <f>V2162*N2162*O2162</f>
        <v/>
      </c>
      <c r="X2162" s="9">
        <f>IF(LEFT(I2162,2)="MV",2*N2162*IF(L2162="1/C",O2162,1),0)</f>
        <v/>
      </c>
      <c r="Y2162" s="9">
        <f>IF(OR(LEFT(K2162,4)="LVAX",LEFT(K2162,6)="MV15AX",LEFT(K2162,4)="CTAX",LEFT(K2162,2)="W|"),2*N2162*O2162,0)</f>
        <v/>
      </c>
      <c r="Z2162" s="9" t="inlineStr"/>
    </row>
    <row r="2163">
      <c r="A2163" s="9" t="inlineStr">
        <is>
          <t>I-I-0071</t>
        </is>
      </c>
      <c r="B2163" s="9" t="inlineStr">
        <is>
          <t>I</t>
        </is>
      </c>
      <c r="C2163" s="9" t="inlineStr">
        <is>
          <t>Modular / portable power</t>
        </is>
      </c>
      <c r="D2163" s="9" t="inlineStr">
        <is>
          <t>Thermocouples</t>
        </is>
      </c>
      <c r="E2163" s="9" t="inlineStr"/>
      <c r="F2163" s="9" t="inlineStr">
        <is>
          <t>PCM: power control module</t>
        </is>
      </c>
      <c r="G2163" s="9" t="inlineStr"/>
      <c r="H2163" s="9" t="inlineStr">
        <is>
          <t>FC-5..12 inverter / AC cabinet / desulfurizer</t>
        </is>
      </c>
      <c r="I2163" s="9" t="inlineStr">
        <is>
          <t>Instrumentation</t>
        </is>
      </c>
      <c r="J2163" s="9" t="inlineStr">
        <is>
          <t>Thermocouple extension KX, #16 shielded pairs, PLTC</t>
        </is>
      </c>
      <c r="K2163" s="9" t="inlineStr">
        <is>
          <t>TCX|12 pr|16</t>
        </is>
      </c>
      <c r="L2163" s="9" t="inlineStr">
        <is>
          <t>12 pr</t>
        </is>
      </c>
      <c r="M2163" s="9" t="inlineStr">
        <is>
          <t>16</t>
        </is>
      </c>
      <c r="N2163" s="9" t="n">
        <v>1</v>
      </c>
      <c r="O2163" s="9" t="n">
        <v>1</v>
      </c>
      <c r="P2163" s="9" t="n"/>
      <c r="Q2163" s="9" t="n"/>
      <c r="R2163" s="9" t="n"/>
      <c r="S2163" s="9" t="inlineStr">
        <is>
          <t>Duct bank</t>
        </is>
      </c>
      <c r="T2163" s="10" t="n">
        <v>249</v>
      </c>
      <c r="U2163" s="10" t="n">
        <v>32</v>
      </c>
      <c r="V2163" s="10">
        <f>ROUNDUP((T2163+U2163+2*'Read Me'!$B$13)*(1+'Read Me'!$B$12),-1)</f>
        <v/>
      </c>
      <c r="W2163" s="10">
        <f>V2163*N2163*O2163</f>
        <v/>
      </c>
      <c r="X2163" s="9">
        <f>IF(LEFT(I2163,2)="MV",2*N2163*IF(L2163="1/C",O2163,1),0)</f>
        <v/>
      </c>
      <c r="Y2163" s="9">
        <f>IF(OR(LEFT(K2163,4)="LVAX",LEFT(K2163,6)="MV15AX",LEFT(K2163,4)="CTAX",LEFT(K2163,2)="W|"),2*N2163*O2163,0)</f>
        <v/>
      </c>
      <c r="Z2163" s="9" t="inlineStr"/>
    </row>
    <row r="2164">
      <c r="A2164" s="9" t="inlineStr">
        <is>
          <t>I-I-0072</t>
        </is>
      </c>
      <c r="B2164" s="9" t="inlineStr">
        <is>
          <t>I</t>
        </is>
      </c>
      <c r="C2164" s="9" t="inlineStr">
        <is>
          <t>Modular / portable power</t>
        </is>
      </c>
      <c r="D2164" s="9" t="inlineStr">
        <is>
          <t>Instrumentation</t>
        </is>
      </c>
      <c r="E2164" s="9" t="inlineStr"/>
      <c r="F2164" s="9" t="inlineStr">
        <is>
          <t>PCM: power control module</t>
        </is>
      </c>
      <c r="G2164" s="9" t="inlineStr">
        <is>
          <t>FC-5</t>
        </is>
      </c>
      <c r="H2164" s="9" t="inlineStr">
        <is>
          <t>FC-5: SOFC module (Bloom ES5 class, 200-300 kW)</t>
        </is>
      </c>
      <c r="I2164" s="9" t="inlineStr">
        <is>
          <t>Instrumentation</t>
        </is>
      </c>
      <c r="J2164" s="9" t="inlineStr">
        <is>
          <t>Instrumentation PLTC / TC-ER 300 V, #18 twisted shielded pairs, overall shield</t>
        </is>
      </c>
      <c r="K2164" s="9" t="inlineStr">
        <is>
          <t>PLTC|4 pr|18</t>
        </is>
      </c>
      <c r="L2164" s="9" t="inlineStr">
        <is>
          <t>4 pr</t>
        </is>
      </c>
      <c r="M2164" s="9" t="inlineStr">
        <is>
          <t>18</t>
        </is>
      </c>
      <c r="N2164" s="9" t="n">
        <v>1</v>
      </c>
      <c r="O2164" s="9" t="n">
        <v>1</v>
      </c>
      <c r="P2164" s="9" t="n"/>
      <c r="Q2164" s="9" t="n"/>
      <c r="R2164" s="9" t="n"/>
      <c r="S2164" s="9" t="inlineStr">
        <is>
          <t>Duct bank</t>
        </is>
      </c>
      <c r="T2164" s="10" t="n">
        <v>121</v>
      </c>
      <c r="U2164" s="10" t="n">
        <v>32</v>
      </c>
      <c r="V2164" s="10">
        <f>ROUNDUP((T2164+U2164+2*'Read Me'!$B$13)*(1+'Read Me'!$B$12),-1)</f>
        <v/>
      </c>
      <c r="W2164" s="10">
        <f>V2164*N2164*O2164</f>
        <v/>
      </c>
      <c r="X2164" s="9">
        <f>IF(LEFT(I2164,2)="MV",2*N2164*IF(L2164="1/C",O2164,1),0)</f>
        <v/>
      </c>
      <c r="Y2164" s="9">
        <f>IF(OR(LEFT(K2164,4)="LVAX",LEFT(K2164,6)="MV15AX",LEFT(K2164,4)="CTAX",LEFT(K2164,2)="W|"),2*N2164*O2164,0)</f>
        <v/>
      </c>
      <c r="Z2164" s="9" t="inlineStr"/>
    </row>
    <row r="2165">
      <c r="A2165" s="9" t="inlineStr">
        <is>
          <t>I-I-0073</t>
        </is>
      </c>
      <c r="B2165" s="9" t="inlineStr">
        <is>
          <t>I</t>
        </is>
      </c>
      <c r="C2165" s="9" t="inlineStr">
        <is>
          <t>Modular / portable power</t>
        </is>
      </c>
      <c r="D2165" s="9" t="inlineStr">
        <is>
          <t>Instrumentation</t>
        </is>
      </c>
      <c r="E2165" s="9" t="inlineStr"/>
      <c r="F2165" s="9" t="inlineStr">
        <is>
          <t>PCM: power control module</t>
        </is>
      </c>
      <c r="G2165" s="9" t="inlineStr">
        <is>
          <t>FC-5</t>
        </is>
      </c>
      <c r="H2165" s="9" t="inlineStr">
        <is>
          <t>FC-5: SOFC module (Bloom ES5 class, 200-300 kW)</t>
        </is>
      </c>
      <c r="I2165" s="9" t="inlineStr">
        <is>
          <t>Instrumentation</t>
        </is>
      </c>
      <c r="J2165" s="9" t="inlineStr">
        <is>
          <t>Instrumentation PLTC / TC-ER 300 V, #18 twisted shielded pairs, overall shield</t>
        </is>
      </c>
      <c r="K2165" s="9" t="inlineStr">
        <is>
          <t>PLTC|12 pr|18</t>
        </is>
      </c>
      <c r="L2165" s="9" t="inlineStr">
        <is>
          <t>12 pr</t>
        </is>
      </c>
      <c r="M2165" s="9" t="inlineStr">
        <is>
          <t>18</t>
        </is>
      </c>
      <c r="N2165" s="9" t="n">
        <v>1</v>
      </c>
      <c r="O2165" s="9" t="n">
        <v>1</v>
      </c>
      <c r="P2165" s="9" t="n"/>
      <c r="Q2165" s="9" t="n"/>
      <c r="R2165" s="9" t="n"/>
      <c r="S2165" s="9" t="inlineStr">
        <is>
          <t>Duct bank</t>
        </is>
      </c>
      <c r="T2165" s="10" t="n">
        <v>121</v>
      </c>
      <c r="U2165" s="10" t="n">
        <v>32</v>
      </c>
      <c r="V2165" s="10">
        <f>ROUNDUP((T2165+U2165+2*'Read Me'!$B$13)*(1+'Read Me'!$B$12),-1)</f>
        <v/>
      </c>
      <c r="W2165" s="10">
        <f>V2165*N2165*O2165</f>
        <v/>
      </c>
      <c r="X2165" s="9">
        <f>IF(LEFT(I2165,2)="MV",2*N2165*IF(L2165="1/C",O2165,1),0)</f>
        <v/>
      </c>
      <c r="Y2165" s="9">
        <f>IF(OR(LEFT(K2165,4)="LVAX",LEFT(K2165,6)="MV15AX",LEFT(K2165,4)="CTAX",LEFT(K2165,2)="W|"),2*N2165*O2165,0)</f>
        <v/>
      </c>
      <c r="Z2165" s="9" t="inlineStr"/>
    </row>
    <row r="2166">
      <c r="A2166" s="9" t="inlineStr">
        <is>
          <t>I-I-0074</t>
        </is>
      </c>
      <c r="B2166" s="9" t="inlineStr">
        <is>
          <t>I</t>
        </is>
      </c>
      <c r="C2166" s="9" t="inlineStr">
        <is>
          <t>Modular / portable power</t>
        </is>
      </c>
      <c r="D2166" s="9" t="inlineStr">
        <is>
          <t>Thermocouples</t>
        </is>
      </c>
      <c r="E2166" s="9" t="inlineStr"/>
      <c r="F2166" s="9" t="inlineStr">
        <is>
          <t>PCM: power control module</t>
        </is>
      </c>
      <c r="G2166" s="9" t="inlineStr">
        <is>
          <t>FC-5</t>
        </is>
      </c>
      <c r="H2166" s="9" t="inlineStr">
        <is>
          <t>FC-5: SOFC module (Bloom ES5 class, 200-300 kW)</t>
        </is>
      </c>
      <c r="I2166" s="9" t="inlineStr">
        <is>
          <t>Instrumentation</t>
        </is>
      </c>
      <c r="J2166" s="9" t="inlineStr">
        <is>
          <t>Thermocouple extension KX, #16 shielded pairs, PLTC</t>
        </is>
      </c>
      <c r="K2166" s="9" t="inlineStr">
        <is>
          <t>TCX|12 pr|16</t>
        </is>
      </c>
      <c r="L2166" s="9" t="inlineStr">
        <is>
          <t>12 pr</t>
        </is>
      </c>
      <c r="M2166" s="9" t="inlineStr">
        <is>
          <t>16</t>
        </is>
      </c>
      <c r="N2166" s="9" t="n">
        <v>1</v>
      </c>
      <c r="O2166" s="9" t="n">
        <v>1</v>
      </c>
      <c r="P2166" s="9" t="n"/>
      <c r="Q2166" s="9" t="n"/>
      <c r="R2166" s="9" t="n"/>
      <c r="S2166" s="9" t="inlineStr">
        <is>
          <t>Duct bank</t>
        </is>
      </c>
      <c r="T2166" s="10" t="n">
        <v>121</v>
      </c>
      <c r="U2166" s="10" t="n">
        <v>32</v>
      </c>
      <c r="V2166" s="10">
        <f>ROUNDUP((T2166+U2166+2*'Read Me'!$B$13)*(1+'Read Me'!$B$12),-1)</f>
        <v/>
      </c>
      <c r="W2166" s="10">
        <f>V2166*N2166*O2166</f>
        <v/>
      </c>
      <c r="X2166" s="9">
        <f>IF(LEFT(I2166,2)="MV",2*N2166*IF(L2166="1/C",O2166,1),0)</f>
        <v/>
      </c>
      <c r="Y2166" s="9">
        <f>IF(OR(LEFT(K2166,4)="LVAX",LEFT(K2166,6)="MV15AX",LEFT(K2166,4)="CTAX",LEFT(K2166,2)="W|"),2*N2166*O2166,0)</f>
        <v/>
      </c>
      <c r="Z2166" s="9" t="inlineStr"/>
    </row>
    <row r="2167">
      <c r="A2167" s="9" t="inlineStr">
        <is>
          <t>I-I-0075</t>
        </is>
      </c>
      <c r="B2167" s="9" t="inlineStr">
        <is>
          <t>I</t>
        </is>
      </c>
      <c r="C2167" s="9" t="inlineStr">
        <is>
          <t>Modular / portable power</t>
        </is>
      </c>
      <c r="D2167" s="9" t="inlineStr">
        <is>
          <t>Thermocouples</t>
        </is>
      </c>
      <c r="E2167" s="9" t="inlineStr"/>
      <c r="F2167" s="9" t="inlineStr">
        <is>
          <t>PCM: power control module</t>
        </is>
      </c>
      <c r="G2167" s="9" t="inlineStr">
        <is>
          <t>FC-5</t>
        </is>
      </c>
      <c r="H2167" s="9" t="inlineStr">
        <is>
          <t>FC-5: SOFC module (Bloom ES5 class, 200-300 kW)</t>
        </is>
      </c>
      <c r="I2167" s="9" t="inlineStr">
        <is>
          <t>Instrumentation</t>
        </is>
      </c>
      <c r="J2167" s="9" t="inlineStr">
        <is>
          <t>Thermocouple extension KX, #16 shielded pairs, PLTC</t>
        </is>
      </c>
      <c r="K2167" s="9" t="inlineStr">
        <is>
          <t>TCX|12 pr|16</t>
        </is>
      </c>
      <c r="L2167" s="9" t="inlineStr">
        <is>
          <t>12 pr</t>
        </is>
      </c>
      <c r="M2167" s="9" t="inlineStr">
        <is>
          <t>16</t>
        </is>
      </c>
      <c r="N2167" s="9" t="n">
        <v>1</v>
      </c>
      <c r="O2167" s="9" t="n">
        <v>1</v>
      </c>
      <c r="P2167" s="9" t="n"/>
      <c r="Q2167" s="9" t="n"/>
      <c r="R2167" s="9" t="n"/>
      <c r="S2167" s="9" t="inlineStr">
        <is>
          <t>Duct bank</t>
        </is>
      </c>
      <c r="T2167" s="10" t="n">
        <v>121</v>
      </c>
      <c r="U2167" s="10" t="n">
        <v>32</v>
      </c>
      <c r="V2167" s="10">
        <f>ROUNDUP((T2167+U2167+2*'Read Me'!$B$13)*(1+'Read Me'!$B$12),-1)</f>
        <v/>
      </c>
      <c r="W2167" s="10">
        <f>V2167*N2167*O2167</f>
        <v/>
      </c>
      <c r="X2167" s="9">
        <f>IF(LEFT(I2167,2)="MV",2*N2167*IF(L2167="1/C",O2167,1),0)</f>
        <v/>
      </c>
      <c r="Y2167" s="9">
        <f>IF(OR(LEFT(K2167,4)="LVAX",LEFT(K2167,6)="MV15AX",LEFT(K2167,4)="CTAX",LEFT(K2167,2)="W|"),2*N2167*O2167,0)</f>
        <v/>
      </c>
      <c r="Z2167" s="9" t="inlineStr"/>
    </row>
    <row r="2168">
      <c r="A2168" s="9" t="inlineStr">
        <is>
          <t>I-I-0076</t>
        </is>
      </c>
      <c r="B2168" s="9" t="inlineStr">
        <is>
          <t>I</t>
        </is>
      </c>
      <c r="C2168" s="9" t="inlineStr">
        <is>
          <t>Modular / portable power</t>
        </is>
      </c>
      <c r="D2168" s="9" t="inlineStr">
        <is>
          <t>Instrumentation</t>
        </is>
      </c>
      <c r="E2168" s="9" t="inlineStr"/>
      <c r="F2168" s="9" t="inlineStr">
        <is>
          <t>PCM: power control module</t>
        </is>
      </c>
      <c r="G2168" s="9" t="inlineStr">
        <is>
          <t>FC-6</t>
        </is>
      </c>
      <c r="H2168" s="9" t="inlineStr">
        <is>
          <t>FC-6: SOFC module (Bloom ES5 class, 200-300 kW)</t>
        </is>
      </c>
      <c r="I2168" s="9" t="inlineStr">
        <is>
          <t>Instrumentation</t>
        </is>
      </c>
      <c r="J2168" s="9" t="inlineStr">
        <is>
          <t>Instrumentation PLTC / TC-ER 300 V, #18 twisted shielded pairs, overall shield</t>
        </is>
      </c>
      <c r="K2168" s="9" t="inlineStr">
        <is>
          <t>PLTC|4 pr|18</t>
        </is>
      </c>
      <c r="L2168" s="9" t="inlineStr">
        <is>
          <t>4 pr</t>
        </is>
      </c>
      <c r="M2168" s="9" t="inlineStr">
        <is>
          <t>18</t>
        </is>
      </c>
      <c r="N2168" s="9" t="n">
        <v>1</v>
      </c>
      <c r="O2168" s="9" t="n">
        <v>1</v>
      </c>
      <c r="P2168" s="9" t="n"/>
      <c r="Q2168" s="9" t="n"/>
      <c r="R2168" s="9" t="n"/>
      <c r="S2168" s="9" t="inlineStr">
        <is>
          <t>Duct bank</t>
        </is>
      </c>
      <c r="T2168" s="10" t="n">
        <v>121</v>
      </c>
      <c r="U2168" s="10" t="n">
        <v>42</v>
      </c>
      <c r="V2168" s="10">
        <f>ROUNDUP((T2168+U2168+2*'Read Me'!$B$13)*(1+'Read Me'!$B$12),-1)</f>
        <v/>
      </c>
      <c r="W2168" s="10">
        <f>V2168*N2168*O2168</f>
        <v/>
      </c>
      <c r="X2168" s="9">
        <f>IF(LEFT(I2168,2)="MV",2*N2168*IF(L2168="1/C",O2168,1),0)</f>
        <v/>
      </c>
      <c r="Y2168" s="9">
        <f>IF(OR(LEFT(K2168,4)="LVAX",LEFT(K2168,6)="MV15AX",LEFT(K2168,4)="CTAX",LEFT(K2168,2)="W|"),2*N2168*O2168,0)</f>
        <v/>
      </c>
      <c r="Z2168" s="9" t="inlineStr"/>
    </row>
    <row r="2169">
      <c r="A2169" s="9" t="inlineStr">
        <is>
          <t>I-I-0077</t>
        </is>
      </c>
      <c r="B2169" s="9" t="inlineStr">
        <is>
          <t>I</t>
        </is>
      </c>
      <c r="C2169" s="9" t="inlineStr">
        <is>
          <t>Modular / portable power</t>
        </is>
      </c>
      <c r="D2169" s="9" t="inlineStr">
        <is>
          <t>Instrumentation</t>
        </is>
      </c>
      <c r="E2169" s="9" t="inlineStr"/>
      <c r="F2169" s="9" t="inlineStr">
        <is>
          <t>PCM: power control module</t>
        </is>
      </c>
      <c r="G2169" s="9" t="inlineStr">
        <is>
          <t>FC-6</t>
        </is>
      </c>
      <c r="H2169" s="9" t="inlineStr">
        <is>
          <t>FC-6: SOFC module (Bloom ES5 class, 200-300 kW)</t>
        </is>
      </c>
      <c r="I2169" s="9" t="inlineStr">
        <is>
          <t>Instrumentation</t>
        </is>
      </c>
      <c r="J2169" s="9" t="inlineStr">
        <is>
          <t>Instrumentation PLTC / TC-ER 300 V, #18 twisted shielded pairs, overall shield</t>
        </is>
      </c>
      <c r="K2169" s="9" t="inlineStr">
        <is>
          <t>PLTC|12 pr|18</t>
        </is>
      </c>
      <c r="L2169" s="9" t="inlineStr">
        <is>
          <t>12 pr</t>
        </is>
      </c>
      <c r="M2169" s="9" t="inlineStr">
        <is>
          <t>18</t>
        </is>
      </c>
      <c r="N2169" s="9" t="n">
        <v>1</v>
      </c>
      <c r="O2169" s="9" t="n">
        <v>1</v>
      </c>
      <c r="P2169" s="9" t="n"/>
      <c r="Q2169" s="9" t="n"/>
      <c r="R2169" s="9" t="n"/>
      <c r="S2169" s="9" t="inlineStr">
        <is>
          <t>Duct bank</t>
        </is>
      </c>
      <c r="T2169" s="10" t="n">
        <v>121</v>
      </c>
      <c r="U2169" s="10" t="n">
        <v>42</v>
      </c>
      <c r="V2169" s="10">
        <f>ROUNDUP((T2169+U2169+2*'Read Me'!$B$13)*(1+'Read Me'!$B$12),-1)</f>
        <v/>
      </c>
      <c r="W2169" s="10">
        <f>V2169*N2169*O2169</f>
        <v/>
      </c>
      <c r="X2169" s="9">
        <f>IF(LEFT(I2169,2)="MV",2*N2169*IF(L2169="1/C",O2169,1),0)</f>
        <v/>
      </c>
      <c r="Y2169" s="9">
        <f>IF(OR(LEFT(K2169,4)="LVAX",LEFT(K2169,6)="MV15AX",LEFT(K2169,4)="CTAX",LEFT(K2169,2)="W|"),2*N2169*O2169,0)</f>
        <v/>
      </c>
      <c r="Z2169" s="9" t="inlineStr"/>
    </row>
    <row r="2170">
      <c r="A2170" s="9" t="inlineStr">
        <is>
          <t>I-I-0078</t>
        </is>
      </c>
      <c r="B2170" s="9" t="inlineStr">
        <is>
          <t>I</t>
        </is>
      </c>
      <c r="C2170" s="9" t="inlineStr">
        <is>
          <t>Modular / portable power</t>
        </is>
      </c>
      <c r="D2170" s="9" t="inlineStr">
        <is>
          <t>Thermocouples</t>
        </is>
      </c>
      <c r="E2170" s="9" t="inlineStr"/>
      <c r="F2170" s="9" t="inlineStr">
        <is>
          <t>PCM: power control module</t>
        </is>
      </c>
      <c r="G2170" s="9" t="inlineStr">
        <is>
          <t>FC-6</t>
        </is>
      </c>
      <c r="H2170" s="9" t="inlineStr">
        <is>
          <t>FC-6: SOFC module (Bloom ES5 class, 200-300 kW)</t>
        </is>
      </c>
      <c r="I2170" s="9" t="inlineStr">
        <is>
          <t>Instrumentation</t>
        </is>
      </c>
      <c r="J2170" s="9" t="inlineStr">
        <is>
          <t>Thermocouple extension KX, #16 shielded pairs, PLTC</t>
        </is>
      </c>
      <c r="K2170" s="9" t="inlineStr">
        <is>
          <t>TCX|12 pr|16</t>
        </is>
      </c>
      <c r="L2170" s="9" t="inlineStr">
        <is>
          <t>12 pr</t>
        </is>
      </c>
      <c r="M2170" s="9" t="inlineStr">
        <is>
          <t>16</t>
        </is>
      </c>
      <c r="N2170" s="9" t="n">
        <v>1</v>
      </c>
      <c r="O2170" s="9" t="n">
        <v>1</v>
      </c>
      <c r="P2170" s="9" t="n"/>
      <c r="Q2170" s="9" t="n"/>
      <c r="R2170" s="9" t="n"/>
      <c r="S2170" s="9" t="inlineStr">
        <is>
          <t>Duct bank</t>
        </is>
      </c>
      <c r="T2170" s="10" t="n">
        <v>121</v>
      </c>
      <c r="U2170" s="10" t="n">
        <v>42</v>
      </c>
      <c r="V2170" s="10">
        <f>ROUNDUP((T2170+U2170+2*'Read Me'!$B$13)*(1+'Read Me'!$B$12),-1)</f>
        <v/>
      </c>
      <c r="W2170" s="10">
        <f>V2170*N2170*O2170</f>
        <v/>
      </c>
      <c r="X2170" s="9">
        <f>IF(LEFT(I2170,2)="MV",2*N2170*IF(L2170="1/C",O2170,1),0)</f>
        <v/>
      </c>
      <c r="Y2170" s="9">
        <f>IF(OR(LEFT(K2170,4)="LVAX",LEFT(K2170,6)="MV15AX",LEFT(K2170,4)="CTAX",LEFT(K2170,2)="W|"),2*N2170*O2170,0)</f>
        <v/>
      </c>
      <c r="Z2170" s="9" t="inlineStr"/>
    </row>
    <row r="2171">
      <c r="A2171" s="9" t="inlineStr">
        <is>
          <t>I-I-0079</t>
        </is>
      </c>
      <c r="B2171" s="9" t="inlineStr">
        <is>
          <t>I</t>
        </is>
      </c>
      <c r="C2171" s="9" t="inlineStr">
        <is>
          <t>Modular / portable power</t>
        </is>
      </c>
      <c r="D2171" s="9" t="inlineStr">
        <is>
          <t>Thermocouples</t>
        </is>
      </c>
      <c r="E2171" s="9" t="inlineStr"/>
      <c r="F2171" s="9" t="inlineStr">
        <is>
          <t>PCM: power control module</t>
        </is>
      </c>
      <c r="G2171" s="9" t="inlineStr">
        <is>
          <t>FC-6</t>
        </is>
      </c>
      <c r="H2171" s="9" t="inlineStr">
        <is>
          <t>FC-6: SOFC module (Bloom ES5 class, 200-300 kW)</t>
        </is>
      </c>
      <c r="I2171" s="9" t="inlineStr">
        <is>
          <t>Instrumentation</t>
        </is>
      </c>
      <c r="J2171" s="9" t="inlineStr">
        <is>
          <t>Thermocouple extension KX, #16 shielded pairs, PLTC</t>
        </is>
      </c>
      <c r="K2171" s="9" t="inlineStr">
        <is>
          <t>TCX|12 pr|16</t>
        </is>
      </c>
      <c r="L2171" s="9" t="inlineStr">
        <is>
          <t>12 pr</t>
        </is>
      </c>
      <c r="M2171" s="9" t="inlineStr">
        <is>
          <t>16</t>
        </is>
      </c>
      <c r="N2171" s="9" t="n">
        <v>1</v>
      </c>
      <c r="O2171" s="9" t="n">
        <v>1</v>
      </c>
      <c r="P2171" s="9" t="n"/>
      <c r="Q2171" s="9" t="n"/>
      <c r="R2171" s="9" t="n"/>
      <c r="S2171" s="9" t="inlineStr">
        <is>
          <t>Duct bank</t>
        </is>
      </c>
      <c r="T2171" s="10" t="n">
        <v>121</v>
      </c>
      <c r="U2171" s="10" t="n">
        <v>42</v>
      </c>
      <c r="V2171" s="10">
        <f>ROUNDUP((T2171+U2171+2*'Read Me'!$B$13)*(1+'Read Me'!$B$12),-1)</f>
        <v/>
      </c>
      <c r="W2171" s="10">
        <f>V2171*N2171*O2171</f>
        <v/>
      </c>
      <c r="X2171" s="9">
        <f>IF(LEFT(I2171,2)="MV",2*N2171*IF(L2171="1/C",O2171,1),0)</f>
        <v/>
      </c>
      <c r="Y2171" s="9">
        <f>IF(OR(LEFT(K2171,4)="LVAX",LEFT(K2171,6)="MV15AX",LEFT(K2171,4)="CTAX",LEFT(K2171,2)="W|"),2*N2171*O2171,0)</f>
        <v/>
      </c>
      <c r="Z2171" s="9" t="inlineStr"/>
    </row>
    <row r="2172">
      <c r="A2172" s="9" t="inlineStr">
        <is>
          <t>I-I-0080</t>
        </is>
      </c>
      <c r="B2172" s="9" t="inlineStr">
        <is>
          <t>I</t>
        </is>
      </c>
      <c r="C2172" s="9" t="inlineStr">
        <is>
          <t>Modular / portable power</t>
        </is>
      </c>
      <c r="D2172" s="9" t="inlineStr">
        <is>
          <t>Instrumentation</t>
        </is>
      </c>
      <c r="E2172" s="9" t="inlineStr"/>
      <c r="F2172" s="9" t="inlineStr">
        <is>
          <t>PCM: power control module</t>
        </is>
      </c>
      <c r="G2172" s="9" t="inlineStr">
        <is>
          <t>FC-7</t>
        </is>
      </c>
      <c r="H2172" s="9" t="inlineStr">
        <is>
          <t>FC-7: SOFC module (Bloom ES5 class, 200-300 kW)</t>
        </is>
      </c>
      <c r="I2172" s="9" t="inlineStr">
        <is>
          <t>Instrumentation</t>
        </is>
      </c>
      <c r="J2172" s="9" t="inlineStr">
        <is>
          <t>Instrumentation PLTC / TC-ER 300 V, #18 twisted shielded pairs, overall shield</t>
        </is>
      </c>
      <c r="K2172" s="9" t="inlineStr">
        <is>
          <t>PLTC|4 pr|18</t>
        </is>
      </c>
      <c r="L2172" s="9" t="inlineStr">
        <is>
          <t>4 pr</t>
        </is>
      </c>
      <c r="M2172" s="9" t="inlineStr">
        <is>
          <t>18</t>
        </is>
      </c>
      <c r="N2172" s="9" t="n">
        <v>1</v>
      </c>
      <c r="O2172" s="9" t="n">
        <v>1</v>
      </c>
      <c r="P2172" s="9" t="n"/>
      <c r="Q2172" s="9" t="n"/>
      <c r="R2172" s="9" t="n"/>
      <c r="S2172" s="9" t="inlineStr">
        <is>
          <t>Duct bank</t>
        </is>
      </c>
      <c r="T2172" s="10" t="n">
        <v>135</v>
      </c>
      <c r="U2172" s="10" t="n">
        <v>42</v>
      </c>
      <c r="V2172" s="10">
        <f>ROUNDUP((T2172+U2172+2*'Read Me'!$B$13)*(1+'Read Me'!$B$12),-1)</f>
        <v/>
      </c>
      <c r="W2172" s="10">
        <f>V2172*N2172*O2172</f>
        <v/>
      </c>
      <c r="X2172" s="9">
        <f>IF(LEFT(I2172,2)="MV",2*N2172*IF(L2172="1/C",O2172,1),0)</f>
        <v/>
      </c>
      <c r="Y2172" s="9">
        <f>IF(OR(LEFT(K2172,4)="LVAX",LEFT(K2172,6)="MV15AX",LEFT(K2172,4)="CTAX",LEFT(K2172,2)="W|"),2*N2172*O2172,0)</f>
        <v/>
      </c>
      <c r="Z2172" s="9" t="inlineStr"/>
    </row>
    <row r="2173">
      <c r="A2173" s="9" t="inlineStr">
        <is>
          <t>I-I-0081</t>
        </is>
      </c>
      <c r="B2173" s="9" t="inlineStr">
        <is>
          <t>I</t>
        </is>
      </c>
      <c r="C2173" s="9" t="inlineStr">
        <is>
          <t>Modular / portable power</t>
        </is>
      </c>
      <c r="D2173" s="9" t="inlineStr">
        <is>
          <t>Instrumentation</t>
        </is>
      </c>
      <c r="E2173" s="9" t="inlineStr"/>
      <c r="F2173" s="9" t="inlineStr">
        <is>
          <t>PCM: power control module</t>
        </is>
      </c>
      <c r="G2173" s="9" t="inlineStr">
        <is>
          <t>FC-7</t>
        </is>
      </c>
      <c r="H2173" s="9" t="inlineStr">
        <is>
          <t>FC-7: SOFC module (Bloom ES5 class, 200-300 kW)</t>
        </is>
      </c>
      <c r="I2173" s="9" t="inlineStr">
        <is>
          <t>Instrumentation</t>
        </is>
      </c>
      <c r="J2173" s="9" t="inlineStr">
        <is>
          <t>Instrumentation PLTC / TC-ER 300 V, #18 twisted shielded pairs, overall shield</t>
        </is>
      </c>
      <c r="K2173" s="9" t="inlineStr">
        <is>
          <t>PLTC|12 pr|18</t>
        </is>
      </c>
      <c r="L2173" s="9" t="inlineStr">
        <is>
          <t>12 pr</t>
        </is>
      </c>
      <c r="M2173" s="9" t="inlineStr">
        <is>
          <t>18</t>
        </is>
      </c>
      <c r="N2173" s="9" t="n">
        <v>1</v>
      </c>
      <c r="O2173" s="9" t="n">
        <v>1</v>
      </c>
      <c r="P2173" s="9" t="n"/>
      <c r="Q2173" s="9" t="n"/>
      <c r="R2173" s="9" t="n"/>
      <c r="S2173" s="9" t="inlineStr">
        <is>
          <t>Duct bank</t>
        </is>
      </c>
      <c r="T2173" s="10" t="n">
        <v>135</v>
      </c>
      <c r="U2173" s="10" t="n">
        <v>42</v>
      </c>
      <c r="V2173" s="10">
        <f>ROUNDUP((T2173+U2173+2*'Read Me'!$B$13)*(1+'Read Me'!$B$12),-1)</f>
        <v/>
      </c>
      <c r="W2173" s="10">
        <f>V2173*N2173*O2173</f>
        <v/>
      </c>
      <c r="X2173" s="9">
        <f>IF(LEFT(I2173,2)="MV",2*N2173*IF(L2173="1/C",O2173,1),0)</f>
        <v/>
      </c>
      <c r="Y2173" s="9">
        <f>IF(OR(LEFT(K2173,4)="LVAX",LEFT(K2173,6)="MV15AX",LEFT(K2173,4)="CTAX",LEFT(K2173,2)="W|"),2*N2173*O2173,0)</f>
        <v/>
      </c>
      <c r="Z2173" s="9" t="inlineStr"/>
    </row>
    <row r="2174">
      <c r="A2174" s="9" t="inlineStr">
        <is>
          <t>I-I-0082</t>
        </is>
      </c>
      <c r="B2174" s="9" t="inlineStr">
        <is>
          <t>I</t>
        </is>
      </c>
      <c r="C2174" s="9" t="inlineStr">
        <is>
          <t>Modular / portable power</t>
        </is>
      </c>
      <c r="D2174" s="9" t="inlineStr">
        <is>
          <t>Thermocouples</t>
        </is>
      </c>
      <c r="E2174" s="9" t="inlineStr"/>
      <c r="F2174" s="9" t="inlineStr">
        <is>
          <t>PCM: power control module</t>
        </is>
      </c>
      <c r="G2174" s="9" t="inlineStr">
        <is>
          <t>FC-7</t>
        </is>
      </c>
      <c r="H2174" s="9" t="inlineStr">
        <is>
          <t>FC-7: SOFC module (Bloom ES5 class, 200-300 kW)</t>
        </is>
      </c>
      <c r="I2174" s="9" t="inlineStr">
        <is>
          <t>Instrumentation</t>
        </is>
      </c>
      <c r="J2174" s="9" t="inlineStr">
        <is>
          <t>Thermocouple extension KX, #16 shielded pairs, PLTC</t>
        </is>
      </c>
      <c r="K2174" s="9" t="inlineStr">
        <is>
          <t>TCX|12 pr|16</t>
        </is>
      </c>
      <c r="L2174" s="9" t="inlineStr">
        <is>
          <t>12 pr</t>
        </is>
      </c>
      <c r="M2174" s="9" t="inlineStr">
        <is>
          <t>16</t>
        </is>
      </c>
      <c r="N2174" s="9" t="n">
        <v>1</v>
      </c>
      <c r="O2174" s="9" t="n">
        <v>1</v>
      </c>
      <c r="P2174" s="9" t="n"/>
      <c r="Q2174" s="9" t="n"/>
      <c r="R2174" s="9" t="n"/>
      <c r="S2174" s="9" t="inlineStr">
        <is>
          <t>Duct bank</t>
        </is>
      </c>
      <c r="T2174" s="10" t="n">
        <v>135</v>
      </c>
      <c r="U2174" s="10" t="n">
        <v>42</v>
      </c>
      <c r="V2174" s="10">
        <f>ROUNDUP((T2174+U2174+2*'Read Me'!$B$13)*(1+'Read Me'!$B$12),-1)</f>
        <v/>
      </c>
      <c r="W2174" s="10">
        <f>V2174*N2174*O2174</f>
        <v/>
      </c>
      <c r="X2174" s="9">
        <f>IF(LEFT(I2174,2)="MV",2*N2174*IF(L2174="1/C",O2174,1),0)</f>
        <v/>
      </c>
      <c r="Y2174" s="9">
        <f>IF(OR(LEFT(K2174,4)="LVAX",LEFT(K2174,6)="MV15AX",LEFT(K2174,4)="CTAX",LEFT(K2174,2)="W|"),2*N2174*O2174,0)</f>
        <v/>
      </c>
      <c r="Z2174" s="9" t="inlineStr"/>
    </row>
    <row r="2175">
      <c r="A2175" s="9" t="inlineStr">
        <is>
          <t>I-I-0083</t>
        </is>
      </c>
      <c r="B2175" s="9" t="inlineStr">
        <is>
          <t>I</t>
        </is>
      </c>
      <c r="C2175" s="9" t="inlineStr">
        <is>
          <t>Modular / portable power</t>
        </is>
      </c>
      <c r="D2175" s="9" t="inlineStr">
        <is>
          <t>Thermocouples</t>
        </is>
      </c>
      <c r="E2175" s="9" t="inlineStr"/>
      <c r="F2175" s="9" t="inlineStr">
        <is>
          <t>PCM: power control module</t>
        </is>
      </c>
      <c r="G2175" s="9" t="inlineStr">
        <is>
          <t>FC-7</t>
        </is>
      </c>
      <c r="H2175" s="9" t="inlineStr">
        <is>
          <t>FC-7: SOFC module (Bloom ES5 class, 200-300 kW)</t>
        </is>
      </c>
      <c r="I2175" s="9" t="inlineStr">
        <is>
          <t>Instrumentation</t>
        </is>
      </c>
      <c r="J2175" s="9" t="inlineStr">
        <is>
          <t>Thermocouple extension KX, #16 shielded pairs, PLTC</t>
        </is>
      </c>
      <c r="K2175" s="9" t="inlineStr">
        <is>
          <t>TCX|12 pr|16</t>
        </is>
      </c>
      <c r="L2175" s="9" t="inlineStr">
        <is>
          <t>12 pr</t>
        </is>
      </c>
      <c r="M2175" s="9" t="inlineStr">
        <is>
          <t>16</t>
        </is>
      </c>
      <c r="N2175" s="9" t="n">
        <v>1</v>
      </c>
      <c r="O2175" s="9" t="n">
        <v>1</v>
      </c>
      <c r="P2175" s="9" t="n"/>
      <c r="Q2175" s="9" t="n"/>
      <c r="R2175" s="9" t="n"/>
      <c r="S2175" s="9" t="inlineStr">
        <is>
          <t>Duct bank</t>
        </is>
      </c>
      <c r="T2175" s="10" t="n">
        <v>135</v>
      </c>
      <c r="U2175" s="10" t="n">
        <v>42</v>
      </c>
      <c r="V2175" s="10">
        <f>ROUNDUP((T2175+U2175+2*'Read Me'!$B$13)*(1+'Read Me'!$B$12),-1)</f>
        <v/>
      </c>
      <c r="W2175" s="10">
        <f>V2175*N2175*O2175</f>
        <v/>
      </c>
      <c r="X2175" s="9">
        <f>IF(LEFT(I2175,2)="MV",2*N2175*IF(L2175="1/C",O2175,1),0)</f>
        <v/>
      </c>
      <c r="Y2175" s="9">
        <f>IF(OR(LEFT(K2175,4)="LVAX",LEFT(K2175,6)="MV15AX",LEFT(K2175,4)="CTAX",LEFT(K2175,2)="W|"),2*N2175*O2175,0)</f>
        <v/>
      </c>
      <c r="Z2175" s="9" t="inlineStr"/>
    </row>
    <row r="2176">
      <c r="A2176" s="9" t="inlineStr">
        <is>
          <t>I-I-0084</t>
        </is>
      </c>
      <c r="B2176" s="9" t="inlineStr">
        <is>
          <t>I</t>
        </is>
      </c>
      <c r="C2176" s="9" t="inlineStr">
        <is>
          <t>Modular / portable power</t>
        </is>
      </c>
      <c r="D2176" s="9" t="inlineStr">
        <is>
          <t>Instrumentation</t>
        </is>
      </c>
      <c r="E2176" s="9" t="inlineStr"/>
      <c r="F2176" s="9" t="inlineStr">
        <is>
          <t>PCM: power control module</t>
        </is>
      </c>
      <c r="G2176" s="9" t="inlineStr">
        <is>
          <t>FC-8</t>
        </is>
      </c>
      <c r="H2176" s="9" t="inlineStr">
        <is>
          <t>FC-8: SOFC module (Bloom ES5 class, 200-300 kW)</t>
        </is>
      </c>
      <c r="I2176" s="9" t="inlineStr">
        <is>
          <t>Instrumentation</t>
        </is>
      </c>
      <c r="J2176" s="9" t="inlineStr">
        <is>
          <t>Instrumentation PLTC / TC-ER 300 V, #18 twisted shielded pairs, overall shield</t>
        </is>
      </c>
      <c r="K2176" s="9" t="inlineStr">
        <is>
          <t>PLTC|4 pr|18</t>
        </is>
      </c>
      <c r="L2176" s="9" t="inlineStr">
        <is>
          <t>4 pr</t>
        </is>
      </c>
      <c r="M2176" s="9" t="inlineStr">
        <is>
          <t>18</t>
        </is>
      </c>
      <c r="N2176" s="9" t="n">
        <v>1</v>
      </c>
      <c r="O2176" s="9" t="n">
        <v>1</v>
      </c>
      <c r="P2176" s="9" t="n"/>
      <c r="Q2176" s="9" t="n"/>
      <c r="R2176" s="9" t="n"/>
      <c r="S2176" s="9" t="inlineStr">
        <is>
          <t>Duct bank</t>
        </is>
      </c>
      <c r="T2176" s="10" t="n">
        <v>149</v>
      </c>
      <c r="U2176" s="10" t="n">
        <v>42</v>
      </c>
      <c r="V2176" s="10">
        <f>ROUNDUP((T2176+U2176+2*'Read Me'!$B$13)*(1+'Read Me'!$B$12),-1)</f>
        <v/>
      </c>
      <c r="W2176" s="10">
        <f>V2176*N2176*O2176</f>
        <v/>
      </c>
      <c r="X2176" s="9">
        <f>IF(LEFT(I2176,2)="MV",2*N2176*IF(L2176="1/C",O2176,1),0)</f>
        <v/>
      </c>
      <c r="Y2176" s="9">
        <f>IF(OR(LEFT(K2176,4)="LVAX",LEFT(K2176,6)="MV15AX",LEFT(K2176,4)="CTAX",LEFT(K2176,2)="W|"),2*N2176*O2176,0)</f>
        <v/>
      </c>
      <c r="Z2176" s="9" t="inlineStr"/>
    </row>
    <row r="2177">
      <c r="A2177" s="9" t="inlineStr">
        <is>
          <t>I-I-0085</t>
        </is>
      </c>
      <c r="B2177" s="9" t="inlineStr">
        <is>
          <t>I</t>
        </is>
      </c>
      <c r="C2177" s="9" t="inlineStr">
        <is>
          <t>Modular / portable power</t>
        </is>
      </c>
      <c r="D2177" s="9" t="inlineStr">
        <is>
          <t>Instrumentation</t>
        </is>
      </c>
      <c r="E2177" s="9" t="inlineStr"/>
      <c r="F2177" s="9" t="inlineStr">
        <is>
          <t>PCM: power control module</t>
        </is>
      </c>
      <c r="G2177" s="9" t="inlineStr">
        <is>
          <t>FC-8</t>
        </is>
      </c>
      <c r="H2177" s="9" t="inlineStr">
        <is>
          <t>FC-8: SOFC module (Bloom ES5 class, 200-300 kW)</t>
        </is>
      </c>
      <c r="I2177" s="9" t="inlineStr">
        <is>
          <t>Instrumentation</t>
        </is>
      </c>
      <c r="J2177" s="9" t="inlineStr">
        <is>
          <t>Instrumentation PLTC / TC-ER 300 V, #18 twisted shielded pairs, overall shield</t>
        </is>
      </c>
      <c r="K2177" s="9" t="inlineStr">
        <is>
          <t>PLTC|12 pr|18</t>
        </is>
      </c>
      <c r="L2177" s="9" t="inlineStr">
        <is>
          <t>12 pr</t>
        </is>
      </c>
      <c r="M2177" s="9" t="inlineStr">
        <is>
          <t>18</t>
        </is>
      </c>
      <c r="N2177" s="9" t="n">
        <v>1</v>
      </c>
      <c r="O2177" s="9" t="n">
        <v>1</v>
      </c>
      <c r="P2177" s="9" t="n"/>
      <c r="Q2177" s="9" t="n"/>
      <c r="R2177" s="9" t="n"/>
      <c r="S2177" s="9" t="inlineStr">
        <is>
          <t>Duct bank</t>
        </is>
      </c>
      <c r="T2177" s="10" t="n">
        <v>149</v>
      </c>
      <c r="U2177" s="10" t="n">
        <v>42</v>
      </c>
      <c r="V2177" s="10">
        <f>ROUNDUP((T2177+U2177+2*'Read Me'!$B$13)*(1+'Read Me'!$B$12),-1)</f>
        <v/>
      </c>
      <c r="W2177" s="10">
        <f>V2177*N2177*O2177</f>
        <v/>
      </c>
      <c r="X2177" s="9">
        <f>IF(LEFT(I2177,2)="MV",2*N2177*IF(L2177="1/C",O2177,1),0)</f>
        <v/>
      </c>
      <c r="Y2177" s="9">
        <f>IF(OR(LEFT(K2177,4)="LVAX",LEFT(K2177,6)="MV15AX",LEFT(K2177,4)="CTAX",LEFT(K2177,2)="W|"),2*N2177*O2177,0)</f>
        <v/>
      </c>
      <c r="Z2177" s="9" t="inlineStr"/>
    </row>
    <row r="2178">
      <c r="A2178" s="9" t="inlineStr">
        <is>
          <t>I-I-0086</t>
        </is>
      </c>
      <c r="B2178" s="9" t="inlineStr">
        <is>
          <t>I</t>
        </is>
      </c>
      <c r="C2178" s="9" t="inlineStr">
        <is>
          <t>Modular / portable power</t>
        </is>
      </c>
      <c r="D2178" s="9" t="inlineStr">
        <is>
          <t>Thermocouples</t>
        </is>
      </c>
      <c r="E2178" s="9" t="inlineStr"/>
      <c r="F2178" s="9" t="inlineStr">
        <is>
          <t>PCM: power control module</t>
        </is>
      </c>
      <c r="G2178" s="9" t="inlineStr">
        <is>
          <t>FC-8</t>
        </is>
      </c>
      <c r="H2178" s="9" t="inlineStr">
        <is>
          <t>FC-8: SOFC module (Bloom ES5 class, 200-300 kW)</t>
        </is>
      </c>
      <c r="I2178" s="9" t="inlineStr">
        <is>
          <t>Instrumentation</t>
        </is>
      </c>
      <c r="J2178" s="9" t="inlineStr">
        <is>
          <t>Thermocouple extension KX, #16 shielded pairs, PLTC</t>
        </is>
      </c>
      <c r="K2178" s="9" t="inlineStr">
        <is>
          <t>TCX|12 pr|16</t>
        </is>
      </c>
      <c r="L2178" s="9" t="inlineStr">
        <is>
          <t>12 pr</t>
        </is>
      </c>
      <c r="M2178" s="9" t="inlineStr">
        <is>
          <t>16</t>
        </is>
      </c>
      <c r="N2178" s="9" t="n">
        <v>1</v>
      </c>
      <c r="O2178" s="9" t="n">
        <v>1</v>
      </c>
      <c r="P2178" s="9" t="n"/>
      <c r="Q2178" s="9" t="n"/>
      <c r="R2178" s="9" t="n"/>
      <c r="S2178" s="9" t="inlineStr">
        <is>
          <t>Duct bank</t>
        </is>
      </c>
      <c r="T2178" s="10" t="n">
        <v>149</v>
      </c>
      <c r="U2178" s="10" t="n">
        <v>42</v>
      </c>
      <c r="V2178" s="10">
        <f>ROUNDUP((T2178+U2178+2*'Read Me'!$B$13)*(1+'Read Me'!$B$12),-1)</f>
        <v/>
      </c>
      <c r="W2178" s="10">
        <f>V2178*N2178*O2178</f>
        <v/>
      </c>
      <c r="X2178" s="9">
        <f>IF(LEFT(I2178,2)="MV",2*N2178*IF(L2178="1/C",O2178,1),0)</f>
        <v/>
      </c>
      <c r="Y2178" s="9">
        <f>IF(OR(LEFT(K2178,4)="LVAX",LEFT(K2178,6)="MV15AX",LEFT(K2178,4)="CTAX",LEFT(K2178,2)="W|"),2*N2178*O2178,0)</f>
        <v/>
      </c>
      <c r="Z2178" s="9" t="inlineStr"/>
    </row>
    <row r="2179">
      <c r="A2179" s="9" t="inlineStr">
        <is>
          <t>I-I-0087</t>
        </is>
      </c>
      <c r="B2179" s="9" t="inlineStr">
        <is>
          <t>I</t>
        </is>
      </c>
      <c r="C2179" s="9" t="inlineStr">
        <is>
          <t>Modular / portable power</t>
        </is>
      </c>
      <c r="D2179" s="9" t="inlineStr">
        <is>
          <t>Thermocouples</t>
        </is>
      </c>
      <c r="E2179" s="9" t="inlineStr"/>
      <c r="F2179" s="9" t="inlineStr">
        <is>
          <t>PCM: power control module</t>
        </is>
      </c>
      <c r="G2179" s="9" t="inlineStr">
        <is>
          <t>FC-8</t>
        </is>
      </c>
      <c r="H2179" s="9" t="inlineStr">
        <is>
          <t>FC-8: SOFC module (Bloom ES5 class, 200-300 kW)</t>
        </is>
      </c>
      <c r="I2179" s="9" t="inlineStr">
        <is>
          <t>Instrumentation</t>
        </is>
      </c>
      <c r="J2179" s="9" t="inlineStr">
        <is>
          <t>Thermocouple extension KX, #16 shielded pairs, PLTC</t>
        </is>
      </c>
      <c r="K2179" s="9" t="inlineStr">
        <is>
          <t>TCX|12 pr|16</t>
        </is>
      </c>
      <c r="L2179" s="9" t="inlineStr">
        <is>
          <t>12 pr</t>
        </is>
      </c>
      <c r="M2179" s="9" t="inlineStr">
        <is>
          <t>16</t>
        </is>
      </c>
      <c r="N2179" s="9" t="n">
        <v>1</v>
      </c>
      <c r="O2179" s="9" t="n">
        <v>1</v>
      </c>
      <c r="P2179" s="9" t="n"/>
      <c r="Q2179" s="9" t="n"/>
      <c r="R2179" s="9" t="n"/>
      <c r="S2179" s="9" t="inlineStr">
        <is>
          <t>Duct bank</t>
        </is>
      </c>
      <c r="T2179" s="10" t="n">
        <v>149</v>
      </c>
      <c r="U2179" s="10" t="n">
        <v>42</v>
      </c>
      <c r="V2179" s="10">
        <f>ROUNDUP((T2179+U2179+2*'Read Me'!$B$13)*(1+'Read Me'!$B$12),-1)</f>
        <v/>
      </c>
      <c r="W2179" s="10">
        <f>V2179*N2179*O2179</f>
        <v/>
      </c>
      <c r="X2179" s="9">
        <f>IF(LEFT(I2179,2)="MV",2*N2179*IF(L2179="1/C",O2179,1),0)</f>
        <v/>
      </c>
      <c r="Y2179" s="9">
        <f>IF(OR(LEFT(K2179,4)="LVAX",LEFT(K2179,6)="MV15AX",LEFT(K2179,4)="CTAX",LEFT(K2179,2)="W|"),2*N2179*O2179,0)</f>
        <v/>
      </c>
      <c r="Z2179" s="9" t="inlineStr"/>
    </row>
    <row r="2180">
      <c r="A2180" s="9" t="inlineStr">
        <is>
          <t>I-I-0088</t>
        </is>
      </c>
      <c r="B2180" s="9" t="inlineStr">
        <is>
          <t>I</t>
        </is>
      </c>
      <c r="C2180" s="9" t="inlineStr">
        <is>
          <t>Modular / portable power</t>
        </is>
      </c>
      <c r="D2180" s="9" t="inlineStr">
        <is>
          <t>Instrumentation</t>
        </is>
      </c>
      <c r="E2180" s="9" t="inlineStr"/>
      <c r="F2180" s="9" t="inlineStr">
        <is>
          <t>PCM: power control module</t>
        </is>
      </c>
      <c r="G2180" s="9" t="inlineStr">
        <is>
          <t>FC-9</t>
        </is>
      </c>
      <c r="H2180" s="9" t="inlineStr">
        <is>
          <t>FC-9: SOFC module (Bloom ES5 class, 200-300 kW)</t>
        </is>
      </c>
      <c r="I2180" s="9" t="inlineStr">
        <is>
          <t>Instrumentation</t>
        </is>
      </c>
      <c r="J2180" s="9" t="inlineStr">
        <is>
          <t>Instrumentation PLTC / TC-ER 300 V, #18 twisted shielded pairs, overall shield</t>
        </is>
      </c>
      <c r="K2180" s="9" t="inlineStr">
        <is>
          <t>PLTC|4 pr|18</t>
        </is>
      </c>
      <c r="L2180" s="9" t="inlineStr">
        <is>
          <t>4 pr</t>
        </is>
      </c>
      <c r="M2180" s="9" t="inlineStr">
        <is>
          <t>18</t>
        </is>
      </c>
      <c r="N2180" s="9" t="n">
        <v>1</v>
      </c>
      <c r="O2180" s="9" t="n">
        <v>1</v>
      </c>
      <c r="P2180" s="9" t="n"/>
      <c r="Q2180" s="9" t="n"/>
      <c r="R2180" s="9" t="n"/>
      <c r="S2180" s="9" t="inlineStr">
        <is>
          <t>Duct bank</t>
        </is>
      </c>
      <c r="T2180" s="10" t="n">
        <v>163</v>
      </c>
      <c r="U2180" s="10" t="n">
        <v>42</v>
      </c>
      <c r="V2180" s="10">
        <f>ROUNDUP((T2180+U2180+2*'Read Me'!$B$13)*(1+'Read Me'!$B$12),-1)</f>
        <v/>
      </c>
      <c r="W2180" s="10">
        <f>V2180*N2180*O2180</f>
        <v/>
      </c>
      <c r="X2180" s="9">
        <f>IF(LEFT(I2180,2)="MV",2*N2180*IF(L2180="1/C",O2180,1),0)</f>
        <v/>
      </c>
      <c r="Y2180" s="9">
        <f>IF(OR(LEFT(K2180,4)="LVAX",LEFT(K2180,6)="MV15AX",LEFT(K2180,4)="CTAX",LEFT(K2180,2)="W|"),2*N2180*O2180,0)</f>
        <v/>
      </c>
      <c r="Z2180" s="9" t="inlineStr"/>
    </row>
    <row r="2181">
      <c r="A2181" s="9" t="inlineStr">
        <is>
          <t>I-I-0089</t>
        </is>
      </c>
      <c r="B2181" s="9" t="inlineStr">
        <is>
          <t>I</t>
        </is>
      </c>
      <c r="C2181" s="9" t="inlineStr">
        <is>
          <t>Modular / portable power</t>
        </is>
      </c>
      <c r="D2181" s="9" t="inlineStr">
        <is>
          <t>Instrumentation</t>
        </is>
      </c>
      <c r="E2181" s="9" t="inlineStr"/>
      <c r="F2181" s="9" t="inlineStr">
        <is>
          <t>PCM: power control module</t>
        </is>
      </c>
      <c r="G2181" s="9" t="inlineStr">
        <is>
          <t>FC-9</t>
        </is>
      </c>
      <c r="H2181" s="9" t="inlineStr">
        <is>
          <t>FC-9: SOFC module (Bloom ES5 class, 200-300 kW)</t>
        </is>
      </c>
      <c r="I2181" s="9" t="inlineStr">
        <is>
          <t>Instrumentation</t>
        </is>
      </c>
      <c r="J2181" s="9" t="inlineStr">
        <is>
          <t>Instrumentation PLTC / TC-ER 300 V, #18 twisted shielded pairs, overall shield</t>
        </is>
      </c>
      <c r="K2181" s="9" t="inlineStr">
        <is>
          <t>PLTC|12 pr|18</t>
        </is>
      </c>
      <c r="L2181" s="9" t="inlineStr">
        <is>
          <t>12 pr</t>
        </is>
      </c>
      <c r="M2181" s="9" t="inlineStr">
        <is>
          <t>18</t>
        </is>
      </c>
      <c r="N2181" s="9" t="n">
        <v>1</v>
      </c>
      <c r="O2181" s="9" t="n">
        <v>1</v>
      </c>
      <c r="P2181" s="9" t="n"/>
      <c r="Q2181" s="9" t="n"/>
      <c r="R2181" s="9" t="n"/>
      <c r="S2181" s="9" t="inlineStr">
        <is>
          <t>Duct bank</t>
        </is>
      </c>
      <c r="T2181" s="10" t="n">
        <v>163</v>
      </c>
      <c r="U2181" s="10" t="n">
        <v>42</v>
      </c>
      <c r="V2181" s="10">
        <f>ROUNDUP((T2181+U2181+2*'Read Me'!$B$13)*(1+'Read Me'!$B$12),-1)</f>
        <v/>
      </c>
      <c r="W2181" s="10">
        <f>V2181*N2181*O2181</f>
        <v/>
      </c>
      <c r="X2181" s="9">
        <f>IF(LEFT(I2181,2)="MV",2*N2181*IF(L2181="1/C",O2181,1),0)</f>
        <v/>
      </c>
      <c r="Y2181" s="9">
        <f>IF(OR(LEFT(K2181,4)="LVAX",LEFT(K2181,6)="MV15AX",LEFT(K2181,4)="CTAX",LEFT(K2181,2)="W|"),2*N2181*O2181,0)</f>
        <v/>
      </c>
      <c r="Z2181" s="9" t="inlineStr"/>
    </row>
    <row r="2182">
      <c r="A2182" s="9" t="inlineStr">
        <is>
          <t>I-I-0090</t>
        </is>
      </c>
      <c r="B2182" s="9" t="inlineStr">
        <is>
          <t>I</t>
        </is>
      </c>
      <c r="C2182" s="9" t="inlineStr">
        <is>
          <t>Modular / portable power</t>
        </is>
      </c>
      <c r="D2182" s="9" t="inlineStr">
        <is>
          <t>Thermocouples</t>
        </is>
      </c>
      <c r="E2182" s="9" t="inlineStr"/>
      <c r="F2182" s="9" t="inlineStr">
        <is>
          <t>PCM: power control module</t>
        </is>
      </c>
      <c r="G2182" s="9" t="inlineStr">
        <is>
          <t>FC-9</t>
        </is>
      </c>
      <c r="H2182" s="9" t="inlineStr">
        <is>
          <t>FC-9: SOFC module (Bloom ES5 class, 200-300 kW)</t>
        </is>
      </c>
      <c r="I2182" s="9" t="inlineStr">
        <is>
          <t>Instrumentation</t>
        </is>
      </c>
      <c r="J2182" s="9" t="inlineStr">
        <is>
          <t>Thermocouple extension KX, #16 shielded pairs, PLTC</t>
        </is>
      </c>
      <c r="K2182" s="9" t="inlineStr">
        <is>
          <t>TCX|12 pr|16</t>
        </is>
      </c>
      <c r="L2182" s="9" t="inlineStr">
        <is>
          <t>12 pr</t>
        </is>
      </c>
      <c r="M2182" s="9" t="inlineStr">
        <is>
          <t>16</t>
        </is>
      </c>
      <c r="N2182" s="9" t="n">
        <v>1</v>
      </c>
      <c r="O2182" s="9" t="n">
        <v>1</v>
      </c>
      <c r="P2182" s="9" t="n"/>
      <c r="Q2182" s="9" t="n"/>
      <c r="R2182" s="9" t="n"/>
      <c r="S2182" s="9" t="inlineStr">
        <is>
          <t>Duct bank</t>
        </is>
      </c>
      <c r="T2182" s="10" t="n">
        <v>163</v>
      </c>
      <c r="U2182" s="10" t="n">
        <v>42</v>
      </c>
      <c r="V2182" s="10">
        <f>ROUNDUP((T2182+U2182+2*'Read Me'!$B$13)*(1+'Read Me'!$B$12),-1)</f>
        <v/>
      </c>
      <c r="W2182" s="10">
        <f>V2182*N2182*O2182</f>
        <v/>
      </c>
      <c r="X2182" s="9">
        <f>IF(LEFT(I2182,2)="MV",2*N2182*IF(L2182="1/C",O2182,1),0)</f>
        <v/>
      </c>
      <c r="Y2182" s="9">
        <f>IF(OR(LEFT(K2182,4)="LVAX",LEFT(K2182,6)="MV15AX",LEFT(K2182,4)="CTAX",LEFT(K2182,2)="W|"),2*N2182*O2182,0)</f>
        <v/>
      </c>
      <c r="Z2182" s="9" t="inlineStr"/>
    </row>
    <row r="2183">
      <c r="A2183" s="9" t="inlineStr">
        <is>
          <t>I-I-0091</t>
        </is>
      </c>
      <c r="B2183" s="9" t="inlineStr">
        <is>
          <t>I</t>
        </is>
      </c>
      <c r="C2183" s="9" t="inlineStr">
        <is>
          <t>Modular / portable power</t>
        </is>
      </c>
      <c r="D2183" s="9" t="inlineStr">
        <is>
          <t>Thermocouples</t>
        </is>
      </c>
      <c r="E2183" s="9" t="inlineStr"/>
      <c r="F2183" s="9" t="inlineStr">
        <is>
          <t>PCM: power control module</t>
        </is>
      </c>
      <c r="G2183" s="9" t="inlineStr">
        <is>
          <t>FC-9</t>
        </is>
      </c>
      <c r="H2183" s="9" t="inlineStr">
        <is>
          <t>FC-9: SOFC module (Bloom ES5 class, 200-300 kW)</t>
        </is>
      </c>
      <c r="I2183" s="9" t="inlineStr">
        <is>
          <t>Instrumentation</t>
        </is>
      </c>
      <c r="J2183" s="9" t="inlineStr">
        <is>
          <t>Thermocouple extension KX, #16 shielded pairs, PLTC</t>
        </is>
      </c>
      <c r="K2183" s="9" t="inlineStr">
        <is>
          <t>TCX|12 pr|16</t>
        </is>
      </c>
      <c r="L2183" s="9" t="inlineStr">
        <is>
          <t>12 pr</t>
        </is>
      </c>
      <c r="M2183" s="9" t="inlineStr">
        <is>
          <t>16</t>
        </is>
      </c>
      <c r="N2183" s="9" t="n">
        <v>1</v>
      </c>
      <c r="O2183" s="9" t="n">
        <v>1</v>
      </c>
      <c r="P2183" s="9" t="n"/>
      <c r="Q2183" s="9" t="n"/>
      <c r="R2183" s="9" t="n"/>
      <c r="S2183" s="9" t="inlineStr">
        <is>
          <t>Duct bank</t>
        </is>
      </c>
      <c r="T2183" s="10" t="n">
        <v>163</v>
      </c>
      <c r="U2183" s="10" t="n">
        <v>42</v>
      </c>
      <c r="V2183" s="10">
        <f>ROUNDUP((T2183+U2183+2*'Read Me'!$B$13)*(1+'Read Me'!$B$12),-1)</f>
        <v/>
      </c>
      <c r="W2183" s="10">
        <f>V2183*N2183*O2183</f>
        <v/>
      </c>
      <c r="X2183" s="9">
        <f>IF(LEFT(I2183,2)="MV",2*N2183*IF(L2183="1/C",O2183,1),0)</f>
        <v/>
      </c>
      <c r="Y2183" s="9">
        <f>IF(OR(LEFT(K2183,4)="LVAX",LEFT(K2183,6)="MV15AX",LEFT(K2183,4)="CTAX",LEFT(K2183,2)="W|"),2*N2183*O2183,0)</f>
        <v/>
      </c>
      <c r="Z2183" s="9" t="inlineStr"/>
    </row>
    <row r="2184">
      <c r="A2184" s="9" t="inlineStr">
        <is>
          <t>I-I-0092</t>
        </is>
      </c>
      <c r="B2184" s="9" t="inlineStr">
        <is>
          <t>I</t>
        </is>
      </c>
      <c r="C2184" s="9" t="inlineStr">
        <is>
          <t>Modular / portable power</t>
        </is>
      </c>
      <c r="D2184" s="9" t="inlineStr">
        <is>
          <t>Instrumentation</t>
        </is>
      </c>
      <c r="E2184" s="9" t="inlineStr"/>
      <c r="F2184" s="9" t="inlineStr">
        <is>
          <t>PCM: power control module</t>
        </is>
      </c>
      <c r="G2184" s="9" t="inlineStr"/>
      <c r="H2184" s="9" t="inlineStr">
        <is>
          <t>Fuel-cell inverter / AC cabinet / desulfurizer</t>
        </is>
      </c>
      <c r="I2184" s="9" t="inlineStr">
        <is>
          <t>Instrumentation</t>
        </is>
      </c>
      <c r="J2184" s="9" t="inlineStr">
        <is>
          <t>Instrumentation ITC / PLTC, IS, #18 shielded pairs, blue jacket</t>
        </is>
      </c>
      <c r="K2184" s="9" t="inlineStr">
        <is>
          <t>ITC|4 pr|18</t>
        </is>
      </c>
      <c r="L2184" s="9" t="inlineStr">
        <is>
          <t>4 pr</t>
        </is>
      </c>
      <c r="M2184" s="9" t="inlineStr">
        <is>
          <t>18</t>
        </is>
      </c>
      <c r="N2184" s="9" t="n">
        <v>1</v>
      </c>
      <c r="O2184" s="9" t="n">
        <v>1</v>
      </c>
      <c r="P2184" s="9" t="n"/>
      <c r="Q2184" s="9" t="n"/>
      <c r="R2184" s="9" t="n"/>
      <c r="S2184" s="9" t="inlineStr">
        <is>
          <t>Duct bank</t>
        </is>
      </c>
      <c r="T2184" s="10" t="n">
        <v>1050</v>
      </c>
      <c r="U2184" s="10" t="n">
        <v>32</v>
      </c>
      <c r="V2184" s="10">
        <f>ROUNDUP((T2184+U2184+2*'Read Me'!$B$13)*(1+'Read Me'!$B$12),-1)</f>
        <v/>
      </c>
      <c r="W2184" s="10">
        <f>V2184*N2184*O2184</f>
        <v/>
      </c>
      <c r="X2184" s="9">
        <f>IF(LEFT(I2184,2)="MV",2*N2184*IF(L2184="1/C",O2184,1),0)</f>
        <v/>
      </c>
      <c r="Y2184" s="9">
        <f>IF(OR(LEFT(K2184,4)="LVAX",LEFT(K2184,6)="MV15AX",LEFT(K2184,4)="CTAX",LEFT(K2184,2)="W|"),2*N2184*O2184,0)</f>
        <v/>
      </c>
      <c r="Z2184" s="9" t="inlineStr"/>
    </row>
    <row r="2185">
      <c r="A2185" s="9" t="inlineStr">
        <is>
          <t>I-I-0093</t>
        </is>
      </c>
      <c r="B2185" s="9" t="inlineStr">
        <is>
          <t>I</t>
        </is>
      </c>
      <c r="C2185" s="9" t="inlineStr">
        <is>
          <t>Modular / portable power</t>
        </is>
      </c>
      <c r="D2185" s="9" t="inlineStr">
        <is>
          <t>Thermocouples</t>
        </is>
      </c>
      <c r="E2185" s="9" t="inlineStr"/>
      <c r="F2185" s="9" t="inlineStr">
        <is>
          <t>PCM: power control module</t>
        </is>
      </c>
      <c r="G2185" s="9" t="inlineStr"/>
      <c r="H2185" s="9" t="inlineStr">
        <is>
          <t>Fuel-cell inverter / AC cabinet / desulfurizer</t>
        </is>
      </c>
      <c r="I2185" s="9" t="inlineStr">
        <is>
          <t>Instrumentation</t>
        </is>
      </c>
      <c r="J2185" s="9" t="inlineStr">
        <is>
          <t>Thermocouple extension KX, #16 shielded pairs, PLTC</t>
        </is>
      </c>
      <c r="K2185" s="9" t="inlineStr">
        <is>
          <t>TCX|12 pr|16</t>
        </is>
      </c>
      <c r="L2185" s="9" t="inlineStr">
        <is>
          <t>12 pr</t>
        </is>
      </c>
      <c r="M2185" s="9" t="inlineStr">
        <is>
          <t>16</t>
        </is>
      </c>
      <c r="N2185" s="9" t="n">
        <v>1</v>
      </c>
      <c r="O2185" s="9" t="n">
        <v>1</v>
      </c>
      <c r="P2185" s="9" t="n"/>
      <c r="Q2185" s="9" t="n"/>
      <c r="R2185" s="9" t="n"/>
      <c r="S2185" s="9" t="inlineStr">
        <is>
          <t>Duct bank</t>
        </is>
      </c>
      <c r="T2185" s="10" t="n">
        <v>1050</v>
      </c>
      <c r="U2185" s="10" t="n">
        <v>32</v>
      </c>
      <c r="V2185" s="10">
        <f>ROUNDUP((T2185+U2185+2*'Read Me'!$B$13)*(1+'Read Me'!$B$12),-1)</f>
        <v/>
      </c>
      <c r="W2185" s="10">
        <f>V2185*N2185*O2185</f>
        <v/>
      </c>
      <c r="X2185" s="9">
        <f>IF(LEFT(I2185,2)="MV",2*N2185*IF(L2185="1/C",O2185,1),0)</f>
        <v/>
      </c>
      <c r="Y2185" s="9">
        <f>IF(OR(LEFT(K2185,4)="LVAX",LEFT(K2185,6)="MV15AX",LEFT(K2185,4)="CTAX",LEFT(K2185,2)="W|"),2*N2185*O2185,0)</f>
        <v/>
      </c>
      <c r="Z2185" s="9" t="inlineStr"/>
    </row>
    <row r="2186">
      <c r="A2186" s="9" t="inlineStr">
        <is>
          <t>I-I-0094</t>
        </is>
      </c>
      <c r="B2186" s="9" t="inlineStr">
        <is>
          <t>I</t>
        </is>
      </c>
      <c r="C2186" s="9" t="inlineStr">
        <is>
          <t>Modular / portable power</t>
        </is>
      </c>
      <c r="D2186" s="9" t="inlineStr">
        <is>
          <t>Thermocouples</t>
        </is>
      </c>
      <c r="E2186" s="9" t="inlineStr"/>
      <c r="F2186" s="9" t="inlineStr">
        <is>
          <t>PCM: power control module</t>
        </is>
      </c>
      <c r="G2186" s="9" t="inlineStr"/>
      <c r="H2186" s="9" t="inlineStr">
        <is>
          <t>Fuel-cell inverter / AC cabinet / desulfurizer</t>
        </is>
      </c>
      <c r="I2186" s="9" t="inlineStr">
        <is>
          <t>Instrumentation</t>
        </is>
      </c>
      <c r="J2186" s="9" t="inlineStr">
        <is>
          <t>Thermocouple extension KX, #16 shielded pairs, PLTC</t>
        </is>
      </c>
      <c r="K2186" s="9" t="inlineStr">
        <is>
          <t>TCX|12 pr|16</t>
        </is>
      </c>
      <c r="L2186" s="9" t="inlineStr">
        <is>
          <t>12 pr</t>
        </is>
      </c>
      <c r="M2186" s="9" t="inlineStr">
        <is>
          <t>16</t>
        </is>
      </c>
      <c r="N2186" s="9" t="n">
        <v>1</v>
      </c>
      <c r="O2186" s="9" t="n">
        <v>1</v>
      </c>
      <c r="P2186" s="9" t="n"/>
      <c r="Q2186" s="9" t="n"/>
      <c r="R2186" s="9" t="n"/>
      <c r="S2186" s="9" t="inlineStr">
        <is>
          <t>Duct bank</t>
        </is>
      </c>
      <c r="T2186" s="10" t="n">
        <v>1050</v>
      </c>
      <c r="U2186" s="10" t="n">
        <v>32</v>
      </c>
      <c r="V2186" s="10">
        <f>ROUNDUP((T2186+U2186+2*'Read Me'!$B$13)*(1+'Read Me'!$B$12),-1)</f>
        <v/>
      </c>
      <c r="W2186" s="10">
        <f>V2186*N2186*O2186</f>
        <v/>
      </c>
      <c r="X2186" s="9">
        <f>IF(LEFT(I2186,2)="MV",2*N2186*IF(L2186="1/C",O2186,1),0)</f>
        <v/>
      </c>
      <c r="Y2186" s="9">
        <f>IF(OR(LEFT(K2186,4)="LVAX",LEFT(K2186,6)="MV15AX",LEFT(K2186,4)="CTAX",LEFT(K2186,2)="W|"),2*N2186*O2186,0)</f>
        <v/>
      </c>
      <c r="Z2186" s="9" t="inlineStr"/>
    </row>
    <row r="2187">
      <c r="A2187" s="9" t="inlineStr">
        <is>
          <t>I-I-0095</t>
        </is>
      </c>
      <c r="B2187" s="9" t="inlineStr">
        <is>
          <t>I</t>
        </is>
      </c>
      <c r="C2187" s="9" t="inlineStr">
        <is>
          <t>Modular / portable power</t>
        </is>
      </c>
      <c r="D2187" s="9" t="inlineStr">
        <is>
          <t>Instrumentation</t>
        </is>
      </c>
      <c r="E2187" s="9" t="inlineStr"/>
      <c r="F2187" s="9" t="inlineStr">
        <is>
          <t>PCM: power control module</t>
        </is>
      </c>
      <c r="G2187" s="9" t="inlineStr"/>
      <c r="H2187" s="9" t="inlineStr">
        <is>
          <t>Fuel-gas compressors 3 x 100% electric</t>
        </is>
      </c>
      <c r="I2187" s="9" t="inlineStr">
        <is>
          <t>Instrumentation</t>
        </is>
      </c>
      <c r="J2187" s="9" t="inlineStr">
        <is>
          <t>Instrumentation ITC / PLTC, IS, #18 shielded pairs, blue jacket</t>
        </is>
      </c>
      <c r="K2187" s="9" t="inlineStr">
        <is>
          <t>ITC|4 pr|18</t>
        </is>
      </c>
      <c r="L2187" s="9" t="inlineStr">
        <is>
          <t>4 pr</t>
        </is>
      </c>
      <c r="M2187" s="9" t="inlineStr">
        <is>
          <t>18</t>
        </is>
      </c>
      <c r="N2187" s="9" t="n">
        <v>1</v>
      </c>
      <c r="O2187" s="9" t="n">
        <v>1</v>
      </c>
      <c r="P2187" s="9" t="n"/>
      <c r="Q2187" s="9" t="n"/>
      <c r="R2187" s="9" t="n"/>
      <c r="S2187" s="9" t="inlineStr">
        <is>
          <t>Duct bank</t>
        </is>
      </c>
      <c r="T2187" s="10" t="n">
        <v>542</v>
      </c>
      <c r="U2187" s="10" t="n">
        <v>119</v>
      </c>
      <c r="V2187" s="10">
        <f>ROUNDUP((T2187+U2187+2*'Read Me'!$B$13)*(1+'Read Me'!$B$12),-1)</f>
        <v/>
      </c>
      <c r="W2187" s="10">
        <f>V2187*N2187*O2187</f>
        <v/>
      </c>
      <c r="X2187" s="9">
        <f>IF(LEFT(I2187,2)="MV",2*N2187*IF(L2187="1/C",O2187,1),0)</f>
        <v/>
      </c>
      <c r="Y2187" s="9">
        <f>IF(OR(LEFT(K2187,4)="LVAX",LEFT(K2187,6)="MV15AX",LEFT(K2187,4)="CTAX",LEFT(K2187,2)="W|"),2*N2187*O2187,0)</f>
        <v/>
      </c>
      <c r="Z2187" s="9" t="inlineStr"/>
    </row>
    <row r="2188">
      <c r="A2188" s="9" t="inlineStr">
        <is>
          <t>I-I-0096</t>
        </is>
      </c>
      <c r="B2188" s="9" t="inlineStr">
        <is>
          <t>I</t>
        </is>
      </c>
      <c r="C2188" s="9" t="inlineStr">
        <is>
          <t>Modular / portable power</t>
        </is>
      </c>
      <c r="D2188" s="9" t="inlineStr">
        <is>
          <t>Instrumentation</t>
        </is>
      </c>
      <c r="E2188" s="9" t="inlineStr"/>
      <c r="F2188" s="9" t="inlineStr">
        <is>
          <t>PCM: power control module</t>
        </is>
      </c>
      <c r="G2188" s="9" t="inlineStr"/>
      <c r="H2188" s="9" t="inlineStr">
        <is>
          <t>Fuel-gas compressors 3 x 100% electric</t>
        </is>
      </c>
      <c r="I2188" s="9" t="inlineStr">
        <is>
          <t>Instrumentation</t>
        </is>
      </c>
      <c r="J2188" s="9" t="inlineStr">
        <is>
          <t>Instrumentation ITC / PLTC, IS, #18 shielded pairs, blue jacket</t>
        </is>
      </c>
      <c r="K2188" s="9" t="inlineStr">
        <is>
          <t>ITC|12 pr|18</t>
        </is>
      </c>
      <c r="L2188" s="9" t="inlineStr">
        <is>
          <t>12 pr</t>
        </is>
      </c>
      <c r="M2188" s="9" t="inlineStr">
        <is>
          <t>18</t>
        </is>
      </c>
      <c r="N2188" s="9" t="n">
        <v>1</v>
      </c>
      <c r="O2188" s="9" t="n">
        <v>1</v>
      </c>
      <c r="P2188" s="9" t="n"/>
      <c r="Q2188" s="9" t="n"/>
      <c r="R2188" s="9" t="n"/>
      <c r="S2188" s="9" t="inlineStr">
        <is>
          <t>Duct bank</t>
        </is>
      </c>
      <c r="T2188" s="10" t="n">
        <v>542</v>
      </c>
      <c r="U2188" s="10" t="n">
        <v>119</v>
      </c>
      <c r="V2188" s="10">
        <f>ROUNDUP((T2188+U2188+2*'Read Me'!$B$13)*(1+'Read Me'!$B$12),-1)</f>
        <v/>
      </c>
      <c r="W2188" s="10">
        <f>V2188*N2188*O2188</f>
        <v/>
      </c>
      <c r="X2188" s="9">
        <f>IF(LEFT(I2188,2)="MV",2*N2188*IF(L2188="1/C",O2188,1),0)</f>
        <v/>
      </c>
      <c r="Y2188" s="9">
        <f>IF(OR(LEFT(K2188,4)="LVAX",LEFT(K2188,6)="MV15AX",LEFT(K2188,4)="CTAX",LEFT(K2188,2)="W|"),2*N2188*O2188,0)</f>
        <v/>
      </c>
      <c r="Z2188" s="9" t="inlineStr"/>
    </row>
    <row r="2189">
      <c r="A2189" s="9" t="inlineStr">
        <is>
          <t>I-I-0097</t>
        </is>
      </c>
      <c r="B2189" s="9" t="inlineStr">
        <is>
          <t>I</t>
        </is>
      </c>
      <c r="C2189" s="9" t="inlineStr">
        <is>
          <t>Modular / portable power</t>
        </is>
      </c>
      <c r="D2189" s="9" t="inlineStr">
        <is>
          <t>Instrumentation</t>
        </is>
      </c>
      <c r="E2189" s="9" t="inlineStr">
        <is>
          <t>PAD-EH</t>
        </is>
      </c>
      <c r="F2189" s="9" t="inlineStr">
        <is>
          <t>PAD-EH 13.8 kV switchgear e-house</t>
        </is>
      </c>
      <c r="G2189" s="9" t="inlineStr">
        <is>
          <t>GEN-E</t>
        </is>
      </c>
      <c r="H2189" s="9" t="inlineStr">
        <is>
          <t>GEN-E: enclosed industrial gas genset 2 MW</t>
        </is>
      </c>
      <c r="I2189" s="9" t="inlineStr">
        <is>
          <t>Instrumentation</t>
        </is>
      </c>
      <c r="J2189" s="9" t="inlineStr">
        <is>
          <t>Instrumentation PLTC / TC-ER 300 V, #18 twisted shielded pairs, overall shield</t>
        </is>
      </c>
      <c r="K2189" s="9" t="inlineStr">
        <is>
          <t>PLTC|4 pr|18</t>
        </is>
      </c>
      <c r="L2189" s="9" t="inlineStr">
        <is>
          <t>4 pr</t>
        </is>
      </c>
      <c r="M2189" s="9" t="inlineStr">
        <is>
          <t>18</t>
        </is>
      </c>
      <c r="N2189" s="9" t="n">
        <v>1</v>
      </c>
      <c r="O2189" s="9" t="n">
        <v>1</v>
      </c>
      <c r="P2189" s="9" t="n"/>
      <c r="Q2189" s="9" t="n"/>
      <c r="R2189" s="9" t="n"/>
      <c r="S2189" s="9" t="inlineStr">
        <is>
          <t>Surface</t>
        </is>
      </c>
      <c r="T2189" s="10" t="n">
        <v>197</v>
      </c>
      <c r="U2189" s="10" t="n">
        <v>27</v>
      </c>
      <c r="V2189" s="10">
        <f>ROUNDUP((T2189+U2189+2*'Read Me'!$B$13)*(1+'Read Me'!$B$12),-1)</f>
        <v/>
      </c>
      <c r="W2189" s="10">
        <f>V2189*N2189*O2189</f>
        <v/>
      </c>
      <c r="X2189" s="9">
        <f>IF(LEFT(I2189,2)="MV",2*N2189*IF(L2189="1/C",O2189,1),0)</f>
        <v/>
      </c>
      <c r="Y2189" s="9">
        <f>IF(OR(LEFT(K2189,4)="LVAX",LEFT(K2189,6)="MV15AX",LEFT(K2189,4)="CTAX",LEFT(K2189,2)="W|"),2*N2189*O2189,0)</f>
        <v/>
      </c>
      <c r="Z2189" s="9" t="inlineStr"/>
    </row>
    <row r="2190">
      <c r="A2190" s="9" t="inlineStr">
        <is>
          <t>I-I-0098</t>
        </is>
      </c>
      <c r="B2190" s="9" t="inlineStr">
        <is>
          <t>I</t>
        </is>
      </c>
      <c r="C2190" s="9" t="inlineStr">
        <is>
          <t>Modular / portable power</t>
        </is>
      </c>
      <c r="D2190" s="9" t="inlineStr">
        <is>
          <t>Thermocouples</t>
        </is>
      </c>
      <c r="E2190" s="9" t="inlineStr">
        <is>
          <t>PAD-EH</t>
        </is>
      </c>
      <c r="F2190" s="9" t="inlineStr">
        <is>
          <t>PAD-EH 13.8 kV switchgear e-house</t>
        </is>
      </c>
      <c r="G2190" s="9" t="inlineStr">
        <is>
          <t>GEN-E</t>
        </is>
      </c>
      <c r="H2190" s="9" t="inlineStr">
        <is>
          <t>GEN-E: enclosed industrial gas genset 2 MW</t>
        </is>
      </c>
      <c r="I2190" s="9" t="inlineStr">
        <is>
          <t>Instrumentation</t>
        </is>
      </c>
      <c r="J2190" s="9" t="inlineStr">
        <is>
          <t>Thermocouple extension KX, #16 shielded pairs, PLTC</t>
        </is>
      </c>
      <c r="K2190" s="9" t="inlineStr">
        <is>
          <t>TCX|12 pr|16</t>
        </is>
      </c>
      <c r="L2190" s="9" t="inlineStr">
        <is>
          <t>12 pr</t>
        </is>
      </c>
      <c r="M2190" s="9" t="inlineStr">
        <is>
          <t>16</t>
        </is>
      </c>
      <c r="N2190" s="9" t="n">
        <v>1</v>
      </c>
      <c r="O2190" s="9" t="n">
        <v>1</v>
      </c>
      <c r="P2190" s="9" t="n"/>
      <c r="Q2190" s="9" t="n"/>
      <c r="R2190" s="9" t="n"/>
      <c r="S2190" s="9" t="inlineStr">
        <is>
          <t>Surface</t>
        </is>
      </c>
      <c r="T2190" s="10" t="n">
        <v>197</v>
      </c>
      <c r="U2190" s="10" t="n">
        <v>27</v>
      </c>
      <c r="V2190" s="10">
        <f>ROUNDUP((T2190+U2190+2*'Read Me'!$B$13)*(1+'Read Me'!$B$12),-1)</f>
        <v/>
      </c>
      <c r="W2190" s="10">
        <f>V2190*N2190*O2190</f>
        <v/>
      </c>
      <c r="X2190" s="9">
        <f>IF(LEFT(I2190,2)="MV",2*N2190*IF(L2190="1/C",O2190,1),0)</f>
        <v/>
      </c>
      <c r="Y2190" s="9">
        <f>IF(OR(LEFT(K2190,4)="LVAX",LEFT(K2190,6)="MV15AX",LEFT(K2190,4)="CTAX",LEFT(K2190,2)="W|"),2*N2190*O2190,0)</f>
        <v/>
      </c>
      <c r="Z2190" s="9" t="inlineStr"/>
    </row>
    <row r="2191">
      <c r="A2191" s="9" t="inlineStr">
        <is>
          <t>I-I-0099</t>
        </is>
      </c>
      <c r="B2191" s="9" t="inlineStr">
        <is>
          <t>I</t>
        </is>
      </c>
      <c r="C2191" s="9" t="inlineStr">
        <is>
          <t>Modular / portable power</t>
        </is>
      </c>
      <c r="D2191" s="9" t="inlineStr">
        <is>
          <t>Thermocouples</t>
        </is>
      </c>
      <c r="E2191" s="9" t="inlineStr">
        <is>
          <t>PAD-EH</t>
        </is>
      </c>
      <c r="F2191" s="9" t="inlineStr">
        <is>
          <t>PAD-EH 13.8 kV switchgear e-house</t>
        </is>
      </c>
      <c r="G2191" s="9" t="inlineStr">
        <is>
          <t>GEN-E</t>
        </is>
      </c>
      <c r="H2191" s="9" t="inlineStr">
        <is>
          <t>GEN-E: enclosed industrial gas genset 2 MW</t>
        </is>
      </c>
      <c r="I2191" s="9" t="inlineStr">
        <is>
          <t>Instrumentation</t>
        </is>
      </c>
      <c r="J2191" s="9" t="inlineStr">
        <is>
          <t>Thermocouple extension KX, #16 shielded pairs, PLTC</t>
        </is>
      </c>
      <c r="K2191" s="9" t="inlineStr">
        <is>
          <t>TCX|12 pr|16</t>
        </is>
      </c>
      <c r="L2191" s="9" t="inlineStr">
        <is>
          <t>12 pr</t>
        </is>
      </c>
      <c r="M2191" s="9" t="inlineStr">
        <is>
          <t>16</t>
        </is>
      </c>
      <c r="N2191" s="9" t="n">
        <v>1</v>
      </c>
      <c r="O2191" s="9" t="n">
        <v>1</v>
      </c>
      <c r="P2191" s="9" t="n"/>
      <c r="Q2191" s="9" t="n"/>
      <c r="R2191" s="9" t="n"/>
      <c r="S2191" s="9" t="inlineStr">
        <is>
          <t>Surface</t>
        </is>
      </c>
      <c r="T2191" s="10" t="n">
        <v>197</v>
      </c>
      <c r="U2191" s="10" t="n">
        <v>27</v>
      </c>
      <c r="V2191" s="10">
        <f>ROUNDUP((T2191+U2191+2*'Read Me'!$B$13)*(1+'Read Me'!$B$12),-1)</f>
        <v/>
      </c>
      <c r="W2191" s="10">
        <f>V2191*N2191*O2191</f>
        <v/>
      </c>
      <c r="X2191" s="9">
        <f>IF(LEFT(I2191,2)="MV",2*N2191*IF(L2191="1/C",O2191,1),0)</f>
        <v/>
      </c>
      <c r="Y2191" s="9">
        <f>IF(OR(LEFT(K2191,4)="LVAX",LEFT(K2191,6)="MV15AX",LEFT(K2191,4)="CTAX",LEFT(K2191,2)="W|"),2*N2191*O2191,0)</f>
        <v/>
      </c>
      <c r="Z2191" s="9" t="inlineStr"/>
    </row>
    <row r="2192">
      <c r="A2192" s="9" t="inlineStr">
        <is>
          <t>I-I-0100</t>
        </is>
      </c>
      <c r="B2192" s="9" t="inlineStr">
        <is>
          <t>I</t>
        </is>
      </c>
      <c r="C2192" s="9" t="inlineStr">
        <is>
          <t>Modular / portable power</t>
        </is>
      </c>
      <c r="D2192" s="9" t="inlineStr">
        <is>
          <t>Instrumentation</t>
        </is>
      </c>
      <c r="E2192" s="9" t="inlineStr">
        <is>
          <t>PAD-EH</t>
        </is>
      </c>
      <c r="F2192" s="9" t="inlineStr">
        <is>
          <t>PAD-EH 13.8 kV switchgear e-house</t>
        </is>
      </c>
      <c r="G2192" s="9" t="inlineStr">
        <is>
          <t>GEN-O</t>
        </is>
      </c>
      <c r="H2192" s="9" t="inlineStr">
        <is>
          <t>GEN-O: open engine-generator skid</t>
        </is>
      </c>
      <c r="I2192" s="9" t="inlineStr">
        <is>
          <t>Instrumentation</t>
        </is>
      </c>
      <c r="J2192" s="9" t="inlineStr">
        <is>
          <t>Instrumentation PLTC / TC-ER 300 V, #18 twisted shielded pairs, overall shield</t>
        </is>
      </c>
      <c r="K2192" s="9" t="inlineStr">
        <is>
          <t>PLTC|4 pr|18</t>
        </is>
      </c>
      <c r="L2192" s="9" t="inlineStr">
        <is>
          <t>4 pr</t>
        </is>
      </c>
      <c r="M2192" s="9" t="inlineStr">
        <is>
          <t>18</t>
        </is>
      </c>
      <c r="N2192" s="9" t="n">
        <v>1</v>
      </c>
      <c r="O2192" s="9" t="n">
        <v>1</v>
      </c>
      <c r="P2192" s="9" t="n"/>
      <c r="Q2192" s="9" t="n"/>
      <c r="R2192" s="9" t="n"/>
      <c r="S2192" s="9" t="inlineStr">
        <is>
          <t>Surface</t>
        </is>
      </c>
      <c r="T2192" s="10" t="n">
        <v>190</v>
      </c>
      <c r="U2192" s="10" t="n">
        <v>27</v>
      </c>
      <c r="V2192" s="10">
        <f>ROUNDUP((T2192+U2192+2*'Read Me'!$B$13)*(1+'Read Me'!$B$12),-1)</f>
        <v/>
      </c>
      <c r="W2192" s="10">
        <f>V2192*N2192*O2192</f>
        <v/>
      </c>
      <c r="X2192" s="9">
        <f>IF(LEFT(I2192,2)="MV",2*N2192*IF(L2192="1/C",O2192,1),0)</f>
        <v/>
      </c>
      <c r="Y2192" s="9">
        <f>IF(OR(LEFT(K2192,4)="LVAX",LEFT(K2192,6)="MV15AX",LEFT(K2192,4)="CTAX",LEFT(K2192,2)="W|"),2*N2192*O2192,0)</f>
        <v/>
      </c>
      <c r="Z2192" s="9" t="inlineStr"/>
    </row>
    <row r="2193">
      <c r="A2193" s="9" t="inlineStr">
        <is>
          <t>I-I-0101</t>
        </is>
      </c>
      <c r="B2193" s="9" t="inlineStr">
        <is>
          <t>I</t>
        </is>
      </c>
      <c r="C2193" s="9" t="inlineStr">
        <is>
          <t>Modular / portable power</t>
        </is>
      </c>
      <c r="D2193" s="9" t="inlineStr">
        <is>
          <t>Instrumentation</t>
        </is>
      </c>
      <c r="E2193" s="9" t="inlineStr">
        <is>
          <t>PAD-EH</t>
        </is>
      </c>
      <c r="F2193" s="9" t="inlineStr">
        <is>
          <t>PAD-EH 13.8 kV switchgear e-house</t>
        </is>
      </c>
      <c r="G2193" s="9" t="inlineStr">
        <is>
          <t>GEN-O</t>
        </is>
      </c>
      <c r="H2193" s="9" t="inlineStr">
        <is>
          <t>GEN-O: open engine-generator skid</t>
        </is>
      </c>
      <c r="I2193" s="9" t="inlineStr">
        <is>
          <t>Instrumentation</t>
        </is>
      </c>
      <c r="J2193" s="9" t="inlineStr">
        <is>
          <t>Instrumentation PLTC / TC-ER 300 V, #18 twisted shielded pairs, overall shield</t>
        </is>
      </c>
      <c r="K2193" s="9" t="inlineStr">
        <is>
          <t>PLTC|12 pr|18</t>
        </is>
      </c>
      <c r="L2193" s="9" t="inlineStr">
        <is>
          <t>12 pr</t>
        </is>
      </c>
      <c r="M2193" s="9" t="inlineStr">
        <is>
          <t>18</t>
        </is>
      </c>
      <c r="N2193" s="9" t="n">
        <v>1</v>
      </c>
      <c r="O2193" s="9" t="n">
        <v>1</v>
      </c>
      <c r="P2193" s="9" t="n"/>
      <c r="Q2193" s="9" t="n"/>
      <c r="R2193" s="9" t="n"/>
      <c r="S2193" s="9" t="inlineStr">
        <is>
          <t>Surface</t>
        </is>
      </c>
      <c r="T2193" s="10" t="n">
        <v>190</v>
      </c>
      <c r="U2193" s="10" t="n">
        <v>27</v>
      </c>
      <c r="V2193" s="10">
        <f>ROUNDUP((T2193+U2193+2*'Read Me'!$B$13)*(1+'Read Me'!$B$12),-1)</f>
        <v/>
      </c>
      <c r="W2193" s="10">
        <f>V2193*N2193*O2193</f>
        <v/>
      </c>
      <c r="X2193" s="9">
        <f>IF(LEFT(I2193,2)="MV",2*N2193*IF(L2193="1/C",O2193,1),0)</f>
        <v/>
      </c>
      <c r="Y2193" s="9">
        <f>IF(OR(LEFT(K2193,4)="LVAX",LEFT(K2193,6)="MV15AX",LEFT(K2193,4)="CTAX",LEFT(K2193,2)="W|"),2*N2193*O2193,0)</f>
        <v/>
      </c>
      <c r="Z2193" s="9" t="inlineStr"/>
    </row>
    <row r="2194">
      <c r="A2194" s="9" t="inlineStr">
        <is>
          <t>I-I-0102</t>
        </is>
      </c>
      <c r="B2194" s="9" t="inlineStr">
        <is>
          <t>I</t>
        </is>
      </c>
      <c r="C2194" s="9" t="inlineStr">
        <is>
          <t>Modular / portable power</t>
        </is>
      </c>
      <c r="D2194" s="9" t="inlineStr">
        <is>
          <t>Thermocouples</t>
        </is>
      </c>
      <c r="E2194" s="9" t="inlineStr">
        <is>
          <t>PAD-EH</t>
        </is>
      </c>
      <c r="F2194" s="9" t="inlineStr">
        <is>
          <t>PAD-EH 13.8 kV switchgear e-house</t>
        </is>
      </c>
      <c r="G2194" s="9" t="inlineStr">
        <is>
          <t>GEN-O</t>
        </is>
      </c>
      <c r="H2194" s="9" t="inlineStr">
        <is>
          <t>GEN-O: open engine-generator skid</t>
        </is>
      </c>
      <c r="I2194" s="9" t="inlineStr">
        <is>
          <t>Instrumentation</t>
        </is>
      </c>
      <c r="J2194" s="9" t="inlineStr">
        <is>
          <t>Thermocouple extension KX, #16 shielded pairs, PLTC</t>
        </is>
      </c>
      <c r="K2194" s="9" t="inlineStr">
        <is>
          <t>TCX|12 pr|16</t>
        </is>
      </c>
      <c r="L2194" s="9" t="inlineStr">
        <is>
          <t>12 pr</t>
        </is>
      </c>
      <c r="M2194" s="9" t="inlineStr">
        <is>
          <t>16</t>
        </is>
      </c>
      <c r="N2194" s="9" t="n">
        <v>1</v>
      </c>
      <c r="O2194" s="9" t="n">
        <v>1</v>
      </c>
      <c r="P2194" s="9" t="n"/>
      <c r="Q2194" s="9" t="n"/>
      <c r="R2194" s="9" t="n"/>
      <c r="S2194" s="9" t="inlineStr">
        <is>
          <t>Surface</t>
        </is>
      </c>
      <c r="T2194" s="10" t="n">
        <v>190</v>
      </c>
      <c r="U2194" s="10" t="n">
        <v>27</v>
      </c>
      <c r="V2194" s="10">
        <f>ROUNDUP((T2194+U2194+2*'Read Me'!$B$13)*(1+'Read Me'!$B$12),-1)</f>
        <v/>
      </c>
      <c r="W2194" s="10">
        <f>V2194*N2194*O2194</f>
        <v/>
      </c>
      <c r="X2194" s="9">
        <f>IF(LEFT(I2194,2)="MV",2*N2194*IF(L2194="1/C",O2194,1),0)</f>
        <v/>
      </c>
      <c r="Y2194" s="9">
        <f>IF(OR(LEFT(K2194,4)="LVAX",LEFT(K2194,6)="MV15AX",LEFT(K2194,4)="CTAX",LEFT(K2194,2)="W|"),2*N2194*O2194,0)</f>
        <v/>
      </c>
      <c r="Z2194" s="9" t="inlineStr"/>
    </row>
    <row r="2195">
      <c r="A2195" s="9" t="inlineStr">
        <is>
          <t>I-I-0103</t>
        </is>
      </c>
      <c r="B2195" s="9" t="inlineStr">
        <is>
          <t>I</t>
        </is>
      </c>
      <c r="C2195" s="9" t="inlineStr">
        <is>
          <t>Modular / portable power</t>
        </is>
      </c>
      <c r="D2195" s="9" t="inlineStr">
        <is>
          <t>Thermocouples</t>
        </is>
      </c>
      <c r="E2195" s="9" t="inlineStr">
        <is>
          <t>PAD-EH</t>
        </is>
      </c>
      <c r="F2195" s="9" t="inlineStr">
        <is>
          <t>PAD-EH 13.8 kV switchgear e-house</t>
        </is>
      </c>
      <c r="G2195" s="9" t="inlineStr">
        <is>
          <t>GEN-O</t>
        </is>
      </c>
      <c r="H2195" s="9" t="inlineStr">
        <is>
          <t>GEN-O: open engine-generator skid</t>
        </is>
      </c>
      <c r="I2195" s="9" t="inlineStr">
        <is>
          <t>Instrumentation</t>
        </is>
      </c>
      <c r="J2195" s="9" t="inlineStr">
        <is>
          <t>Thermocouple extension KX, #16 shielded pairs, PLTC</t>
        </is>
      </c>
      <c r="K2195" s="9" t="inlineStr">
        <is>
          <t>TCX|12 pr|16</t>
        </is>
      </c>
      <c r="L2195" s="9" t="inlineStr">
        <is>
          <t>12 pr</t>
        </is>
      </c>
      <c r="M2195" s="9" t="inlineStr">
        <is>
          <t>16</t>
        </is>
      </c>
      <c r="N2195" s="9" t="n">
        <v>1</v>
      </c>
      <c r="O2195" s="9" t="n">
        <v>1</v>
      </c>
      <c r="P2195" s="9" t="n"/>
      <c r="Q2195" s="9" t="n"/>
      <c r="R2195" s="9" t="n"/>
      <c r="S2195" s="9" t="inlineStr">
        <is>
          <t>Surface</t>
        </is>
      </c>
      <c r="T2195" s="10" t="n">
        <v>190</v>
      </c>
      <c r="U2195" s="10" t="n">
        <v>27</v>
      </c>
      <c r="V2195" s="10">
        <f>ROUNDUP((T2195+U2195+2*'Read Me'!$B$13)*(1+'Read Me'!$B$12),-1)</f>
        <v/>
      </c>
      <c r="W2195" s="10">
        <f>V2195*N2195*O2195</f>
        <v/>
      </c>
      <c r="X2195" s="9">
        <f>IF(LEFT(I2195,2)="MV",2*N2195*IF(L2195="1/C",O2195,1),0)</f>
        <v/>
      </c>
      <c r="Y2195" s="9">
        <f>IF(OR(LEFT(K2195,4)="LVAX",LEFT(K2195,6)="MV15AX",LEFT(K2195,4)="CTAX",LEFT(K2195,2)="W|"),2*N2195*O2195,0)</f>
        <v/>
      </c>
      <c r="Z2195" s="9" t="inlineStr"/>
    </row>
    <row r="2196">
      <c r="A2196" s="9" t="inlineStr">
        <is>
          <t>I-I-0104</t>
        </is>
      </c>
      <c r="B2196" s="9" t="inlineStr">
        <is>
          <t>I</t>
        </is>
      </c>
      <c r="C2196" s="9" t="inlineStr">
        <is>
          <t>Modular / portable power</t>
        </is>
      </c>
      <c r="D2196" s="9" t="inlineStr">
        <is>
          <t>Instrumentation</t>
        </is>
      </c>
      <c r="E2196" s="9" t="inlineStr"/>
      <c r="F2196" s="9" t="inlineStr">
        <is>
          <t>PCM: power control module</t>
        </is>
      </c>
      <c r="G2196" s="9" t="inlineStr"/>
      <c r="H2196" s="9" t="inlineStr">
        <is>
          <t>Gas conditioning skid</t>
        </is>
      </c>
      <c r="I2196" s="9" t="inlineStr">
        <is>
          <t>Instrumentation</t>
        </is>
      </c>
      <c r="J2196" s="9" t="inlineStr">
        <is>
          <t>Instrumentation ITC / PLTC, IS, #18 shielded pairs, blue jacket</t>
        </is>
      </c>
      <c r="K2196" s="9" t="inlineStr">
        <is>
          <t>ITC|4 pr|18</t>
        </is>
      </c>
      <c r="L2196" s="9" t="inlineStr">
        <is>
          <t>4 pr</t>
        </is>
      </c>
      <c r="M2196" s="9" t="inlineStr">
        <is>
          <t>18</t>
        </is>
      </c>
      <c r="N2196" s="9" t="n">
        <v>1</v>
      </c>
      <c r="O2196" s="9" t="n">
        <v>1</v>
      </c>
      <c r="P2196" s="9" t="n"/>
      <c r="Q2196" s="9" t="n"/>
      <c r="R2196" s="9" t="n"/>
      <c r="S2196" s="9" t="inlineStr">
        <is>
          <t>Tray</t>
        </is>
      </c>
      <c r="T2196" s="10" t="n">
        <v>32</v>
      </c>
      <c r="U2196" s="10" t="n">
        <v>94</v>
      </c>
      <c r="V2196" s="10">
        <f>ROUNDUP((T2196+U2196+2*'Read Me'!$B$13)*(1+'Read Me'!$B$12),-1)</f>
        <v/>
      </c>
      <c r="W2196" s="10">
        <f>V2196*N2196*O2196</f>
        <v/>
      </c>
      <c r="X2196" s="9">
        <f>IF(LEFT(I2196,2)="MV",2*N2196*IF(L2196="1/C",O2196,1),0)</f>
        <v/>
      </c>
      <c r="Y2196" s="9">
        <f>IF(OR(LEFT(K2196,4)="LVAX",LEFT(K2196,6)="MV15AX",LEFT(K2196,4)="CTAX",LEFT(K2196,2)="W|"),2*N2196*O2196,0)</f>
        <v/>
      </c>
      <c r="Z2196" s="9" t="inlineStr"/>
    </row>
    <row r="2197">
      <c r="A2197" s="9" t="inlineStr">
        <is>
          <t>I-I-0105</t>
        </is>
      </c>
      <c r="B2197" s="9" t="inlineStr">
        <is>
          <t>I</t>
        </is>
      </c>
      <c r="C2197" s="9" t="inlineStr">
        <is>
          <t>Modular / portable power</t>
        </is>
      </c>
      <c r="D2197" s="9" t="inlineStr">
        <is>
          <t>Instrumentation</t>
        </is>
      </c>
      <c r="E2197" s="9" t="inlineStr"/>
      <c r="F2197" s="9" t="inlineStr">
        <is>
          <t>PCM: power control module</t>
        </is>
      </c>
      <c r="G2197" s="9" t="inlineStr"/>
      <c r="H2197" s="9" t="inlineStr">
        <is>
          <t>Gas conditioning skid</t>
        </is>
      </c>
      <c r="I2197" s="9" t="inlineStr">
        <is>
          <t>Instrumentation</t>
        </is>
      </c>
      <c r="J2197" s="9" t="inlineStr">
        <is>
          <t>Instrumentation ITC / PLTC, IS, #18 shielded pairs, blue jacket</t>
        </is>
      </c>
      <c r="K2197" s="9" t="inlineStr">
        <is>
          <t>ITC|12 pr|18</t>
        </is>
      </c>
      <c r="L2197" s="9" t="inlineStr">
        <is>
          <t>12 pr</t>
        </is>
      </c>
      <c r="M2197" s="9" t="inlineStr">
        <is>
          <t>18</t>
        </is>
      </c>
      <c r="N2197" s="9" t="n">
        <v>1</v>
      </c>
      <c r="O2197" s="9" t="n">
        <v>1</v>
      </c>
      <c r="P2197" s="9" t="n"/>
      <c r="Q2197" s="9" t="n"/>
      <c r="R2197" s="9" t="n"/>
      <c r="S2197" s="9" t="inlineStr">
        <is>
          <t>Tray</t>
        </is>
      </c>
      <c r="T2197" s="10" t="n">
        <v>32</v>
      </c>
      <c r="U2197" s="10" t="n">
        <v>94</v>
      </c>
      <c r="V2197" s="10">
        <f>ROUNDUP((T2197+U2197+2*'Read Me'!$B$13)*(1+'Read Me'!$B$12),-1)</f>
        <v/>
      </c>
      <c r="W2197" s="10">
        <f>V2197*N2197*O2197</f>
        <v/>
      </c>
      <c r="X2197" s="9">
        <f>IF(LEFT(I2197,2)="MV",2*N2197*IF(L2197="1/C",O2197,1),0)</f>
        <v/>
      </c>
      <c r="Y2197" s="9">
        <f>IF(OR(LEFT(K2197,4)="LVAX",LEFT(K2197,6)="MV15AX",LEFT(K2197,4)="CTAX",LEFT(K2197,2)="W|"),2*N2197*O2197,0)</f>
        <v/>
      </c>
      <c r="Z2197" s="9" t="inlineStr"/>
    </row>
    <row r="2198">
      <c r="A2198" s="9" t="inlineStr">
        <is>
          <t>I-I-0106</t>
        </is>
      </c>
      <c r="B2198" s="9" t="inlineStr">
        <is>
          <t>I</t>
        </is>
      </c>
      <c r="C2198" s="9" t="inlineStr">
        <is>
          <t>Modular / portable power</t>
        </is>
      </c>
      <c r="D2198" s="9" t="inlineStr">
        <is>
          <t>Instrumentation</t>
        </is>
      </c>
      <c r="E2198" s="9" t="inlineStr">
        <is>
          <t>PAD-EH</t>
        </is>
      </c>
      <c r="F2198" s="9" t="inlineStr">
        <is>
          <t>PAD-EH 13.8 kV switchgear e-house</t>
        </is>
      </c>
      <c r="G2198" s="9" t="inlineStr">
        <is>
          <t>MOB-1</t>
        </is>
      </c>
      <c r="H2198" s="9" t="inlineStr">
        <is>
          <t>MOB-1: trailer genset</t>
        </is>
      </c>
      <c r="I2198" s="9" t="inlineStr">
        <is>
          <t>Instrumentation</t>
        </is>
      </c>
      <c r="J2198" s="9" t="inlineStr">
        <is>
          <t>Instrumentation PLTC / TC-ER 300 V, #18 twisted shielded pairs, overall shield</t>
        </is>
      </c>
      <c r="K2198" s="9" t="inlineStr">
        <is>
          <t>PLTC|4 pr|18</t>
        </is>
      </c>
      <c r="L2198" s="9" t="inlineStr">
        <is>
          <t>4 pr</t>
        </is>
      </c>
      <c r="M2198" s="9" t="inlineStr">
        <is>
          <t>18</t>
        </is>
      </c>
      <c r="N2198" s="9" t="n">
        <v>1</v>
      </c>
      <c r="O2198" s="9" t="n">
        <v>1</v>
      </c>
      <c r="P2198" s="9" t="n"/>
      <c r="Q2198" s="9" t="n"/>
      <c r="R2198" s="9" t="n"/>
      <c r="S2198" s="9" t="inlineStr">
        <is>
          <t>Surface</t>
        </is>
      </c>
      <c r="T2198" s="10" t="n">
        <v>96</v>
      </c>
      <c r="U2198" s="10" t="n">
        <v>150</v>
      </c>
      <c r="V2198" s="10">
        <f>ROUNDUP((T2198+U2198+2*'Read Me'!$B$13)*(1+'Read Me'!$B$12),-1)</f>
        <v/>
      </c>
      <c r="W2198" s="10">
        <f>V2198*N2198*O2198</f>
        <v/>
      </c>
      <c r="X2198" s="9">
        <f>IF(LEFT(I2198,2)="MV",2*N2198*IF(L2198="1/C",O2198,1),0)</f>
        <v/>
      </c>
      <c r="Y2198" s="9">
        <f>IF(OR(LEFT(K2198,4)="LVAX",LEFT(K2198,6)="MV15AX",LEFT(K2198,4)="CTAX",LEFT(K2198,2)="W|"),2*N2198*O2198,0)</f>
        <v/>
      </c>
      <c r="Z2198" s="9" t="inlineStr"/>
    </row>
    <row r="2199">
      <c r="A2199" s="9" t="inlineStr">
        <is>
          <t>I-I-0107</t>
        </is>
      </c>
      <c r="B2199" s="9" t="inlineStr">
        <is>
          <t>I</t>
        </is>
      </c>
      <c r="C2199" s="9" t="inlineStr">
        <is>
          <t>Modular / portable power</t>
        </is>
      </c>
      <c r="D2199" s="9" t="inlineStr">
        <is>
          <t>Thermocouples</t>
        </is>
      </c>
      <c r="E2199" s="9" t="inlineStr">
        <is>
          <t>PAD-EH</t>
        </is>
      </c>
      <c r="F2199" s="9" t="inlineStr">
        <is>
          <t>PAD-EH 13.8 kV switchgear e-house</t>
        </is>
      </c>
      <c r="G2199" s="9" t="inlineStr">
        <is>
          <t>MOB-1</t>
        </is>
      </c>
      <c r="H2199" s="9" t="inlineStr">
        <is>
          <t>MOB-1: trailer genset</t>
        </is>
      </c>
      <c r="I2199" s="9" t="inlineStr">
        <is>
          <t>Instrumentation</t>
        </is>
      </c>
      <c r="J2199" s="9" t="inlineStr">
        <is>
          <t>Thermocouple extension KX, #16 shielded pairs, PLTC</t>
        </is>
      </c>
      <c r="K2199" s="9" t="inlineStr">
        <is>
          <t>TCX|12 pr|16</t>
        </is>
      </c>
      <c r="L2199" s="9" t="inlineStr">
        <is>
          <t>12 pr</t>
        </is>
      </c>
      <c r="M2199" s="9" t="inlineStr">
        <is>
          <t>16</t>
        </is>
      </c>
      <c r="N2199" s="9" t="n">
        <v>1</v>
      </c>
      <c r="O2199" s="9" t="n">
        <v>1</v>
      </c>
      <c r="P2199" s="9" t="n"/>
      <c r="Q2199" s="9" t="n"/>
      <c r="R2199" s="9" t="n"/>
      <c r="S2199" s="9" t="inlineStr">
        <is>
          <t>Surface</t>
        </is>
      </c>
      <c r="T2199" s="10" t="n">
        <v>96</v>
      </c>
      <c r="U2199" s="10" t="n">
        <v>150</v>
      </c>
      <c r="V2199" s="10">
        <f>ROUNDUP((T2199+U2199+2*'Read Me'!$B$13)*(1+'Read Me'!$B$12),-1)</f>
        <v/>
      </c>
      <c r="W2199" s="10">
        <f>V2199*N2199*O2199</f>
        <v/>
      </c>
      <c r="X2199" s="9">
        <f>IF(LEFT(I2199,2)="MV",2*N2199*IF(L2199="1/C",O2199,1),0)</f>
        <v/>
      </c>
      <c r="Y2199" s="9">
        <f>IF(OR(LEFT(K2199,4)="LVAX",LEFT(K2199,6)="MV15AX",LEFT(K2199,4)="CTAX",LEFT(K2199,2)="W|"),2*N2199*O2199,0)</f>
        <v/>
      </c>
      <c r="Z2199" s="9" t="inlineStr"/>
    </row>
    <row r="2200">
      <c r="A2200" s="9" t="inlineStr">
        <is>
          <t>I-I-0108</t>
        </is>
      </c>
      <c r="B2200" s="9" t="inlineStr">
        <is>
          <t>I</t>
        </is>
      </c>
      <c r="C2200" s="9" t="inlineStr">
        <is>
          <t>Modular / portable power</t>
        </is>
      </c>
      <c r="D2200" s="9" t="inlineStr">
        <is>
          <t>Thermocouples</t>
        </is>
      </c>
      <c r="E2200" s="9" t="inlineStr">
        <is>
          <t>PAD-EH</t>
        </is>
      </c>
      <c r="F2200" s="9" t="inlineStr">
        <is>
          <t>PAD-EH 13.8 kV switchgear e-house</t>
        </is>
      </c>
      <c r="G2200" s="9" t="inlineStr">
        <is>
          <t>MOB-1</t>
        </is>
      </c>
      <c r="H2200" s="9" t="inlineStr">
        <is>
          <t>MOB-1: trailer genset</t>
        </is>
      </c>
      <c r="I2200" s="9" t="inlineStr">
        <is>
          <t>Instrumentation</t>
        </is>
      </c>
      <c r="J2200" s="9" t="inlineStr">
        <is>
          <t>Thermocouple extension KX, #16 shielded pairs, PLTC</t>
        </is>
      </c>
      <c r="K2200" s="9" t="inlineStr">
        <is>
          <t>TCX|12 pr|16</t>
        </is>
      </c>
      <c r="L2200" s="9" t="inlineStr">
        <is>
          <t>12 pr</t>
        </is>
      </c>
      <c r="M2200" s="9" t="inlineStr">
        <is>
          <t>16</t>
        </is>
      </c>
      <c r="N2200" s="9" t="n">
        <v>1</v>
      </c>
      <c r="O2200" s="9" t="n">
        <v>1</v>
      </c>
      <c r="P2200" s="9" t="n"/>
      <c r="Q2200" s="9" t="n"/>
      <c r="R2200" s="9" t="n"/>
      <c r="S2200" s="9" t="inlineStr">
        <is>
          <t>Surface</t>
        </is>
      </c>
      <c r="T2200" s="10" t="n">
        <v>96</v>
      </c>
      <c r="U2200" s="10" t="n">
        <v>150</v>
      </c>
      <c r="V2200" s="10">
        <f>ROUNDUP((T2200+U2200+2*'Read Me'!$B$13)*(1+'Read Me'!$B$12),-1)</f>
        <v/>
      </c>
      <c r="W2200" s="10">
        <f>V2200*N2200*O2200</f>
        <v/>
      </c>
      <c r="X2200" s="9">
        <f>IF(LEFT(I2200,2)="MV",2*N2200*IF(L2200="1/C",O2200,1),0)</f>
        <v/>
      </c>
      <c r="Y2200" s="9">
        <f>IF(OR(LEFT(K2200,4)="LVAX",LEFT(K2200,6)="MV15AX",LEFT(K2200,4)="CTAX",LEFT(K2200,2)="W|"),2*N2200*O2200,0)</f>
        <v/>
      </c>
      <c r="Z2200" s="9" t="inlineStr"/>
    </row>
    <row r="2201">
      <c r="A2201" s="9" t="inlineStr">
        <is>
          <t>I-I-0109</t>
        </is>
      </c>
      <c r="B2201" s="9" t="inlineStr">
        <is>
          <t>I</t>
        </is>
      </c>
      <c r="C2201" s="9" t="inlineStr">
        <is>
          <t>Modular / portable power</t>
        </is>
      </c>
      <c r="D2201" s="9" t="inlineStr">
        <is>
          <t>Instrumentation</t>
        </is>
      </c>
      <c r="E2201" s="9" t="inlineStr"/>
      <c r="F2201" s="9" t="inlineStr">
        <is>
          <t>PCM: power control module</t>
        </is>
      </c>
      <c r="G2201" s="9" t="inlineStr"/>
      <c r="H2201" s="9" t="inlineStr">
        <is>
          <t>MOD-LV 480 V board + 480 V : 13.8 kV step-up</t>
        </is>
      </c>
      <c r="I2201" s="9" t="inlineStr">
        <is>
          <t>Instrumentation</t>
        </is>
      </c>
      <c r="J2201" s="9" t="inlineStr">
        <is>
          <t>Instrumentation PLTC / TC-ER 300 V, #18 twisted shielded pairs, overall shield</t>
        </is>
      </c>
      <c r="K2201" s="9" t="inlineStr">
        <is>
          <t>PLTC|4 pr|18</t>
        </is>
      </c>
      <c r="L2201" s="9" t="inlineStr">
        <is>
          <t>4 pr</t>
        </is>
      </c>
      <c r="M2201" s="9" t="inlineStr">
        <is>
          <t>18</t>
        </is>
      </c>
      <c r="N2201" s="9" t="n">
        <v>1</v>
      </c>
      <c r="O2201" s="9" t="n">
        <v>1</v>
      </c>
      <c r="P2201" s="9" t="n"/>
      <c r="Q2201" s="9" t="n"/>
      <c r="R2201" s="9" t="n"/>
      <c r="S2201" s="9" t="inlineStr">
        <is>
          <t>Duct bank</t>
        </is>
      </c>
      <c r="T2201" s="10" t="n">
        <v>755</v>
      </c>
      <c r="U2201" s="10" t="n">
        <v>32</v>
      </c>
      <c r="V2201" s="10">
        <f>ROUNDUP((T2201+U2201+2*'Read Me'!$B$13)*(1+'Read Me'!$B$12),-1)</f>
        <v/>
      </c>
      <c r="W2201" s="10">
        <f>V2201*N2201*O2201</f>
        <v/>
      </c>
      <c r="X2201" s="9">
        <f>IF(LEFT(I2201,2)="MV",2*N2201*IF(L2201="1/C",O2201,1),0)</f>
        <v/>
      </c>
      <c r="Y2201" s="9">
        <f>IF(OR(LEFT(K2201,4)="LVAX",LEFT(K2201,6)="MV15AX",LEFT(K2201,4)="CTAX",LEFT(K2201,2)="W|"),2*N2201*O2201,0)</f>
        <v/>
      </c>
      <c r="Z2201" s="9" t="inlineStr"/>
    </row>
    <row r="2202">
      <c r="A2202" s="9" t="inlineStr">
        <is>
          <t>I-I-0110</t>
        </is>
      </c>
      <c r="B2202" s="9" t="inlineStr">
        <is>
          <t>I</t>
        </is>
      </c>
      <c r="C2202" s="9" t="inlineStr">
        <is>
          <t>Modular / portable power</t>
        </is>
      </c>
      <c r="D2202" s="9" t="inlineStr">
        <is>
          <t>Instrumentation</t>
        </is>
      </c>
      <c r="E2202" s="9" t="inlineStr"/>
      <c r="F2202" s="9" t="inlineStr">
        <is>
          <t>PCM: power control module</t>
        </is>
      </c>
      <c r="G2202" s="9" t="inlineStr"/>
      <c r="H2202" s="9" t="inlineStr">
        <is>
          <t>MT-1: microturbine 1 MW (Capstone C1000 class)</t>
        </is>
      </c>
      <c r="I2202" s="9" t="inlineStr">
        <is>
          <t>Instrumentation</t>
        </is>
      </c>
      <c r="J2202" s="9" t="inlineStr">
        <is>
          <t>Instrumentation PLTC / TC-ER 300 V, #18 twisted shielded pairs, overall shield</t>
        </is>
      </c>
      <c r="K2202" s="9" t="inlineStr">
        <is>
          <t>PLTC|4 pr|18</t>
        </is>
      </c>
      <c r="L2202" s="9" t="inlineStr">
        <is>
          <t>4 pr</t>
        </is>
      </c>
      <c r="M2202" s="9" t="inlineStr">
        <is>
          <t>18</t>
        </is>
      </c>
      <c r="N2202" s="9" t="n">
        <v>1</v>
      </c>
      <c r="O2202" s="9" t="n">
        <v>1</v>
      </c>
      <c r="P2202" s="9" t="n"/>
      <c r="Q2202" s="9" t="n"/>
      <c r="R2202" s="9" t="n"/>
      <c r="S2202" s="9" t="inlineStr">
        <is>
          <t>Duct bank</t>
        </is>
      </c>
      <c r="T2202" s="10" t="n">
        <v>806</v>
      </c>
      <c r="U2202" s="10" t="n">
        <v>105</v>
      </c>
      <c r="V2202" s="10">
        <f>ROUNDUP((T2202+U2202+2*'Read Me'!$B$13)*(1+'Read Me'!$B$12),-1)</f>
        <v/>
      </c>
      <c r="W2202" s="10">
        <f>V2202*N2202*O2202</f>
        <v/>
      </c>
      <c r="X2202" s="9">
        <f>IF(LEFT(I2202,2)="MV",2*N2202*IF(L2202="1/C",O2202,1),0)</f>
        <v/>
      </c>
      <c r="Y2202" s="9">
        <f>IF(OR(LEFT(K2202,4)="LVAX",LEFT(K2202,6)="MV15AX",LEFT(K2202,4)="CTAX",LEFT(K2202,2)="W|"),2*N2202*O2202,0)</f>
        <v/>
      </c>
      <c r="Z2202" s="9" t="inlineStr"/>
    </row>
    <row r="2203">
      <c r="A2203" s="9" t="inlineStr">
        <is>
          <t>I-I-0111</t>
        </is>
      </c>
      <c r="B2203" s="9" t="inlineStr">
        <is>
          <t>I</t>
        </is>
      </c>
      <c r="C2203" s="9" t="inlineStr">
        <is>
          <t>Modular / portable power</t>
        </is>
      </c>
      <c r="D2203" s="9" t="inlineStr">
        <is>
          <t>Thermocouples</t>
        </is>
      </c>
      <c r="E2203" s="9" t="inlineStr"/>
      <c r="F2203" s="9" t="inlineStr">
        <is>
          <t>PCM: power control module</t>
        </is>
      </c>
      <c r="G2203" s="9" t="inlineStr"/>
      <c r="H2203" s="9" t="inlineStr">
        <is>
          <t>MT-1: microturbine 1 MW (Capstone C1000 class)</t>
        </is>
      </c>
      <c r="I2203" s="9" t="inlineStr">
        <is>
          <t>Instrumentation</t>
        </is>
      </c>
      <c r="J2203" s="9" t="inlineStr">
        <is>
          <t>Thermocouple extension KX, #16 shielded pairs, PLTC</t>
        </is>
      </c>
      <c r="K2203" s="9" t="inlineStr">
        <is>
          <t>TCX|12 pr|16</t>
        </is>
      </c>
      <c r="L2203" s="9" t="inlineStr">
        <is>
          <t>12 pr</t>
        </is>
      </c>
      <c r="M2203" s="9" t="inlineStr">
        <is>
          <t>16</t>
        </is>
      </c>
      <c r="N2203" s="9" t="n">
        <v>1</v>
      </c>
      <c r="O2203" s="9" t="n">
        <v>1</v>
      </c>
      <c r="P2203" s="9" t="n"/>
      <c r="Q2203" s="9" t="n"/>
      <c r="R2203" s="9" t="n"/>
      <c r="S2203" s="9" t="inlineStr">
        <is>
          <t>Duct bank</t>
        </is>
      </c>
      <c r="T2203" s="10" t="n">
        <v>806</v>
      </c>
      <c r="U2203" s="10" t="n">
        <v>105</v>
      </c>
      <c r="V2203" s="10">
        <f>ROUNDUP((T2203+U2203+2*'Read Me'!$B$13)*(1+'Read Me'!$B$12),-1)</f>
        <v/>
      </c>
      <c r="W2203" s="10">
        <f>V2203*N2203*O2203</f>
        <v/>
      </c>
      <c r="X2203" s="9">
        <f>IF(LEFT(I2203,2)="MV",2*N2203*IF(L2203="1/C",O2203,1),0)</f>
        <v/>
      </c>
      <c r="Y2203" s="9">
        <f>IF(OR(LEFT(K2203,4)="LVAX",LEFT(K2203,6)="MV15AX",LEFT(K2203,4)="CTAX",LEFT(K2203,2)="W|"),2*N2203*O2203,0)</f>
        <v/>
      </c>
      <c r="Z2203" s="9" t="inlineStr"/>
    </row>
    <row r="2204">
      <c r="A2204" s="9" t="inlineStr">
        <is>
          <t>I-I-0112</t>
        </is>
      </c>
      <c r="B2204" s="9" t="inlineStr">
        <is>
          <t>I</t>
        </is>
      </c>
      <c r="C2204" s="9" t="inlineStr">
        <is>
          <t>Modular / portable power</t>
        </is>
      </c>
      <c r="D2204" s="9" t="inlineStr">
        <is>
          <t>Thermocouples</t>
        </is>
      </c>
      <c r="E2204" s="9" t="inlineStr"/>
      <c r="F2204" s="9" t="inlineStr">
        <is>
          <t>PCM: power control module</t>
        </is>
      </c>
      <c r="G2204" s="9" t="inlineStr"/>
      <c r="H2204" s="9" t="inlineStr">
        <is>
          <t>MT-1: microturbine 1 MW (Capstone C1000 class)</t>
        </is>
      </c>
      <c r="I2204" s="9" t="inlineStr">
        <is>
          <t>Instrumentation</t>
        </is>
      </c>
      <c r="J2204" s="9" t="inlineStr">
        <is>
          <t>Thermocouple extension KX, #16 shielded pairs, PLTC</t>
        </is>
      </c>
      <c r="K2204" s="9" t="inlineStr">
        <is>
          <t>TCX|12 pr|16</t>
        </is>
      </c>
      <c r="L2204" s="9" t="inlineStr">
        <is>
          <t>12 pr</t>
        </is>
      </c>
      <c r="M2204" s="9" t="inlineStr">
        <is>
          <t>16</t>
        </is>
      </c>
      <c r="N2204" s="9" t="n">
        <v>1</v>
      </c>
      <c r="O2204" s="9" t="n">
        <v>1</v>
      </c>
      <c r="P2204" s="9" t="n"/>
      <c r="Q2204" s="9" t="n"/>
      <c r="R2204" s="9" t="n"/>
      <c r="S2204" s="9" t="inlineStr">
        <is>
          <t>Duct bank</t>
        </is>
      </c>
      <c r="T2204" s="10" t="n">
        <v>806</v>
      </c>
      <c r="U2204" s="10" t="n">
        <v>105</v>
      </c>
      <c r="V2204" s="10">
        <f>ROUNDUP((T2204+U2204+2*'Read Me'!$B$13)*(1+'Read Me'!$B$12),-1)</f>
        <v/>
      </c>
      <c r="W2204" s="10">
        <f>V2204*N2204*O2204</f>
        <v/>
      </c>
      <c r="X2204" s="9">
        <f>IF(LEFT(I2204,2)="MV",2*N2204*IF(L2204="1/C",O2204,1),0)</f>
        <v/>
      </c>
      <c r="Y2204" s="9">
        <f>IF(OR(LEFT(K2204,4)="LVAX",LEFT(K2204,6)="MV15AX",LEFT(K2204,4)="CTAX",LEFT(K2204,2)="W|"),2*N2204*O2204,0)</f>
        <v/>
      </c>
      <c r="Z2204" s="9" t="inlineStr"/>
    </row>
    <row r="2205">
      <c r="A2205" s="9" t="inlineStr">
        <is>
          <t>I-I-0113</t>
        </is>
      </c>
      <c r="B2205" s="9" t="inlineStr">
        <is>
          <t>I</t>
        </is>
      </c>
      <c r="C2205" s="9" t="inlineStr">
        <is>
          <t>Modular / portable power</t>
        </is>
      </c>
      <c r="D2205" s="9" t="inlineStr">
        <is>
          <t>Instrumentation</t>
        </is>
      </c>
      <c r="E2205" s="9" t="inlineStr"/>
      <c r="F2205" s="9" t="inlineStr">
        <is>
          <t>PCM: power control module</t>
        </is>
      </c>
      <c r="G2205" s="9" t="inlineStr"/>
      <c r="H2205" s="9" t="inlineStr">
        <is>
          <t>MT-2: microturbine 1 MW (Capstone C1000 class)</t>
        </is>
      </c>
      <c r="I2205" s="9" t="inlineStr">
        <is>
          <t>Instrumentation</t>
        </is>
      </c>
      <c r="J2205" s="9" t="inlineStr">
        <is>
          <t>Instrumentation PLTC / TC-ER 300 V, #18 twisted shielded pairs, overall shield</t>
        </is>
      </c>
      <c r="K2205" s="9" t="inlineStr">
        <is>
          <t>PLTC|4 pr|18</t>
        </is>
      </c>
      <c r="L2205" s="9" t="inlineStr">
        <is>
          <t>4 pr</t>
        </is>
      </c>
      <c r="M2205" s="9" t="inlineStr">
        <is>
          <t>18</t>
        </is>
      </c>
      <c r="N2205" s="9" t="n">
        <v>1</v>
      </c>
      <c r="O2205" s="9" t="n">
        <v>1</v>
      </c>
      <c r="P2205" s="9" t="n"/>
      <c r="Q2205" s="9" t="n"/>
      <c r="R2205" s="9" t="n"/>
      <c r="S2205" s="9" t="inlineStr">
        <is>
          <t>Duct bank</t>
        </is>
      </c>
      <c r="T2205" s="10" t="n">
        <v>841</v>
      </c>
      <c r="U2205" s="10" t="n">
        <v>98</v>
      </c>
      <c r="V2205" s="10">
        <f>ROUNDUP((T2205+U2205+2*'Read Me'!$B$13)*(1+'Read Me'!$B$12),-1)</f>
        <v/>
      </c>
      <c r="W2205" s="10">
        <f>V2205*N2205*O2205</f>
        <v/>
      </c>
      <c r="X2205" s="9">
        <f>IF(LEFT(I2205,2)="MV",2*N2205*IF(L2205="1/C",O2205,1),0)</f>
        <v/>
      </c>
      <c r="Y2205" s="9">
        <f>IF(OR(LEFT(K2205,4)="LVAX",LEFT(K2205,6)="MV15AX",LEFT(K2205,4)="CTAX",LEFT(K2205,2)="W|"),2*N2205*O2205,0)</f>
        <v/>
      </c>
      <c r="Z2205" s="9" t="inlineStr"/>
    </row>
    <row r="2206">
      <c r="A2206" s="9" t="inlineStr">
        <is>
          <t>I-I-0114</t>
        </is>
      </c>
      <c r="B2206" s="9" t="inlineStr">
        <is>
          <t>I</t>
        </is>
      </c>
      <c r="C2206" s="9" t="inlineStr">
        <is>
          <t>Modular / portable power</t>
        </is>
      </c>
      <c r="D2206" s="9" t="inlineStr">
        <is>
          <t>Thermocouples</t>
        </is>
      </c>
      <c r="E2206" s="9" t="inlineStr"/>
      <c r="F2206" s="9" t="inlineStr">
        <is>
          <t>PCM: power control module</t>
        </is>
      </c>
      <c r="G2206" s="9" t="inlineStr"/>
      <c r="H2206" s="9" t="inlineStr">
        <is>
          <t>MT-2: microturbine 1 MW (Capstone C1000 class)</t>
        </is>
      </c>
      <c r="I2206" s="9" t="inlineStr">
        <is>
          <t>Instrumentation</t>
        </is>
      </c>
      <c r="J2206" s="9" t="inlineStr">
        <is>
          <t>Thermocouple extension KX, #16 shielded pairs, PLTC</t>
        </is>
      </c>
      <c r="K2206" s="9" t="inlineStr">
        <is>
          <t>TCX|12 pr|16</t>
        </is>
      </c>
      <c r="L2206" s="9" t="inlineStr">
        <is>
          <t>12 pr</t>
        </is>
      </c>
      <c r="M2206" s="9" t="inlineStr">
        <is>
          <t>16</t>
        </is>
      </c>
      <c r="N2206" s="9" t="n">
        <v>1</v>
      </c>
      <c r="O2206" s="9" t="n">
        <v>1</v>
      </c>
      <c r="P2206" s="9" t="n"/>
      <c r="Q2206" s="9" t="n"/>
      <c r="R2206" s="9" t="n"/>
      <c r="S2206" s="9" t="inlineStr">
        <is>
          <t>Duct bank</t>
        </is>
      </c>
      <c r="T2206" s="10" t="n">
        <v>841</v>
      </c>
      <c r="U2206" s="10" t="n">
        <v>98</v>
      </c>
      <c r="V2206" s="10">
        <f>ROUNDUP((T2206+U2206+2*'Read Me'!$B$13)*(1+'Read Me'!$B$12),-1)</f>
        <v/>
      </c>
      <c r="W2206" s="10">
        <f>V2206*N2206*O2206</f>
        <v/>
      </c>
      <c r="X2206" s="9">
        <f>IF(LEFT(I2206,2)="MV",2*N2206*IF(L2206="1/C",O2206,1),0)</f>
        <v/>
      </c>
      <c r="Y2206" s="9">
        <f>IF(OR(LEFT(K2206,4)="LVAX",LEFT(K2206,6)="MV15AX",LEFT(K2206,4)="CTAX",LEFT(K2206,2)="W|"),2*N2206*O2206,0)</f>
        <v/>
      </c>
      <c r="Z2206" s="9" t="inlineStr"/>
    </row>
    <row r="2207">
      <c r="A2207" s="9" t="inlineStr">
        <is>
          <t>I-I-0115</t>
        </is>
      </c>
      <c r="B2207" s="9" t="inlineStr">
        <is>
          <t>I</t>
        </is>
      </c>
      <c r="C2207" s="9" t="inlineStr">
        <is>
          <t>Modular / portable power</t>
        </is>
      </c>
      <c r="D2207" s="9" t="inlineStr">
        <is>
          <t>Thermocouples</t>
        </is>
      </c>
      <c r="E2207" s="9" t="inlineStr"/>
      <c r="F2207" s="9" t="inlineStr">
        <is>
          <t>PCM: power control module</t>
        </is>
      </c>
      <c r="G2207" s="9" t="inlineStr"/>
      <c r="H2207" s="9" t="inlineStr">
        <is>
          <t>MT-2: microturbine 1 MW (Capstone C1000 class)</t>
        </is>
      </c>
      <c r="I2207" s="9" t="inlineStr">
        <is>
          <t>Instrumentation</t>
        </is>
      </c>
      <c r="J2207" s="9" t="inlineStr">
        <is>
          <t>Thermocouple extension KX, #16 shielded pairs, PLTC</t>
        </is>
      </c>
      <c r="K2207" s="9" t="inlineStr">
        <is>
          <t>TCX|12 pr|16</t>
        </is>
      </c>
      <c r="L2207" s="9" t="inlineStr">
        <is>
          <t>12 pr</t>
        </is>
      </c>
      <c r="M2207" s="9" t="inlineStr">
        <is>
          <t>16</t>
        </is>
      </c>
      <c r="N2207" s="9" t="n">
        <v>1</v>
      </c>
      <c r="O2207" s="9" t="n">
        <v>1</v>
      </c>
      <c r="P2207" s="9" t="n"/>
      <c r="Q2207" s="9" t="n"/>
      <c r="R2207" s="9" t="n"/>
      <c r="S2207" s="9" t="inlineStr">
        <is>
          <t>Duct bank</t>
        </is>
      </c>
      <c r="T2207" s="10" t="n">
        <v>841</v>
      </c>
      <c r="U2207" s="10" t="n">
        <v>98</v>
      </c>
      <c r="V2207" s="10">
        <f>ROUNDUP((T2207+U2207+2*'Read Me'!$B$13)*(1+'Read Me'!$B$12),-1)</f>
        <v/>
      </c>
      <c r="W2207" s="10">
        <f>V2207*N2207*O2207</f>
        <v/>
      </c>
      <c r="X2207" s="9">
        <f>IF(LEFT(I2207,2)="MV",2*N2207*IF(L2207="1/C",O2207,1),0)</f>
        <v/>
      </c>
      <c r="Y2207" s="9">
        <f>IF(OR(LEFT(K2207,4)="LVAX",LEFT(K2207,6)="MV15AX",LEFT(K2207,4)="CTAX",LEFT(K2207,2)="W|"),2*N2207*O2207,0)</f>
        <v/>
      </c>
      <c r="Z2207" s="9" t="inlineStr"/>
    </row>
    <row r="2208">
      <c r="A2208" s="9" t="inlineStr">
        <is>
          <t>I-I-0116</t>
        </is>
      </c>
      <c r="B2208" s="9" t="inlineStr">
        <is>
          <t>I</t>
        </is>
      </c>
      <c r="C2208" s="9" t="inlineStr">
        <is>
          <t>Modular / portable power</t>
        </is>
      </c>
      <c r="D2208" s="9" t="inlineStr">
        <is>
          <t>Instrumentation</t>
        </is>
      </c>
      <c r="E2208" s="9" t="inlineStr"/>
      <c r="F2208" s="9" t="inlineStr">
        <is>
          <t>PCM: power control module</t>
        </is>
      </c>
      <c r="G2208" s="9" t="inlineStr"/>
      <c r="H2208" s="9" t="inlineStr">
        <is>
          <t>MT-3: microturbine 1 MW (Capstone C1000 class)</t>
        </is>
      </c>
      <c r="I2208" s="9" t="inlineStr">
        <is>
          <t>Instrumentation</t>
        </is>
      </c>
      <c r="J2208" s="9" t="inlineStr">
        <is>
          <t>Instrumentation PLTC / TC-ER 300 V, #18 twisted shielded pairs, overall shield</t>
        </is>
      </c>
      <c r="K2208" s="9" t="inlineStr">
        <is>
          <t>PLTC|4 pr|18</t>
        </is>
      </c>
      <c r="L2208" s="9" t="inlineStr">
        <is>
          <t>4 pr</t>
        </is>
      </c>
      <c r="M2208" s="9" t="inlineStr">
        <is>
          <t>18</t>
        </is>
      </c>
      <c r="N2208" s="9" t="n">
        <v>1</v>
      </c>
      <c r="O2208" s="9" t="n">
        <v>1</v>
      </c>
      <c r="P2208" s="9" t="n"/>
      <c r="Q2208" s="9" t="n"/>
      <c r="R2208" s="9" t="n"/>
      <c r="S2208" s="9" t="inlineStr">
        <is>
          <t>Duct bank</t>
        </is>
      </c>
      <c r="T2208" s="10" t="n">
        <v>841</v>
      </c>
      <c r="U2208" s="10" t="n">
        <v>98</v>
      </c>
      <c r="V2208" s="10">
        <f>ROUNDUP((T2208+U2208+2*'Read Me'!$B$13)*(1+'Read Me'!$B$12),-1)</f>
        <v/>
      </c>
      <c r="W2208" s="10">
        <f>V2208*N2208*O2208</f>
        <v/>
      </c>
      <c r="X2208" s="9">
        <f>IF(LEFT(I2208,2)="MV",2*N2208*IF(L2208="1/C",O2208,1),0)</f>
        <v/>
      </c>
      <c r="Y2208" s="9">
        <f>IF(OR(LEFT(K2208,4)="LVAX",LEFT(K2208,6)="MV15AX",LEFT(K2208,4)="CTAX",LEFT(K2208,2)="W|"),2*N2208*O2208,0)</f>
        <v/>
      </c>
      <c r="Z2208" s="9" t="inlineStr"/>
    </row>
    <row r="2209">
      <c r="A2209" s="9" t="inlineStr">
        <is>
          <t>I-I-0117</t>
        </is>
      </c>
      <c r="B2209" s="9" t="inlineStr">
        <is>
          <t>I</t>
        </is>
      </c>
      <c r="C2209" s="9" t="inlineStr">
        <is>
          <t>Modular / portable power</t>
        </is>
      </c>
      <c r="D2209" s="9" t="inlineStr">
        <is>
          <t>Thermocouples</t>
        </is>
      </c>
      <c r="E2209" s="9" t="inlineStr"/>
      <c r="F2209" s="9" t="inlineStr">
        <is>
          <t>PCM: power control module</t>
        </is>
      </c>
      <c r="G2209" s="9" t="inlineStr"/>
      <c r="H2209" s="9" t="inlineStr">
        <is>
          <t>MT-3: microturbine 1 MW (Capstone C1000 class)</t>
        </is>
      </c>
      <c r="I2209" s="9" t="inlineStr">
        <is>
          <t>Instrumentation</t>
        </is>
      </c>
      <c r="J2209" s="9" t="inlineStr">
        <is>
          <t>Thermocouple extension KX, #16 shielded pairs, PLTC</t>
        </is>
      </c>
      <c r="K2209" s="9" t="inlineStr">
        <is>
          <t>TCX|12 pr|16</t>
        </is>
      </c>
      <c r="L2209" s="9" t="inlineStr">
        <is>
          <t>12 pr</t>
        </is>
      </c>
      <c r="M2209" s="9" t="inlineStr">
        <is>
          <t>16</t>
        </is>
      </c>
      <c r="N2209" s="9" t="n">
        <v>1</v>
      </c>
      <c r="O2209" s="9" t="n">
        <v>1</v>
      </c>
      <c r="P2209" s="9" t="n"/>
      <c r="Q2209" s="9" t="n"/>
      <c r="R2209" s="9" t="n"/>
      <c r="S2209" s="9" t="inlineStr">
        <is>
          <t>Duct bank</t>
        </is>
      </c>
      <c r="T2209" s="10" t="n">
        <v>841</v>
      </c>
      <c r="U2209" s="10" t="n">
        <v>98</v>
      </c>
      <c r="V2209" s="10">
        <f>ROUNDUP((T2209+U2209+2*'Read Me'!$B$13)*(1+'Read Me'!$B$12),-1)</f>
        <v/>
      </c>
      <c r="W2209" s="10">
        <f>V2209*N2209*O2209</f>
        <v/>
      </c>
      <c r="X2209" s="9">
        <f>IF(LEFT(I2209,2)="MV",2*N2209*IF(L2209="1/C",O2209,1),0)</f>
        <v/>
      </c>
      <c r="Y2209" s="9">
        <f>IF(OR(LEFT(K2209,4)="LVAX",LEFT(K2209,6)="MV15AX",LEFT(K2209,4)="CTAX",LEFT(K2209,2)="W|"),2*N2209*O2209,0)</f>
        <v/>
      </c>
      <c r="Z2209" s="9" t="inlineStr"/>
    </row>
    <row r="2210">
      <c r="A2210" s="9" t="inlineStr">
        <is>
          <t>I-I-0118</t>
        </is>
      </c>
      <c r="B2210" s="9" t="inlineStr">
        <is>
          <t>I</t>
        </is>
      </c>
      <c r="C2210" s="9" t="inlineStr">
        <is>
          <t>Modular / portable power</t>
        </is>
      </c>
      <c r="D2210" s="9" t="inlineStr">
        <is>
          <t>Thermocouples</t>
        </is>
      </c>
      <c r="E2210" s="9" t="inlineStr"/>
      <c r="F2210" s="9" t="inlineStr">
        <is>
          <t>PCM: power control module</t>
        </is>
      </c>
      <c r="G2210" s="9" t="inlineStr"/>
      <c r="H2210" s="9" t="inlineStr">
        <is>
          <t>MT-3: microturbine 1 MW (Capstone C1000 class)</t>
        </is>
      </c>
      <c r="I2210" s="9" t="inlineStr">
        <is>
          <t>Instrumentation</t>
        </is>
      </c>
      <c r="J2210" s="9" t="inlineStr">
        <is>
          <t>Thermocouple extension KX, #16 shielded pairs, PLTC</t>
        </is>
      </c>
      <c r="K2210" s="9" t="inlineStr">
        <is>
          <t>TCX|12 pr|16</t>
        </is>
      </c>
      <c r="L2210" s="9" t="inlineStr">
        <is>
          <t>12 pr</t>
        </is>
      </c>
      <c r="M2210" s="9" t="inlineStr">
        <is>
          <t>16</t>
        </is>
      </c>
      <c r="N2210" s="9" t="n">
        <v>1</v>
      </c>
      <c r="O2210" s="9" t="n">
        <v>1</v>
      </c>
      <c r="P2210" s="9" t="n"/>
      <c r="Q2210" s="9" t="n"/>
      <c r="R2210" s="9" t="n"/>
      <c r="S2210" s="9" t="inlineStr">
        <is>
          <t>Duct bank</t>
        </is>
      </c>
      <c r="T2210" s="10" t="n">
        <v>841</v>
      </c>
      <c r="U2210" s="10" t="n">
        <v>98</v>
      </c>
      <c r="V2210" s="10">
        <f>ROUNDUP((T2210+U2210+2*'Read Me'!$B$13)*(1+'Read Me'!$B$12),-1)</f>
        <v/>
      </c>
      <c r="W2210" s="10">
        <f>V2210*N2210*O2210</f>
        <v/>
      </c>
      <c r="X2210" s="9">
        <f>IF(LEFT(I2210,2)="MV",2*N2210*IF(L2210="1/C",O2210,1),0)</f>
        <v/>
      </c>
      <c r="Y2210" s="9">
        <f>IF(OR(LEFT(K2210,4)="LVAX",LEFT(K2210,6)="MV15AX",LEFT(K2210,4)="CTAX",LEFT(K2210,2)="W|"),2*N2210*O2210,0)</f>
        <v/>
      </c>
      <c r="Z2210" s="9" t="inlineStr"/>
    </row>
    <row r="2211">
      <c r="A2211" s="9" t="inlineStr">
        <is>
          <t>I-I-0119</t>
        </is>
      </c>
      <c r="B2211" s="9" t="inlineStr">
        <is>
          <t>I</t>
        </is>
      </c>
      <c r="C2211" s="9" t="inlineStr">
        <is>
          <t>Modular / portable power</t>
        </is>
      </c>
      <c r="D2211" s="9" t="inlineStr">
        <is>
          <t>Instrumentation</t>
        </is>
      </c>
      <c r="E2211" s="9" t="inlineStr"/>
      <c r="F2211" s="9" t="inlineStr">
        <is>
          <t>PCM: power control module</t>
        </is>
      </c>
      <c r="G2211" s="9" t="inlineStr">
        <is>
          <t>MT-4</t>
        </is>
      </c>
      <c r="H2211" s="9" t="inlineStr">
        <is>
          <t>MT-4: microturbine 1 MW (Capstone C1000 class)</t>
        </is>
      </c>
      <c r="I2211" s="9" t="inlineStr">
        <is>
          <t>Instrumentation</t>
        </is>
      </c>
      <c r="J2211" s="9" t="inlineStr">
        <is>
          <t>Instrumentation PLTC / TC-ER 300 V, #18 twisted shielded pairs, overall shield</t>
        </is>
      </c>
      <c r="K2211" s="9" t="inlineStr">
        <is>
          <t>PLTC|4 pr|18</t>
        </is>
      </c>
      <c r="L2211" s="9" t="inlineStr">
        <is>
          <t>4 pr</t>
        </is>
      </c>
      <c r="M2211" s="9" t="inlineStr">
        <is>
          <t>18</t>
        </is>
      </c>
      <c r="N2211" s="9" t="n">
        <v>1</v>
      </c>
      <c r="O2211" s="9" t="n">
        <v>1</v>
      </c>
      <c r="P2211" s="9" t="n"/>
      <c r="Q2211" s="9" t="n"/>
      <c r="R2211" s="9" t="n"/>
      <c r="S2211" s="9" t="inlineStr">
        <is>
          <t>Duct bank</t>
        </is>
      </c>
      <c r="T2211" s="10" t="n">
        <v>303</v>
      </c>
      <c r="U2211" s="10" t="n">
        <v>40</v>
      </c>
      <c r="V2211" s="10">
        <f>ROUNDUP((T2211+U2211+2*'Read Me'!$B$13)*(1+'Read Me'!$B$12),-1)</f>
        <v/>
      </c>
      <c r="W2211" s="10">
        <f>V2211*N2211*O2211</f>
        <v/>
      </c>
      <c r="X2211" s="9">
        <f>IF(LEFT(I2211,2)="MV",2*N2211*IF(L2211="1/C",O2211,1),0)</f>
        <v/>
      </c>
      <c r="Y2211" s="9">
        <f>IF(OR(LEFT(K2211,4)="LVAX",LEFT(K2211,6)="MV15AX",LEFT(K2211,4)="CTAX",LEFT(K2211,2)="W|"),2*N2211*O2211,0)</f>
        <v/>
      </c>
      <c r="Z2211" s="9" t="inlineStr"/>
    </row>
    <row r="2212">
      <c r="A2212" s="9" t="inlineStr">
        <is>
          <t>I-I-0120</t>
        </is>
      </c>
      <c r="B2212" s="9" t="inlineStr">
        <is>
          <t>I</t>
        </is>
      </c>
      <c r="C2212" s="9" t="inlineStr">
        <is>
          <t>Modular / portable power</t>
        </is>
      </c>
      <c r="D2212" s="9" t="inlineStr">
        <is>
          <t>Thermocouples</t>
        </is>
      </c>
      <c r="E2212" s="9" t="inlineStr"/>
      <c r="F2212" s="9" t="inlineStr">
        <is>
          <t>PCM: power control module</t>
        </is>
      </c>
      <c r="G2212" s="9" t="inlineStr">
        <is>
          <t>MT-4</t>
        </is>
      </c>
      <c r="H2212" s="9" t="inlineStr">
        <is>
          <t>MT-4: microturbine 1 MW (Capstone C1000 class)</t>
        </is>
      </c>
      <c r="I2212" s="9" t="inlineStr">
        <is>
          <t>Instrumentation</t>
        </is>
      </c>
      <c r="J2212" s="9" t="inlineStr">
        <is>
          <t>Thermocouple extension KX, #16 shielded pairs, PLTC</t>
        </is>
      </c>
      <c r="K2212" s="9" t="inlineStr">
        <is>
          <t>TCX|12 pr|16</t>
        </is>
      </c>
      <c r="L2212" s="9" t="inlineStr">
        <is>
          <t>12 pr</t>
        </is>
      </c>
      <c r="M2212" s="9" t="inlineStr">
        <is>
          <t>16</t>
        </is>
      </c>
      <c r="N2212" s="9" t="n">
        <v>1</v>
      </c>
      <c r="O2212" s="9" t="n">
        <v>1</v>
      </c>
      <c r="P2212" s="9" t="n"/>
      <c r="Q2212" s="9" t="n"/>
      <c r="R2212" s="9" t="n"/>
      <c r="S2212" s="9" t="inlineStr">
        <is>
          <t>Duct bank</t>
        </is>
      </c>
      <c r="T2212" s="10" t="n">
        <v>303</v>
      </c>
      <c r="U2212" s="10" t="n">
        <v>40</v>
      </c>
      <c r="V2212" s="10">
        <f>ROUNDUP((T2212+U2212+2*'Read Me'!$B$13)*(1+'Read Me'!$B$12),-1)</f>
        <v/>
      </c>
      <c r="W2212" s="10">
        <f>V2212*N2212*O2212</f>
        <v/>
      </c>
      <c r="X2212" s="9">
        <f>IF(LEFT(I2212,2)="MV",2*N2212*IF(L2212="1/C",O2212,1),0)</f>
        <v/>
      </c>
      <c r="Y2212" s="9">
        <f>IF(OR(LEFT(K2212,4)="LVAX",LEFT(K2212,6)="MV15AX",LEFT(K2212,4)="CTAX",LEFT(K2212,2)="W|"),2*N2212*O2212,0)</f>
        <v/>
      </c>
      <c r="Z2212" s="9" t="inlineStr"/>
    </row>
    <row r="2213">
      <c r="A2213" s="9" t="inlineStr">
        <is>
          <t>I-I-0121</t>
        </is>
      </c>
      <c r="B2213" s="9" t="inlineStr">
        <is>
          <t>I</t>
        </is>
      </c>
      <c r="C2213" s="9" t="inlineStr">
        <is>
          <t>Modular / portable power</t>
        </is>
      </c>
      <c r="D2213" s="9" t="inlineStr">
        <is>
          <t>Thermocouples</t>
        </is>
      </c>
      <c r="E2213" s="9" t="inlineStr"/>
      <c r="F2213" s="9" t="inlineStr">
        <is>
          <t>PCM: power control module</t>
        </is>
      </c>
      <c r="G2213" s="9" t="inlineStr">
        <is>
          <t>MT-4</t>
        </is>
      </c>
      <c r="H2213" s="9" t="inlineStr">
        <is>
          <t>MT-4: microturbine 1 MW (Capstone C1000 class)</t>
        </is>
      </c>
      <c r="I2213" s="9" t="inlineStr">
        <is>
          <t>Instrumentation</t>
        </is>
      </c>
      <c r="J2213" s="9" t="inlineStr">
        <is>
          <t>Thermocouple extension KX, #16 shielded pairs, PLTC</t>
        </is>
      </c>
      <c r="K2213" s="9" t="inlineStr">
        <is>
          <t>TCX|12 pr|16</t>
        </is>
      </c>
      <c r="L2213" s="9" t="inlineStr">
        <is>
          <t>12 pr</t>
        </is>
      </c>
      <c r="M2213" s="9" t="inlineStr">
        <is>
          <t>16</t>
        </is>
      </c>
      <c r="N2213" s="9" t="n">
        <v>1</v>
      </c>
      <c r="O2213" s="9" t="n">
        <v>1</v>
      </c>
      <c r="P2213" s="9" t="n"/>
      <c r="Q2213" s="9" t="n"/>
      <c r="R2213" s="9" t="n"/>
      <c r="S2213" s="9" t="inlineStr">
        <is>
          <t>Duct bank</t>
        </is>
      </c>
      <c r="T2213" s="10" t="n">
        <v>303</v>
      </c>
      <c r="U2213" s="10" t="n">
        <v>40</v>
      </c>
      <c r="V2213" s="10">
        <f>ROUNDUP((T2213+U2213+2*'Read Me'!$B$13)*(1+'Read Me'!$B$12),-1)</f>
        <v/>
      </c>
      <c r="W2213" s="10">
        <f>V2213*N2213*O2213</f>
        <v/>
      </c>
      <c r="X2213" s="9">
        <f>IF(LEFT(I2213,2)="MV",2*N2213*IF(L2213="1/C",O2213,1),0)</f>
        <v/>
      </c>
      <c r="Y2213" s="9">
        <f>IF(OR(LEFT(K2213,4)="LVAX",LEFT(K2213,6)="MV15AX",LEFT(K2213,4)="CTAX",LEFT(K2213,2)="W|"),2*N2213*O2213,0)</f>
        <v/>
      </c>
      <c r="Z2213" s="9" t="inlineStr"/>
    </row>
    <row r="2214">
      <c r="A2214" s="9" t="inlineStr">
        <is>
          <t>I-I-0122</t>
        </is>
      </c>
      <c r="B2214" s="9" t="inlineStr">
        <is>
          <t>I</t>
        </is>
      </c>
      <c r="C2214" s="9" t="inlineStr">
        <is>
          <t>Modular / portable power</t>
        </is>
      </c>
      <c r="D2214" s="9" t="inlineStr">
        <is>
          <t>Instrumentation</t>
        </is>
      </c>
      <c r="E2214" s="9" t="inlineStr"/>
      <c r="F2214" s="9" t="inlineStr">
        <is>
          <t>PCM: power control module</t>
        </is>
      </c>
      <c r="G2214" s="9" t="inlineStr">
        <is>
          <t>MT-5</t>
        </is>
      </c>
      <c r="H2214" s="9" t="inlineStr">
        <is>
          <t>MT-5: microturbine 1 MW (Capstone C1000 class)</t>
        </is>
      </c>
      <c r="I2214" s="9" t="inlineStr">
        <is>
          <t>Instrumentation</t>
        </is>
      </c>
      <c r="J2214" s="9" t="inlineStr">
        <is>
          <t>Instrumentation PLTC / TC-ER 300 V, #18 twisted shielded pairs, overall shield</t>
        </is>
      </c>
      <c r="K2214" s="9" t="inlineStr">
        <is>
          <t>PLTC|4 pr|18</t>
        </is>
      </c>
      <c r="L2214" s="9" t="inlineStr">
        <is>
          <t>4 pr</t>
        </is>
      </c>
      <c r="M2214" s="9" t="inlineStr">
        <is>
          <t>18</t>
        </is>
      </c>
      <c r="N2214" s="9" t="n">
        <v>1</v>
      </c>
      <c r="O2214" s="9" t="n">
        <v>1</v>
      </c>
      <c r="P2214" s="9" t="n"/>
      <c r="Q2214" s="9" t="n"/>
      <c r="R2214" s="9" t="n"/>
      <c r="S2214" s="9" t="inlineStr">
        <is>
          <t>Duct bank</t>
        </is>
      </c>
      <c r="T2214" s="10" t="n">
        <v>303</v>
      </c>
      <c r="U2214" s="10" t="n">
        <v>54</v>
      </c>
      <c r="V2214" s="10">
        <f>ROUNDUP((T2214+U2214+2*'Read Me'!$B$13)*(1+'Read Me'!$B$12),-1)</f>
        <v/>
      </c>
      <c r="W2214" s="10">
        <f>V2214*N2214*O2214</f>
        <v/>
      </c>
      <c r="X2214" s="9">
        <f>IF(LEFT(I2214,2)="MV",2*N2214*IF(L2214="1/C",O2214,1),0)</f>
        <v/>
      </c>
      <c r="Y2214" s="9">
        <f>IF(OR(LEFT(K2214,4)="LVAX",LEFT(K2214,6)="MV15AX",LEFT(K2214,4)="CTAX",LEFT(K2214,2)="W|"),2*N2214*O2214,0)</f>
        <v/>
      </c>
      <c r="Z2214" s="9" t="inlineStr"/>
    </row>
    <row r="2215">
      <c r="A2215" s="9" t="inlineStr">
        <is>
          <t>I-I-0123</t>
        </is>
      </c>
      <c r="B2215" s="9" t="inlineStr">
        <is>
          <t>I</t>
        </is>
      </c>
      <c r="C2215" s="9" t="inlineStr">
        <is>
          <t>Modular / portable power</t>
        </is>
      </c>
      <c r="D2215" s="9" t="inlineStr">
        <is>
          <t>Thermocouples</t>
        </is>
      </c>
      <c r="E2215" s="9" t="inlineStr"/>
      <c r="F2215" s="9" t="inlineStr">
        <is>
          <t>PCM: power control module</t>
        </is>
      </c>
      <c r="G2215" s="9" t="inlineStr">
        <is>
          <t>MT-5</t>
        </is>
      </c>
      <c r="H2215" s="9" t="inlineStr">
        <is>
          <t>MT-5: microturbine 1 MW (Capstone C1000 class)</t>
        </is>
      </c>
      <c r="I2215" s="9" t="inlineStr">
        <is>
          <t>Instrumentation</t>
        </is>
      </c>
      <c r="J2215" s="9" t="inlineStr">
        <is>
          <t>Thermocouple extension KX, #16 shielded pairs, PLTC</t>
        </is>
      </c>
      <c r="K2215" s="9" t="inlineStr">
        <is>
          <t>TCX|12 pr|16</t>
        </is>
      </c>
      <c r="L2215" s="9" t="inlineStr">
        <is>
          <t>12 pr</t>
        </is>
      </c>
      <c r="M2215" s="9" t="inlineStr">
        <is>
          <t>16</t>
        </is>
      </c>
      <c r="N2215" s="9" t="n">
        <v>1</v>
      </c>
      <c r="O2215" s="9" t="n">
        <v>1</v>
      </c>
      <c r="P2215" s="9" t="n"/>
      <c r="Q2215" s="9" t="n"/>
      <c r="R2215" s="9" t="n"/>
      <c r="S2215" s="9" t="inlineStr">
        <is>
          <t>Duct bank</t>
        </is>
      </c>
      <c r="T2215" s="10" t="n">
        <v>303</v>
      </c>
      <c r="U2215" s="10" t="n">
        <v>54</v>
      </c>
      <c r="V2215" s="10">
        <f>ROUNDUP((T2215+U2215+2*'Read Me'!$B$13)*(1+'Read Me'!$B$12),-1)</f>
        <v/>
      </c>
      <c r="W2215" s="10">
        <f>V2215*N2215*O2215</f>
        <v/>
      </c>
      <c r="X2215" s="9">
        <f>IF(LEFT(I2215,2)="MV",2*N2215*IF(L2215="1/C",O2215,1),0)</f>
        <v/>
      </c>
      <c r="Y2215" s="9">
        <f>IF(OR(LEFT(K2215,4)="LVAX",LEFT(K2215,6)="MV15AX",LEFT(K2215,4)="CTAX",LEFT(K2215,2)="W|"),2*N2215*O2215,0)</f>
        <v/>
      </c>
      <c r="Z2215" s="9" t="inlineStr"/>
    </row>
    <row r="2216">
      <c r="A2216" s="9" t="inlineStr">
        <is>
          <t>I-I-0124</t>
        </is>
      </c>
      <c r="B2216" s="9" t="inlineStr">
        <is>
          <t>I</t>
        </is>
      </c>
      <c r="C2216" s="9" t="inlineStr">
        <is>
          <t>Modular / portable power</t>
        </is>
      </c>
      <c r="D2216" s="9" t="inlineStr">
        <is>
          <t>Thermocouples</t>
        </is>
      </c>
      <c r="E2216" s="9" t="inlineStr"/>
      <c r="F2216" s="9" t="inlineStr">
        <is>
          <t>PCM: power control module</t>
        </is>
      </c>
      <c r="G2216" s="9" t="inlineStr">
        <is>
          <t>MT-5</t>
        </is>
      </c>
      <c r="H2216" s="9" t="inlineStr">
        <is>
          <t>MT-5: microturbine 1 MW (Capstone C1000 class)</t>
        </is>
      </c>
      <c r="I2216" s="9" t="inlineStr">
        <is>
          <t>Instrumentation</t>
        </is>
      </c>
      <c r="J2216" s="9" t="inlineStr">
        <is>
          <t>Thermocouple extension KX, #16 shielded pairs, PLTC</t>
        </is>
      </c>
      <c r="K2216" s="9" t="inlineStr">
        <is>
          <t>TCX|12 pr|16</t>
        </is>
      </c>
      <c r="L2216" s="9" t="inlineStr">
        <is>
          <t>12 pr</t>
        </is>
      </c>
      <c r="M2216" s="9" t="inlineStr">
        <is>
          <t>16</t>
        </is>
      </c>
      <c r="N2216" s="9" t="n">
        <v>1</v>
      </c>
      <c r="O2216" s="9" t="n">
        <v>1</v>
      </c>
      <c r="P2216" s="9" t="n"/>
      <c r="Q2216" s="9" t="n"/>
      <c r="R2216" s="9" t="n"/>
      <c r="S2216" s="9" t="inlineStr">
        <is>
          <t>Duct bank</t>
        </is>
      </c>
      <c r="T2216" s="10" t="n">
        <v>303</v>
      </c>
      <c r="U2216" s="10" t="n">
        <v>54</v>
      </c>
      <c r="V2216" s="10">
        <f>ROUNDUP((T2216+U2216+2*'Read Me'!$B$13)*(1+'Read Me'!$B$12),-1)</f>
        <v/>
      </c>
      <c r="W2216" s="10">
        <f>V2216*N2216*O2216</f>
        <v/>
      </c>
      <c r="X2216" s="9">
        <f>IF(LEFT(I2216,2)="MV",2*N2216*IF(L2216="1/C",O2216,1),0)</f>
        <v/>
      </c>
      <c r="Y2216" s="9">
        <f>IF(OR(LEFT(K2216,4)="LVAX",LEFT(K2216,6)="MV15AX",LEFT(K2216,4)="CTAX",LEFT(K2216,2)="W|"),2*N2216*O2216,0)</f>
        <v/>
      </c>
      <c r="Z2216" s="9" t="inlineStr"/>
    </row>
    <row r="2217">
      <c r="A2217" s="9" t="inlineStr">
        <is>
          <t>I-I-0125</t>
        </is>
      </c>
      <c r="B2217" s="9" t="inlineStr">
        <is>
          <t>I</t>
        </is>
      </c>
      <c r="C2217" s="9" t="inlineStr">
        <is>
          <t>Modular / portable power</t>
        </is>
      </c>
      <c r="D2217" s="9" t="inlineStr">
        <is>
          <t>Instrumentation</t>
        </is>
      </c>
      <c r="E2217" s="9" t="inlineStr"/>
      <c r="F2217" s="9" t="inlineStr">
        <is>
          <t>PCM: power control module</t>
        </is>
      </c>
      <c r="G2217" s="9" t="inlineStr">
        <is>
          <t>MT-6</t>
        </is>
      </c>
      <c r="H2217" s="9" t="inlineStr">
        <is>
          <t>MT-6: microturbine 1 MW (Capstone C1000 class)</t>
        </is>
      </c>
      <c r="I2217" s="9" t="inlineStr">
        <is>
          <t>Instrumentation</t>
        </is>
      </c>
      <c r="J2217" s="9" t="inlineStr">
        <is>
          <t>Instrumentation PLTC / TC-ER 300 V, #18 twisted shielded pairs, overall shield</t>
        </is>
      </c>
      <c r="K2217" s="9" t="inlineStr">
        <is>
          <t>PLTC|4 pr|18</t>
        </is>
      </c>
      <c r="L2217" s="9" t="inlineStr">
        <is>
          <t>4 pr</t>
        </is>
      </c>
      <c r="M2217" s="9" t="inlineStr">
        <is>
          <t>18</t>
        </is>
      </c>
      <c r="N2217" s="9" t="n">
        <v>1</v>
      </c>
      <c r="O2217" s="9" t="n">
        <v>1</v>
      </c>
      <c r="P2217" s="9" t="n"/>
      <c r="Q2217" s="9" t="n"/>
      <c r="R2217" s="9" t="n"/>
      <c r="S2217" s="9" t="inlineStr">
        <is>
          <t>Duct bank</t>
        </is>
      </c>
      <c r="T2217" s="10" t="n">
        <v>303</v>
      </c>
      <c r="U2217" s="10" t="n">
        <v>68</v>
      </c>
      <c r="V2217" s="10">
        <f>ROUNDUP((T2217+U2217+2*'Read Me'!$B$13)*(1+'Read Me'!$B$12),-1)</f>
        <v/>
      </c>
      <c r="W2217" s="10">
        <f>V2217*N2217*O2217</f>
        <v/>
      </c>
      <c r="X2217" s="9">
        <f>IF(LEFT(I2217,2)="MV",2*N2217*IF(L2217="1/C",O2217,1),0)</f>
        <v/>
      </c>
      <c r="Y2217" s="9">
        <f>IF(OR(LEFT(K2217,4)="LVAX",LEFT(K2217,6)="MV15AX",LEFT(K2217,4)="CTAX",LEFT(K2217,2)="W|"),2*N2217*O2217,0)</f>
        <v/>
      </c>
      <c r="Z2217" s="9" t="inlineStr"/>
    </row>
    <row r="2218">
      <c r="A2218" s="9" t="inlineStr">
        <is>
          <t>I-I-0126</t>
        </is>
      </c>
      <c r="B2218" s="9" t="inlineStr">
        <is>
          <t>I</t>
        </is>
      </c>
      <c r="C2218" s="9" t="inlineStr">
        <is>
          <t>Modular / portable power</t>
        </is>
      </c>
      <c r="D2218" s="9" t="inlineStr">
        <is>
          <t>Thermocouples</t>
        </is>
      </c>
      <c r="E2218" s="9" t="inlineStr"/>
      <c r="F2218" s="9" t="inlineStr">
        <is>
          <t>PCM: power control module</t>
        </is>
      </c>
      <c r="G2218" s="9" t="inlineStr">
        <is>
          <t>MT-6</t>
        </is>
      </c>
      <c r="H2218" s="9" t="inlineStr">
        <is>
          <t>MT-6: microturbine 1 MW (Capstone C1000 class)</t>
        </is>
      </c>
      <c r="I2218" s="9" t="inlineStr">
        <is>
          <t>Instrumentation</t>
        </is>
      </c>
      <c r="J2218" s="9" t="inlineStr">
        <is>
          <t>Thermocouple extension KX, #16 shielded pairs, PLTC</t>
        </is>
      </c>
      <c r="K2218" s="9" t="inlineStr">
        <is>
          <t>TCX|12 pr|16</t>
        </is>
      </c>
      <c r="L2218" s="9" t="inlineStr">
        <is>
          <t>12 pr</t>
        </is>
      </c>
      <c r="M2218" s="9" t="inlineStr">
        <is>
          <t>16</t>
        </is>
      </c>
      <c r="N2218" s="9" t="n">
        <v>1</v>
      </c>
      <c r="O2218" s="9" t="n">
        <v>1</v>
      </c>
      <c r="P2218" s="9" t="n"/>
      <c r="Q2218" s="9" t="n"/>
      <c r="R2218" s="9" t="n"/>
      <c r="S2218" s="9" t="inlineStr">
        <is>
          <t>Duct bank</t>
        </is>
      </c>
      <c r="T2218" s="10" t="n">
        <v>303</v>
      </c>
      <c r="U2218" s="10" t="n">
        <v>68</v>
      </c>
      <c r="V2218" s="10">
        <f>ROUNDUP((T2218+U2218+2*'Read Me'!$B$13)*(1+'Read Me'!$B$12),-1)</f>
        <v/>
      </c>
      <c r="W2218" s="10">
        <f>V2218*N2218*O2218</f>
        <v/>
      </c>
      <c r="X2218" s="9">
        <f>IF(LEFT(I2218,2)="MV",2*N2218*IF(L2218="1/C",O2218,1),0)</f>
        <v/>
      </c>
      <c r="Y2218" s="9">
        <f>IF(OR(LEFT(K2218,4)="LVAX",LEFT(K2218,6)="MV15AX",LEFT(K2218,4)="CTAX",LEFT(K2218,2)="W|"),2*N2218*O2218,0)</f>
        <v/>
      </c>
      <c r="Z2218" s="9" t="inlineStr"/>
    </row>
    <row r="2219">
      <c r="A2219" s="9" t="inlineStr">
        <is>
          <t>I-I-0127</t>
        </is>
      </c>
      <c r="B2219" s="9" t="inlineStr">
        <is>
          <t>I</t>
        </is>
      </c>
      <c r="C2219" s="9" t="inlineStr">
        <is>
          <t>Modular / portable power</t>
        </is>
      </c>
      <c r="D2219" s="9" t="inlineStr">
        <is>
          <t>Thermocouples</t>
        </is>
      </c>
      <c r="E2219" s="9" t="inlineStr"/>
      <c r="F2219" s="9" t="inlineStr">
        <is>
          <t>PCM: power control module</t>
        </is>
      </c>
      <c r="G2219" s="9" t="inlineStr">
        <is>
          <t>MT-6</t>
        </is>
      </c>
      <c r="H2219" s="9" t="inlineStr">
        <is>
          <t>MT-6: microturbine 1 MW (Capstone C1000 class)</t>
        </is>
      </c>
      <c r="I2219" s="9" t="inlineStr">
        <is>
          <t>Instrumentation</t>
        </is>
      </c>
      <c r="J2219" s="9" t="inlineStr">
        <is>
          <t>Thermocouple extension KX, #16 shielded pairs, PLTC</t>
        </is>
      </c>
      <c r="K2219" s="9" t="inlineStr">
        <is>
          <t>TCX|12 pr|16</t>
        </is>
      </c>
      <c r="L2219" s="9" t="inlineStr">
        <is>
          <t>12 pr</t>
        </is>
      </c>
      <c r="M2219" s="9" t="inlineStr">
        <is>
          <t>16</t>
        </is>
      </c>
      <c r="N2219" s="9" t="n">
        <v>1</v>
      </c>
      <c r="O2219" s="9" t="n">
        <v>1</v>
      </c>
      <c r="P2219" s="9" t="n"/>
      <c r="Q2219" s="9" t="n"/>
      <c r="R2219" s="9" t="n"/>
      <c r="S2219" s="9" t="inlineStr">
        <is>
          <t>Duct bank</t>
        </is>
      </c>
      <c r="T2219" s="10" t="n">
        <v>303</v>
      </c>
      <c r="U2219" s="10" t="n">
        <v>68</v>
      </c>
      <c r="V2219" s="10">
        <f>ROUNDUP((T2219+U2219+2*'Read Me'!$B$13)*(1+'Read Me'!$B$12),-1)</f>
        <v/>
      </c>
      <c r="W2219" s="10">
        <f>V2219*N2219*O2219</f>
        <v/>
      </c>
      <c r="X2219" s="9">
        <f>IF(LEFT(I2219,2)="MV",2*N2219*IF(L2219="1/C",O2219,1),0)</f>
        <v/>
      </c>
      <c r="Y2219" s="9">
        <f>IF(OR(LEFT(K2219,4)="LVAX",LEFT(K2219,6)="MV15AX",LEFT(K2219,4)="CTAX",LEFT(K2219,2)="W|"),2*N2219*O2219,0)</f>
        <v/>
      </c>
      <c r="Z2219" s="9" t="inlineStr"/>
    </row>
    <row r="2220">
      <c r="A2220" s="9" t="inlineStr">
        <is>
          <t>I-I-0128</t>
        </is>
      </c>
      <c r="B2220" s="9" t="inlineStr">
        <is>
          <t>I</t>
        </is>
      </c>
      <c r="C2220" s="9" t="inlineStr">
        <is>
          <t>Modular / portable power</t>
        </is>
      </c>
      <c r="D2220" s="9" t="inlineStr">
        <is>
          <t>Instrumentation</t>
        </is>
      </c>
      <c r="E2220" s="9" t="inlineStr"/>
      <c r="F2220" s="9" t="inlineStr">
        <is>
          <t>PCM: power control module</t>
        </is>
      </c>
      <c r="G2220" s="9" t="inlineStr">
        <is>
          <t>RICE</t>
        </is>
      </c>
      <c r="H2220" s="9" t="inlineStr">
        <is>
          <t>RICE engine hall (8 engines)</t>
        </is>
      </c>
      <c r="I2220" s="9" t="inlineStr">
        <is>
          <t>Instrumentation</t>
        </is>
      </c>
      <c r="J2220" s="9" t="inlineStr">
        <is>
          <t>Instrumentation PLTC / TC-ER 300 V, #18 twisted shielded pairs, overall shield</t>
        </is>
      </c>
      <c r="K2220" s="9" t="inlineStr">
        <is>
          <t>PLTC|4 pr|18</t>
        </is>
      </c>
      <c r="L2220" s="9" t="inlineStr">
        <is>
          <t>4 pr</t>
        </is>
      </c>
      <c r="M2220" s="9" t="inlineStr">
        <is>
          <t>18</t>
        </is>
      </c>
      <c r="N2220" s="9" t="n">
        <v>1</v>
      </c>
      <c r="O2220" s="9" t="n">
        <v>1</v>
      </c>
      <c r="P2220" s="9" t="n"/>
      <c r="Q2220" s="9" t="n"/>
      <c r="R2220" s="9" t="n"/>
      <c r="S2220" s="9" t="inlineStr">
        <is>
          <t>Duct bank</t>
        </is>
      </c>
      <c r="T2220" s="10" t="n">
        <v>367</v>
      </c>
      <c r="U2220" s="10" t="n">
        <v>95</v>
      </c>
      <c r="V2220" s="10">
        <f>ROUNDUP((T2220+U2220+2*'Read Me'!$B$13)*(1+'Read Me'!$B$12),-1)</f>
        <v/>
      </c>
      <c r="W2220" s="10">
        <f>V2220*N2220*O2220</f>
        <v/>
      </c>
      <c r="X2220" s="9">
        <f>IF(LEFT(I2220,2)="MV",2*N2220*IF(L2220="1/C",O2220,1),0)</f>
        <v/>
      </c>
      <c r="Y2220" s="9">
        <f>IF(OR(LEFT(K2220,4)="LVAX",LEFT(K2220,6)="MV15AX",LEFT(K2220,4)="CTAX",LEFT(K2220,2)="W|"),2*N2220*O2220,0)</f>
        <v/>
      </c>
      <c r="Z2220" s="9" t="inlineStr"/>
    </row>
    <row r="2221">
      <c r="A2221" s="9" t="inlineStr">
        <is>
          <t>I-I-0129</t>
        </is>
      </c>
      <c r="B2221" s="9" t="inlineStr">
        <is>
          <t>I</t>
        </is>
      </c>
      <c r="C2221" s="9" t="inlineStr">
        <is>
          <t>Modular / portable power</t>
        </is>
      </c>
      <c r="D2221" s="9" t="inlineStr">
        <is>
          <t>Instrumentation</t>
        </is>
      </c>
      <c r="E2221" s="9" t="inlineStr"/>
      <c r="F2221" s="9" t="inlineStr">
        <is>
          <t>PCM: power control module</t>
        </is>
      </c>
      <c r="G2221" s="9" t="inlineStr">
        <is>
          <t>RICE</t>
        </is>
      </c>
      <c r="H2221" s="9" t="inlineStr">
        <is>
          <t>RICE engine hall (8 engines)</t>
        </is>
      </c>
      <c r="I2221" s="9" t="inlineStr">
        <is>
          <t>Instrumentation</t>
        </is>
      </c>
      <c r="J2221" s="9" t="inlineStr">
        <is>
          <t>Instrumentation PLTC / TC-ER 300 V, #18 twisted shielded pairs, overall shield</t>
        </is>
      </c>
      <c r="K2221" s="9" t="inlineStr">
        <is>
          <t>PLTC|4 pr|18</t>
        </is>
      </c>
      <c r="L2221" s="9" t="inlineStr">
        <is>
          <t>4 pr</t>
        </is>
      </c>
      <c r="M2221" s="9" t="inlineStr">
        <is>
          <t>18</t>
        </is>
      </c>
      <c r="N2221" s="9" t="n">
        <v>1</v>
      </c>
      <c r="O2221" s="9" t="n">
        <v>1</v>
      </c>
      <c r="P2221" s="9" t="n"/>
      <c r="Q2221" s="9" t="n"/>
      <c r="R2221" s="9" t="n"/>
      <c r="S2221" s="9" t="inlineStr">
        <is>
          <t>Duct bank</t>
        </is>
      </c>
      <c r="T2221" s="10" t="n">
        <v>367</v>
      </c>
      <c r="U2221" s="10" t="n">
        <v>95</v>
      </c>
      <c r="V2221" s="10">
        <f>ROUNDUP((T2221+U2221+2*'Read Me'!$B$13)*(1+'Read Me'!$B$12),-1)</f>
        <v/>
      </c>
      <c r="W2221" s="10">
        <f>V2221*N2221*O2221</f>
        <v/>
      </c>
      <c r="X2221" s="9">
        <f>IF(LEFT(I2221,2)="MV",2*N2221*IF(L2221="1/C",O2221,1),0)</f>
        <v/>
      </c>
      <c r="Y2221" s="9">
        <f>IF(OR(LEFT(K2221,4)="LVAX",LEFT(K2221,6)="MV15AX",LEFT(K2221,4)="CTAX",LEFT(K2221,2)="W|"),2*N2221*O2221,0)</f>
        <v/>
      </c>
      <c r="Z2221" s="9" t="inlineStr"/>
    </row>
    <row r="2222">
      <c r="A2222" s="9" t="inlineStr">
        <is>
          <t>I-I-0130</t>
        </is>
      </c>
      <c r="B2222" s="9" t="inlineStr">
        <is>
          <t>I</t>
        </is>
      </c>
      <c r="C2222" s="9" t="inlineStr">
        <is>
          <t>Modular / portable power</t>
        </is>
      </c>
      <c r="D2222" s="9" t="inlineStr">
        <is>
          <t>Instrumentation</t>
        </is>
      </c>
      <c r="E2222" s="9" t="inlineStr"/>
      <c r="F2222" s="9" t="inlineStr">
        <is>
          <t>PCM: power control module</t>
        </is>
      </c>
      <c r="G2222" s="9" t="inlineStr">
        <is>
          <t>RICE</t>
        </is>
      </c>
      <c r="H2222" s="9" t="inlineStr">
        <is>
          <t>RICE engine hall (8 engines)</t>
        </is>
      </c>
      <c r="I2222" s="9" t="inlineStr">
        <is>
          <t>Instrumentation</t>
        </is>
      </c>
      <c r="J2222" s="9" t="inlineStr">
        <is>
          <t>Instrumentation PLTC / TC-ER 300 V, #18 twisted shielded pairs, overall shield</t>
        </is>
      </c>
      <c r="K2222" s="9" t="inlineStr">
        <is>
          <t>PLTC|12 pr|18</t>
        </is>
      </c>
      <c r="L2222" s="9" t="inlineStr">
        <is>
          <t>12 pr</t>
        </is>
      </c>
      <c r="M2222" s="9" t="inlineStr">
        <is>
          <t>18</t>
        </is>
      </c>
      <c r="N2222" s="9" t="n">
        <v>1</v>
      </c>
      <c r="O2222" s="9" t="n">
        <v>1</v>
      </c>
      <c r="P2222" s="9" t="n"/>
      <c r="Q2222" s="9" t="n"/>
      <c r="R2222" s="9" t="n"/>
      <c r="S2222" s="9" t="inlineStr">
        <is>
          <t>Duct bank</t>
        </is>
      </c>
      <c r="T2222" s="10" t="n">
        <v>367</v>
      </c>
      <c r="U2222" s="10" t="n">
        <v>95</v>
      </c>
      <c r="V2222" s="10">
        <f>ROUNDUP((T2222+U2222+2*'Read Me'!$B$13)*(1+'Read Me'!$B$12),-1)</f>
        <v/>
      </c>
      <c r="W2222" s="10">
        <f>V2222*N2222*O2222</f>
        <v/>
      </c>
      <c r="X2222" s="9">
        <f>IF(LEFT(I2222,2)="MV",2*N2222*IF(L2222="1/C",O2222,1),0)</f>
        <v/>
      </c>
      <c r="Y2222" s="9">
        <f>IF(OR(LEFT(K2222,4)="LVAX",LEFT(K2222,6)="MV15AX",LEFT(K2222,4)="CTAX",LEFT(K2222,2)="W|"),2*N2222*O2222,0)</f>
        <v/>
      </c>
      <c r="Z2222" s="9" t="inlineStr"/>
    </row>
    <row r="2223">
      <c r="A2223" s="9" t="inlineStr">
        <is>
          <t>I-I-0131</t>
        </is>
      </c>
      <c r="B2223" s="9" t="inlineStr">
        <is>
          <t>I</t>
        </is>
      </c>
      <c r="C2223" s="9" t="inlineStr">
        <is>
          <t>Modular / portable power</t>
        </is>
      </c>
      <c r="D2223" s="9" t="inlineStr">
        <is>
          <t>Instrumentation</t>
        </is>
      </c>
      <c r="E2223" s="9" t="inlineStr"/>
      <c r="F2223" s="9" t="inlineStr">
        <is>
          <t>PCM: power control module</t>
        </is>
      </c>
      <c r="G2223" s="9" t="inlineStr">
        <is>
          <t>RICE</t>
        </is>
      </c>
      <c r="H2223" s="9" t="inlineStr">
        <is>
          <t>RICE engine hall (8 engines)</t>
        </is>
      </c>
      <c r="I2223" s="9" t="inlineStr">
        <is>
          <t>Instrumentation</t>
        </is>
      </c>
      <c r="J2223" s="9" t="inlineStr">
        <is>
          <t>Instrumentation PLTC / TC-ER 300 V, #18 twisted shielded pairs, overall shield</t>
        </is>
      </c>
      <c r="K2223" s="9" t="inlineStr">
        <is>
          <t>PLTC|12 pr|18</t>
        </is>
      </c>
      <c r="L2223" s="9" t="inlineStr">
        <is>
          <t>12 pr</t>
        </is>
      </c>
      <c r="M2223" s="9" t="inlineStr">
        <is>
          <t>18</t>
        </is>
      </c>
      <c r="N2223" s="9" t="n">
        <v>1</v>
      </c>
      <c r="O2223" s="9" t="n">
        <v>1</v>
      </c>
      <c r="P2223" s="9" t="n"/>
      <c r="Q2223" s="9" t="n"/>
      <c r="R2223" s="9" t="n"/>
      <c r="S2223" s="9" t="inlineStr">
        <is>
          <t>Duct bank</t>
        </is>
      </c>
      <c r="T2223" s="10" t="n">
        <v>367</v>
      </c>
      <c r="U2223" s="10" t="n">
        <v>95</v>
      </c>
      <c r="V2223" s="10">
        <f>ROUNDUP((T2223+U2223+2*'Read Me'!$B$13)*(1+'Read Me'!$B$12),-1)</f>
        <v/>
      </c>
      <c r="W2223" s="10">
        <f>V2223*N2223*O2223</f>
        <v/>
      </c>
      <c r="X2223" s="9">
        <f>IF(LEFT(I2223,2)="MV",2*N2223*IF(L2223="1/C",O2223,1),0)</f>
        <v/>
      </c>
      <c r="Y2223" s="9">
        <f>IF(OR(LEFT(K2223,4)="LVAX",LEFT(K2223,6)="MV15AX",LEFT(K2223,4)="CTAX",LEFT(K2223,2)="W|"),2*N2223*O2223,0)</f>
        <v/>
      </c>
      <c r="Z2223" s="9" t="inlineStr"/>
    </row>
    <row r="2224">
      <c r="A2224" s="9" t="inlineStr">
        <is>
          <t>I-I-0132</t>
        </is>
      </c>
      <c r="B2224" s="9" t="inlineStr">
        <is>
          <t>I</t>
        </is>
      </c>
      <c r="C2224" s="9" t="inlineStr">
        <is>
          <t>Modular / portable power</t>
        </is>
      </c>
      <c r="D2224" s="9" t="inlineStr">
        <is>
          <t>Instrumentation</t>
        </is>
      </c>
      <c r="E2224" s="9" t="inlineStr"/>
      <c r="F2224" s="9" t="inlineStr">
        <is>
          <t>PCM: power control module</t>
        </is>
      </c>
      <c r="G2224" s="9" t="inlineStr">
        <is>
          <t>RICE</t>
        </is>
      </c>
      <c r="H2224" s="9" t="inlineStr">
        <is>
          <t>RICE engine hall (8 engines)</t>
        </is>
      </c>
      <c r="I2224" s="9" t="inlineStr">
        <is>
          <t>Instrumentation</t>
        </is>
      </c>
      <c r="J2224" s="9" t="inlineStr">
        <is>
          <t>Instrumentation PLTC / TC-ER 300 V, #18 twisted shielded pairs, overall shield</t>
        </is>
      </c>
      <c r="K2224" s="9" t="inlineStr">
        <is>
          <t>PLTC|12 pr|18</t>
        </is>
      </c>
      <c r="L2224" s="9" t="inlineStr">
        <is>
          <t>12 pr</t>
        </is>
      </c>
      <c r="M2224" s="9" t="inlineStr">
        <is>
          <t>18</t>
        </is>
      </c>
      <c r="N2224" s="9" t="n">
        <v>1</v>
      </c>
      <c r="O2224" s="9" t="n">
        <v>1</v>
      </c>
      <c r="P2224" s="9" t="n"/>
      <c r="Q2224" s="9" t="n"/>
      <c r="R2224" s="9" t="n"/>
      <c r="S2224" s="9" t="inlineStr">
        <is>
          <t>Duct bank</t>
        </is>
      </c>
      <c r="T2224" s="10" t="n">
        <v>367</v>
      </c>
      <c r="U2224" s="10" t="n">
        <v>95</v>
      </c>
      <c r="V2224" s="10">
        <f>ROUNDUP((T2224+U2224+2*'Read Me'!$B$13)*(1+'Read Me'!$B$12),-1)</f>
        <v/>
      </c>
      <c r="W2224" s="10">
        <f>V2224*N2224*O2224</f>
        <v/>
      </c>
      <c r="X2224" s="9">
        <f>IF(LEFT(I2224,2)="MV",2*N2224*IF(L2224="1/C",O2224,1),0)</f>
        <v/>
      </c>
      <c r="Y2224" s="9">
        <f>IF(OR(LEFT(K2224,4)="LVAX",LEFT(K2224,6)="MV15AX",LEFT(K2224,4)="CTAX",LEFT(K2224,2)="W|"),2*N2224*O2224,0)</f>
        <v/>
      </c>
      <c r="Z2224" s="9" t="inlineStr"/>
    </row>
    <row r="2225">
      <c r="A2225" s="9" t="inlineStr">
        <is>
          <t>I-I-0133</t>
        </is>
      </c>
      <c r="B2225" s="9" t="inlineStr">
        <is>
          <t>I</t>
        </is>
      </c>
      <c r="C2225" s="9" t="inlineStr">
        <is>
          <t>Modular / portable power</t>
        </is>
      </c>
      <c r="D2225" s="9" t="inlineStr">
        <is>
          <t>Instrumentation</t>
        </is>
      </c>
      <c r="E2225" s="9" t="inlineStr"/>
      <c r="F2225" s="9" t="inlineStr">
        <is>
          <t>PCM: power control module</t>
        </is>
      </c>
      <c r="G2225" s="9" t="inlineStr">
        <is>
          <t>RICE</t>
        </is>
      </c>
      <c r="H2225" s="9" t="inlineStr">
        <is>
          <t>RICE engine hall (8 engines)</t>
        </is>
      </c>
      <c r="I2225" s="9" t="inlineStr">
        <is>
          <t>Instrumentation</t>
        </is>
      </c>
      <c r="J2225" s="9" t="inlineStr">
        <is>
          <t>Instrumentation PLTC / TC-ER 300 V, #18 twisted shielded pairs, overall shield</t>
        </is>
      </c>
      <c r="K2225" s="9" t="inlineStr">
        <is>
          <t>PLTC|12 pr|18</t>
        </is>
      </c>
      <c r="L2225" s="9" t="inlineStr">
        <is>
          <t>12 pr</t>
        </is>
      </c>
      <c r="M2225" s="9" t="inlineStr">
        <is>
          <t>18</t>
        </is>
      </c>
      <c r="N2225" s="9" t="n">
        <v>1</v>
      </c>
      <c r="O2225" s="9" t="n">
        <v>1</v>
      </c>
      <c r="P2225" s="9" t="n"/>
      <c r="Q2225" s="9" t="n"/>
      <c r="R2225" s="9" t="n"/>
      <c r="S2225" s="9" t="inlineStr">
        <is>
          <t>Duct bank</t>
        </is>
      </c>
      <c r="T2225" s="10" t="n">
        <v>367</v>
      </c>
      <c r="U2225" s="10" t="n">
        <v>95</v>
      </c>
      <c r="V2225" s="10">
        <f>ROUNDUP((T2225+U2225+2*'Read Me'!$B$13)*(1+'Read Me'!$B$12),-1)</f>
        <v/>
      </c>
      <c r="W2225" s="10">
        <f>V2225*N2225*O2225</f>
        <v/>
      </c>
      <c r="X2225" s="9">
        <f>IF(LEFT(I2225,2)="MV",2*N2225*IF(L2225="1/C",O2225,1),0)</f>
        <v/>
      </c>
      <c r="Y2225" s="9">
        <f>IF(OR(LEFT(K2225,4)="LVAX",LEFT(K2225,6)="MV15AX",LEFT(K2225,4)="CTAX",LEFT(K2225,2)="W|"),2*N2225*O2225,0)</f>
        <v/>
      </c>
      <c r="Z2225" s="9" t="inlineStr"/>
    </row>
    <row r="2226">
      <c r="A2226" s="9" t="inlineStr">
        <is>
          <t>I-I-0134</t>
        </is>
      </c>
      <c r="B2226" s="9" t="inlineStr">
        <is>
          <t>I</t>
        </is>
      </c>
      <c r="C2226" s="9" t="inlineStr">
        <is>
          <t>Modular / portable power</t>
        </is>
      </c>
      <c r="D2226" s="9" t="inlineStr">
        <is>
          <t>Instrumentation</t>
        </is>
      </c>
      <c r="E2226" s="9" t="inlineStr"/>
      <c r="F2226" s="9" t="inlineStr">
        <is>
          <t>PCM: power control module</t>
        </is>
      </c>
      <c r="G2226" s="9" t="inlineStr">
        <is>
          <t>RICE</t>
        </is>
      </c>
      <c r="H2226" s="9" t="inlineStr">
        <is>
          <t>RICE engine hall (8 engines)</t>
        </is>
      </c>
      <c r="I2226" s="9" t="inlineStr">
        <is>
          <t>Instrumentation</t>
        </is>
      </c>
      <c r="J2226" s="9" t="inlineStr">
        <is>
          <t>Instrumentation PLTC / TC-ER 300 V, #18 twisted shielded pairs, overall shield</t>
        </is>
      </c>
      <c r="K2226" s="9" t="inlineStr">
        <is>
          <t>PLTC|12 pr|18</t>
        </is>
      </c>
      <c r="L2226" s="9" t="inlineStr">
        <is>
          <t>12 pr</t>
        </is>
      </c>
      <c r="M2226" s="9" t="inlineStr">
        <is>
          <t>18</t>
        </is>
      </c>
      <c r="N2226" s="9" t="n">
        <v>1</v>
      </c>
      <c r="O2226" s="9" t="n">
        <v>1</v>
      </c>
      <c r="P2226" s="9" t="n"/>
      <c r="Q2226" s="9" t="n"/>
      <c r="R2226" s="9" t="n"/>
      <c r="S2226" s="9" t="inlineStr">
        <is>
          <t>Duct bank</t>
        </is>
      </c>
      <c r="T2226" s="10" t="n">
        <v>367</v>
      </c>
      <c r="U2226" s="10" t="n">
        <v>95</v>
      </c>
      <c r="V2226" s="10">
        <f>ROUNDUP((T2226+U2226+2*'Read Me'!$B$13)*(1+'Read Me'!$B$12),-1)</f>
        <v/>
      </c>
      <c r="W2226" s="10">
        <f>V2226*N2226*O2226</f>
        <v/>
      </c>
      <c r="X2226" s="9">
        <f>IF(LEFT(I2226,2)="MV",2*N2226*IF(L2226="1/C",O2226,1),0)</f>
        <v/>
      </c>
      <c r="Y2226" s="9">
        <f>IF(OR(LEFT(K2226,4)="LVAX",LEFT(K2226,6)="MV15AX",LEFT(K2226,4)="CTAX",LEFT(K2226,2)="W|"),2*N2226*O2226,0)</f>
        <v/>
      </c>
      <c r="Z2226" s="9" t="inlineStr"/>
    </row>
    <row r="2227">
      <c r="A2227" s="9" t="inlineStr">
        <is>
          <t>I-I-0135</t>
        </is>
      </c>
      <c r="B2227" s="9" t="inlineStr">
        <is>
          <t>I</t>
        </is>
      </c>
      <c r="C2227" s="9" t="inlineStr">
        <is>
          <t>Modular / portable power</t>
        </is>
      </c>
      <c r="D2227" s="9" t="inlineStr">
        <is>
          <t>Instrumentation</t>
        </is>
      </c>
      <c r="E2227" s="9" t="inlineStr"/>
      <c r="F2227" s="9" t="inlineStr">
        <is>
          <t>PCM: power control module</t>
        </is>
      </c>
      <c r="G2227" s="9" t="inlineStr">
        <is>
          <t>RICE</t>
        </is>
      </c>
      <c r="H2227" s="9" t="inlineStr">
        <is>
          <t>RICE engine hall (8 engines)</t>
        </is>
      </c>
      <c r="I2227" s="9" t="inlineStr">
        <is>
          <t>Instrumentation</t>
        </is>
      </c>
      <c r="J2227" s="9" t="inlineStr">
        <is>
          <t>Instrumentation PLTC / TC-ER 300 V, #18 twisted shielded pairs, overall shield</t>
        </is>
      </c>
      <c r="K2227" s="9" t="inlineStr">
        <is>
          <t>PLTC|12 pr|18</t>
        </is>
      </c>
      <c r="L2227" s="9" t="inlineStr">
        <is>
          <t>12 pr</t>
        </is>
      </c>
      <c r="M2227" s="9" t="inlineStr">
        <is>
          <t>18</t>
        </is>
      </c>
      <c r="N2227" s="9" t="n">
        <v>1</v>
      </c>
      <c r="O2227" s="9" t="n">
        <v>1</v>
      </c>
      <c r="P2227" s="9" t="n"/>
      <c r="Q2227" s="9" t="n"/>
      <c r="R2227" s="9" t="n"/>
      <c r="S2227" s="9" t="inlineStr">
        <is>
          <t>Duct bank</t>
        </is>
      </c>
      <c r="T2227" s="10" t="n">
        <v>367</v>
      </c>
      <c r="U2227" s="10" t="n">
        <v>95</v>
      </c>
      <c r="V2227" s="10">
        <f>ROUNDUP((T2227+U2227+2*'Read Me'!$B$13)*(1+'Read Me'!$B$12),-1)</f>
        <v/>
      </c>
      <c r="W2227" s="10">
        <f>V2227*N2227*O2227</f>
        <v/>
      </c>
      <c r="X2227" s="9">
        <f>IF(LEFT(I2227,2)="MV",2*N2227*IF(L2227="1/C",O2227,1),0)</f>
        <v/>
      </c>
      <c r="Y2227" s="9">
        <f>IF(OR(LEFT(K2227,4)="LVAX",LEFT(K2227,6)="MV15AX",LEFT(K2227,4)="CTAX",LEFT(K2227,2)="W|"),2*N2227*O2227,0)</f>
        <v/>
      </c>
      <c r="Z2227" s="9" t="inlineStr"/>
    </row>
    <row r="2228">
      <c r="A2228" s="9" t="inlineStr">
        <is>
          <t>I-I-0136</t>
        </is>
      </c>
      <c r="B2228" s="9" t="inlineStr">
        <is>
          <t>I</t>
        </is>
      </c>
      <c r="C2228" s="9" t="inlineStr">
        <is>
          <t>Modular / portable power</t>
        </is>
      </c>
      <c r="D2228" s="9" t="inlineStr">
        <is>
          <t>Instrumentation</t>
        </is>
      </c>
      <c r="E2228" s="9" t="inlineStr"/>
      <c r="F2228" s="9" t="inlineStr">
        <is>
          <t>PCM: power control module</t>
        </is>
      </c>
      <c r="G2228" s="9" t="inlineStr">
        <is>
          <t>RICE</t>
        </is>
      </c>
      <c r="H2228" s="9" t="inlineStr">
        <is>
          <t>RICE engine hall (8 engines)</t>
        </is>
      </c>
      <c r="I2228" s="9" t="inlineStr">
        <is>
          <t>Instrumentation</t>
        </is>
      </c>
      <c r="J2228" s="9" t="inlineStr">
        <is>
          <t>Instrumentation PLTC / TC-ER 300 V, #18 twisted shielded pairs, overall shield</t>
        </is>
      </c>
      <c r="K2228" s="9" t="inlineStr">
        <is>
          <t>PLTC|12 pr|18</t>
        </is>
      </c>
      <c r="L2228" s="9" t="inlineStr">
        <is>
          <t>12 pr</t>
        </is>
      </c>
      <c r="M2228" s="9" t="inlineStr">
        <is>
          <t>18</t>
        </is>
      </c>
      <c r="N2228" s="9" t="n">
        <v>1</v>
      </c>
      <c r="O2228" s="9" t="n">
        <v>1</v>
      </c>
      <c r="P2228" s="9" t="n"/>
      <c r="Q2228" s="9" t="n"/>
      <c r="R2228" s="9" t="n"/>
      <c r="S2228" s="9" t="inlineStr">
        <is>
          <t>Duct bank</t>
        </is>
      </c>
      <c r="T2228" s="10" t="n">
        <v>367</v>
      </c>
      <c r="U2228" s="10" t="n">
        <v>95</v>
      </c>
      <c r="V2228" s="10">
        <f>ROUNDUP((T2228+U2228+2*'Read Me'!$B$13)*(1+'Read Me'!$B$12),-1)</f>
        <v/>
      </c>
      <c r="W2228" s="10">
        <f>V2228*N2228*O2228</f>
        <v/>
      </c>
      <c r="X2228" s="9">
        <f>IF(LEFT(I2228,2)="MV",2*N2228*IF(L2228="1/C",O2228,1),0)</f>
        <v/>
      </c>
      <c r="Y2228" s="9">
        <f>IF(OR(LEFT(K2228,4)="LVAX",LEFT(K2228,6)="MV15AX",LEFT(K2228,4)="CTAX",LEFT(K2228,2)="W|"),2*N2228*O2228,0)</f>
        <v/>
      </c>
      <c r="Z2228" s="9" t="inlineStr"/>
    </row>
    <row r="2229">
      <c r="A2229" s="9" t="inlineStr">
        <is>
          <t>I-I-0137</t>
        </is>
      </c>
      <c r="B2229" s="9" t="inlineStr">
        <is>
          <t>I</t>
        </is>
      </c>
      <c r="C2229" s="9" t="inlineStr">
        <is>
          <t>Modular / portable power</t>
        </is>
      </c>
      <c r="D2229" s="9" t="inlineStr">
        <is>
          <t>Instrumentation</t>
        </is>
      </c>
      <c r="E2229" s="9" t="inlineStr"/>
      <c r="F2229" s="9" t="inlineStr">
        <is>
          <t>PCM: power control module</t>
        </is>
      </c>
      <c r="G2229" s="9" t="inlineStr">
        <is>
          <t>RICE</t>
        </is>
      </c>
      <c r="H2229" s="9" t="inlineStr">
        <is>
          <t>RICE engine hall (8 engines)</t>
        </is>
      </c>
      <c r="I2229" s="9" t="inlineStr">
        <is>
          <t>Instrumentation</t>
        </is>
      </c>
      <c r="J2229" s="9" t="inlineStr">
        <is>
          <t>Instrumentation PLTC / TC-ER 300 V, #18 twisted shielded pairs, overall shield</t>
        </is>
      </c>
      <c r="K2229" s="9" t="inlineStr">
        <is>
          <t>PLTC|12 pr|18</t>
        </is>
      </c>
      <c r="L2229" s="9" t="inlineStr">
        <is>
          <t>12 pr</t>
        </is>
      </c>
      <c r="M2229" s="9" t="inlineStr">
        <is>
          <t>18</t>
        </is>
      </c>
      <c r="N2229" s="9" t="n">
        <v>1</v>
      </c>
      <c r="O2229" s="9" t="n">
        <v>1</v>
      </c>
      <c r="P2229" s="9" t="n"/>
      <c r="Q2229" s="9" t="n"/>
      <c r="R2229" s="9" t="n"/>
      <c r="S2229" s="9" t="inlineStr">
        <is>
          <t>Duct bank</t>
        </is>
      </c>
      <c r="T2229" s="10" t="n">
        <v>367</v>
      </c>
      <c r="U2229" s="10" t="n">
        <v>95</v>
      </c>
      <c r="V2229" s="10">
        <f>ROUNDUP((T2229+U2229+2*'Read Me'!$B$13)*(1+'Read Me'!$B$12),-1)</f>
        <v/>
      </c>
      <c r="W2229" s="10">
        <f>V2229*N2229*O2229</f>
        <v/>
      </c>
      <c r="X2229" s="9">
        <f>IF(LEFT(I2229,2)="MV",2*N2229*IF(L2229="1/C",O2229,1),0)</f>
        <v/>
      </c>
      <c r="Y2229" s="9">
        <f>IF(OR(LEFT(K2229,4)="LVAX",LEFT(K2229,6)="MV15AX",LEFT(K2229,4)="CTAX",LEFT(K2229,2)="W|"),2*N2229*O2229,0)</f>
        <v/>
      </c>
      <c r="Z2229" s="9" t="inlineStr"/>
    </row>
    <row r="2230">
      <c r="A2230" s="9" t="inlineStr">
        <is>
          <t>I-I-0138</t>
        </is>
      </c>
      <c r="B2230" s="9" t="inlineStr">
        <is>
          <t>I</t>
        </is>
      </c>
      <c r="C2230" s="9" t="inlineStr">
        <is>
          <t>Modular / portable power</t>
        </is>
      </c>
      <c r="D2230" s="9" t="inlineStr">
        <is>
          <t>Thermocouples</t>
        </is>
      </c>
      <c r="E2230" s="9" t="inlineStr"/>
      <c r="F2230" s="9" t="inlineStr">
        <is>
          <t>PCM: power control module</t>
        </is>
      </c>
      <c r="G2230" s="9" t="inlineStr">
        <is>
          <t>RICE</t>
        </is>
      </c>
      <c r="H2230" s="9" t="inlineStr">
        <is>
          <t>RICE engine hall (8 engines)</t>
        </is>
      </c>
      <c r="I2230" s="9" t="inlineStr">
        <is>
          <t>Instrumentation</t>
        </is>
      </c>
      <c r="J2230" s="9" t="inlineStr">
        <is>
          <t>Thermocouple extension KX, #16 shielded pairs, PLTC</t>
        </is>
      </c>
      <c r="K2230" s="9" t="inlineStr">
        <is>
          <t>TCX|12 pr|16</t>
        </is>
      </c>
      <c r="L2230" s="9" t="inlineStr">
        <is>
          <t>12 pr</t>
        </is>
      </c>
      <c r="M2230" s="9" t="inlineStr">
        <is>
          <t>16</t>
        </is>
      </c>
      <c r="N2230" s="9" t="n">
        <v>1</v>
      </c>
      <c r="O2230" s="9" t="n">
        <v>1</v>
      </c>
      <c r="P2230" s="9" t="n"/>
      <c r="Q2230" s="9" t="n"/>
      <c r="R2230" s="9" t="n"/>
      <c r="S2230" s="9" t="inlineStr">
        <is>
          <t>Duct bank</t>
        </is>
      </c>
      <c r="T2230" s="10" t="n">
        <v>367</v>
      </c>
      <c r="U2230" s="10" t="n">
        <v>95</v>
      </c>
      <c r="V2230" s="10">
        <f>ROUNDUP((T2230+U2230+2*'Read Me'!$B$13)*(1+'Read Me'!$B$12),-1)</f>
        <v/>
      </c>
      <c r="W2230" s="10">
        <f>V2230*N2230*O2230</f>
        <v/>
      </c>
      <c r="X2230" s="9">
        <f>IF(LEFT(I2230,2)="MV",2*N2230*IF(L2230="1/C",O2230,1),0)</f>
        <v/>
      </c>
      <c r="Y2230" s="9">
        <f>IF(OR(LEFT(K2230,4)="LVAX",LEFT(K2230,6)="MV15AX",LEFT(K2230,4)="CTAX",LEFT(K2230,2)="W|"),2*N2230*O2230,0)</f>
        <v/>
      </c>
      <c r="Z2230" s="9" t="inlineStr"/>
    </row>
    <row r="2231">
      <c r="A2231" s="9" t="inlineStr">
        <is>
          <t>I-I-0139</t>
        </is>
      </c>
      <c r="B2231" s="9" t="inlineStr">
        <is>
          <t>I</t>
        </is>
      </c>
      <c r="C2231" s="9" t="inlineStr">
        <is>
          <t>Modular / portable power</t>
        </is>
      </c>
      <c r="D2231" s="9" t="inlineStr">
        <is>
          <t>Thermocouples</t>
        </is>
      </c>
      <c r="E2231" s="9" t="inlineStr"/>
      <c r="F2231" s="9" t="inlineStr">
        <is>
          <t>PCM: power control module</t>
        </is>
      </c>
      <c r="G2231" s="9" t="inlineStr">
        <is>
          <t>RICE</t>
        </is>
      </c>
      <c r="H2231" s="9" t="inlineStr">
        <is>
          <t>RICE engine hall (8 engines)</t>
        </is>
      </c>
      <c r="I2231" s="9" t="inlineStr">
        <is>
          <t>Instrumentation</t>
        </is>
      </c>
      <c r="J2231" s="9" t="inlineStr">
        <is>
          <t>Thermocouple extension KX, #16 shielded pairs, PLTC</t>
        </is>
      </c>
      <c r="K2231" s="9" t="inlineStr">
        <is>
          <t>TCX|12 pr|16</t>
        </is>
      </c>
      <c r="L2231" s="9" t="inlineStr">
        <is>
          <t>12 pr</t>
        </is>
      </c>
      <c r="M2231" s="9" t="inlineStr">
        <is>
          <t>16</t>
        </is>
      </c>
      <c r="N2231" s="9" t="n">
        <v>1</v>
      </c>
      <c r="O2231" s="9" t="n">
        <v>1</v>
      </c>
      <c r="P2231" s="9" t="n"/>
      <c r="Q2231" s="9" t="n"/>
      <c r="R2231" s="9" t="n"/>
      <c r="S2231" s="9" t="inlineStr">
        <is>
          <t>Duct bank</t>
        </is>
      </c>
      <c r="T2231" s="10" t="n">
        <v>367</v>
      </c>
      <c r="U2231" s="10" t="n">
        <v>95</v>
      </c>
      <c r="V2231" s="10">
        <f>ROUNDUP((T2231+U2231+2*'Read Me'!$B$13)*(1+'Read Me'!$B$12),-1)</f>
        <v/>
      </c>
      <c r="W2231" s="10">
        <f>V2231*N2231*O2231</f>
        <v/>
      </c>
      <c r="X2231" s="9">
        <f>IF(LEFT(I2231,2)="MV",2*N2231*IF(L2231="1/C",O2231,1),0)</f>
        <v/>
      </c>
      <c r="Y2231" s="9">
        <f>IF(OR(LEFT(K2231,4)="LVAX",LEFT(K2231,6)="MV15AX",LEFT(K2231,4)="CTAX",LEFT(K2231,2)="W|"),2*N2231*O2231,0)</f>
        <v/>
      </c>
      <c r="Z2231" s="9" t="inlineStr"/>
    </row>
    <row r="2232">
      <c r="A2232" s="9" t="inlineStr">
        <is>
          <t>I-I-0140</t>
        </is>
      </c>
      <c r="B2232" s="9" t="inlineStr">
        <is>
          <t>I</t>
        </is>
      </c>
      <c r="C2232" s="9" t="inlineStr">
        <is>
          <t>Modular / portable power</t>
        </is>
      </c>
      <c r="D2232" s="9" t="inlineStr">
        <is>
          <t>Thermocouples</t>
        </is>
      </c>
      <c r="E2232" s="9" t="inlineStr"/>
      <c r="F2232" s="9" t="inlineStr">
        <is>
          <t>PCM: power control module</t>
        </is>
      </c>
      <c r="G2232" s="9" t="inlineStr">
        <is>
          <t>RICE</t>
        </is>
      </c>
      <c r="H2232" s="9" t="inlineStr">
        <is>
          <t>RICE engine hall (8 engines)</t>
        </is>
      </c>
      <c r="I2232" s="9" t="inlineStr">
        <is>
          <t>Instrumentation</t>
        </is>
      </c>
      <c r="J2232" s="9" t="inlineStr">
        <is>
          <t>Thermocouple extension KX, #16 shielded pairs, PLTC</t>
        </is>
      </c>
      <c r="K2232" s="9" t="inlineStr">
        <is>
          <t>TCX|12 pr|16</t>
        </is>
      </c>
      <c r="L2232" s="9" t="inlineStr">
        <is>
          <t>12 pr</t>
        </is>
      </c>
      <c r="M2232" s="9" t="inlineStr">
        <is>
          <t>16</t>
        </is>
      </c>
      <c r="N2232" s="9" t="n">
        <v>1</v>
      </c>
      <c r="O2232" s="9" t="n">
        <v>1</v>
      </c>
      <c r="P2232" s="9" t="n"/>
      <c r="Q2232" s="9" t="n"/>
      <c r="R2232" s="9" t="n"/>
      <c r="S2232" s="9" t="inlineStr">
        <is>
          <t>Duct bank</t>
        </is>
      </c>
      <c r="T2232" s="10" t="n">
        <v>367</v>
      </c>
      <c r="U2232" s="10" t="n">
        <v>95</v>
      </c>
      <c r="V2232" s="10">
        <f>ROUNDUP((T2232+U2232+2*'Read Me'!$B$13)*(1+'Read Me'!$B$12),-1)</f>
        <v/>
      </c>
      <c r="W2232" s="10">
        <f>V2232*N2232*O2232</f>
        <v/>
      </c>
      <c r="X2232" s="9">
        <f>IF(LEFT(I2232,2)="MV",2*N2232*IF(L2232="1/C",O2232,1),0)</f>
        <v/>
      </c>
      <c r="Y2232" s="9">
        <f>IF(OR(LEFT(K2232,4)="LVAX",LEFT(K2232,6)="MV15AX",LEFT(K2232,4)="CTAX",LEFT(K2232,2)="W|"),2*N2232*O2232,0)</f>
        <v/>
      </c>
      <c r="Z2232" s="9" t="inlineStr"/>
    </row>
    <row r="2233">
      <c r="A2233" s="9" t="inlineStr">
        <is>
          <t>I-I-0141</t>
        </is>
      </c>
      <c r="B2233" s="9" t="inlineStr">
        <is>
          <t>I</t>
        </is>
      </c>
      <c r="C2233" s="9" t="inlineStr">
        <is>
          <t>Modular / portable power</t>
        </is>
      </c>
      <c r="D2233" s="9" t="inlineStr">
        <is>
          <t>Thermocouples</t>
        </is>
      </c>
      <c r="E2233" s="9" t="inlineStr"/>
      <c r="F2233" s="9" t="inlineStr">
        <is>
          <t>PCM: power control module</t>
        </is>
      </c>
      <c r="G2233" s="9" t="inlineStr">
        <is>
          <t>RICE</t>
        </is>
      </c>
      <c r="H2233" s="9" t="inlineStr">
        <is>
          <t>RICE engine hall (8 engines)</t>
        </is>
      </c>
      <c r="I2233" s="9" t="inlineStr">
        <is>
          <t>Instrumentation</t>
        </is>
      </c>
      <c r="J2233" s="9" t="inlineStr">
        <is>
          <t>Thermocouple extension KX, #16 shielded pairs, PLTC</t>
        </is>
      </c>
      <c r="K2233" s="9" t="inlineStr">
        <is>
          <t>TCX|12 pr|16</t>
        </is>
      </c>
      <c r="L2233" s="9" t="inlineStr">
        <is>
          <t>12 pr</t>
        </is>
      </c>
      <c r="M2233" s="9" t="inlineStr">
        <is>
          <t>16</t>
        </is>
      </c>
      <c r="N2233" s="9" t="n">
        <v>1</v>
      </c>
      <c r="O2233" s="9" t="n">
        <v>1</v>
      </c>
      <c r="P2233" s="9" t="n"/>
      <c r="Q2233" s="9" t="n"/>
      <c r="R2233" s="9" t="n"/>
      <c r="S2233" s="9" t="inlineStr">
        <is>
          <t>Duct bank</t>
        </is>
      </c>
      <c r="T2233" s="10" t="n">
        <v>367</v>
      </c>
      <c r="U2233" s="10" t="n">
        <v>95</v>
      </c>
      <c r="V2233" s="10">
        <f>ROUNDUP((T2233+U2233+2*'Read Me'!$B$13)*(1+'Read Me'!$B$12),-1)</f>
        <v/>
      </c>
      <c r="W2233" s="10">
        <f>V2233*N2233*O2233</f>
        <v/>
      </c>
      <c r="X2233" s="9">
        <f>IF(LEFT(I2233,2)="MV",2*N2233*IF(L2233="1/C",O2233,1),0)</f>
        <v/>
      </c>
      <c r="Y2233" s="9">
        <f>IF(OR(LEFT(K2233,4)="LVAX",LEFT(K2233,6)="MV15AX",LEFT(K2233,4)="CTAX",LEFT(K2233,2)="W|"),2*N2233*O2233,0)</f>
        <v/>
      </c>
      <c r="Z2233" s="9" t="inlineStr"/>
    </row>
    <row r="2234">
      <c r="A2234" s="9" t="inlineStr">
        <is>
          <t>I-I-0142</t>
        </is>
      </c>
      <c r="B2234" s="9" t="inlineStr">
        <is>
          <t>I</t>
        </is>
      </c>
      <c r="C2234" s="9" t="inlineStr">
        <is>
          <t>Modular / portable power</t>
        </is>
      </c>
      <c r="D2234" s="9" t="inlineStr">
        <is>
          <t>Thermocouples</t>
        </is>
      </c>
      <c r="E2234" s="9" t="inlineStr"/>
      <c r="F2234" s="9" t="inlineStr">
        <is>
          <t>PCM: power control module</t>
        </is>
      </c>
      <c r="G2234" s="9" t="inlineStr">
        <is>
          <t>RICE</t>
        </is>
      </c>
      <c r="H2234" s="9" t="inlineStr">
        <is>
          <t>RICE engine hall (8 engines)</t>
        </is>
      </c>
      <c r="I2234" s="9" t="inlineStr">
        <is>
          <t>Instrumentation</t>
        </is>
      </c>
      <c r="J2234" s="9" t="inlineStr">
        <is>
          <t>Thermocouple extension KX, #16 shielded pairs, PLTC</t>
        </is>
      </c>
      <c r="K2234" s="9" t="inlineStr">
        <is>
          <t>TCX|12 pr|16</t>
        </is>
      </c>
      <c r="L2234" s="9" t="inlineStr">
        <is>
          <t>12 pr</t>
        </is>
      </c>
      <c r="M2234" s="9" t="inlineStr">
        <is>
          <t>16</t>
        </is>
      </c>
      <c r="N2234" s="9" t="n">
        <v>1</v>
      </c>
      <c r="O2234" s="9" t="n">
        <v>1</v>
      </c>
      <c r="P2234" s="9" t="n"/>
      <c r="Q2234" s="9" t="n"/>
      <c r="R2234" s="9" t="n"/>
      <c r="S2234" s="9" t="inlineStr">
        <is>
          <t>Duct bank</t>
        </is>
      </c>
      <c r="T2234" s="10" t="n">
        <v>367</v>
      </c>
      <c r="U2234" s="10" t="n">
        <v>95</v>
      </c>
      <c r="V2234" s="10">
        <f>ROUNDUP((T2234+U2234+2*'Read Me'!$B$13)*(1+'Read Me'!$B$12),-1)</f>
        <v/>
      </c>
      <c r="W2234" s="10">
        <f>V2234*N2234*O2234</f>
        <v/>
      </c>
      <c r="X2234" s="9">
        <f>IF(LEFT(I2234,2)="MV",2*N2234*IF(L2234="1/C",O2234,1),0)</f>
        <v/>
      </c>
      <c r="Y2234" s="9">
        <f>IF(OR(LEFT(K2234,4)="LVAX",LEFT(K2234,6)="MV15AX",LEFT(K2234,4)="CTAX",LEFT(K2234,2)="W|"),2*N2234*O2234,0)</f>
        <v/>
      </c>
      <c r="Z2234" s="9" t="inlineStr"/>
    </row>
    <row r="2235">
      <c r="A2235" s="9" t="inlineStr">
        <is>
          <t>I-I-0143</t>
        </is>
      </c>
      <c r="B2235" s="9" t="inlineStr">
        <is>
          <t>I</t>
        </is>
      </c>
      <c r="C2235" s="9" t="inlineStr">
        <is>
          <t>Modular / portable power</t>
        </is>
      </c>
      <c r="D2235" s="9" t="inlineStr">
        <is>
          <t>Thermocouples</t>
        </is>
      </c>
      <c r="E2235" s="9" t="inlineStr"/>
      <c r="F2235" s="9" t="inlineStr">
        <is>
          <t>PCM: power control module</t>
        </is>
      </c>
      <c r="G2235" s="9" t="inlineStr">
        <is>
          <t>RICE</t>
        </is>
      </c>
      <c r="H2235" s="9" t="inlineStr">
        <is>
          <t>RICE engine hall (8 engines)</t>
        </is>
      </c>
      <c r="I2235" s="9" t="inlineStr">
        <is>
          <t>Instrumentation</t>
        </is>
      </c>
      <c r="J2235" s="9" t="inlineStr">
        <is>
          <t>Thermocouple extension KX, #16 shielded pairs, PLTC</t>
        </is>
      </c>
      <c r="K2235" s="9" t="inlineStr">
        <is>
          <t>TCX|12 pr|16</t>
        </is>
      </c>
      <c r="L2235" s="9" t="inlineStr">
        <is>
          <t>12 pr</t>
        </is>
      </c>
      <c r="M2235" s="9" t="inlineStr">
        <is>
          <t>16</t>
        </is>
      </c>
      <c r="N2235" s="9" t="n">
        <v>1</v>
      </c>
      <c r="O2235" s="9" t="n">
        <v>1</v>
      </c>
      <c r="P2235" s="9" t="n"/>
      <c r="Q2235" s="9" t="n"/>
      <c r="R2235" s="9" t="n"/>
      <c r="S2235" s="9" t="inlineStr">
        <is>
          <t>Duct bank</t>
        </is>
      </c>
      <c r="T2235" s="10" t="n">
        <v>367</v>
      </c>
      <c r="U2235" s="10" t="n">
        <v>95</v>
      </c>
      <c r="V2235" s="10">
        <f>ROUNDUP((T2235+U2235+2*'Read Me'!$B$13)*(1+'Read Me'!$B$12),-1)</f>
        <v/>
      </c>
      <c r="W2235" s="10">
        <f>V2235*N2235*O2235</f>
        <v/>
      </c>
      <c r="X2235" s="9">
        <f>IF(LEFT(I2235,2)="MV",2*N2235*IF(L2235="1/C",O2235,1),0)</f>
        <v/>
      </c>
      <c r="Y2235" s="9">
        <f>IF(OR(LEFT(K2235,4)="LVAX",LEFT(K2235,6)="MV15AX",LEFT(K2235,4)="CTAX",LEFT(K2235,2)="W|"),2*N2235*O2235,0)</f>
        <v/>
      </c>
      <c r="Z2235" s="9" t="inlineStr"/>
    </row>
    <row r="2236">
      <c r="A2236" s="9" t="inlineStr">
        <is>
          <t>I-I-0144</t>
        </is>
      </c>
      <c r="B2236" s="9" t="inlineStr">
        <is>
          <t>I</t>
        </is>
      </c>
      <c r="C2236" s="9" t="inlineStr">
        <is>
          <t>Modular / portable power</t>
        </is>
      </c>
      <c r="D2236" s="9" t="inlineStr">
        <is>
          <t>Instrumentation</t>
        </is>
      </c>
      <c r="E2236" s="9" t="inlineStr"/>
      <c r="F2236" s="9" t="inlineStr">
        <is>
          <t>PCM: power control module</t>
        </is>
      </c>
      <c r="G2236" s="9" t="inlineStr"/>
      <c r="H2236" s="9" t="inlineStr">
        <is>
          <t>Reagent storage</t>
        </is>
      </c>
      <c r="I2236" s="9" t="inlineStr">
        <is>
          <t>Instrumentation</t>
        </is>
      </c>
      <c r="J2236" s="9" t="inlineStr">
        <is>
          <t>Instrumentation PLTC / TC-ER 300 V, #18 twisted shielded pairs, overall shield</t>
        </is>
      </c>
      <c r="K2236" s="9" t="inlineStr">
        <is>
          <t>PLTC|4 pr|18</t>
        </is>
      </c>
      <c r="L2236" s="9" t="inlineStr">
        <is>
          <t>4 pr</t>
        </is>
      </c>
      <c r="M2236" s="9" t="inlineStr">
        <is>
          <t>18</t>
        </is>
      </c>
      <c r="N2236" s="9" t="n">
        <v>1</v>
      </c>
      <c r="O2236" s="9" t="n">
        <v>1</v>
      </c>
      <c r="P2236" s="9" t="n"/>
      <c r="Q2236" s="9" t="n"/>
      <c r="R2236" s="9" t="n"/>
      <c r="S2236" s="9" t="inlineStr">
        <is>
          <t>Tray</t>
        </is>
      </c>
      <c r="T2236" s="10" t="n">
        <v>32</v>
      </c>
      <c r="U2236" s="10" t="n">
        <v>32</v>
      </c>
      <c r="V2236" s="10">
        <f>ROUNDUP((T2236+U2236+2*'Read Me'!$B$13)*(1+'Read Me'!$B$12),-1)</f>
        <v/>
      </c>
      <c r="W2236" s="10">
        <f>V2236*N2236*O2236</f>
        <v/>
      </c>
      <c r="X2236" s="9">
        <f>IF(LEFT(I2236,2)="MV",2*N2236*IF(L2236="1/C",O2236,1),0)</f>
        <v/>
      </c>
      <c r="Y2236" s="9">
        <f>IF(OR(LEFT(K2236,4)="LVAX",LEFT(K2236,6)="MV15AX",LEFT(K2236,4)="CTAX",LEFT(K2236,2)="W|"),2*N2236*O2236,0)</f>
        <v/>
      </c>
      <c r="Z2236" s="9" t="inlineStr"/>
    </row>
    <row r="2237">
      <c r="A2237" s="9" t="inlineStr">
        <is>
          <t>I-I-0145</t>
        </is>
      </c>
      <c r="B2237" s="9" t="inlineStr">
        <is>
          <t>I</t>
        </is>
      </c>
      <c r="C2237" s="9" t="inlineStr">
        <is>
          <t>Modular / portable power</t>
        </is>
      </c>
      <c r="D2237" s="9" t="inlineStr">
        <is>
          <t>Instrumentation</t>
        </is>
      </c>
      <c r="E2237" s="9" t="inlineStr"/>
      <c r="F2237" s="9" t="inlineStr">
        <is>
          <t>PCM: power control module</t>
        </is>
      </c>
      <c r="G2237" s="9" t="inlineStr">
        <is>
          <t>SC-1</t>
        </is>
      </c>
      <c r="H2237" s="9" t="inlineStr">
        <is>
          <t>SC-1: aeroderivative simple-cycle unit (LM6000 class)</t>
        </is>
      </c>
      <c r="I2237" s="9" t="inlineStr">
        <is>
          <t>Instrumentation</t>
        </is>
      </c>
      <c r="J2237" s="9" t="inlineStr">
        <is>
          <t>Instrumentation PLTC / TC-ER 300 V, #18 twisted shielded pairs, overall shield</t>
        </is>
      </c>
      <c r="K2237" s="9" t="inlineStr">
        <is>
          <t>PLTC|4 pr|18</t>
        </is>
      </c>
      <c r="L2237" s="9" t="inlineStr">
        <is>
          <t>4 pr</t>
        </is>
      </c>
      <c r="M2237" s="9" t="inlineStr">
        <is>
          <t>18</t>
        </is>
      </c>
      <c r="N2237" s="9" t="n">
        <v>1</v>
      </c>
      <c r="O2237" s="9" t="n">
        <v>1</v>
      </c>
      <c r="P2237" s="9" t="n"/>
      <c r="Q2237" s="9" t="n"/>
      <c r="R2237" s="9" t="n"/>
      <c r="S2237" s="9" t="inlineStr">
        <is>
          <t>Duct bank</t>
        </is>
      </c>
      <c r="T2237" s="10" t="n">
        <v>40</v>
      </c>
      <c r="U2237" s="10" t="n">
        <v>52</v>
      </c>
      <c r="V2237" s="10">
        <f>ROUNDUP((T2237+U2237+2*'Read Me'!$B$13)*(1+'Read Me'!$B$12),-1)</f>
        <v/>
      </c>
      <c r="W2237" s="10">
        <f>V2237*N2237*O2237</f>
        <v/>
      </c>
      <c r="X2237" s="9">
        <f>IF(LEFT(I2237,2)="MV",2*N2237*IF(L2237="1/C",O2237,1),0)</f>
        <v/>
      </c>
      <c r="Y2237" s="9">
        <f>IF(OR(LEFT(K2237,4)="LVAX",LEFT(K2237,6)="MV15AX",LEFT(K2237,4)="CTAX",LEFT(K2237,2)="W|"),2*N2237*O2237,0)</f>
        <v/>
      </c>
      <c r="Z2237" s="9" t="inlineStr"/>
    </row>
    <row r="2238">
      <c r="A2238" s="9" t="inlineStr">
        <is>
          <t>I-I-0146</t>
        </is>
      </c>
      <c r="B2238" s="9" t="inlineStr">
        <is>
          <t>I</t>
        </is>
      </c>
      <c r="C2238" s="9" t="inlineStr">
        <is>
          <t>Modular / portable power</t>
        </is>
      </c>
      <c r="D2238" s="9" t="inlineStr">
        <is>
          <t>Instrumentation</t>
        </is>
      </c>
      <c r="E2238" s="9" t="inlineStr"/>
      <c r="F2238" s="9" t="inlineStr">
        <is>
          <t>PCM: power control module</t>
        </is>
      </c>
      <c r="G2238" s="9" t="inlineStr">
        <is>
          <t>SC-1</t>
        </is>
      </c>
      <c r="H2238" s="9" t="inlineStr">
        <is>
          <t>SC-1: aeroderivative simple-cycle unit (LM6000 class)</t>
        </is>
      </c>
      <c r="I2238" s="9" t="inlineStr">
        <is>
          <t>Instrumentation</t>
        </is>
      </c>
      <c r="J2238" s="9" t="inlineStr">
        <is>
          <t>Instrumentation PLTC / TC-ER 300 V, #18 twisted shielded pairs, overall shield</t>
        </is>
      </c>
      <c r="K2238" s="9" t="inlineStr">
        <is>
          <t>PLTC|4 pr|18</t>
        </is>
      </c>
      <c r="L2238" s="9" t="inlineStr">
        <is>
          <t>4 pr</t>
        </is>
      </c>
      <c r="M2238" s="9" t="inlineStr">
        <is>
          <t>18</t>
        </is>
      </c>
      <c r="N2238" s="9" t="n">
        <v>1</v>
      </c>
      <c r="O2238" s="9" t="n">
        <v>1</v>
      </c>
      <c r="P2238" s="9" t="n"/>
      <c r="Q2238" s="9" t="n"/>
      <c r="R2238" s="9" t="n"/>
      <c r="S2238" s="9" t="inlineStr">
        <is>
          <t>Duct bank</t>
        </is>
      </c>
      <c r="T2238" s="10" t="n">
        <v>40</v>
      </c>
      <c r="U2238" s="10" t="n">
        <v>52</v>
      </c>
      <c r="V2238" s="10">
        <f>ROUNDUP((T2238+U2238+2*'Read Me'!$B$13)*(1+'Read Me'!$B$12),-1)</f>
        <v/>
      </c>
      <c r="W2238" s="10">
        <f>V2238*N2238*O2238</f>
        <v/>
      </c>
      <c r="X2238" s="9">
        <f>IF(LEFT(I2238,2)="MV",2*N2238*IF(L2238="1/C",O2238,1),0)</f>
        <v/>
      </c>
      <c r="Y2238" s="9">
        <f>IF(OR(LEFT(K2238,4)="LVAX",LEFT(K2238,6)="MV15AX",LEFT(K2238,4)="CTAX",LEFT(K2238,2)="W|"),2*N2238*O2238,0)</f>
        <v/>
      </c>
      <c r="Z2238" s="9" t="inlineStr"/>
    </row>
    <row r="2239">
      <c r="A2239" s="9" t="inlineStr">
        <is>
          <t>I-I-0147</t>
        </is>
      </c>
      <c r="B2239" s="9" t="inlineStr">
        <is>
          <t>I</t>
        </is>
      </c>
      <c r="C2239" s="9" t="inlineStr">
        <is>
          <t>Modular / portable power</t>
        </is>
      </c>
      <c r="D2239" s="9" t="inlineStr">
        <is>
          <t>Instrumentation</t>
        </is>
      </c>
      <c r="E2239" s="9" t="inlineStr"/>
      <c r="F2239" s="9" t="inlineStr">
        <is>
          <t>PCM: power control module</t>
        </is>
      </c>
      <c r="G2239" s="9" t="inlineStr">
        <is>
          <t>SC-1</t>
        </is>
      </c>
      <c r="H2239" s="9" t="inlineStr">
        <is>
          <t>SC-1: aeroderivative simple-cycle unit (LM6000 class)</t>
        </is>
      </c>
      <c r="I2239" s="9" t="inlineStr">
        <is>
          <t>Instrumentation</t>
        </is>
      </c>
      <c r="J2239" s="9" t="inlineStr">
        <is>
          <t>Instrumentation PLTC / TC-ER 300 V, #18 twisted shielded pairs, overall shield</t>
        </is>
      </c>
      <c r="K2239" s="9" t="inlineStr">
        <is>
          <t>PLTC|12 pr|18</t>
        </is>
      </c>
      <c r="L2239" s="9" t="inlineStr">
        <is>
          <t>12 pr</t>
        </is>
      </c>
      <c r="M2239" s="9" t="inlineStr">
        <is>
          <t>18</t>
        </is>
      </c>
      <c r="N2239" s="9" t="n">
        <v>1</v>
      </c>
      <c r="O2239" s="9" t="n">
        <v>1</v>
      </c>
      <c r="P2239" s="9" t="n"/>
      <c r="Q2239" s="9" t="n"/>
      <c r="R2239" s="9" t="n"/>
      <c r="S2239" s="9" t="inlineStr">
        <is>
          <t>Duct bank</t>
        </is>
      </c>
      <c r="T2239" s="10" t="n">
        <v>40</v>
      </c>
      <c r="U2239" s="10" t="n">
        <v>52</v>
      </c>
      <c r="V2239" s="10">
        <f>ROUNDUP((T2239+U2239+2*'Read Me'!$B$13)*(1+'Read Me'!$B$12),-1)</f>
        <v/>
      </c>
      <c r="W2239" s="10">
        <f>V2239*N2239*O2239</f>
        <v/>
      </c>
      <c r="X2239" s="9">
        <f>IF(LEFT(I2239,2)="MV",2*N2239*IF(L2239="1/C",O2239,1),0)</f>
        <v/>
      </c>
      <c r="Y2239" s="9">
        <f>IF(OR(LEFT(K2239,4)="LVAX",LEFT(K2239,6)="MV15AX",LEFT(K2239,4)="CTAX",LEFT(K2239,2)="W|"),2*N2239*O2239,0)</f>
        <v/>
      </c>
      <c r="Z2239" s="9" t="inlineStr"/>
    </row>
    <row r="2240">
      <c r="A2240" s="9" t="inlineStr">
        <is>
          <t>I-I-0148</t>
        </is>
      </c>
      <c r="B2240" s="9" t="inlineStr">
        <is>
          <t>I</t>
        </is>
      </c>
      <c r="C2240" s="9" t="inlineStr">
        <is>
          <t>Modular / portable power</t>
        </is>
      </c>
      <c r="D2240" s="9" t="inlineStr">
        <is>
          <t>Instrumentation</t>
        </is>
      </c>
      <c r="E2240" s="9" t="inlineStr"/>
      <c r="F2240" s="9" t="inlineStr">
        <is>
          <t>PCM: power control module</t>
        </is>
      </c>
      <c r="G2240" s="9" t="inlineStr">
        <is>
          <t>SC-1</t>
        </is>
      </c>
      <c r="H2240" s="9" t="inlineStr">
        <is>
          <t>SC-1: aeroderivative simple-cycle unit (LM6000 class)</t>
        </is>
      </c>
      <c r="I2240" s="9" t="inlineStr">
        <is>
          <t>Instrumentation</t>
        </is>
      </c>
      <c r="J2240" s="9" t="inlineStr">
        <is>
          <t>Instrumentation PLTC / TC-ER 300 V, #18 twisted shielded pairs, overall shield</t>
        </is>
      </c>
      <c r="K2240" s="9" t="inlineStr">
        <is>
          <t>PLTC|12 pr|18</t>
        </is>
      </c>
      <c r="L2240" s="9" t="inlineStr">
        <is>
          <t>12 pr</t>
        </is>
      </c>
      <c r="M2240" s="9" t="inlineStr">
        <is>
          <t>18</t>
        </is>
      </c>
      <c r="N2240" s="9" t="n">
        <v>1</v>
      </c>
      <c r="O2240" s="9" t="n">
        <v>1</v>
      </c>
      <c r="P2240" s="9" t="n"/>
      <c r="Q2240" s="9" t="n"/>
      <c r="R2240" s="9" t="n"/>
      <c r="S2240" s="9" t="inlineStr">
        <is>
          <t>Duct bank</t>
        </is>
      </c>
      <c r="T2240" s="10" t="n">
        <v>40</v>
      </c>
      <c r="U2240" s="10" t="n">
        <v>52</v>
      </c>
      <c r="V2240" s="10">
        <f>ROUNDUP((T2240+U2240+2*'Read Me'!$B$13)*(1+'Read Me'!$B$12),-1)</f>
        <v/>
      </c>
      <c r="W2240" s="10">
        <f>V2240*N2240*O2240</f>
        <v/>
      </c>
      <c r="X2240" s="9">
        <f>IF(LEFT(I2240,2)="MV",2*N2240*IF(L2240="1/C",O2240,1),0)</f>
        <v/>
      </c>
      <c r="Y2240" s="9">
        <f>IF(OR(LEFT(K2240,4)="LVAX",LEFT(K2240,6)="MV15AX",LEFT(K2240,4)="CTAX",LEFT(K2240,2)="W|"),2*N2240*O2240,0)</f>
        <v/>
      </c>
      <c r="Z2240" s="9" t="inlineStr"/>
    </row>
    <row r="2241">
      <c r="A2241" s="9" t="inlineStr">
        <is>
          <t>I-I-0149</t>
        </is>
      </c>
      <c r="B2241" s="9" t="inlineStr">
        <is>
          <t>I</t>
        </is>
      </c>
      <c r="C2241" s="9" t="inlineStr">
        <is>
          <t>Modular / portable power</t>
        </is>
      </c>
      <c r="D2241" s="9" t="inlineStr">
        <is>
          <t>Instrumentation</t>
        </is>
      </c>
      <c r="E2241" s="9" t="inlineStr"/>
      <c r="F2241" s="9" t="inlineStr">
        <is>
          <t>PCM: power control module</t>
        </is>
      </c>
      <c r="G2241" s="9" t="inlineStr">
        <is>
          <t>SC-1</t>
        </is>
      </c>
      <c r="H2241" s="9" t="inlineStr">
        <is>
          <t>SC-1: aeroderivative simple-cycle unit (LM6000 class)</t>
        </is>
      </c>
      <c r="I2241" s="9" t="inlineStr">
        <is>
          <t>Instrumentation</t>
        </is>
      </c>
      <c r="J2241" s="9" t="inlineStr">
        <is>
          <t>Instrumentation PLTC / TC-ER 300 V, #18 twisted shielded pairs, overall shield</t>
        </is>
      </c>
      <c r="K2241" s="9" t="inlineStr">
        <is>
          <t>PLTC|12 pr|18</t>
        </is>
      </c>
      <c r="L2241" s="9" t="inlineStr">
        <is>
          <t>12 pr</t>
        </is>
      </c>
      <c r="M2241" s="9" t="inlineStr">
        <is>
          <t>18</t>
        </is>
      </c>
      <c r="N2241" s="9" t="n">
        <v>1</v>
      </c>
      <c r="O2241" s="9" t="n">
        <v>1</v>
      </c>
      <c r="P2241" s="9" t="n"/>
      <c r="Q2241" s="9" t="n"/>
      <c r="R2241" s="9" t="n"/>
      <c r="S2241" s="9" t="inlineStr">
        <is>
          <t>Duct bank</t>
        </is>
      </c>
      <c r="T2241" s="10" t="n">
        <v>40</v>
      </c>
      <c r="U2241" s="10" t="n">
        <v>52</v>
      </c>
      <c r="V2241" s="10">
        <f>ROUNDUP((T2241+U2241+2*'Read Me'!$B$13)*(1+'Read Me'!$B$12),-1)</f>
        <v/>
      </c>
      <c r="W2241" s="10">
        <f>V2241*N2241*O2241</f>
        <v/>
      </c>
      <c r="X2241" s="9">
        <f>IF(LEFT(I2241,2)="MV",2*N2241*IF(L2241="1/C",O2241,1),0)</f>
        <v/>
      </c>
      <c r="Y2241" s="9">
        <f>IF(OR(LEFT(K2241,4)="LVAX",LEFT(K2241,6)="MV15AX",LEFT(K2241,4)="CTAX",LEFT(K2241,2)="W|"),2*N2241*O2241,0)</f>
        <v/>
      </c>
      <c r="Z2241" s="9" t="inlineStr"/>
    </row>
    <row r="2242">
      <c r="A2242" s="9" t="inlineStr">
        <is>
          <t>I-I-0150</t>
        </is>
      </c>
      <c r="B2242" s="9" t="inlineStr">
        <is>
          <t>I</t>
        </is>
      </c>
      <c r="C2242" s="9" t="inlineStr">
        <is>
          <t>Modular / portable power</t>
        </is>
      </c>
      <c r="D2242" s="9" t="inlineStr">
        <is>
          <t>Instrumentation</t>
        </is>
      </c>
      <c r="E2242" s="9" t="inlineStr"/>
      <c r="F2242" s="9" t="inlineStr">
        <is>
          <t>PCM: power control module</t>
        </is>
      </c>
      <c r="G2242" s="9" t="inlineStr">
        <is>
          <t>SC-1</t>
        </is>
      </c>
      <c r="H2242" s="9" t="inlineStr">
        <is>
          <t>SC-1: aeroderivative simple-cycle unit (LM6000 class)</t>
        </is>
      </c>
      <c r="I2242" s="9" t="inlineStr">
        <is>
          <t>Instrumentation</t>
        </is>
      </c>
      <c r="J2242" s="9" t="inlineStr">
        <is>
          <t>Instrumentation PLTC / TC-ER 300 V, #18 twisted shielded pairs, overall shield</t>
        </is>
      </c>
      <c r="K2242" s="9" t="inlineStr">
        <is>
          <t>PLTC|12 pr|18</t>
        </is>
      </c>
      <c r="L2242" s="9" t="inlineStr">
        <is>
          <t>12 pr</t>
        </is>
      </c>
      <c r="M2242" s="9" t="inlineStr">
        <is>
          <t>18</t>
        </is>
      </c>
      <c r="N2242" s="9" t="n">
        <v>1</v>
      </c>
      <c r="O2242" s="9" t="n">
        <v>1</v>
      </c>
      <c r="P2242" s="9" t="n"/>
      <c r="Q2242" s="9" t="n"/>
      <c r="R2242" s="9" t="n"/>
      <c r="S2242" s="9" t="inlineStr">
        <is>
          <t>Duct bank</t>
        </is>
      </c>
      <c r="T2242" s="10" t="n">
        <v>40</v>
      </c>
      <c r="U2242" s="10" t="n">
        <v>52</v>
      </c>
      <c r="V2242" s="10">
        <f>ROUNDUP((T2242+U2242+2*'Read Me'!$B$13)*(1+'Read Me'!$B$12),-1)</f>
        <v/>
      </c>
      <c r="W2242" s="10">
        <f>V2242*N2242*O2242</f>
        <v/>
      </c>
      <c r="X2242" s="9">
        <f>IF(LEFT(I2242,2)="MV",2*N2242*IF(L2242="1/C",O2242,1),0)</f>
        <v/>
      </c>
      <c r="Y2242" s="9">
        <f>IF(OR(LEFT(K2242,4)="LVAX",LEFT(K2242,6)="MV15AX",LEFT(K2242,4)="CTAX",LEFT(K2242,2)="W|"),2*N2242*O2242,0)</f>
        <v/>
      </c>
      <c r="Z2242" s="9" t="inlineStr"/>
    </row>
    <row r="2243">
      <c r="A2243" s="9" t="inlineStr">
        <is>
          <t>I-I-0151</t>
        </is>
      </c>
      <c r="B2243" s="9" t="inlineStr">
        <is>
          <t>I</t>
        </is>
      </c>
      <c r="C2243" s="9" t="inlineStr">
        <is>
          <t>Modular / portable power</t>
        </is>
      </c>
      <c r="D2243" s="9" t="inlineStr">
        <is>
          <t>Instrumentation</t>
        </is>
      </c>
      <c r="E2243" s="9" t="inlineStr"/>
      <c r="F2243" s="9" t="inlineStr">
        <is>
          <t>PCM: power control module</t>
        </is>
      </c>
      <c r="G2243" s="9" t="inlineStr">
        <is>
          <t>SC-1</t>
        </is>
      </c>
      <c r="H2243" s="9" t="inlineStr">
        <is>
          <t>SC-1: aeroderivative simple-cycle unit (LM6000 class)</t>
        </is>
      </c>
      <c r="I2243" s="9" t="inlineStr">
        <is>
          <t>Instrumentation</t>
        </is>
      </c>
      <c r="J2243" s="9" t="inlineStr">
        <is>
          <t>Instrumentation PLTC / TC-ER 300 V, #18 twisted shielded pairs, overall shield</t>
        </is>
      </c>
      <c r="K2243" s="9" t="inlineStr">
        <is>
          <t>PLTC|12 pr|18</t>
        </is>
      </c>
      <c r="L2243" s="9" t="inlineStr">
        <is>
          <t>12 pr</t>
        </is>
      </c>
      <c r="M2243" s="9" t="inlineStr">
        <is>
          <t>18</t>
        </is>
      </c>
      <c r="N2243" s="9" t="n">
        <v>1</v>
      </c>
      <c r="O2243" s="9" t="n">
        <v>1</v>
      </c>
      <c r="P2243" s="9" t="n"/>
      <c r="Q2243" s="9" t="n"/>
      <c r="R2243" s="9" t="n"/>
      <c r="S2243" s="9" t="inlineStr">
        <is>
          <t>Duct bank</t>
        </is>
      </c>
      <c r="T2243" s="10" t="n">
        <v>40</v>
      </c>
      <c r="U2243" s="10" t="n">
        <v>52</v>
      </c>
      <c r="V2243" s="10">
        <f>ROUNDUP((T2243+U2243+2*'Read Me'!$B$13)*(1+'Read Me'!$B$12),-1)</f>
        <v/>
      </c>
      <c r="W2243" s="10">
        <f>V2243*N2243*O2243</f>
        <v/>
      </c>
      <c r="X2243" s="9">
        <f>IF(LEFT(I2243,2)="MV",2*N2243*IF(L2243="1/C",O2243,1),0)</f>
        <v/>
      </c>
      <c r="Y2243" s="9">
        <f>IF(OR(LEFT(K2243,4)="LVAX",LEFT(K2243,6)="MV15AX",LEFT(K2243,4)="CTAX",LEFT(K2243,2)="W|"),2*N2243*O2243,0)</f>
        <v/>
      </c>
      <c r="Z2243" s="9" t="inlineStr"/>
    </row>
    <row r="2244">
      <c r="A2244" s="9" t="inlineStr">
        <is>
          <t>I-I-0152</t>
        </is>
      </c>
      <c r="B2244" s="9" t="inlineStr">
        <is>
          <t>I</t>
        </is>
      </c>
      <c r="C2244" s="9" t="inlineStr">
        <is>
          <t>Modular / portable power</t>
        </is>
      </c>
      <c r="D2244" s="9" t="inlineStr">
        <is>
          <t>Instrumentation</t>
        </is>
      </c>
      <c r="E2244" s="9" t="inlineStr"/>
      <c r="F2244" s="9" t="inlineStr">
        <is>
          <t>PCM: power control module</t>
        </is>
      </c>
      <c r="G2244" s="9" t="inlineStr">
        <is>
          <t>SC-1</t>
        </is>
      </c>
      <c r="H2244" s="9" t="inlineStr">
        <is>
          <t>SC-1: aeroderivative simple-cycle unit (LM6000 class)</t>
        </is>
      </c>
      <c r="I2244" s="9" t="inlineStr">
        <is>
          <t>Instrumentation</t>
        </is>
      </c>
      <c r="J2244" s="9" t="inlineStr">
        <is>
          <t>Instrumentation PLTC / TC-ER 300 V, #18 twisted shielded pairs, overall shield</t>
        </is>
      </c>
      <c r="K2244" s="9" t="inlineStr">
        <is>
          <t>PLTC|12 pr|18</t>
        </is>
      </c>
      <c r="L2244" s="9" t="inlineStr">
        <is>
          <t>12 pr</t>
        </is>
      </c>
      <c r="M2244" s="9" t="inlineStr">
        <is>
          <t>18</t>
        </is>
      </c>
      <c r="N2244" s="9" t="n">
        <v>1</v>
      </c>
      <c r="O2244" s="9" t="n">
        <v>1</v>
      </c>
      <c r="P2244" s="9" t="n"/>
      <c r="Q2244" s="9" t="n"/>
      <c r="R2244" s="9" t="n"/>
      <c r="S2244" s="9" t="inlineStr">
        <is>
          <t>Duct bank</t>
        </is>
      </c>
      <c r="T2244" s="10" t="n">
        <v>40</v>
      </c>
      <c r="U2244" s="10" t="n">
        <v>52</v>
      </c>
      <c r="V2244" s="10">
        <f>ROUNDUP((T2244+U2244+2*'Read Me'!$B$13)*(1+'Read Me'!$B$12),-1)</f>
        <v/>
      </c>
      <c r="W2244" s="10">
        <f>V2244*N2244*O2244</f>
        <v/>
      </c>
      <c r="X2244" s="9">
        <f>IF(LEFT(I2244,2)="MV",2*N2244*IF(L2244="1/C",O2244,1),0)</f>
        <v/>
      </c>
      <c r="Y2244" s="9">
        <f>IF(OR(LEFT(K2244,4)="LVAX",LEFT(K2244,6)="MV15AX",LEFT(K2244,4)="CTAX",LEFT(K2244,2)="W|"),2*N2244*O2244,0)</f>
        <v/>
      </c>
      <c r="Z2244" s="9" t="inlineStr"/>
    </row>
    <row r="2245">
      <c r="A2245" s="9" t="inlineStr">
        <is>
          <t>I-I-0153</t>
        </is>
      </c>
      <c r="B2245" s="9" t="inlineStr">
        <is>
          <t>I</t>
        </is>
      </c>
      <c r="C2245" s="9" t="inlineStr">
        <is>
          <t>Modular / portable power</t>
        </is>
      </c>
      <c r="D2245" s="9" t="inlineStr">
        <is>
          <t>Instrumentation</t>
        </is>
      </c>
      <c r="E2245" s="9" t="inlineStr"/>
      <c r="F2245" s="9" t="inlineStr">
        <is>
          <t>PCM: power control module</t>
        </is>
      </c>
      <c r="G2245" s="9" t="inlineStr">
        <is>
          <t>SC-1</t>
        </is>
      </c>
      <c r="H2245" s="9" t="inlineStr">
        <is>
          <t>SC-1: aeroderivative simple-cycle unit (LM6000 class)</t>
        </is>
      </c>
      <c r="I2245" s="9" t="inlineStr">
        <is>
          <t>Instrumentation</t>
        </is>
      </c>
      <c r="J2245" s="9" t="inlineStr">
        <is>
          <t>Instrumentation PLTC / TC-ER 300 V, #18 twisted shielded pairs, overall shield</t>
        </is>
      </c>
      <c r="K2245" s="9" t="inlineStr">
        <is>
          <t>PLTC|12 pr|18</t>
        </is>
      </c>
      <c r="L2245" s="9" t="inlineStr">
        <is>
          <t>12 pr</t>
        </is>
      </c>
      <c r="M2245" s="9" t="inlineStr">
        <is>
          <t>18</t>
        </is>
      </c>
      <c r="N2245" s="9" t="n">
        <v>1</v>
      </c>
      <c r="O2245" s="9" t="n">
        <v>1</v>
      </c>
      <c r="P2245" s="9" t="n"/>
      <c r="Q2245" s="9" t="n"/>
      <c r="R2245" s="9" t="n"/>
      <c r="S2245" s="9" t="inlineStr">
        <is>
          <t>Duct bank</t>
        </is>
      </c>
      <c r="T2245" s="10" t="n">
        <v>40</v>
      </c>
      <c r="U2245" s="10" t="n">
        <v>52</v>
      </c>
      <c r="V2245" s="10">
        <f>ROUNDUP((T2245+U2245+2*'Read Me'!$B$13)*(1+'Read Me'!$B$12),-1)</f>
        <v/>
      </c>
      <c r="W2245" s="10">
        <f>V2245*N2245*O2245</f>
        <v/>
      </c>
      <c r="X2245" s="9">
        <f>IF(LEFT(I2245,2)="MV",2*N2245*IF(L2245="1/C",O2245,1),0)</f>
        <v/>
      </c>
      <c r="Y2245" s="9">
        <f>IF(OR(LEFT(K2245,4)="LVAX",LEFT(K2245,6)="MV15AX",LEFT(K2245,4)="CTAX",LEFT(K2245,2)="W|"),2*N2245*O2245,0)</f>
        <v/>
      </c>
      <c r="Z2245" s="9" t="inlineStr"/>
    </row>
    <row r="2246">
      <c r="A2246" s="9" t="inlineStr">
        <is>
          <t>I-I-0154</t>
        </is>
      </c>
      <c r="B2246" s="9" t="inlineStr">
        <is>
          <t>I</t>
        </is>
      </c>
      <c r="C2246" s="9" t="inlineStr">
        <is>
          <t>Modular / portable power</t>
        </is>
      </c>
      <c r="D2246" s="9" t="inlineStr">
        <is>
          <t>Instrumentation</t>
        </is>
      </c>
      <c r="E2246" s="9" t="inlineStr"/>
      <c r="F2246" s="9" t="inlineStr">
        <is>
          <t>PCM: power control module</t>
        </is>
      </c>
      <c r="G2246" s="9" t="inlineStr">
        <is>
          <t>SC-1</t>
        </is>
      </c>
      <c r="H2246" s="9" t="inlineStr">
        <is>
          <t>SC-1: aeroderivative simple-cycle unit (LM6000 class)</t>
        </is>
      </c>
      <c r="I2246" s="9" t="inlineStr">
        <is>
          <t>Instrumentation</t>
        </is>
      </c>
      <c r="J2246" s="9" t="inlineStr">
        <is>
          <t>Instrumentation PLTC / TC-ER 300 V, #18 twisted shielded pairs, overall shield</t>
        </is>
      </c>
      <c r="K2246" s="9" t="inlineStr">
        <is>
          <t>PLTC|12 pr|18</t>
        </is>
      </c>
      <c r="L2246" s="9" t="inlineStr">
        <is>
          <t>12 pr</t>
        </is>
      </c>
      <c r="M2246" s="9" t="inlineStr">
        <is>
          <t>18</t>
        </is>
      </c>
      <c r="N2246" s="9" t="n">
        <v>1</v>
      </c>
      <c r="O2246" s="9" t="n">
        <v>1</v>
      </c>
      <c r="P2246" s="9" t="n"/>
      <c r="Q2246" s="9" t="n"/>
      <c r="R2246" s="9" t="n"/>
      <c r="S2246" s="9" t="inlineStr">
        <is>
          <t>Duct bank</t>
        </is>
      </c>
      <c r="T2246" s="10" t="n">
        <v>40</v>
      </c>
      <c r="U2246" s="10" t="n">
        <v>52</v>
      </c>
      <c r="V2246" s="10">
        <f>ROUNDUP((T2246+U2246+2*'Read Me'!$B$13)*(1+'Read Me'!$B$12),-1)</f>
        <v/>
      </c>
      <c r="W2246" s="10">
        <f>V2246*N2246*O2246</f>
        <v/>
      </c>
      <c r="X2246" s="9">
        <f>IF(LEFT(I2246,2)="MV",2*N2246*IF(L2246="1/C",O2246,1),0)</f>
        <v/>
      </c>
      <c r="Y2246" s="9">
        <f>IF(OR(LEFT(K2246,4)="LVAX",LEFT(K2246,6)="MV15AX",LEFT(K2246,4)="CTAX",LEFT(K2246,2)="W|"),2*N2246*O2246,0)</f>
        <v/>
      </c>
      <c r="Z2246" s="9" t="inlineStr"/>
    </row>
    <row r="2247">
      <c r="A2247" s="9" t="inlineStr">
        <is>
          <t>I-I-0155</t>
        </is>
      </c>
      <c r="B2247" s="9" t="inlineStr">
        <is>
          <t>I</t>
        </is>
      </c>
      <c r="C2247" s="9" t="inlineStr">
        <is>
          <t>Modular / portable power</t>
        </is>
      </c>
      <c r="D2247" s="9" t="inlineStr">
        <is>
          <t>Thermocouples</t>
        </is>
      </c>
      <c r="E2247" s="9" t="inlineStr"/>
      <c r="F2247" s="9" t="inlineStr">
        <is>
          <t>PCM: power control module</t>
        </is>
      </c>
      <c r="G2247" s="9" t="inlineStr">
        <is>
          <t>SC-1</t>
        </is>
      </c>
      <c r="H2247" s="9" t="inlineStr">
        <is>
          <t>SC-1: aeroderivative simple-cycle unit (LM6000 class)</t>
        </is>
      </c>
      <c r="I2247" s="9" t="inlineStr">
        <is>
          <t>Instrumentation</t>
        </is>
      </c>
      <c r="J2247" s="9" t="inlineStr">
        <is>
          <t>Thermocouple extension KX, #16 shielded pairs, PLTC</t>
        </is>
      </c>
      <c r="K2247" s="9" t="inlineStr">
        <is>
          <t>TCX|12 pr|16</t>
        </is>
      </c>
      <c r="L2247" s="9" t="inlineStr">
        <is>
          <t>12 pr</t>
        </is>
      </c>
      <c r="M2247" s="9" t="inlineStr">
        <is>
          <t>16</t>
        </is>
      </c>
      <c r="N2247" s="9" t="n">
        <v>1</v>
      </c>
      <c r="O2247" s="9" t="n">
        <v>1</v>
      </c>
      <c r="P2247" s="9" t="n"/>
      <c r="Q2247" s="9" t="n"/>
      <c r="R2247" s="9" t="n"/>
      <c r="S2247" s="9" t="inlineStr">
        <is>
          <t>Duct bank</t>
        </is>
      </c>
      <c r="T2247" s="10" t="n">
        <v>40</v>
      </c>
      <c r="U2247" s="10" t="n">
        <v>52</v>
      </c>
      <c r="V2247" s="10">
        <f>ROUNDUP((T2247+U2247+2*'Read Me'!$B$13)*(1+'Read Me'!$B$12),-1)</f>
        <v/>
      </c>
      <c r="W2247" s="10">
        <f>V2247*N2247*O2247</f>
        <v/>
      </c>
      <c r="X2247" s="9">
        <f>IF(LEFT(I2247,2)="MV",2*N2247*IF(L2247="1/C",O2247,1),0)</f>
        <v/>
      </c>
      <c r="Y2247" s="9">
        <f>IF(OR(LEFT(K2247,4)="LVAX",LEFT(K2247,6)="MV15AX",LEFT(K2247,4)="CTAX",LEFT(K2247,2)="W|"),2*N2247*O2247,0)</f>
        <v/>
      </c>
      <c r="Z2247" s="9" t="inlineStr"/>
    </row>
    <row r="2248">
      <c r="A2248" s="9" t="inlineStr">
        <is>
          <t>I-I-0156</t>
        </is>
      </c>
      <c r="B2248" s="9" t="inlineStr">
        <is>
          <t>I</t>
        </is>
      </c>
      <c r="C2248" s="9" t="inlineStr">
        <is>
          <t>Modular / portable power</t>
        </is>
      </c>
      <c r="D2248" s="9" t="inlineStr">
        <is>
          <t>Thermocouples</t>
        </is>
      </c>
      <c r="E2248" s="9" t="inlineStr"/>
      <c r="F2248" s="9" t="inlineStr">
        <is>
          <t>PCM: power control module</t>
        </is>
      </c>
      <c r="G2248" s="9" t="inlineStr">
        <is>
          <t>SC-1</t>
        </is>
      </c>
      <c r="H2248" s="9" t="inlineStr">
        <is>
          <t>SC-1: aeroderivative simple-cycle unit (LM6000 class)</t>
        </is>
      </c>
      <c r="I2248" s="9" t="inlineStr">
        <is>
          <t>Instrumentation</t>
        </is>
      </c>
      <c r="J2248" s="9" t="inlineStr">
        <is>
          <t>Thermocouple extension KX, #16 shielded pairs, PLTC</t>
        </is>
      </c>
      <c r="K2248" s="9" t="inlineStr">
        <is>
          <t>TCX|12 pr|16</t>
        </is>
      </c>
      <c r="L2248" s="9" t="inlineStr">
        <is>
          <t>12 pr</t>
        </is>
      </c>
      <c r="M2248" s="9" t="inlineStr">
        <is>
          <t>16</t>
        </is>
      </c>
      <c r="N2248" s="9" t="n">
        <v>1</v>
      </c>
      <c r="O2248" s="9" t="n">
        <v>1</v>
      </c>
      <c r="P2248" s="9" t="n"/>
      <c r="Q2248" s="9" t="n"/>
      <c r="R2248" s="9" t="n"/>
      <c r="S2248" s="9" t="inlineStr">
        <is>
          <t>Duct bank</t>
        </is>
      </c>
      <c r="T2248" s="10" t="n">
        <v>40</v>
      </c>
      <c r="U2248" s="10" t="n">
        <v>52</v>
      </c>
      <c r="V2248" s="10">
        <f>ROUNDUP((T2248+U2248+2*'Read Me'!$B$13)*(1+'Read Me'!$B$12),-1)</f>
        <v/>
      </c>
      <c r="W2248" s="10">
        <f>V2248*N2248*O2248</f>
        <v/>
      </c>
      <c r="X2248" s="9">
        <f>IF(LEFT(I2248,2)="MV",2*N2248*IF(L2248="1/C",O2248,1),0)</f>
        <v/>
      </c>
      <c r="Y2248" s="9">
        <f>IF(OR(LEFT(K2248,4)="LVAX",LEFT(K2248,6)="MV15AX",LEFT(K2248,4)="CTAX",LEFT(K2248,2)="W|"),2*N2248*O2248,0)</f>
        <v/>
      </c>
      <c r="Z2248" s="9" t="inlineStr"/>
    </row>
    <row r="2249">
      <c r="A2249" s="9" t="inlineStr">
        <is>
          <t>I-I-0157</t>
        </is>
      </c>
      <c r="B2249" s="9" t="inlineStr">
        <is>
          <t>I</t>
        </is>
      </c>
      <c r="C2249" s="9" t="inlineStr">
        <is>
          <t>Modular / portable power</t>
        </is>
      </c>
      <c r="D2249" s="9" t="inlineStr">
        <is>
          <t>Thermocouples</t>
        </is>
      </c>
      <c r="E2249" s="9" t="inlineStr"/>
      <c r="F2249" s="9" t="inlineStr">
        <is>
          <t>PCM: power control module</t>
        </is>
      </c>
      <c r="G2249" s="9" t="inlineStr">
        <is>
          <t>SC-1</t>
        </is>
      </c>
      <c r="H2249" s="9" t="inlineStr">
        <is>
          <t>SC-1: aeroderivative simple-cycle unit (LM6000 class)</t>
        </is>
      </c>
      <c r="I2249" s="9" t="inlineStr">
        <is>
          <t>Instrumentation</t>
        </is>
      </c>
      <c r="J2249" s="9" t="inlineStr">
        <is>
          <t>Thermocouple extension KX, #16 shielded pairs, PLTC</t>
        </is>
      </c>
      <c r="K2249" s="9" t="inlineStr">
        <is>
          <t>TCX|12 pr|16</t>
        </is>
      </c>
      <c r="L2249" s="9" t="inlineStr">
        <is>
          <t>12 pr</t>
        </is>
      </c>
      <c r="M2249" s="9" t="inlineStr">
        <is>
          <t>16</t>
        </is>
      </c>
      <c r="N2249" s="9" t="n">
        <v>1</v>
      </c>
      <c r="O2249" s="9" t="n">
        <v>1</v>
      </c>
      <c r="P2249" s="9" t="n"/>
      <c r="Q2249" s="9" t="n"/>
      <c r="R2249" s="9" t="n"/>
      <c r="S2249" s="9" t="inlineStr">
        <is>
          <t>Duct bank</t>
        </is>
      </c>
      <c r="T2249" s="10" t="n">
        <v>40</v>
      </c>
      <c r="U2249" s="10" t="n">
        <v>52</v>
      </c>
      <c r="V2249" s="10">
        <f>ROUNDUP((T2249+U2249+2*'Read Me'!$B$13)*(1+'Read Me'!$B$12),-1)</f>
        <v/>
      </c>
      <c r="W2249" s="10">
        <f>V2249*N2249*O2249</f>
        <v/>
      </c>
      <c r="X2249" s="9">
        <f>IF(LEFT(I2249,2)="MV",2*N2249*IF(L2249="1/C",O2249,1),0)</f>
        <v/>
      </c>
      <c r="Y2249" s="9">
        <f>IF(OR(LEFT(K2249,4)="LVAX",LEFT(K2249,6)="MV15AX",LEFT(K2249,4)="CTAX",LEFT(K2249,2)="W|"),2*N2249*O2249,0)</f>
        <v/>
      </c>
      <c r="Z2249" s="9" t="inlineStr"/>
    </row>
    <row r="2250">
      <c r="A2250" s="9" t="inlineStr">
        <is>
          <t>I-I-0158</t>
        </is>
      </c>
      <c r="B2250" s="9" t="inlineStr">
        <is>
          <t>I</t>
        </is>
      </c>
      <c r="C2250" s="9" t="inlineStr">
        <is>
          <t>Modular / portable power</t>
        </is>
      </c>
      <c r="D2250" s="9" t="inlineStr">
        <is>
          <t>Thermocouples</t>
        </is>
      </c>
      <c r="E2250" s="9" t="inlineStr"/>
      <c r="F2250" s="9" t="inlineStr">
        <is>
          <t>PCM: power control module</t>
        </is>
      </c>
      <c r="G2250" s="9" t="inlineStr">
        <is>
          <t>SC-1</t>
        </is>
      </c>
      <c r="H2250" s="9" t="inlineStr">
        <is>
          <t>SC-1: aeroderivative simple-cycle unit (LM6000 class)</t>
        </is>
      </c>
      <c r="I2250" s="9" t="inlineStr">
        <is>
          <t>Instrumentation</t>
        </is>
      </c>
      <c r="J2250" s="9" t="inlineStr">
        <is>
          <t>Thermocouple extension KX, #16 shielded pairs, PLTC</t>
        </is>
      </c>
      <c r="K2250" s="9" t="inlineStr">
        <is>
          <t>TCX|12 pr|16</t>
        </is>
      </c>
      <c r="L2250" s="9" t="inlineStr">
        <is>
          <t>12 pr</t>
        </is>
      </c>
      <c r="M2250" s="9" t="inlineStr">
        <is>
          <t>16</t>
        </is>
      </c>
      <c r="N2250" s="9" t="n">
        <v>1</v>
      </c>
      <c r="O2250" s="9" t="n">
        <v>1</v>
      </c>
      <c r="P2250" s="9" t="n"/>
      <c r="Q2250" s="9" t="n"/>
      <c r="R2250" s="9" t="n"/>
      <c r="S2250" s="9" t="inlineStr">
        <is>
          <t>Duct bank</t>
        </is>
      </c>
      <c r="T2250" s="10" t="n">
        <v>40</v>
      </c>
      <c r="U2250" s="10" t="n">
        <v>52</v>
      </c>
      <c r="V2250" s="10">
        <f>ROUNDUP((T2250+U2250+2*'Read Me'!$B$13)*(1+'Read Me'!$B$12),-1)</f>
        <v/>
      </c>
      <c r="W2250" s="10">
        <f>V2250*N2250*O2250</f>
        <v/>
      </c>
      <c r="X2250" s="9">
        <f>IF(LEFT(I2250,2)="MV",2*N2250*IF(L2250="1/C",O2250,1),0)</f>
        <v/>
      </c>
      <c r="Y2250" s="9">
        <f>IF(OR(LEFT(K2250,4)="LVAX",LEFT(K2250,6)="MV15AX",LEFT(K2250,4)="CTAX",LEFT(K2250,2)="W|"),2*N2250*O2250,0)</f>
        <v/>
      </c>
      <c r="Z2250" s="9" t="inlineStr"/>
    </row>
    <row r="2251">
      <c r="A2251" s="9" t="inlineStr">
        <is>
          <t>I-I-0159</t>
        </is>
      </c>
      <c r="B2251" s="9" t="inlineStr">
        <is>
          <t>I</t>
        </is>
      </c>
      <c r="C2251" s="9" t="inlineStr">
        <is>
          <t>Modular / portable power</t>
        </is>
      </c>
      <c r="D2251" s="9" t="inlineStr">
        <is>
          <t>Thermocouples</t>
        </is>
      </c>
      <c r="E2251" s="9" t="inlineStr"/>
      <c r="F2251" s="9" t="inlineStr">
        <is>
          <t>PCM: power control module</t>
        </is>
      </c>
      <c r="G2251" s="9" t="inlineStr">
        <is>
          <t>SC-1</t>
        </is>
      </c>
      <c r="H2251" s="9" t="inlineStr">
        <is>
          <t>SC-1: aeroderivative simple-cycle unit (LM6000 class)</t>
        </is>
      </c>
      <c r="I2251" s="9" t="inlineStr">
        <is>
          <t>Instrumentation</t>
        </is>
      </c>
      <c r="J2251" s="9" t="inlineStr">
        <is>
          <t>Thermocouple extension KX, #16 shielded pairs, PLTC</t>
        </is>
      </c>
      <c r="K2251" s="9" t="inlineStr">
        <is>
          <t>TCX|12 pr|16</t>
        </is>
      </c>
      <c r="L2251" s="9" t="inlineStr">
        <is>
          <t>12 pr</t>
        </is>
      </c>
      <c r="M2251" s="9" t="inlineStr">
        <is>
          <t>16</t>
        </is>
      </c>
      <c r="N2251" s="9" t="n">
        <v>1</v>
      </c>
      <c r="O2251" s="9" t="n">
        <v>1</v>
      </c>
      <c r="P2251" s="9" t="n"/>
      <c r="Q2251" s="9" t="n"/>
      <c r="R2251" s="9" t="n"/>
      <c r="S2251" s="9" t="inlineStr">
        <is>
          <t>Duct bank</t>
        </is>
      </c>
      <c r="T2251" s="10" t="n">
        <v>40</v>
      </c>
      <c r="U2251" s="10" t="n">
        <v>52</v>
      </c>
      <c r="V2251" s="10">
        <f>ROUNDUP((T2251+U2251+2*'Read Me'!$B$13)*(1+'Read Me'!$B$12),-1)</f>
        <v/>
      </c>
      <c r="W2251" s="10">
        <f>V2251*N2251*O2251</f>
        <v/>
      </c>
      <c r="X2251" s="9">
        <f>IF(LEFT(I2251,2)="MV",2*N2251*IF(L2251="1/C",O2251,1),0)</f>
        <v/>
      </c>
      <c r="Y2251" s="9">
        <f>IF(OR(LEFT(K2251,4)="LVAX",LEFT(K2251,6)="MV15AX",LEFT(K2251,4)="CTAX",LEFT(K2251,2)="W|"),2*N2251*O2251,0)</f>
        <v/>
      </c>
      <c r="Z2251" s="9" t="inlineStr"/>
    </row>
    <row r="2252">
      <c r="A2252" s="9" t="inlineStr">
        <is>
          <t>I-I-0160</t>
        </is>
      </c>
      <c r="B2252" s="9" t="inlineStr">
        <is>
          <t>I</t>
        </is>
      </c>
      <c r="C2252" s="9" t="inlineStr">
        <is>
          <t>Modular / portable power</t>
        </is>
      </c>
      <c r="D2252" s="9" t="inlineStr">
        <is>
          <t>Thermocouples</t>
        </is>
      </c>
      <c r="E2252" s="9" t="inlineStr"/>
      <c r="F2252" s="9" t="inlineStr">
        <is>
          <t>PCM: power control module</t>
        </is>
      </c>
      <c r="G2252" s="9" t="inlineStr">
        <is>
          <t>SC-1</t>
        </is>
      </c>
      <c r="H2252" s="9" t="inlineStr">
        <is>
          <t>SC-1: aeroderivative simple-cycle unit (LM6000 class)</t>
        </is>
      </c>
      <c r="I2252" s="9" t="inlineStr">
        <is>
          <t>Instrumentation</t>
        </is>
      </c>
      <c r="J2252" s="9" t="inlineStr">
        <is>
          <t>Thermocouple extension KX, #16 shielded pairs, PLTC</t>
        </is>
      </c>
      <c r="K2252" s="9" t="inlineStr">
        <is>
          <t>TCX|12 pr|16</t>
        </is>
      </c>
      <c r="L2252" s="9" t="inlineStr">
        <is>
          <t>12 pr</t>
        </is>
      </c>
      <c r="M2252" s="9" t="inlineStr">
        <is>
          <t>16</t>
        </is>
      </c>
      <c r="N2252" s="9" t="n">
        <v>1</v>
      </c>
      <c r="O2252" s="9" t="n">
        <v>1</v>
      </c>
      <c r="P2252" s="9" t="n"/>
      <c r="Q2252" s="9" t="n"/>
      <c r="R2252" s="9" t="n"/>
      <c r="S2252" s="9" t="inlineStr">
        <is>
          <t>Duct bank</t>
        </is>
      </c>
      <c r="T2252" s="10" t="n">
        <v>40</v>
      </c>
      <c r="U2252" s="10" t="n">
        <v>52</v>
      </c>
      <c r="V2252" s="10">
        <f>ROUNDUP((T2252+U2252+2*'Read Me'!$B$13)*(1+'Read Me'!$B$12),-1)</f>
        <v/>
      </c>
      <c r="W2252" s="10">
        <f>V2252*N2252*O2252</f>
        <v/>
      </c>
      <c r="X2252" s="9">
        <f>IF(LEFT(I2252,2)="MV",2*N2252*IF(L2252="1/C",O2252,1),0)</f>
        <v/>
      </c>
      <c r="Y2252" s="9">
        <f>IF(OR(LEFT(K2252,4)="LVAX",LEFT(K2252,6)="MV15AX",LEFT(K2252,4)="CTAX",LEFT(K2252,2)="W|"),2*N2252*O2252,0)</f>
        <v/>
      </c>
      <c r="Z2252" s="9" t="inlineStr"/>
    </row>
    <row r="2253">
      <c r="A2253" s="9" t="inlineStr">
        <is>
          <t>I-I-0161</t>
        </is>
      </c>
      <c r="B2253" s="9" t="inlineStr">
        <is>
          <t>I</t>
        </is>
      </c>
      <c r="C2253" s="9" t="inlineStr">
        <is>
          <t>Modular / portable power</t>
        </is>
      </c>
      <c r="D2253" s="9" t="inlineStr">
        <is>
          <t>Instrumentation</t>
        </is>
      </c>
      <c r="E2253" s="9" t="inlineStr"/>
      <c r="F2253" s="9" t="inlineStr">
        <is>
          <t>PCM: power control module</t>
        </is>
      </c>
      <c r="G2253" s="9" t="inlineStr">
        <is>
          <t>SC-2</t>
        </is>
      </c>
      <c r="H2253" s="9" t="inlineStr">
        <is>
          <t>SC-2: aeroderivative simple-cycle unit (LM6000 class)</t>
        </is>
      </c>
      <c r="I2253" s="9" t="inlineStr">
        <is>
          <t>Instrumentation</t>
        </is>
      </c>
      <c r="J2253" s="9" t="inlineStr">
        <is>
          <t>Instrumentation PLTC / TC-ER 300 V, #18 twisted shielded pairs, overall shield</t>
        </is>
      </c>
      <c r="K2253" s="9" t="inlineStr">
        <is>
          <t>PLTC|4 pr|18</t>
        </is>
      </c>
      <c r="L2253" s="9" t="inlineStr">
        <is>
          <t>4 pr</t>
        </is>
      </c>
      <c r="M2253" s="9" t="inlineStr">
        <is>
          <t>18</t>
        </is>
      </c>
      <c r="N2253" s="9" t="n">
        <v>1</v>
      </c>
      <c r="O2253" s="9" t="n">
        <v>1</v>
      </c>
      <c r="P2253" s="9" t="n"/>
      <c r="Q2253" s="9" t="n"/>
      <c r="R2253" s="9" t="n"/>
      <c r="S2253" s="9" t="inlineStr">
        <is>
          <t>Duct bank</t>
        </is>
      </c>
      <c r="T2253" s="10" t="n">
        <v>410</v>
      </c>
      <c r="U2253" s="10" t="n">
        <v>115</v>
      </c>
      <c r="V2253" s="10">
        <f>ROUNDUP((T2253+U2253+2*'Read Me'!$B$13)*(1+'Read Me'!$B$12),-1)</f>
        <v/>
      </c>
      <c r="W2253" s="10">
        <f>V2253*N2253*O2253</f>
        <v/>
      </c>
      <c r="X2253" s="9">
        <f>IF(LEFT(I2253,2)="MV",2*N2253*IF(L2253="1/C",O2253,1),0)</f>
        <v/>
      </c>
      <c r="Y2253" s="9">
        <f>IF(OR(LEFT(K2253,4)="LVAX",LEFT(K2253,6)="MV15AX",LEFT(K2253,4)="CTAX",LEFT(K2253,2)="W|"),2*N2253*O2253,0)</f>
        <v/>
      </c>
      <c r="Z2253" s="9" t="inlineStr"/>
    </row>
    <row r="2254">
      <c r="A2254" s="9" t="inlineStr">
        <is>
          <t>I-I-0162</t>
        </is>
      </c>
      <c r="B2254" s="9" t="inlineStr">
        <is>
          <t>I</t>
        </is>
      </c>
      <c r="C2254" s="9" t="inlineStr">
        <is>
          <t>Modular / portable power</t>
        </is>
      </c>
      <c r="D2254" s="9" t="inlineStr">
        <is>
          <t>Instrumentation</t>
        </is>
      </c>
      <c r="E2254" s="9" t="inlineStr"/>
      <c r="F2254" s="9" t="inlineStr">
        <is>
          <t>PCM: power control module</t>
        </is>
      </c>
      <c r="G2254" s="9" t="inlineStr">
        <is>
          <t>SC-2</t>
        </is>
      </c>
      <c r="H2254" s="9" t="inlineStr">
        <is>
          <t>SC-2: aeroderivative simple-cycle unit (LM6000 class)</t>
        </is>
      </c>
      <c r="I2254" s="9" t="inlineStr">
        <is>
          <t>Instrumentation</t>
        </is>
      </c>
      <c r="J2254" s="9" t="inlineStr">
        <is>
          <t>Instrumentation PLTC / TC-ER 300 V, #18 twisted shielded pairs, overall shield</t>
        </is>
      </c>
      <c r="K2254" s="9" t="inlineStr">
        <is>
          <t>PLTC|4 pr|18</t>
        </is>
      </c>
      <c r="L2254" s="9" t="inlineStr">
        <is>
          <t>4 pr</t>
        </is>
      </c>
      <c r="M2254" s="9" t="inlineStr">
        <is>
          <t>18</t>
        </is>
      </c>
      <c r="N2254" s="9" t="n">
        <v>1</v>
      </c>
      <c r="O2254" s="9" t="n">
        <v>1</v>
      </c>
      <c r="P2254" s="9" t="n"/>
      <c r="Q2254" s="9" t="n"/>
      <c r="R2254" s="9" t="n"/>
      <c r="S2254" s="9" t="inlineStr">
        <is>
          <t>Duct bank</t>
        </is>
      </c>
      <c r="T2254" s="10" t="n">
        <v>410</v>
      </c>
      <c r="U2254" s="10" t="n">
        <v>115</v>
      </c>
      <c r="V2254" s="10">
        <f>ROUNDUP((T2254+U2254+2*'Read Me'!$B$13)*(1+'Read Me'!$B$12),-1)</f>
        <v/>
      </c>
      <c r="W2254" s="10">
        <f>V2254*N2254*O2254</f>
        <v/>
      </c>
      <c r="X2254" s="9">
        <f>IF(LEFT(I2254,2)="MV",2*N2254*IF(L2254="1/C",O2254,1),0)</f>
        <v/>
      </c>
      <c r="Y2254" s="9">
        <f>IF(OR(LEFT(K2254,4)="LVAX",LEFT(K2254,6)="MV15AX",LEFT(K2254,4)="CTAX",LEFT(K2254,2)="W|"),2*N2254*O2254,0)</f>
        <v/>
      </c>
      <c r="Z2254" s="9" t="inlineStr"/>
    </row>
    <row r="2255">
      <c r="A2255" s="9" t="inlineStr">
        <is>
          <t>I-I-0163</t>
        </is>
      </c>
      <c r="B2255" s="9" t="inlineStr">
        <is>
          <t>I</t>
        </is>
      </c>
      <c r="C2255" s="9" t="inlineStr">
        <is>
          <t>Modular / portable power</t>
        </is>
      </c>
      <c r="D2255" s="9" t="inlineStr">
        <is>
          <t>Instrumentation</t>
        </is>
      </c>
      <c r="E2255" s="9" t="inlineStr"/>
      <c r="F2255" s="9" t="inlineStr">
        <is>
          <t>PCM: power control module</t>
        </is>
      </c>
      <c r="G2255" s="9" t="inlineStr">
        <is>
          <t>SC-2</t>
        </is>
      </c>
      <c r="H2255" s="9" t="inlineStr">
        <is>
          <t>SC-2: aeroderivative simple-cycle unit (LM6000 class)</t>
        </is>
      </c>
      <c r="I2255" s="9" t="inlineStr">
        <is>
          <t>Instrumentation</t>
        </is>
      </c>
      <c r="J2255" s="9" t="inlineStr">
        <is>
          <t>Instrumentation PLTC / TC-ER 300 V, #18 twisted shielded pairs, overall shield</t>
        </is>
      </c>
      <c r="K2255" s="9" t="inlineStr">
        <is>
          <t>PLTC|12 pr|18</t>
        </is>
      </c>
      <c r="L2255" s="9" t="inlineStr">
        <is>
          <t>12 pr</t>
        </is>
      </c>
      <c r="M2255" s="9" t="inlineStr">
        <is>
          <t>18</t>
        </is>
      </c>
      <c r="N2255" s="9" t="n">
        <v>1</v>
      </c>
      <c r="O2255" s="9" t="n">
        <v>1</v>
      </c>
      <c r="P2255" s="9" t="n"/>
      <c r="Q2255" s="9" t="n"/>
      <c r="R2255" s="9" t="n"/>
      <c r="S2255" s="9" t="inlineStr">
        <is>
          <t>Duct bank</t>
        </is>
      </c>
      <c r="T2255" s="10" t="n">
        <v>410</v>
      </c>
      <c r="U2255" s="10" t="n">
        <v>115</v>
      </c>
      <c r="V2255" s="10">
        <f>ROUNDUP((T2255+U2255+2*'Read Me'!$B$13)*(1+'Read Me'!$B$12),-1)</f>
        <v/>
      </c>
      <c r="W2255" s="10">
        <f>V2255*N2255*O2255</f>
        <v/>
      </c>
      <c r="X2255" s="9">
        <f>IF(LEFT(I2255,2)="MV",2*N2255*IF(L2255="1/C",O2255,1),0)</f>
        <v/>
      </c>
      <c r="Y2255" s="9">
        <f>IF(OR(LEFT(K2255,4)="LVAX",LEFT(K2255,6)="MV15AX",LEFT(K2255,4)="CTAX",LEFT(K2255,2)="W|"),2*N2255*O2255,0)</f>
        <v/>
      </c>
      <c r="Z2255" s="9" t="inlineStr"/>
    </row>
    <row r="2256">
      <c r="A2256" s="9" t="inlineStr">
        <is>
          <t>I-I-0164</t>
        </is>
      </c>
      <c r="B2256" s="9" t="inlineStr">
        <is>
          <t>I</t>
        </is>
      </c>
      <c r="C2256" s="9" t="inlineStr">
        <is>
          <t>Modular / portable power</t>
        </is>
      </c>
      <c r="D2256" s="9" t="inlineStr">
        <is>
          <t>Instrumentation</t>
        </is>
      </c>
      <c r="E2256" s="9" t="inlineStr"/>
      <c r="F2256" s="9" t="inlineStr">
        <is>
          <t>PCM: power control module</t>
        </is>
      </c>
      <c r="G2256" s="9" t="inlineStr">
        <is>
          <t>SC-2</t>
        </is>
      </c>
      <c r="H2256" s="9" t="inlineStr">
        <is>
          <t>SC-2: aeroderivative simple-cycle unit (LM6000 class)</t>
        </is>
      </c>
      <c r="I2256" s="9" t="inlineStr">
        <is>
          <t>Instrumentation</t>
        </is>
      </c>
      <c r="J2256" s="9" t="inlineStr">
        <is>
          <t>Instrumentation PLTC / TC-ER 300 V, #18 twisted shielded pairs, overall shield</t>
        </is>
      </c>
      <c r="K2256" s="9" t="inlineStr">
        <is>
          <t>PLTC|12 pr|18</t>
        </is>
      </c>
      <c r="L2256" s="9" t="inlineStr">
        <is>
          <t>12 pr</t>
        </is>
      </c>
      <c r="M2256" s="9" t="inlineStr">
        <is>
          <t>18</t>
        </is>
      </c>
      <c r="N2256" s="9" t="n">
        <v>1</v>
      </c>
      <c r="O2256" s="9" t="n">
        <v>1</v>
      </c>
      <c r="P2256" s="9" t="n"/>
      <c r="Q2256" s="9" t="n"/>
      <c r="R2256" s="9" t="n"/>
      <c r="S2256" s="9" t="inlineStr">
        <is>
          <t>Duct bank</t>
        </is>
      </c>
      <c r="T2256" s="10" t="n">
        <v>410</v>
      </c>
      <c r="U2256" s="10" t="n">
        <v>115</v>
      </c>
      <c r="V2256" s="10">
        <f>ROUNDUP((T2256+U2256+2*'Read Me'!$B$13)*(1+'Read Me'!$B$12),-1)</f>
        <v/>
      </c>
      <c r="W2256" s="10">
        <f>V2256*N2256*O2256</f>
        <v/>
      </c>
      <c r="X2256" s="9">
        <f>IF(LEFT(I2256,2)="MV",2*N2256*IF(L2256="1/C",O2256,1),0)</f>
        <v/>
      </c>
      <c r="Y2256" s="9">
        <f>IF(OR(LEFT(K2256,4)="LVAX",LEFT(K2256,6)="MV15AX",LEFT(K2256,4)="CTAX",LEFT(K2256,2)="W|"),2*N2256*O2256,0)</f>
        <v/>
      </c>
      <c r="Z2256" s="9" t="inlineStr"/>
    </row>
    <row r="2257">
      <c r="A2257" s="9" t="inlineStr">
        <is>
          <t>I-I-0165</t>
        </is>
      </c>
      <c r="B2257" s="9" t="inlineStr">
        <is>
          <t>I</t>
        </is>
      </c>
      <c r="C2257" s="9" t="inlineStr">
        <is>
          <t>Modular / portable power</t>
        </is>
      </c>
      <c r="D2257" s="9" t="inlineStr">
        <is>
          <t>Instrumentation</t>
        </is>
      </c>
      <c r="E2257" s="9" t="inlineStr"/>
      <c r="F2257" s="9" t="inlineStr">
        <is>
          <t>PCM: power control module</t>
        </is>
      </c>
      <c r="G2257" s="9" t="inlineStr">
        <is>
          <t>SC-2</t>
        </is>
      </c>
      <c r="H2257" s="9" t="inlineStr">
        <is>
          <t>SC-2: aeroderivative simple-cycle unit (LM6000 class)</t>
        </is>
      </c>
      <c r="I2257" s="9" t="inlineStr">
        <is>
          <t>Instrumentation</t>
        </is>
      </c>
      <c r="J2257" s="9" t="inlineStr">
        <is>
          <t>Instrumentation PLTC / TC-ER 300 V, #18 twisted shielded pairs, overall shield</t>
        </is>
      </c>
      <c r="K2257" s="9" t="inlineStr">
        <is>
          <t>PLTC|12 pr|18</t>
        </is>
      </c>
      <c r="L2257" s="9" t="inlineStr">
        <is>
          <t>12 pr</t>
        </is>
      </c>
      <c r="M2257" s="9" t="inlineStr">
        <is>
          <t>18</t>
        </is>
      </c>
      <c r="N2257" s="9" t="n">
        <v>1</v>
      </c>
      <c r="O2257" s="9" t="n">
        <v>1</v>
      </c>
      <c r="P2257" s="9" t="n"/>
      <c r="Q2257" s="9" t="n"/>
      <c r="R2257" s="9" t="n"/>
      <c r="S2257" s="9" t="inlineStr">
        <is>
          <t>Duct bank</t>
        </is>
      </c>
      <c r="T2257" s="10" t="n">
        <v>410</v>
      </c>
      <c r="U2257" s="10" t="n">
        <v>115</v>
      </c>
      <c r="V2257" s="10">
        <f>ROUNDUP((T2257+U2257+2*'Read Me'!$B$13)*(1+'Read Me'!$B$12),-1)</f>
        <v/>
      </c>
      <c r="W2257" s="10">
        <f>V2257*N2257*O2257</f>
        <v/>
      </c>
      <c r="X2257" s="9">
        <f>IF(LEFT(I2257,2)="MV",2*N2257*IF(L2257="1/C",O2257,1),0)</f>
        <v/>
      </c>
      <c r="Y2257" s="9">
        <f>IF(OR(LEFT(K2257,4)="LVAX",LEFT(K2257,6)="MV15AX",LEFT(K2257,4)="CTAX",LEFT(K2257,2)="W|"),2*N2257*O2257,0)</f>
        <v/>
      </c>
      <c r="Z2257" s="9" t="inlineStr"/>
    </row>
    <row r="2258">
      <c r="A2258" s="9" t="inlineStr">
        <is>
          <t>I-I-0166</t>
        </is>
      </c>
      <c r="B2258" s="9" t="inlineStr">
        <is>
          <t>I</t>
        </is>
      </c>
      <c r="C2258" s="9" t="inlineStr">
        <is>
          <t>Modular / portable power</t>
        </is>
      </c>
      <c r="D2258" s="9" t="inlineStr">
        <is>
          <t>Instrumentation</t>
        </is>
      </c>
      <c r="E2258" s="9" t="inlineStr"/>
      <c r="F2258" s="9" t="inlineStr">
        <is>
          <t>PCM: power control module</t>
        </is>
      </c>
      <c r="G2258" s="9" t="inlineStr">
        <is>
          <t>SC-2</t>
        </is>
      </c>
      <c r="H2258" s="9" t="inlineStr">
        <is>
          <t>SC-2: aeroderivative simple-cycle unit (LM6000 class)</t>
        </is>
      </c>
      <c r="I2258" s="9" t="inlineStr">
        <is>
          <t>Instrumentation</t>
        </is>
      </c>
      <c r="J2258" s="9" t="inlineStr">
        <is>
          <t>Instrumentation PLTC / TC-ER 300 V, #18 twisted shielded pairs, overall shield</t>
        </is>
      </c>
      <c r="K2258" s="9" t="inlineStr">
        <is>
          <t>PLTC|12 pr|18</t>
        </is>
      </c>
      <c r="L2258" s="9" t="inlineStr">
        <is>
          <t>12 pr</t>
        </is>
      </c>
      <c r="M2258" s="9" t="inlineStr">
        <is>
          <t>18</t>
        </is>
      </c>
      <c r="N2258" s="9" t="n">
        <v>1</v>
      </c>
      <c r="O2258" s="9" t="n">
        <v>1</v>
      </c>
      <c r="P2258" s="9" t="n"/>
      <c r="Q2258" s="9" t="n"/>
      <c r="R2258" s="9" t="n"/>
      <c r="S2258" s="9" t="inlineStr">
        <is>
          <t>Duct bank</t>
        </is>
      </c>
      <c r="T2258" s="10" t="n">
        <v>410</v>
      </c>
      <c r="U2258" s="10" t="n">
        <v>115</v>
      </c>
      <c r="V2258" s="10">
        <f>ROUNDUP((T2258+U2258+2*'Read Me'!$B$13)*(1+'Read Me'!$B$12),-1)</f>
        <v/>
      </c>
      <c r="W2258" s="10">
        <f>V2258*N2258*O2258</f>
        <v/>
      </c>
      <c r="X2258" s="9">
        <f>IF(LEFT(I2258,2)="MV",2*N2258*IF(L2258="1/C",O2258,1),0)</f>
        <v/>
      </c>
      <c r="Y2258" s="9">
        <f>IF(OR(LEFT(K2258,4)="LVAX",LEFT(K2258,6)="MV15AX",LEFT(K2258,4)="CTAX",LEFT(K2258,2)="W|"),2*N2258*O2258,0)</f>
        <v/>
      </c>
      <c r="Z2258" s="9" t="inlineStr"/>
    </row>
    <row r="2259">
      <c r="A2259" s="9" t="inlineStr">
        <is>
          <t>I-I-0167</t>
        </is>
      </c>
      <c r="B2259" s="9" t="inlineStr">
        <is>
          <t>I</t>
        </is>
      </c>
      <c r="C2259" s="9" t="inlineStr">
        <is>
          <t>Modular / portable power</t>
        </is>
      </c>
      <c r="D2259" s="9" t="inlineStr">
        <is>
          <t>Instrumentation</t>
        </is>
      </c>
      <c r="E2259" s="9" t="inlineStr"/>
      <c r="F2259" s="9" t="inlineStr">
        <is>
          <t>PCM: power control module</t>
        </is>
      </c>
      <c r="G2259" s="9" t="inlineStr">
        <is>
          <t>SC-2</t>
        </is>
      </c>
      <c r="H2259" s="9" t="inlineStr">
        <is>
          <t>SC-2: aeroderivative simple-cycle unit (LM6000 class)</t>
        </is>
      </c>
      <c r="I2259" s="9" t="inlineStr">
        <is>
          <t>Instrumentation</t>
        </is>
      </c>
      <c r="J2259" s="9" t="inlineStr">
        <is>
          <t>Instrumentation PLTC / TC-ER 300 V, #18 twisted shielded pairs, overall shield</t>
        </is>
      </c>
      <c r="K2259" s="9" t="inlineStr">
        <is>
          <t>PLTC|12 pr|18</t>
        </is>
      </c>
      <c r="L2259" s="9" t="inlineStr">
        <is>
          <t>12 pr</t>
        </is>
      </c>
      <c r="M2259" s="9" t="inlineStr">
        <is>
          <t>18</t>
        </is>
      </c>
      <c r="N2259" s="9" t="n">
        <v>1</v>
      </c>
      <c r="O2259" s="9" t="n">
        <v>1</v>
      </c>
      <c r="P2259" s="9" t="n"/>
      <c r="Q2259" s="9" t="n"/>
      <c r="R2259" s="9" t="n"/>
      <c r="S2259" s="9" t="inlineStr">
        <is>
          <t>Duct bank</t>
        </is>
      </c>
      <c r="T2259" s="10" t="n">
        <v>410</v>
      </c>
      <c r="U2259" s="10" t="n">
        <v>115</v>
      </c>
      <c r="V2259" s="10">
        <f>ROUNDUP((T2259+U2259+2*'Read Me'!$B$13)*(1+'Read Me'!$B$12),-1)</f>
        <v/>
      </c>
      <c r="W2259" s="10">
        <f>V2259*N2259*O2259</f>
        <v/>
      </c>
      <c r="X2259" s="9">
        <f>IF(LEFT(I2259,2)="MV",2*N2259*IF(L2259="1/C",O2259,1),0)</f>
        <v/>
      </c>
      <c r="Y2259" s="9">
        <f>IF(OR(LEFT(K2259,4)="LVAX",LEFT(K2259,6)="MV15AX",LEFT(K2259,4)="CTAX",LEFT(K2259,2)="W|"),2*N2259*O2259,0)</f>
        <v/>
      </c>
      <c r="Z2259" s="9" t="inlineStr"/>
    </row>
    <row r="2260">
      <c r="A2260" s="9" t="inlineStr">
        <is>
          <t>I-I-0168</t>
        </is>
      </c>
      <c r="B2260" s="9" t="inlineStr">
        <is>
          <t>I</t>
        </is>
      </c>
      <c r="C2260" s="9" t="inlineStr">
        <is>
          <t>Modular / portable power</t>
        </is>
      </c>
      <c r="D2260" s="9" t="inlineStr">
        <is>
          <t>Instrumentation</t>
        </is>
      </c>
      <c r="E2260" s="9" t="inlineStr"/>
      <c r="F2260" s="9" t="inlineStr">
        <is>
          <t>PCM: power control module</t>
        </is>
      </c>
      <c r="G2260" s="9" t="inlineStr">
        <is>
          <t>SC-2</t>
        </is>
      </c>
      <c r="H2260" s="9" t="inlineStr">
        <is>
          <t>SC-2: aeroderivative simple-cycle unit (LM6000 class)</t>
        </is>
      </c>
      <c r="I2260" s="9" t="inlineStr">
        <is>
          <t>Instrumentation</t>
        </is>
      </c>
      <c r="J2260" s="9" t="inlineStr">
        <is>
          <t>Instrumentation PLTC / TC-ER 300 V, #18 twisted shielded pairs, overall shield</t>
        </is>
      </c>
      <c r="K2260" s="9" t="inlineStr">
        <is>
          <t>PLTC|12 pr|18</t>
        </is>
      </c>
      <c r="L2260" s="9" t="inlineStr">
        <is>
          <t>12 pr</t>
        </is>
      </c>
      <c r="M2260" s="9" t="inlineStr">
        <is>
          <t>18</t>
        </is>
      </c>
      <c r="N2260" s="9" t="n">
        <v>1</v>
      </c>
      <c r="O2260" s="9" t="n">
        <v>1</v>
      </c>
      <c r="P2260" s="9" t="n"/>
      <c r="Q2260" s="9" t="n"/>
      <c r="R2260" s="9" t="n"/>
      <c r="S2260" s="9" t="inlineStr">
        <is>
          <t>Duct bank</t>
        </is>
      </c>
      <c r="T2260" s="10" t="n">
        <v>410</v>
      </c>
      <c r="U2260" s="10" t="n">
        <v>115</v>
      </c>
      <c r="V2260" s="10">
        <f>ROUNDUP((T2260+U2260+2*'Read Me'!$B$13)*(1+'Read Me'!$B$12),-1)</f>
        <v/>
      </c>
      <c r="W2260" s="10">
        <f>V2260*N2260*O2260</f>
        <v/>
      </c>
      <c r="X2260" s="9">
        <f>IF(LEFT(I2260,2)="MV",2*N2260*IF(L2260="1/C",O2260,1),0)</f>
        <v/>
      </c>
      <c r="Y2260" s="9">
        <f>IF(OR(LEFT(K2260,4)="LVAX",LEFT(K2260,6)="MV15AX",LEFT(K2260,4)="CTAX",LEFT(K2260,2)="W|"),2*N2260*O2260,0)</f>
        <v/>
      </c>
      <c r="Z2260" s="9" t="inlineStr"/>
    </row>
    <row r="2261">
      <c r="A2261" s="9" t="inlineStr">
        <is>
          <t>I-I-0169</t>
        </is>
      </c>
      <c r="B2261" s="9" t="inlineStr">
        <is>
          <t>I</t>
        </is>
      </c>
      <c r="C2261" s="9" t="inlineStr">
        <is>
          <t>Modular / portable power</t>
        </is>
      </c>
      <c r="D2261" s="9" t="inlineStr">
        <is>
          <t>Instrumentation</t>
        </is>
      </c>
      <c r="E2261" s="9" t="inlineStr"/>
      <c r="F2261" s="9" t="inlineStr">
        <is>
          <t>PCM: power control module</t>
        </is>
      </c>
      <c r="G2261" s="9" t="inlineStr">
        <is>
          <t>SC-2</t>
        </is>
      </c>
      <c r="H2261" s="9" t="inlineStr">
        <is>
          <t>SC-2: aeroderivative simple-cycle unit (LM6000 class)</t>
        </is>
      </c>
      <c r="I2261" s="9" t="inlineStr">
        <is>
          <t>Instrumentation</t>
        </is>
      </c>
      <c r="J2261" s="9" t="inlineStr">
        <is>
          <t>Instrumentation PLTC / TC-ER 300 V, #18 twisted shielded pairs, overall shield</t>
        </is>
      </c>
      <c r="K2261" s="9" t="inlineStr">
        <is>
          <t>PLTC|12 pr|18</t>
        </is>
      </c>
      <c r="L2261" s="9" t="inlineStr">
        <is>
          <t>12 pr</t>
        </is>
      </c>
      <c r="M2261" s="9" t="inlineStr">
        <is>
          <t>18</t>
        </is>
      </c>
      <c r="N2261" s="9" t="n">
        <v>1</v>
      </c>
      <c r="O2261" s="9" t="n">
        <v>1</v>
      </c>
      <c r="P2261" s="9" t="n"/>
      <c r="Q2261" s="9" t="n"/>
      <c r="R2261" s="9" t="n"/>
      <c r="S2261" s="9" t="inlineStr">
        <is>
          <t>Duct bank</t>
        </is>
      </c>
      <c r="T2261" s="10" t="n">
        <v>410</v>
      </c>
      <c r="U2261" s="10" t="n">
        <v>115</v>
      </c>
      <c r="V2261" s="10">
        <f>ROUNDUP((T2261+U2261+2*'Read Me'!$B$13)*(1+'Read Me'!$B$12),-1)</f>
        <v/>
      </c>
      <c r="W2261" s="10">
        <f>V2261*N2261*O2261</f>
        <v/>
      </c>
      <c r="X2261" s="9">
        <f>IF(LEFT(I2261,2)="MV",2*N2261*IF(L2261="1/C",O2261,1),0)</f>
        <v/>
      </c>
      <c r="Y2261" s="9">
        <f>IF(OR(LEFT(K2261,4)="LVAX",LEFT(K2261,6)="MV15AX",LEFT(K2261,4)="CTAX",LEFT(K2261,2)="W|"),2*N2261*O2261,0)</f>
        <v/>
      </c>
      <c r="Z2261" s="9" t="inlineStr"/>
    </row>
    <row r="2262">
      <c r="A2262" s="9" t="inlineStr">
        <is>
          <t>I-I-0170</t>
        </is>
      </c>
      <c r="B2262" s="9" t="inlineStr">
        <is>
          <t>I</t>
        </is>
      </c>
      <c r="C2262" s="9" t="inlineStr">
        <is>
          <t>Modular / portable power</t>
        </is>
      </c>
      <c r="D2262" s="9" t="inlineStr">
        <is>
          <t>Instrumentation</t>
        </is>
      </c>
      <c r="E2262" s="9" t="inlineStr"/>
      <c r="F2262" s="9" t="inlineStr">
        <is>
          <t>PCM: power control module</t>
        </is>
      </c>
      <c r="G2262" s="9" t="inlineStr">
        <is>
          <t>SC-2</t>
        </is>
      </c>
      <c r="H2262" s="9" t="inlineStr">
        <is>
          <t>SC-2: aeroderivative simple-cycle unit (LM6000 class)</t>
        </is>
      </c>
      <c r="I2262" s="9" t="inlineStr">
        <is>
          <t>Instrumentation</t>
        </is>
      </c>
      <c r="J2262" s="9" t="inlineStr">
        <is>
          <t>Instrumentation PLTC / TC-ER 300 V, #18 twisted shielded pairs, overall shield</t>
        </is>
      </c>
      <c r="K2262" s="9" t="inlineStr">
        <is>
          <t>PLTC|12 pr|18</t>
        </is>
      </c>
      <c r="L2262" s="9" t="inlineStr">
        <is>
          <t>12 pr</t>
        </is>
      </c>
      <c r="M2262" s="9" t="inlineStr">
        <is>
          <t>18</t>
        </is>
      </c>
      <c r="N2262" s="9" t="n">
        <v>1</v>
      </c>
      <c r="O2262" s="9" t="n">
        <v>1</v>
      </c>
      <c r="P2262" s="9" t="n"/>
      <c r="Q2262" s="9" t="n"/>
      <c r="R2262" s="9" t="n"/>
      <c r="S2262" s="9" t="inlineStr">
        <is>
          <t>Duct bank</t>
        </is>
      </c>
      <c r="T2262" s="10" t="n">
        <v>410</v>
      </c>
      <c r="U2262" s="10" t="n">
        <v>115</v>
      </c>
      <c r="V2262" s="10">
        <f>ROUNDUP((T2262+U2262+2*'Read Me'!$B$13)*(1+'Read Me'!$B$12),-1)</f>
        <v/>
      </c>
      <c r="W2262" s="10">
        <f>V2262*N2262*O2262</f>
        <v/>
      </c>
      <c r="X2262" s="9">
        <f>IF(LEFT(I2262,2)="MV",2*N2262*IF(L2262="1/C",O2262,1),0)</f>
        <v/>
      </c>
      <c r="Y2262" s="9">
        <f>IF(OR(LEFT(K2262,4)="LVAX",LEFT(K2262,6)="MV15AX",LEFT(K2262,4)="CTAX",LEFT(K2262,2)="W|"),2*N2262*O2262,0)</f>
        <v/>
      </c>
      <c r="Z2262" s="9" t="inlineStr"/>
    </row>
    <row r="2263">
      <c r="A2263" s="9" t="inlineStr">
        <is>
          <t>I-I-0171</t>
        </is>
      </c>
      <c r="B2263" s="9" t="inlineStr">
        <is>
          <t>I</t>
        </is>
      </c>
      <c r="C2263" s="9" t="inlineStr">
        <is>
          <t>Modular / portable power</t>
        </is>
      </c>
      <c r="D2263" s="9" t="inlineStr">
        <is>
          <t>Thermocouples</t>
        </is>
      </c>
      <c r="E2263" s="9" t="inlineStr"/>
      <c r="F2263" s="9" t="inlineStr">
        <is>
          <t>PCM: power control module</t>
        </is>
      </c>
      <c r="G2263" s="9" t="inlineStr">
        <is>
          <t>SC-2</t>
        </is>
      </c>
      <c r="H2263" s="9" t="inlineStr">
        <is>
          <t>SC-2: aeroderivative simple-cycle unit (LM6000 class)</t>
        </is>
      </c>
      <c r="I2263" s="9" t="inlineStr">
        <is>
          <t>Instrumentation</t>
        </is>
      </c>
      <c r="J2263" s="9" t="inlineStr">
        <is>
          <t>Thermocouple extension KX, #16 shielded pairs, PLTC</t>
        </is>
      </c>
      <c r="K2263" s="9" t="inlineStr">
        <is>
          <t>TCX|12 pr|16</t>
        </is>
      </c>
      <c r="L2263" s="9" t="inlineStr">
        <is>
          <t>12 pr</t>
        </is>
      </c>
      <c r="M2263" s="9" t="inlineStr">
        <is>
          <t>16</t>
        </is>
      </c>
      <c r="N2263" s="9" t="n">
        <v>1</v>
      </c>
      <c r="O2263" s="9" t="n">
        <v>1</v>
      </c>
      <c r="P2263" s="9" t="n"/>
      <c r="Q2263" s="9" t="n"/>
      <c r="R2263" s="9" t="n"/>
      <c r="S2263" s="9" t="inlineStr">
        <is>
          <t>Duct bank</t>
        </is>
      </c>
      <c r="T2263" s="10" t="n">
        <v>410</v>
      </c>
      <c r="U2263" s="10" t="n">
        <v>115</v>
      </c>
      <c r="V2263" s="10">
        <f>ROUNDUP((T2263+U2263+2*'Read Me'!$B$13)*(1+'Read Me'!$B$12),-1)</f>
        <v/>
      </c>
      <c r="W2263" s="10">
        <f>V2263*N2263*O2263</f>
        <v/>
      </c>
      <c r="X2263" s="9">
        <f>IF(LEFT(I2263,2)="MV",2*N2263*IF(L2263="1/C",O2263,1),0)</f>
        <v/>
      </c>
      <c r="Y2263" s="9">
        <f>IF(OR(LEFT(K2263,4)="LVAX",LEFT(K2263,6)="MV15AX",LEFT(K2263,4)="CTAX",LEFT(K2263,2)="W|"),2*N2263*O2263,0)</f>
        <v/>
      </c>
      <c r="Z2263" s="9" t="inlineStr"/>
    </row>
    <row r="2264">
      <c r="A2264" s="9" t="inlineStr">
        <is>
          <t>I-I-0172</t>
        </is>
      </c>
      <c r="B2264" s="9" t="inlineStr">
        <is>
          <t>I</t>
        </is>
      </c>
      <c r="C2264" s="9" t="inlineStr">
        <is>
          <t>Modular / portable power</t>
        </is>
      </c>
      <c r="D2264" s="9" t="inlineStr">
        <is>
          <t>Thermocouples</t>
        </is>
      </c>
      <c r="E2264" s="9" t="inlineStr"/>
      <c r="F2264" s="9" t="inlineStr">
        <is>
          <t>PCM: power control module</t>
        </is>
      </c>
      <c r="G2264" s="9" t="inlineStr">
        <is>
          <t>SC-2</t>
        </is>
      </c>
      <c r="H2264" s="9" t="inlineStr">
        <is>
          <t>SC-2: aeroderivative simple-cycle unit (LM6000 class)</t>
        </is>
      </c>
      <c r="I2264" s="9" t="inlineStr">
        <is>
          <t>Instrumentation</t>
        </is>
      </c>
      <c r="J2264" s="9" t="inlineStr">
        <is>
          <t>Thermocouple extension KX, #16 shielded pairs, PLTC</t>
        </is>
      </c>
      <c r="K2264" s="9" t="inlineStr">
        <is>
          <t>TCX|12 pr|16</t>
        </is>
      </c>
      <c r="L2264" s="9" t="inlineStr">
        <is>
          <t>12 pr</t>
        </is>
      </c>
      <c r="M2264" s="9" t="inlineStr">
        <is>
          <t>16</t>
        </is>
      </c>
      <c r="N2264" s="9" t="n">
        <v>1</v>
      </c>
      <c r="O2264" s="9" t="n">
        <v>1</v>
      </c>
      <c r="P2264" s="9" t="n"/>
      <c r="Q2264" s="9" t="n"/>
      <c r="R2264" s="9" t="n"/>
      <c r="S2264" s="9" t="inlineStr">
        <is>
          <t>Duct bank</t>
        </is>
      </c>
      <c r="T2264" s="10" t="n">
        <v>410</v>
      </c>
      <c r="U2264" s="10" t="n">
        <v>115</v>
      </c>
      <c r="V2264" s="10">
        <f>ROUNDUP((T2264+U2264+2*'Read Me'!$B$13)*(1+'Read Me'!$B$12),-1)</f>
        <v/>
      </c>
      <c r="W2264" s="10">
        <f>V2264*N2264*O2264</f>
        <v/>
      </c>
      <c r="X2264" s="9">
        <f>IF(LEFT(I2264,2)="MV",2*N2264*IF(L2264="1/C",O2264,1),0)</f>
        <v/>
      </c>
      <c r="Y2264" s="9">
        <f>IF(OR(LEFT(K2264,4)="LVAX",LEFT(K2264,6)="MV15AX",LEFT(K2264,4)="CTAX",LEFT(K2264,2)="W|"),2*N2264*O2264,0)</f>
        <v/>
      </c>
      <c r="Z2264" s="9" t="inlineStr"/>
    </row>
    <row r="2265">
      <c r="A2265" s="9" t="inlineStr">
        <is>
          <t>I-I-0173</t>
        </is>
      </c>
      <c r="B2265" s="9" t="inlineStr">
        <is>
          <t>I</t>
        </is>
      </c>
      <c r="C2265" s="9" t="inlineStr">
        <is>
          <t>Modular / portable power</t>
        </is>
      </c>
      <c r="D2265" s="9" t="inlineStr">
        <is>
          <t>Thermocouples</t>
        </is>
      </c>
      <c r="E2265" s="9" t="inlineStr"/>
      <c r="F2265" s="9" t="inlineStr">
        <is>
          <t>PCM: power control module</t>
        </is>
      </c>
      <c r="G2265" s="9" t="inlineStr">
        <is>
          <t>SC-2</t>
        </is>
      </c>
      <c r="H2265" s="9" t="inlineStr">
        <is>
          <t>SC-2: aeroderivative simple-cycle unit (LM6000 class)</t>
        </is>
      </c>
      <c r="I2265" s="9" t="inlineStr">
        <is>
          <t>Instrumentation</t>
        </is>
      </c>
      <c r="J2265" s="9" t="inlineStr">
        <is>
          <t>Thermocouple extension KX, #16 shielded pairs, PLTC</t>
        </is>
      </c>
      <c r="K2265" s="9" t="inlineStr">
        <is>
          <t>TCX|12 pr|16</t>
        </is>
      </c>
      <c r="L2265" s="9" t="inlineStr">
        <is>
          <t>12 pr</t>
        </is>
      </c>
      <c r="M2265" s="9" t="inlineStr">
        <is>
          <t>16</t>
        </is>
      </c>
      <c r="N2265" s="9" t="n">
        <v>1</v>
      </c>
      <c r="O2265" s="9" t="n">
        <v>1</v>
      </c>
      <c r="P2265" s="9" t="n"/>
      <c r="Q2265" s="9" t="n"/>
      <c r="R2265" s="9" t="n"/>
      <c r="S2265" s="9" t="inlineStr">
        <is>
          <t>Duct bank</t>
        </is>
      </c>
      <c r="T2265" s="10" t="n">
        <v>410</v>
      </c>
      <c r="U2265" s="10" t="n">
        <v>115</v>
      </c>
      <c r="V2265" s="10">
        <f>ROUNDUP((T2265+U2265+2*'Read Me'!$B$13)*(1+'Read Me'!$B$12),-1)</f>
        <v/>
      </c>
      <c r="W2265" s="10">
        <f>V2265*N2265*O2265</f>
        <v/>
      </c>
      <c r="X2265" s="9">
        <f>IF(LEFT(I2265,2)="MV",2*N2265*IF(L2265="1/C",O2265,1),0)</f>
        <v/>
      </c>
      <c r="Y2265" s="9">
        <f>IF(OR(LEFT(K2265,4)="LVAX",LEFT(K2265,6)="MV15AX",LEFT(K2265,4)="CTAX",LEFT(K2265,2)="W|"),2*N2265*O2265,0)</f>
        <v/>
      </c>
      <c r="Z2265" s="9" t="inlineStr"/>
    </row>
    <row r="2266">
      <c r="A2266" s="9" t="inlineStr">
        <is>
          <t>I-I-0174</t>
        </is>
      </c>
      <c r="B2266" s="9" t="inlineStr">
        <is>
          <t>I</t>
        </is>
      </c>
      <c r="C2266" s="9" t="inlineStr">
        <is>
          <t>Modular / portable power</t>
        </is>
      </c>
      <c r="D2266" s="9" t="inlineStr">
        <is>
          <t>Thermocouples</t>
        </is>
      </c>
      <c r="E2266" s="9" t="inlineStr"/>
      <c r="F2266" s="9" t="inlineStr">
        <is>
          <t>PCM: power control module</t>
        </is>
      </c>
      <c r="G2266" s="9" t="inlineStr">
        <is>
          <t>SC-2</t>
        </is>
      </c>
      <c r="H2266" s="9" t="inlineStr">
        <is>
          <t>SC-2: aeroderivative simple-cycle unit (LM6000 class)</t>
        </is>
      </c>
      <c r="I2266" s="9" t="inlineStr">
        <is>
          <t>Instrumentation</t>
        </is>
      </c>
      <c r="J2266" s="9" t="inlineStr">
        <is>
          <t>Thermocouple extension KX, #16 shielded pairs, PLTC</t>
        </is>
      </c>
      <c r="K2266" s="9" t="inlineStr">
        <is>
          <t>TCX|12 pr|16</t>
        </is>
      </c>
      <c r="L2266" s="9" t="inlineStr">
        <is>
          <t>12 pr</t>
        </is>
      </c>
      <c r="M2266" s="9" t="inlineStr">
        <is>
          <t>16</t>
        </is>
      </c>
      <c r="N2266" s="9" t="n">
        <v>1</v>
      </c>
      <c r="O2266" s="9" t="n">
        <v>1</v>
      </c>
      <c r="P2266" s="9" t="n"/>
      <c r="Q2266" s="9" t="n"/>
      <c r="R2266" s="9" t="n"/>
      <c r="S2266" s="9" t="inlineStr">
        <is>
          <t>Duct bank</t>
        </is>
      </c>
      <c r="T2266" s="10" t="n">
        <v>410</v>
      </c>
      <c r="U2266" s="10" t="n">
        <v>115</v>
      </c>
      <c r="V2266" s="10">
        <f>ROUNDUP((T2266+U2266+2*'Read Me'!$B$13)*(1+'Read Me'!$B$12),-1)</f>
        <v/>
      </c>
      <c r="W2266" s="10">
        <f>V2266*N2266*O2266</f>
        <v/>
      </c>
      <c r="X2266" s="9">
        <f>IF(LEFT(I2266,2)="MV",2*N2266*IF(L2266="1/C",O2266,1),0)</f>
        <v/>
      </c>
      <c r="Y2266" s="9">
        <f>IF(OR(LEFT(K2266,4)="LVAX",LEFT(K2266,6)="MV15AX",LEFT(K2266,4)="CTAX",LEFT(K2266,2)="W|"),2*N2266*O2266,0)</f>
        <v/>
      </c>
      <c r="Z2266" s="9" t="inlineStr"/>
    </row>
    <row r="2267">
      <c r="A2267" s="9" t="inlineStr">
        <is>
          <t>I-I-0175</t>
        </is>
      </c>
      <c r="B2267" s="9" t="inlineStr">
        <is>
          <t>I</t>
        </is>
      </c>
      <c r="C2267" s="9" t="inlineStr">
        <is>
          <t>Modular / portable power</t>
        </is>
      </c>
      <c r="D2267" s="9" t="inlineStr">
        <is>
          <t>Thermocouples</t>
        </is>
      </c>
      <c r="E2267" s="9" t="inlineStr"/>
      <c r="F2267" s="9" t="inlineStr">
        <is>
          <t>PCM: power control module</t>
        </is>
      </c>
      <c r="G2267" s="9" t="inlineStr">
        <is>
          <t>SC-2</t>
        </is>
      </c>
      <c r="H2267" s="9" t="inlineStr">
        <is>
          <t>SC-2: aeroderivative simple-cycle unit (LM6000 class)</t>
        </is>
      </c>
      <c r="I2267" s="9" t="inlineStr">
        <is>
          <t>Instrumentation</t>
        </is>
      </c>
      <c r="J2267" s="9" t="inlineStr">
        <is>
          <t>Thermocouple extension KX, #16 shielded pairs, PLTC</t>
        </is>
      </c>
      <c r="K2267" s="9" t="inlineStr">
        <is>
          <t>TCX|12 pr|16</t>
        </is>
      </c>
      <c r="L2267" s="9" t="inlineStr">
        <is>
          <t>12 pr</t>
        </is>
      </c>
      <c r="M2267" s="9" t="inlineStr">
        <is>
          <t>16</t>
        </is>
      </c>
      <c r="N2267" s="9" t="n">
        <v>1</v>
      </c>
      <c r="O2267" s="9" t="n">
        <v>1</v>
      </c>
      <c r="P2267" s="9" t="n"/>
      <c r="Q2267" s="9" t="n"/>
      <c r="R2267" s="9" t="n"/>
      <c r="S2267" s="9" t="inlineStr">
        <is>
          <t>Duct bank</t>
        </is>
      </c>
      <c r="T2267" s="10" t="n">
        <v>410</v>
      </c>
      <c r="U2267" s="10" t="n">
        <v>115</v>
      </c>
      <c r="V2267" s="10">
        <f>ROUNDUP((T2267+U2267+2*'Read Me'!$B$13)*(1+'Read Me'!$B$12),-1)</f>
        <v/>
      </c>
      <c r="W2267" s="10">
        <f>V2267*N2267*O2267</f>
        <v/>
      </c>
      <c r="X2267" s="9">
        <f>IF(LEFT(I2267,2)="MV",2*N2267*IF(L2267="1/C",O2267,1),0)</f>
        <v/>
      </c>
      <c r="Y2267" s="9">
        <f>IF(OR(LEFT(K2267,4)="LVAX",LEFT(K2267,6)="MV15AX",LEFT(K2267,4)="CTAX",LEFT(K2267,2)="W|"),2*N2267*O2267,0)</f>
        <v/>
      </c>
      <c r="Z2267" s="9" t="inlineStr"/>
    </row>
    <row r="2268">
      <c r="A2268" s="9" t="inlineStr">
        <is>
          <t>I-I-0176</t>
        </is>
      </c>
      <c r="B2268" s="9" t="inlineStr">
        <is>
          <t>I</t>
        </is>
      </c>
      <c r="C2268" s="9" t="inlineStr">
        <is>
          <t>Modular / portable power</t>
        </is>
      </c>
      <c r="D2268" s="9" t="inlineStr">
        <is>
          <t>Thermocouples</t>
        </is>
      </c>
      <c r="E2268" s="9" t="inlineStr"/>
      <c r="F2268" s="9" t="inlineStr">
        <is>
          <t>PCM: power control module</t>
        </is>
      </c>
      <c r="G2268" s="9" t="inlineStr">
        <is>
          <t>SC-2</t>
        </is>
      </c>
      <c r="H2268" s="9" t="inlineStr">
        <is>
          <t>SC-2: aeroderivative simple-cycle unit (LM6000 class)</t>
        </is>
      </c>
      <c r="I2268" s="9" t="inlineStr">
        <is>
          <t>Instrumentation</t>
        </is>
      </c>
      <c r="J2268" s="9" t="inlineStr">
        <is>
          <t>Thermocouple extension KX, #16 shielded pairs, PLTC</t>
        </is>
      </c>
      <c r="K2268" s="9" t="inlineStr">
        <is>
          <t>TCX|12 pr|16</t>
        </is>
      </c>
      <c r="L2268" s="9" t="inlineStr">
        <is>
          <t>12 pr</t>
        </is>
      </c>
      <c r="M2268" s="9" t="inlineStr">
        <is>
          <t>16</t>
        </is>
      </c>
      <c r="N2268" s="9" t="n">
        <v>1</v>
      </c>
      <c r="O2268" s="9" t="n">
        <v>1</v>
      </c>
      <c r="P2268" s="9" t="n"/>
      <c r="Q2268" s="9" t="n"/>
      <c r="R2268" s="9" t="n"/>
      <c r="S2268" s="9" t="inlineStr">
        <is>
          <t>Duct bank</t>
        </is>
      </c>
      <c r="T2268" s="10" t="n">
        <v>410</v>
      </c>
      <c r="U2268" s="10" t="n">
        <v>115</v>
      </c>
      <c r="V2268" s="10">
        <f>ROUNDUP((T2268+U2268+2*'Read Me'!$B$13)*(1+'Read Me'!$B$12),-1)</f>
        <v/>
      </c>
      <c r="W2268" s="10">
        <f>V2268*N2268*O2268</f>
        <v/>
      </c>
      <c r="X2268" s="9">
        <f>IF(LEFT(I2268,2)="MV",2*N2268*IF(L2268="1/C",O2268,1),0)</f>
        <v/>
      </c>
      <c r="Y2268" s="9">
        <f>IF(OR(LEFT(K2268,4)="LVAX",LEFT(K2268,6)="MV15AX",LEFT(K2268,4)="CTAX",LEFT(K2268,2)="W|"),2*N2268*O2268,0)</f>
        <v/>
      </c>
      <c r="Z2268" s="9" t="inlineStr"/>
    </row>
    <row r="2269">
      <c r="A2269" s="9" t="inlineStr">
        <is>
          <t>I-I-0177</t>
        </is>
      </c>
      <c r="B2269" s="9" t="inlineStr">
        <is>
          <t>I</t>
        </is>
      </c>
      <c r="C2269" s="9" t="inlineStr">
        <is>
          <t>Modular / portable power</t>
        </is>
      </c>
      <c r="D2269" s="9" t="inlineStr">
        <is>
          <t>Instrumentation</t>
        </is>
      </c>
      <c r="E2269" s="9" t="inlineStr"/>
      <c r="F2269" s="9" t="inlineStr">
        <is>
          <t>PCM: power control module</t>
        </is>
      </c>
      <c r="G2269" s="9" t="inlineStr">
        <is>
          <t>T-MOD-1</t>
        </is>
      </c>
      <c r="H2269" s="9" t="inlineStr">
        <is>
          <t>T-MOD-1: 13.8/230 kV</t>
        </is>
      </c>
      <c r="I2269" s="9" t="inlineStr">
        <is>
          <t>Instrumentation</t>
        </is>
      </c>
      <c r="J2269" s="9" t="inlineStr">
        <is>
          <t>Instrumentation PLTC / TC-ER 300 V, #18 twisted shielded pairs, overall shield</t>
        </is>
      </c>
      <c r="K2269" s="9" t="inlineStr">
        <is>
          <t>PLTC|4 pr|18</t>
        </is>
      </c>
      <c r="L2269" s="9" t="inlineStr">
        <is>
          <t>4 pr</t>
        </is>
      </c>
      <c r="M2269" s="9" t="inlineStr">
        <is>
          <t>18</t>
        </is>
      </c>
      <c r="N2269" s="9" t="n">
        <v>1</v>
      </c>
      <c r="O2269" s="9" t="n">
        <v>1</v>
      </c>
      <c r="P2269" s="9" t="n"/>
      <c r="Q2269" s="9" t="n"/>
      <c r="R2269" s="9" t="n"/>
      <c r="S2269" s="9" t="inlineStr">
        <is>
          <t>Duct bank</t>
        </is>
      </c>
      <c r="T2269" s="10" t="n">
        <v>385</v>
      </c>
      <c r="U2269" s="10" t="n">
        <v>112</v>
      </c>
      <c r="V2269" s="10">
        <f>ROUNDUP((T2269+U2269+2*'Read Me'!$B$13)*(1+'Read Me'!$B$12),-1)</f>
        <v/>
      </c>
      <c r="W2269" s="10">
        <f>V2269*N2269*O2269</f>
        <v/>
      </c>
      <c r="X2269" s="9">
        <f>IF(LEFT(I2269,2)="MV",2*N2269*IF(L2269="1/C",O2269,1),0)</f>
        <v/>
      </c>
      <c r="Y2269" s="9">
        <f>IF(OR(LEFT(K2269,4)="LVAX",LEFT(K2269,6)="MV15AX",LEFT(K2269,4)="CTAX",LEFT(K2269,2)="W|"),2*N2269*O2269,0)</f>
        <v/>
      </c>
      <c r="Z2269" s="9" t="inlineStr"/>
    </row>
    <row r="2270">
      <c r="A2270" s="9" t="inlineStr">
        <is>
          <t>I-I-0178</t>
        </is>
      </c>
      <c r="B2270" s="9" t="inlineStr">
        <is>
          <t>I</t>
        </is>
      </c>
      <c r="C2270" s="9" t="inlineStr">
        <is>
          <t>Modular / portable power</t>
        </is>
      </c>
      <c r="D2270" s="9" t="inlineStr">
        <is>
          <t>Instrumentation</t>
        </is>
      </c>
      <c r="E2270" s="9" t="inlineStr"/>
      <c r="F2270" s="9" t="inlineStr">
        <is>
          <t>PCM: power control module</t>
        </is>
      </c>
      <c r="G2270" s="9" t="inlineStr">
        <is>
          <t>T-MOD-2</t>
        </is>
      </c>
      <c r="H2270" s="9" t="inlineStr">
        <is>
          <t>T-MOD-2: 13.8/230 kV</t>
        </is>
      </c>
      <c r="I2270" s="9" t="inlineStr">
        <is>
          <t>Instrumentation</t>
        </is>
      </c>
      <c r="J2270" s="9" t="inlineStr">
        <is>
          <t>Instrumentation PLTC / TC-ER 300 V, #18 twisted shielded pairs, overall shield</t>
        </is>
      </c>
      <c r="K2270" s="9" t="inlineStr">
        <is>
          <t>PLTC|4 pr|18</t>
        </is>
      </c>
      <c r="L2270" s="9" t="inlineStr">
        <is>
          <t>4 pr</t>
        </is>
      </c>
      <c r="M2270" s="9" t="inlineStr">
        <is>
          <t>18</t>
        </is>
      </c>
      <c r="N2270" s="9" t="n">
        <v>1</v>
      </c>
      <c r="O2270" s="9" t="n">
        <v>1</v>
      </c>
      <c r="P2270" s="9" t="n"/>
      <c r="Q2270" s="9" t="n"/>
      <c r="R2270" s="9" t="n"/>
      <c r="S2270" s="9" t="inlineStr">
        <is>
          <t>Duct bank</t>
        </is>
      </c>
      <c r="T2270" s="10" t="n">
        <v>385</v>
      </c>
      <c r="U2270" s="10" t="n">
        <v>172</v>
      </c>
      <c r="V2270" s="10">
        <f>ROUNDUP((T2270+U2270+2*'Read Me'!$B$13)*(1+'Read Me'!$B$12),-1)</f>
        <v/>
      </c>
      <c r="W2270" s="10">
        <f>V2270*N2270*O2270</f>
        <v/>
      </c>
      <c r="X2270" s="9">
        <f>IF(LEFT(I2270,2)="MV",2*N2270*IF(L2270="1/C",O2270,1),0)</f>
        <v/>
      </c>
      <c r="Y2270" s="9">
        <f>IF(OR(LEFT(K2270,4)="LVAX",LEFT(K2270,6)="MV15AX",LEFT(K2270,4)="CTAX",LEFT(K2270,2)="W|"),2*N2270*O2270,0)</f>
        <v/>
      </c>
      <c r="Z2270" s="9" t="inlineStr"/>
    </row>
    <row r="2271">
      <c r="A2271" s="9" t="inlineStr">
        <is>
          <t>I-I-0179</t>
        </is>
      </c>
      <c r="B2271" s="9" t="inlineStr">
        <is>
          <t>I</t>
        </is>
      </c>
      <c r="C2271" s="9" t="inlineStr">
        <is>
          <t>Modular / portable power</t>
        </is>
      </c>
      <c r="D2271" s="9" t="inlineStr">
        <is>
          <t>Instrumentation</t>
        </is>
      </c>
      <c r="E2271" s="9" t="inlineStr">
        <is>
          <t>PAD-EH</t>
        </is>
      </c>
      <c r="F2271" s="9" t="inlineStr">
        <is>
          <t>PAD-EH 13.8 kV switchgear e-house</t>
        </is>
      </c>
      <c r="G2271" s="9" t="inlineStr">
        <is>
          <t>TM-1</t>
        </is>
      </c>
      <c r="H2271" s="9" t="inlineStr">
        <is>
          <t>TM-1: trailer-mounted aeroderivative GT (TM2500 class, ~35 MW)</t>
        </is>
      </c>
      <c r="I2271" s="9" t="inlineStr">
        <is>
          <t>Instrumentation</t>
        </is>
      </c>
      <c r="J2271" s="9" t="inlineStr">
        <is>
          <t>Instrumentation PLTC / TC-ER 300 V, #18 twisted shielded pairs, overall shield</t>
        </is>
      </c>
      <c r="K2271" s="9" t="inlineStr">
        <is>
          <t>PLTC|4 pr|18</t>
        </is>
      </c>
      <c r="L2271" s="9" t="inlineStr">
        <is>
          <t>4 pr</t>
        </is>
      </c>
      <c r="M2271" s="9" t="inlineStr">
        <is>
          <t>18</t>
        </is>
      </c>
      <c r="N2271" s="9" t="n">
        <v>1</v>
      </c>
      <c r="O2271" s="9" t="n">
        <v>1</v>
      </c>
      <c r="P2271" s="9" t="n"/>
      <c r="Q2271" s="9" t="n"/>
      <c r="R2271" s="9" t="n"/>
      <c r="S2271" s="9" t="inlineStr">
        <is>
          <t>Surface</t>
        </is>
      </c>
      <c r="T2271" s="10" t="n">
        <v>185</v>
      </c>
      <c r="U2271" s="10" t="n">
        <v>27</v>
      </c>
      <c r="V2271" s="10">
        <f>ROUNDUP((T2271+U2271+2*'Read Me'!$B$13)*(1+'Read Me'!$B$12),-1)</f>
        <v/>
      </c>
      <c r="W2271" s="10">
        <f>V2271*N2271*O2271</f>
        <v/>
      </c>
      <c r="X2271" s="9">
        <f>IF(LEFT(I2271,2)="MV",2*N2271*IF(L2271="1/C",O2271,1),0)</f>
        <v/>
      </c>
      <c r="Y2271" s="9">
        <f>IF(OR(LEFT(K2271,4)="LVAX",LEFT(K2271,6)="MV15AX",LEFT(K2271,4)="CTAX",LEFT(K2271,2)="W|"),2*N2271*O2271,0)</f>
        <v/>
      </c>
      <c r="Z2271" s="9" t="inlineStr"/>
    </row>
    <row r="2272">
      <c r="A2272" s="9" t="inlineStr">
        <is>
          <t>I-I-0180</t>
        </is>
      </c>
      <c r="B2272" s="9" t="inlineStr">
        <is>
          <t>I</t>
        </is>
      </c>
      <c r="C2272" s="9" t="inlineStr">
        <is>
          <t>Modular / portable power</t>
        </is>
      </c>
      <c r="D2272" s="9" t="inlineStr">
        <is>
          <t>Instrumentation</t>
        </is>
      </c>
      <c r="E2272" s="9" t="inlineStr">
        <is>
          <t>PAD-EH</t>
        </is>
      </c>
      <c r="F2272" s="9" t="inlineStr">
        <is>
          <t>PAD-EH 13.8 kV switchgear e-house</t>
        </is>
      </c>
      <c r="G2272" s="9" t="inlineStr">
        <is>
          <t>TM-1</t>
        </is>
      </c>
      <c r="H2272" s="9" t="inlineStr">
        <is>
          <t>TM-1: trailer-mounted aeroderivative GT (TM2500 class, ~35 MW)</t>
        </is>
      </c>
      <c r="I2272" s="9" t="inlineStr">
        <is>
          <t>Instrumentation</t>
        </is>
      </c>
      <c r="J2272" s="9" t="inlineStr">
        <is>
          <t>Instrumentation PLTC / TC-ER 300 V, #18 twisted shielded pairs, overall shield</t>
        </is>
      </c>
      <c r="K2272" s="9" t="inlineStr">
        <is>
          <t>PLTC|4 pr|18</t>
        </is>
      </c>
      <c r="L2272" s="9" t="inlineStr">
        <is>
          <t>4 pr</t>
        </is>
      </c>
      <c r="M2272" s="9" t="inlineStr">
        <is>
          <t>18</t>
        </is>
      </c>
      <c r="N2272" s="9" t="n">
        <v>1</v>
      </c>
      <c r="O2272" s="9" t="n">
        <v>1</v>
      </c>
      <c r="P2272" s="9" t="n"/>
      <c r="Q2272" s="9" t="n"/>
      <c r="R2272" s="9" t="n"/>
      <c r="S2272" s="9" t="inlineStr">
        <is>
          <t>Surface</t>
        </is>
      </c>
      <c r="T2272" s="10" t="n">
        <v>185</v>
      </c>
      <c r="U2272" s="10" t="n">
        <v>27</v>
      </c>
      <c r="V2272" s="10">
        <f>ROUNDUP((T2272+U2272+2*'Read Me'!$B$13)*(1+'Read Me'!$B$12),-1)</f>
        <v/>
      </c>
      <c r="W2272" s="10">
        <f>V2272*N2272*O2272</f>
        <v/>
      </c>
      <c r="X2272" s="9">
        <f>IF(LEFT(I2272,2)="MV",2*N2272*IF(L2272="1/C",O2272,1),0)</f>
        <v/>
      </c>
      <c r="Y2272" s="9">
        <f>IF(OR(LEFT(K2272,4)="LVAX",LEFT(K2272,6)="MV15AX",LEFT(K2272,4)="CTAX",LEFT(K2272,2)="W|"),2*N2272*O2272,0)</f>
        <v/>
      </c>
      <c r="Z2272" s="9" t="inlineStr"/>
    </row>
    <row r="2273">
      <c r="A2273" s="9" t="inlineStr">
        <is>
          <t>I-I-0181</t>
        </is>
      </c>
      <c r="B2273" s="9" t="inlineStr">
        <is>
          <t>I</t>
        </is>
      </c>
      <c r="C2273" s="9" t="inlineStr">
        <is>
          <t>Modular / portable power</t>
        </is>
      </c>
      <c r="D2273" s="9" t="inlineStr">
        <is>
          <t>Instrumentation</t>
        </is>
      </c>
      <c r="E2273" s="9" t="inlineStr">
        <is>
          <t>PAD-EH</t>
        </is>
      </c>
      <c r="F2273" s="9" t="inlineStr">
        <is>
          <t>PAD-EH 13.8 kV switchgear e-house</t>
        </is>
      </c>
      <c r="G2273" s="9" t="inlineStr">
        <is>
          <t>TM-1</t>
        </is>
      </c>
      <c r="H2273" s="9" t="inlineStr">
        <is>
          <t>TM-1: trailer-mounted aeroderivative GT (TM2500 class, ~35 MW)</t>
        </is>
      </c>
      <c r="I2273" s="9" t="inlineStr">
        <is>
          <t>Instrumentation</t>
        </is>
      </c>
      <c r="J2273" s="9" t="inlineStr">
        <is>
          <t>Instrumentation PLTC / TC-ER 300 V, #18 twisted shielded pairs, overall shield</t>
        </is>
      </c>
      <c r="K2273" s="9" t="inlineStr">
        <is>
          <t>PLTC|12 pr|18</t>
        </is>
      </c>
      <c r="L2273" s="9" t="inlineStr">
        <is>
          <t>12 pr</t>
        </is>
      </c>
      <c r="M2273" s="9" t="inlineStr">
        <is>
          <t>18</t>
        </is>
      </c>
      <c r="N2273" s="9" t="n">
        <v>1</v>
      </c>
      <c r="O2273" s="9" t="n">
        <v>1</v>
      </c>
      <c r="P2273" s="9" t="n"/>
      <c r="Q2273" s="9" t="n"/>
      <c r="R2273" s="9" t="n"/>
      <c r="S2273" s="9" t="inlineStr">
        <is>
          <t>Surface</t>
        </is>
      </c>
      <c r="T2273" s="10" t="n">
        <v>185</v>
      </c>
      <c r="U2273" s="10" t="n">
        <v>27</v>
      </c>
      <c r="V2273" s="10">
        <f>ROUNDUP((T2273+U2273+2*'Read Me'!$B$13)*(1+'Read Me'!$B$12),-1)</f>
        <v/>
      </c>
      <c r="W2273" s="10">
        <f>V2273*N2273*O2273</f>
        <v/>
      </c>
      <c r="X2273" s="9">
        <f>IF(LEFT(I2273,2)="MV",2*N2273*IF(L2273="1/C",O2273,1),0)</f>
        <v/>
      </c>
      <c r="Y2273" s="9">
        <f>IF(OR(LEFT(K2273,4)="LVAX",LEFT(K2273,6)="MV15AX",LEFT(K2273,4)="CTAX",LEFT(K2273,2)="W|"),2*N2273*O2273,0)</f>
        <v/>
      </c>
      <c r="Z2273" s="9" t="inlineStr"/>
    </row>
    <row r="2274">
      <c r="A2274" s="9" t="inlineStr">
        <is>
          <t>I-I-0182</t>
        </is>
      </c>
      <c r="B2274" s="9" t="inlineStr">
        <is>
          <t>I</t>
        </is>
      </c>
      <c r="C2274" s="9" t="inlineStr">
        <is>
          <t>Modular / portable power</t>
        </is>
      </c>
      <c r="D2274" s="9" t="inlineStr">
        <is>
          <t>Instrumentation</t>
        </is>
      </c>
      <c r="E2274" s="9" t="inlineStr">
        <is>
          <t>PAD-EH</t>
        </is>
      </c>
      <c r="F2274" s="9" t="inlineStr">
        <is>
          <t>PAD-EH 13.8 kV switchgear e-house</t>
        </is>
      </c>
      <c r="G2274" s="9" t="inlineStr">
        <is>
          <t>TM-1</t>
        </is>
      </c>
      <c r="H2274" s="9" t="inlineStr">
        <is>
          <t>TM-1: trailer-mounted aeroderivative GT (TM2500 class, ~35 MW)</t>
        </is>
      </c>
      <c r="I2274" s="9" t="inlineStr">
        <is>
          <t>Instrumentation</t>
        </is>
      </c>
      <c r="J2274" s="9" t="inlineStr">
        <is>
          <t>Instrumentation PLTC / TC-ER 300 V, #18 twisted shielded pairs, overall shield</t>
        </is>
      </c>
      <c r="K2274" s="9" t="inlineStr">
        <is>
          <t>PLTC|12 pr|18</t>
        </is>
      </c>
      <c r="L2274" s="9" t="inlineStr">
        <is>
          <t>12 pr</t>
        </is>
      </c>
      <c r="M2274" s="9" t="inlineStr">
        <is>
          <t>18</t>
        </is>
      </c>
      <c r="N2274" s="9" t="n">
        <v>1</v>
      </c>
      <c r="O2274" s="9" t="n">
        <v>1</v>
      </c>
      <c r="P2274" s="9" t="n"/>
      <c r="Q2274" s="9" t="n"/>
      <c r="R2274" s="9" t="n"/>
      <c r="S2274" s="9" t="inlineStr">
        <is>
          <t>Surface</t>
        </is>
      </c>
      <c r="T2274" s="10" t="n">
        <v>185</v>
      </c>
      <c r="U2274" s="10" t="n">
        <v>27</v>
      </c>
      <c r="V2274" s="10">
        <f>ROUNDUP((T2274+U2274+2*'Read Me'!$B$13)*(1+'Read Me'!$B$12),-1)</f>
        <v/>
      </c>
      <c r="W2274" s="10">
        <f>V2274*N2274*O2274</f>
        <v/>
      </c>
      <c r="X2274" s="9">
        <f>IF(LEFT(I2274,2)="MV",2*N2274*IF(L2274="1/C",O2274,1),0)</f>
        <v/>
      </c>
      <c r="Y2274" s="9">
        <f>IF(OR(LEFT(K2274,4)="LVAX",LEFT(K2274,6)="MV15AX",LEFT(K2274,4)="CTAX",LEFT(K2274,2)="W|"),2*N2274*O2274,0)</f>
        <v/>
      </c>
      <c r="Z2274" s="9" t="inlineStr"/>
    </row>
    <row r="2275">
      <c r="A2275" s="9" t="inlineStr">
        <is>
          <t>I-I-0183</t>
        </is>
      </c>
      <c r="B2275" s="9" t="inlineStr">
        <is>
          <t>I</t>
        </is>
      </c>
      <c r="C2275" s="9" t="inlineStr">
        <is>
          <t>Modular / portable power</t>
        </is>
      </c>
      <c r="D2275" s="9" t="inlineStr">
        <is>
          <t>Instrumentation</t>
        </is>
      </c>
      <c r="E2275" s="9" t="inlineStr">
        <is>
          <t>PAD-EH</t>
        </is>
      </c>
      <c r="F2275" s="9" t="inlineStr">
        <is>
          <t>PAD-EH 13.8 kV switchgear e-house</t>
        </is>
      </c>
      <c r="G2275" s="9" t="inlineStr">
        <is>
          <t>TM-1</t>
        </is>
      </c>
      <c r="H2275" s="9" t="inlineStr">
        <is>
          <t>TM-1: trailer-mounted aeroderivative GT (TM2500 class, ~35 MW)</t>
        </is>
      </c>
      <c r="I2275" s="9" t="inlineStr">
        <is>
          <t>Instrumentation</t>
        </is>
      </c>
      <c r="J2275" s="9" t="inlineStr">
        <is>
          <t>Instrumentation PLTC / TC-ER 300 V, #18 twisted shielded pairs, overall shield</t>
        </is>
      </c>
      <c r="K2275" s="9" t="inlineStr">
        <is>
          <t>PLTC|12 pr|18</t>
        </is>
      </c>
      <c r="L2275" s="9" t="inlineStr">
        <is>
          <t>12 pr</t>
        </is>
      </c>
      <c r="M2275" s="9" t="inlineStr">
        <is>
          <t>18</t>
        </is>
      </c>
      <c r="N2275" s="9" t="n">
        <v>1</v>
      </c>
      <c r="O2275" s="9" t="n">
        <v>1</v>
      </c>
      <c r="P2275" s="9" t="n"/>
      <c r="Q2275" s="9" t="n"/>
      <c r="R2275" s="9" t="n"/>
      <c r="S2275" s="9" t="inlineStr">
        <is>
          <t>Surface</t>
        </is>
      </c>
      <c r="T2275" s="10" t="n">
        <v>185</v>
      </c>
      <c r="U2275" s="10" t="n">
        <v>27</v>
      </c>
      <c r="V2275" s="10">
        <f>ROUNDUP((T2275+U2275+2*'Read Me'!$B$13)*(1+'Read Me'!$B$12),-1)</f>
        <v/>
      </c>
      <c r="W2275" s="10">
        <f>V2275*N2275*O2275</f>
        <v/>
      </c>
      <c r="X2275" s="9">
        <f>IF(LEFT(I2275,2)="MV",2*N2275*IF(L2275="1/C",O2275,1),0)</f>
        <v/>
      </c>
      <c r="Y2275" s="9">
        <f>IF(OR(LEFT(K2275,4)="LVAX",LEFT(K2275,6)="MV15AX",LEFT(K2275,4)="CTAX",LEFT(K2275,2)="W|"),2*N2275*O2275,0)</f>
        <v/>
      </c>
      <c r="Z2275" s="9" t="inlineStr"/>
    </row>
    <row r="2276">
      <c r="A2276" s="9" t="inlineStr">
        <is>
          <t>I-I-0184</t>
        </is>
      </c>
      <c r="B2276" s="9" t="inlineStr">
        <is>
          <t>I</t>
        </is>
      </c>
      <c r="C2276" s="9" t="inlineStr">
        <is>
          <t>Modular / portable power</t>
        </is>
      </c>
      <c r="D2276" s="9" t="inlineStr">
        <is>
          <t>Instrumentation</t>
        </is>
      </c>
      <c r="E2276" s="9" t="inlineStr">
        <is>
          <t>PAD-EH</t>
        </is>
      </c>
      <c r="F2276" s="9" t="inlineStr">
        <is>
          <t>PAD-EH 13.8 kV switchgear e-house</t>
        </is>
      </c>
      <c r="G2276" s="9" t="inlineStr">
        <is>
          <t>TM-1</t>
        </is>
      </c>
      <c r="H2276" s="9" t="inlineStr">
        <is>
          <t>TM-1: trailer-mounted aeroderivative GT (TM2500 class, ~35 MW)</t>
        </is>
      </c>
      <c r="I2276" s="9" t="inlineStr">
        <is>
          <t>Instrumentation</t>
        </is>
      </c>
      <c r="J2276" s="9" t="inlineStr">
        <is>
          <t>Instrumentation PLTC / TC-ER 300 V, #18 twisted shielded pairs, overall shield</t>
        </is>
      </c>
      <c r="K2276" s="9" t="inlineStr">
        <is>
          <t>PLTC|12 pr|18</t>
        </is>
      </c>
      <c r="L2276" s="9" t="inlineStr">
        <is>
          <t>12 pr</t>
        </is>
      </c>
      <c r="M2276" s="9" t="inlineStr">
        <is>
          <t>18</t>
        </is>
      </c>
      <c r="N2276" s="9" t="n">
        <v>1</v>
      </c>
      <c r="O2276" s="9" t="n">
        <v>1</v>
      </c>
      <c r="P2276" s="9" t="n"/>
      <c r="Q2276" s="9" t="n"/>
      <c r="R2276" s="9" t="n"/>
      <c r="S2276" s="9" t="inlineStr">
        <is>
          <t>Surface</t>
        </is>
      </c>
      <c r="T2276" s="10" t="n">
        <v>185</v>
      </c>
      <c r="U2276" s="10" t="n">
        <v>27</v>
      </c>
      <c r="V2276" s="10">
        <f>ROUNDUP((T2276+U2276+2*'Read Me'!$B$13)*(1+'Read Me'!$B$12),-1)</f>
        <v/>
      </c>
      <c r="W2276" s="10">
        <f>V2276*N2276*O2276</f>
        <v/>
      </c>
      <c r="X2276" s="9">
        <f>IF(LEFT(I2276,2)="MV",2*N2276*IF(L2276="1/C",O2276,1),0)</f>
        <v/>
      </c>
      <c r="Y2276" s="9">
        <f>IF(OR(LEFT(K2276,4)="LVAX",LEFT(K2276,6)="MV15AX",LEFT(K2276,4)="CTAX",LEFT(K2276,2)="W|"),2*N2276*O2276,0)</f>
        <v/>
      </c>
      <c r="Z2276" s="9" t="inlineStr"/>
    </row>
    <row r="2277">
      <c r="A2277" s="9" t="inlineStr">
        <is>
          <t>I-I-0185</t>
        </is>
      </c>
      <c r="B2277" s="9" t="inlineStr">
        <is>
          <t>I</t>
        </is>
      </c>
      <c r="C2277" s="9" t="inlineStr">
        <is>
          <t>Modular / portable power</t>
        </is>
      </c>
      <c r="D2277" s="9" t="inlineStr">
        <is>
          <t>Instrumentation</t>
        </is>
      </c>
      <c r="E2277" s="9" t="inlineStr">
        <is>
          <t>PAD-EH</t>
        </is>
      </c>
      <c r="F2277" s="9" t="inlineStr">
        <is>
          <t>PAD-EH 13.8 kV switchgear e-house</t>
        </is>
      </c>
      <c r="G2277" s="9" t="inlineStr">
        <is>
          <t>TM-1</t>
        </is>
      </c>
      <c r="H2277" s="9" t="inlineStr">
        <is>
          <t>TM-1: trailer-mounted aeroderivative GT (TM2500 class, ~35 MW)</t>
        </is>
      </c>
      <c r="I2277" s="9" t="inlineStr">
        <is>
          <t>Instrumentation</t>
        </is>
      </c>
      <c r="J2277" s="9" t="inlineStr">
        <is>
          <t>Instrumentation PLTC / TC-ER 300 V, #18 twisted shielded pairs, overall shield</t>
        </is>
      </c>
      <c r="K2277" s="9" t="inlineStr">
        <is>
          <t>PLTC|12 pr|18</t>
        </is>
      </c>
      <c r="L2277" s="9" t="inlineStr">
        <is>
          <t>12 pr</t>
        </is>
      </c>
      <c r="M2277" s="9" t="inlineStr">
        <is>
          <t>18</t>
        </is>
      </c>
      <c r="N2277" s="9" t="n">
        <v>1</v>
      </c>
      <c r="O2277" s="9" t="n">
        <v>1</v>
      </c>
      <c r="P2277" s="9" t="n"/>
      <c r="Q2277" s="9" t="n"/>
      <c r="R2277" s="9" t="n"/>
      <c r="S2277" s="9" t="inlineStr">
        <is>
          <t>Surface</t>
        </is>
      </c>
      <c r="T2277" s="10" t="n">
        <v>185</v>
      </c>
      <c r="U2277" s="10" t="n">
        <v>27</v>
      </c>
      <c r="V2277" s="10">
        <f>ROUNDUP((T2277+U2277+2*'Read Me'!$B$13)*(1+'Read Me'!$B$12),-1)</f>
        <v/>
      </c>
      <c r="W2277" s="10">
        <f>V2277*N2277*O2277</f>
        <v/>
      </c>
      <c r="X2277" s="9">
        <f>IF(LEFT(I2277,2)="MV",2*N2277*IF(L2277="1/C",O2277,1),0)</f>
        <v/>
      </c>
      <c r="Y2277" s="9">
        <f>IF(OR(LEFT(K2277,4)="LVAX",LEFT(K2277,6)="MV15AX",LEFT(K2277,4)="CTAX",LEFT(K2277,2)="W|"),2*N2277*O2277,0)</f>
        <v/>
      </c>
      <c r="Z2277" s="9" t="inlineStr"/>
    </row>
    <row r="2278">
      <c r="A2278" s="9" t="inlineStr">
        <is>
          <t>I-I-0186</t>
        </is>
      </c>
      <c r="B2278" s="9" t="inlineStr">
        <is>
          <t>I</t>
        </is>
      </c>
      <c r="C2278" s="9" t="inlineStr">
        <is>
          <t>Modular / portable power</t>
        </is>
      </c>
      <c r="D2278" s="9" t="inlineStr">
        <is>
          <t>Instrumentation</t>
        </is>
      </c>
      <c r="E2278" s="9" t="inlineStr">
        <is>
          <t>PAD-EH</t>
        </is>
      </c>
      <c r="F2278" s="9" t="inlineStr">
        <is>
          <t>PAD-EH 13.8 kV switchgear e-house</t>
        </is>
      </c>
      <c r="G2278" s="9" t="inlineStr">
        <is>
          <t>TM-1</t>
        </is>
      </c>
      <c r="H2278" s="9" t="inlineStr">
        <is>
          <t>TM-1: trailer-mounted aeroderivative GT (TM2500 class, ~35 MW)</t>
        </is>
      </c>
      <c r="I2278" s="9" t="inlineStr">
        <is>
          <t>Instrumentation</t>
        </is>
      </c>
      <c r="J2278" s="9" t="inlineStr">
        <is>
          <t>Instrumentation PLTC / TC-ER 300 V, #18 twisted shielded pairs, overall shield</t>
        </is>
      </c>
      <c r="K2278" s="9" t="inlineStr">
        <is>
          <t>PLTC|12 pr|18</t>
        </is>
      </c>
      <c r="L2278" s="9" t="inlineStr">
        <is>
          <t>12 pr</t>
        </is>
      </c>
      <c r="M2278" s="9" t="inlineStr">
        <is>
          <t>18</t>
        </is>
      </c>
      <c r="N2278" s="9" t="n">
        <v>1</v>
      </c>
      <c r="O2278" s="9" t="n">
        <v>1</v>
      </c>
      <c r="P2278" s="9" t="n"/>
      <c r="Q2278" s="9" t="n"/>
      <c r="R2278" s="9" t="n"/>
      <c r="S2278" s="9" t="inlineStr">
        <is>
          <t>Surface</t>
        </is>
      </c>
      <c r="T2278" s="10" t="n">
        <v>185</v>
      </c>
      <c r="U2278" s="10" t="n">
        <v>27</v>
      </c>
      <c r="V2278" s="10">
        <f>ROUNDUP((T2278+U2278+2*'Read Me'!$B$13)*(1+'Read Me'!$B$12),-1)</f>
        <v/>
      </c>
      <c r="W2278" s="10">
        <f>V2278*N2278*O2278</f>
        <v/>
      </c>
      <c r="X2278" s="9">
        <f>IF(LEFT(I2278,2)="MV",2*N2278*IF(L2278="1/C",O2278,1),0)</f>
        <v/>
      </c>
      <c r="Y2278" s="9">
        <f>IF(OR(LEFT(K2278,4)="LVAX",LEFT(K2278,6)="MV15AX",LEFT(K2278,4)="CTAX",LEFT(K2278,2)="W|"),2*N2278*O2278,0)</f>
        <v/>
      </c>
      <c r="Z2278" s="9" t="inlineStr"/>
    </row>
    <row r="2279">
      <c r="A2279" s="9" t="inlineStr">
        <is>
          <t>I-I-0187</t>
        </is>
      </c>
      <c r="B2279" s="9" t="inlineStr">
        <is>
          <t>I</t>
        </is>
      </c>
      <c r="C2279" s="9" t="inlineStr">
        <is>
          <t>Modular / portable power</t>
        </is>
      </c>
      <c r="D2279" s="9" t="inlineStr">
        <is>
          <t>Instrumentation</t>
        </is>
      </c>
      <c r="E2279" s="9" t="inlineStr">
        <is>
          <t>PAD-EH</t>
        </is>
      </c>
      <c r="F2279" s="9" t="inlineStr">
        <is>
          <t>PAD-EH 13.8 kV switchgear e-house</t>
        </is>
      </c>
      <c r="G2279" s="9" t="inlineStr">
        <is>
          <t>TM-1</t>
        </is>
      </c>
      <c r="H2279" s="9" t="inlineStr">
        <is>
          <t>TM-1: trailer-mounted aeroderivative GT (TM2500 class, ~35 MW)</t>
        </is>
      </c>
      <c r="I2279" s="9" t="inlineStr">
        <is>
          <t>Instrumentation</t>
        </is>
      </c>
      <c r="J2279" s="9" t="inlineStr">
        <is>
          <t>Instrumentation PLTC / TC-ER 300 V, #18 twisted shielded pairs, overall shield</t>
        </is>
      </c>
      <c r="K2279" s="9" t="inlineStr">
        <is>
          <t>PLTC|12 pr|18</t>
        </is>
      </c>
      <c r="L2279" s="9" t="inlineStr">
        <is>
          <t>12 pr</t>
        </is>
      </c>
      <c r="M2279" s="9" t="inlineStr">
        <is>
          <t>18</t>
        </is>
      </c>
      <c r="N2279" s="9" t="n">
        <v>1</v>
      </c>
      <c r="O2279" s="9" t="n">
        <v>1</v>
      </c>
      <c r="P2279" s="9" t="n"/>
      <c r="Q2279" s="9" t="n"/>
      <c r="R2279" s="9" t="n"/>
      <c r="S2279" s="9" t="inlineStr">
        <is>
          <t>Surface</t>
        </is>
      </c>
      <c r="T2279" s="10" t="n">
        <v>185</v>
      </c>
      <c r="U2279" s="10" t="n">
        <v>27</v>
      </c>
      <c r="V2279" s="10">
        <f>ROUNDUP((T2279+U2279+2*'Read Me'!$B$13)*(1+'Read Me'!$B$12),-1)</f>
        <v/>
      </c>
      <c r="W2279" s="10">
        <f>V2279*N2279*O2279</f>
        <v/>
      </c>
      <c r="X2279" s="9">
        <f>IF(LEFT(I2279,2)="MV",2*N2279*IF(L2279="1/C",O2279,1),0)</f>
        <v/>
      </c>
      <c r="Y2279" s="9">
        <f>IF(OR(LEFT(K2279,4)="LVAX",LEFT(K2279,6)="MV15AX",LEFT(K2279,4)="CTAX",LEFT(K2279,2)="W|"),2*N2279*O2279,0)</f>
        <v/>
      </c>
      <c r="Z2279" s="9" t="inlineStr"/>
    </row>
    <row r="2280">
      <c r="A2280" s="9" t="inlineStr">
        <is>
          <t>I-I-0188</t>
        </is>
      </c>
      <c r="B2280" s="9" t="inlineStr">
        <is>
          <t>I</t>
        </is>
      </c>
      <c r="C2280" s="9" t="inlineStr">
        <is>
          <t>Modular / portable power</t>
        </is>
      </c>
      <c r="D2280" s="9" t="inlineStr">
        <is>
          <t>Instrumentation</t>
        </is>
      </c>
      <c r="E2280" s="9" t="inlineStr">
        <is>
          <t>PAD-EH</t>
        </is>
      </c>
      <c r="F2280" s="9" t="inlineStr">
        <is>
          <t>PAD-EH 13.8 kV switchgear e-house</t>
        </is>
      </c>
      <c r="G2280" s="9" t="inlineStr">
        <is>
          <t>TM-1</t>
        </is>
      </c>
      <c r="H2280" s="9" t="inlineStr">
        <is>
          <t>TM-1: trailer-mounted aeroderivative GT (TM2500 class, ~35 MW)</t>
        </is>
      </c>
      <c r="I2280" s="9" t="inlineStr">
        <is>
          <t>Instrumentation</t>
        </is>
      </c>
      <c r="J2280" s="9" t="inlineStr">
        <is>
          <t>Instrumentation PLTC / TC-ER 300 V, #18 twisted shielded pairs, overall shield</t>
        </is>
      </c>
      <c r="K2280" s="9" t="inlineStr">
        <is>
          <t>PLTC|12 pr|18</t>
        </is>
      </c>
      <c r="L2280" s="9" t="inlineStr">
        <is>
          <t>12 pr</t>
        </is>
      </c>
      <c r="M2280" s="9" t="inlineStr">
        <is>
          <t>18</t>
        </is>
      </c>
      <c r="N2280" s="9" t="n">
        <v>1</v>
      </c>
      <c r="O2280" s="9" t="n">
        <v>1</v>
      </c>
      <c r="P2280" s="9" t="n"/>
      <c r="Q2280" s="9" t="n"/>
      <c r="R2280" s="9" t="n"/>
      <c r="S2280" s="9" t="inlineStr">
        <is>
          <t>Surface</t>
        </is>
      </c>
      <c r="T2280" s="10" t="n">
        <v>185</v>
      </c>
      <c r="U2280" s="10" t="n">
        <v>27</v>
      </c>
      <c r="V2280" s="10">
        <f>ROUNDUP((T2280+U2280+2*'Read Me'!$B$13)*(1+'Read Me'!$B$12),-1)</f>
        <v/>
      </c>
      <c r="W2280" s="10">
        <f>V2280*N2280*O2280</f>
        <v/>
      </c>
      <c r="X2280" s="9">
        <f>IF(LEFT(I2280,2)="MV",2*N2280*IF(L2280="1/C",O2280,1),0)</f>
        <v/>
      </c>
      <c r="Y2280" s="9">
        <f>IF(OR(LEFT(K2280,4)="LVAX",LEFT(K2280,6)="MV15AX",LEFT(K2280,4)="CTAX",LEFT(K2280,2)="W|"),2*N2280*O2280,0)</f>
        <v/>
      </c>
      <c r="Z2280" s="9" t="inlineStr"/>
    </row>
    <row r="2281">
      <c r="A2281" s="9" t="inlineStr">
        <is>
          <t>I-I-0189</t>
        </is>
      </c>
      <c r="B2281" s="9" t="inlineStr">
        <is>
          <t>I</t>
        </is>
      </c>
      <c r="C2281" s="9" t="inlineStr">
        <is>
          <t>Modular / portable power</t>
        </is>
      </c>
      <c r="D2281" s="9" t="inlineStr">
        <is>
          <t>Thermocouples</t>
        </is>
      </c>
      <c r="E2281" s="9" t="inlineStr">
        <is>
          <t>PAD-EH</t>
        </is>
      </c>
      <c r="F2281" s="9" t="inlineStr">
        <is>
          <t>PAD-EH 13.8 kV switchgear e-house</t>
        </is>
      </c>
      <c r="G2281" s="9" t="inlineStr">
        <is>
          <t>TM-1</t>
        </is>
      </c>
      <c r="H2281" s="9" t="inlineStr">
        <is>
          <t>TM-1: trailer-mounted aeroderivative GT (TM2500 class, ~35 MW)</t>
        </is>
      </c>
      <c r="I2281" s="9" t="inlineStr">
        <is>
          <t>Instrumentation</t>
        </is>
      </c>
      <c r="J2281" s="9" t="inlineStr">
        <is>
          <t>Thermocouple extension KX, #16 shielded pairs, PLTC</t>
        </is>
      </c>
      <c r="K2281" s="9" t="inlineStr">
        <is>
          <t>TCX|12 pr|16</t>
        </is>
      </c>
      <c r="L2281" s="9" t="inlineStr">
        <is>
          <t>12 pr</t>
        </is>
      </c>
      <c r="M2281" s="9" t="inlineStr">
        <is>
          <t>16</t>
        </is>
      </c>
      <c r="N2281" s="9" t="n">
        <v>1</v>
      </c>
      <c r="O2281" s="9" t="n">
        <v>1</v>
      </c>
      <c r="P2281" s="9" t="n"/>
      <c r="Q2281" s="9" t="n"/>
      <c r="R2281" s="9" t="n"/>
      <c r="S2281" s="9" t="inlineStr">
        <is>
          <t>Surface</t>
        </is>
      </c>
      <c r="T2281" s="10" t="n">
        <v>185</v>
      </c>
      <c r="U2281" s="10" t="n">
        <v>27</v>
      </c>
      <c r="V2281" s="10">
        <f>ROUNDUP((T2281+U2281+2*'Read Me'!$B$13)*(1+'Read Me'!$B$12),-1)</f>
        <v/>
      </c>
      <c r="W2281" s="10">
        <f>V2281*N2281*O2281</f>
        <v/>
      </c>
      <c r="X2281" s="9">
        <f>IF(LEFT(I2281,2)="MV",2*N2281*IF(L2281="1/C",O2281,1),0)</f>
        <v/>
      </c>
      <c r="Y2281" s="9">
        <f>IF(OR(LEFT(K2281,4)="LVAX",LEFT(K2281,6)="MV15AX",LEFT(K2281,4)="CTAX",LEFT(K2281,2)="W|"),2*N2281*O2281,0)</f>
        <v/>
      </c>
      <c r="Z2281" s="9" t="inlineStr"/>
    </row>
    <row r="2282">
      <c r="A2282" s="9" t="inlineStr">
        <is>
          <t>I-I-0190</t>
        </is>
      </c>
      <c r="B2282" s="9" t="inlineStr">
        <is>
          <t>I</t>
        </is>
      </c>
      <c r="C2282" s="9" t="inlineStr">
        <is>
          <t>Modular / portable power</t>
        </is>
      </c>
      <c r="D2282" s="9" t="inlineStr">
        <is>
          <t>Thermocouples</t>
        </is>
      </c>
      <c r="E2282" s="9" t="inlineStr">
        <is>
          <t>PAD-EH</t>
        </is>
      </c>
      <c r="F2282" s="9" t="inlineStr">
        <is>
          <t>PAD-EH 13.8 kV switchgear e-house</t>
        </is>
      </c>
      <c r="G2282" s="9" t="inlineStr">
        <is>
          <t>TM-1</t>
        </is>
      </c>
      <c r="H2282" s="9" t="inlineStr">
        <is>
          <t>TM-1: trailer-mounted aeroderivative GT (TM2500 class, ~35 MW)</t>
        </is>
      </c>
      <c r="I2282" s="9" t="inlineStr">
        <is>
          <t>Instrumentation</t>
        </is>
      </c>
      <c r="J2282" s="9" t="inlineStr">
        <is>
          <t>Thermocouple extension KX, #16 shielded pairs, PLTC</t>
        </is>
      </c>
      <c r="K2282" s="9" t="inlineStr">
        <is>
          <t>TCX|12 pr|16</t>
        </is>
      </c>
      <c r="L2282" s="9" t="inlineStr">
        <is>
          <t>12 pr</t>
        </is>
      </c>
      <c r="M2282" s="9" t="inlineStr">
        <is>
          <t>16</t>
        </is>
      </c>
      <c r="N2282" s="9" t="n">
        <v>1</v>
      </c>
      <c r="O2282" s="9" t="n">
        <v>1</v>
      </c>
      <c r="P2282" s="9" t="n"/>
      <c r="Q2282" s="9" t="n"/>
      <c r="R2282" s="9" t="n"/>
      <c r="S2282" s="9" t="inlineStr">
        <is>
          <t>Surface</t>
        </is>
      </c>
      <c r="T2282" s="10" t="n">
        <v>185</v>
      </c>
      <c r="U2282" s="10" t="n">
        <v>27</v>
      </c>
      <c r="V2282" s="10">
        <f>ROUNDUP((T2282+U2282+2*'Read Me'!$B$13)*(1+'Read Me'!$B$12),-1)</f>
        <v/>
      </c>
      <c r="W2282" s="10">
        <f>V2282*N2282*O2282</f>
        <v/>
      </c>
      <c r="X2282" s="9">
        <f>IF(LEFT(I2282,2)="MV",2*N2282*IF(L2282="1/C",O2282,1),0)</f>
        <v/>
      </c>
      <c r="Y2282" s="9">
        <f>IF(OR(LEFT(K2282,4)="LVAX",LEFT(K2282,6)="MV15AX",LEFT(K2282,4)="CTAX",LEFT(K2282,2)="W|"),2*N2282*O2282,0)</f>
        <v/>
      </c>
      <c r="Z2282" s="9" t="inlineStr"/>
    </row>
    <row r="2283">
      <c r="A2283" s="9" t="inlineStr">
        <is>
          <t>I-I-0191</t>
        </is>
      </c>
      <c r="B2283" s="9" t="inlineStr">
        <is>
          <t>I</t>
        </is>
      </c>
      <c r="C2283" s="9" t="inlineStr">
        <is>
          <t>Modular / portable power</t>
        </is>
      </c>
      <c r="D2283" s="9" t="inlineStr">
        <is>
          <t>Thermocouples</t>
        </is>
      </c>
      <c r="E2283" s="9" t="inlineStr">
        <is>
          <t>PAD-EH</t>
        </is>
      </c>
      <c r="F2283" s="9" t="inlineStr">
        <is>
          <t>PAD-EH 13.8 kV switchgear e-house</t>
        </is>
      </c>
      <c r="G2283" s="9" t="inlineStr">
        <is>
          <t>TM-1</t>
        </is>
      </c>
      <c r="H2283" s="9" t="inlineStr">
        <is>
          <t>TM-1: trailer-mounted aeroderivative GT (TM2500 class, ~35 MW)</t>
        </is>
      </c>
      <c r="I2283" s="9" t="inlineStr">
        <is>
          <t>Instrumentation</t>
        </is>
      </c>
      <c r="J2283" s="9" t="inlineStr">
        <is>
          <t>Thermocouple extension KX, #16 shielded pairs, PLTC</t>
        </is>
      </c>
      <c r="K2283" s="9" t="inlineStr">
        <is>
          <t>TCX|12 pr|16</t>
        </is>
      </c>
      <c r="L2283" s="9" t="inlineStr">
        <is>
          <t>12 pr</t>
        </is>
      </c>
      <c r="M2283" s="9" t="inlineStr">
        <is>
          <t>16</t>
        </is>
      </c>
      <c r="N2283" s="9" t="n">
        <v>1</v>
      </c>
      <c r="O2283" s="9" t="n">
        <v>1</v>
      </c>
      <c r="P2283" s="9" t="n"/>
      <c r="Q2283" s="9" t="n"/>
      <c r="R2283" s="9" t="n"/>
      <c r="S2283" s="9" t="inlineStr">
        <is>
          <t>Surface</t>
        </is>
      </c>
      <c r="T2283" s="10" t="n">
        <v>185</v>
      </c>
      <c r="U2283" s="10" t="n">
        <v>27</v>
      </c>
      <c r="V2283" s="10">
        <f>ROUNDUP((T2283+U2283+2*'Read Me'!$B$13)*(1+'Read Me'!$B$12),-1)</f>
        <v/>
      </c>
      <c r="W2283" s="10">
        <f>V2283*N2283*O2283</f>
        <v/>
      </c>
      <c r="X2283" s="9">
        <f>IF(LEFT(I2283,2)="MV",2*N2283*IF(L2283="1/C",O2283,1),0)</f>
        <v/>
      </c>
      <c r="Y2283" s="9">
        <f>IF(OR(LEFT(K2283,4)="LVAX",LEFT(K2283,6)="MV15AX",LEFT(K2283,4)="CTAX",LEFT(K2283,2)="W|"),2*N2283*O2283,0)</f>
        <v/>
      </c>
      <c r="Z2283" s="9" t="inlineStr"/>
    </row>
    <row r="2284">
      <c r="A2284" s="9" t="inlineStr">
        <is>
          <t>I-I-0192</t>
        </is>
      </c>
      <c r="B2284" s="9" t="inlineStr">
        <is>
          <t>I</t>
        </is>
      </c>
      <c r="C2284" s="9" t="inlineStr">
        <is>
          <t>Modular / portable power</t>
        </is>
      </c>
      <c r="D2284" s="9" t="inlineStr">
        <is>
          <t>Thermocouples</t>
        </is>
      </c>
      <c r="E2284" s="9" t="inlineStr">
        <is>
          <t>PAD-EH</t>
        </is>
      </c>
      <c r="F2284" s="9" t="inlineStr">
        <is>
          <t>PAD-EH 13.8 kV switchgear e-house</t>
        </is>
      </c>
      <c r="G2284" s="9" t="inlineStr">
        <is>
          <t>TM-1</t>
        </is>
      </c>
      <c r="H2284" s="9" t="inlineStr">
        <is>
          <t>TM-1: trailer-mounted aeroderivative GT (TM2500 class, ~35 MW)</t>
        </is>
      </c>
      <c r="I2284" s="9" t="inlineStr">
        <is>
          <t>Instrumentation</t>
        </is>
      </c>
      <c r="J2284" s="9" t="inlineStr">
        <is>
          <t>Thermocouple extension KX, #16 shielded pairs, PLTC</t>
        </is>
      </c>
      <c r="K2284" s="9" t="inlineStr">
        <is>
          <t>TCX|12 pr|16</t>
        </is>
      </c>
      <c r="L2284" s="9" t="inlineStr">
        <is>
          <t>12 pr</t>
        </is>
      </c>
      <c r="M2284" s="9" t="inlineStr">
        <is>
          <t>16</t>
        </is>
      </c>
      <c r="N2284" s="9" t="n">
        <v>1</v>
      </c>
      <c r="O2284" s="9" t="n">
        <v>1</v>
      </c>
      <c r="P2284" s="9" t="n"/>
      <c r="Q2284" s="9" t="n"/>
      <c r="R2284" s="9" t="n"/>
      <c r="S2284" s="9" t="inlineStr">
        <is>
          <t>Surface</t>
        </is>
      </c>
      <c r="T2284" s="10" t="n">
        <v>185</v>
      </c>
      <c r="U2284" s="10" t="n">
        <v>27</v>
      </c>
      <c r="V2284" s="10">
        <f>ROUNDUP((T2284+U2284+2*'Read Me'!$B$13)*(1+'Read Me'!$B$12),-1)</f>
        <v/>
      </c>
      <c r="W2284" s="10">
        <f>V2284*N2284*O2284</f>
        <v/>
      </c>
      <c r="X2284" s="9">
        <f>IF(LEFT(I2284,2)="MV",2*N2284*IF(L2284="1/C",O2284,1),0)</f>
        <v/>
      </c>
      <c r="Y2284" s="9">
        <f>IF(OR(LEFT(K2284,4)="LVAX",LEFT(K2284,6)="MV15AX",LEFT(K2284,4)="CTAX",LEFT(K2284,2)="W|"),2*N2284*O2284,0)</f>
        <v/>
      </c>
      <c r="Z2284" s="9" t="inlineStr"/>
    </row>
    <row r="2285">
      <c r="A2285" s="9" t="inlineStr">
        <is>
          <t>I-I-0193</t>
        </is>
      </c>
      <c r="B2285" s="9" t="inlineStr">
        <is>
          <t>I</t>
        </is>
      </c>
      <c r="C2285" s="9" t="inlineStr">
        <is>
          <t>Modular / portable power</t>
        </is>
      </c>
      <c r="D2285" s="9" t="inlineStr">
        <is>
          <t>Thermocouples</t>
        </is>
      </c>
      <c r="E2285" s="9" t="inlineStr">
        <is>
          <t>PAD-EH</t>
        </is>
      </c>
      <c r="F2285" s="9" t="inlineStr">
        <is>
          <t>PAD-EH 13.8 kV switchgear e-house</t>
        </is>
      </c>
      <c r="G2285" s="9" t="inlineStr">
        <is>
          <t>TM-1</t>
        </is>
      </c>
      <c r="H2285" s="9" t="inlineStr">
        <is>
          <t>TM-1: trailer-mounted aeroderivative GT (TM2500 class, ~35 MW)</t>
        </is>
      </c>
      <c r="I2285" s="9" t="inlineStr">
        <is>
          <t>Instrumentation</t>
        </is>
      </c>
      <c r="J2285" s="9" t="inlineStr">
        <is>
          <t>Thermocouple extension KX, #16 shielded pairs, PLTC</t>
        </is>
      </c>
      <c r="K2285" s="9" t="inlineStr">
        <is>
          <t>TCX|12 pr|16</t>
        </is>
      </c>
      <c r="L2285" s="9" t="inlineStr">
        <is>
          <t>12 pr</t>
        </is>
      </c>
      <c r="M2285" s="9" t="inlineStr">
        <is>
          <t>16</t>
        </is>
      </c>
      <c r="N2285" s="9" t="n">
        <v>1</v>
      </c>
      <c r="O2285" s="9" t="n">
        <v>1</v>
      </c>
      <c r="P2285" s="9" t="n"/>
      <c r="Q2285" s="9" t="n"/>
      <c r="R2285" s="9" t="n"/>
      <c r="S2285" s="9" t="inlineStr">
        <is>
          <t>Surface</t>
        </is>
      </c>
      <c r="T2285" s="10" t="n">
        <v>185</v>
      </c>
      <c r="U2285" s="10" t="n">
        <v>27</v>
      </c>
      <c r="V2285" s="10">
        <f>ROUNDUP((T2285+U2285+2*'Read Me'!$B$13)*(1+'Read Me'!$B$12),-1)</f>
        <v/>
      </c>
      <c r="W2285" s="10">
        <f>V2285*N2285*O2285</f>
        <v/>
      </c>
      <c r="X2285" s="9">
        <f>IF(LEFT(I2285,2)="MV",2*N2285*IF(L2285="1/C",O2285,1),0)</f>
        <v/>
      </c>
      <c r="Y2285" s="9">
        <f>IF(OR(LEFT(K2285,4)="LVAX",LEFT(K2285,6)="MV15AX",LEFT(K2285,4)="CTAX",LEFT(K2285,2)="W|"),2*N2285*O2285,0)</f>
        <v/>
      </c>
      <c r="Z2285" s="9" t="inlineStr"/>
    </row>
    <row r="2286">
      <c r="A2286" s="9" t="inlineStr">
        <is>
          <t>I-I-0194</t>
        </is>
      </c>
      <c r="B2286" s="9" t="inlineStr">
        <is>
          <t>I</t>
        </is>
      </c>
      <c r="C2286" s="9" t="inlineStr">
        <is>
          <t>Modular / portable power</t>
        </is>
      </c>
      <c r="D2286" s="9" t="inlineStr">
        <is>
          <t>Thermocouples</t>
        </is>
      </c>
      <c r="E2286" s="9" t="inlineStr">
        <is>
          <t>PAD-EH</t>
        </is>
      </c>
      <c r="F2286" s="9" t="inlineStr">
        <is>
          <t>PAD-EH 13.8 kV switchgear e-house</t>
        </is>
      </c>
      <c r="G2286" s="9" t="inlineStr">
        <is>
          <t>TM-1</t>
        </is>
      </c>
      <c r="H2286" s="9" t="inlineStr">
        <is>
          <t>TM-1: trailer-mounted aeroderivative GT (TM2500 class, ~35 MW)</t>
        </is>
      </c>
      <c r="I2286" s="9" t="inlineStr">
        <is>
          <t>Instrumentation</t>
        </is>
      </c>
      <c r="J2286" s="9" t="inlineStr">
        <is>
          <t>Thermocouple extension KX, #16 shielded pairs, PLTC</t>
        </is>
      </c>
      <c r="K2286" s="9" t="inlineStr">
        <is>
          <t>TCX|12 pr|16</t>
        </is>
      </c>
      <c r="L2286" s="9" t="inlineStr">
        <is>
          <t>12 pr</t>
        </is>
      </c>
      <c r="M2286" s="9" t="inlineStr">
        <is>
          <t>16</t>
        </is>
      </c>
      <c r="N2286" s="9" t="n">
        <v>1</v>
      </c>
      <c r="O2286" s="9" t="n">
        <v>1</v>
      </c>
      <c r="P2286" s="9" t="n"/>
      <c r="Q2286" s="9" t="n"/>
      <c r="R2286" s="9" t="n"/>
      <c r="S2286" s="9" t="inlineStr">
        <is>
          <t>Surface</t>
        </is>
      </c>
      <c r="T2286" s="10" t="n">
        <v>185</v>
      </c>
      <c r="U2286" s="10" t="n">
        <v>27</v>
      </c>
      <c r="V2286" s="10">
        <f>ROUNDUP((T2286+U2286+2*'Read Me'!$B$13)*(1+'Read Me'!$B$12),-1)</f>
        <v/>
      </c>
      <c r="W2286" s="10">
        <f>V2286*N2286*O2286</f>
        <v/>
      </c>
      <c r="X2286" s="9">
        <f>IF(LEFT(I2286,2)="MV",2*N2286*IF(L2286="1/C",O2286,1),0)</f>
        <v/>
      </c>
      <c r="Y2286" s="9">
        <f>IF(OR(LEFT(K2286,4)="LVAX",LEFT(K2286,6)="MV15AX",LEFT(K2286,4)="CTAX",LEFT(K2286,2)="W|"),2*N2286*O2286,0)</f>
        <v/>
      </c>
      <c r="Z2286" s="9" t="inlineStr"/>
    </row>
    <row r="2287">
      <c r="A2287" s="9" t="inlineStr">
        <is>
          <t>I-I-0195</t>
        </is>
      </c>
      <c r="B2287" s="9" t="inlineStr">
        <is>
          <t>I</t>
        </is>
      </c>
      <c r="C2287" s="9" t="inlineStr">
        <is>
          <t>Modular / portable power</t>
        </is>
      </c>
      <c r="D2287" s="9" t="inlineStr">
        <is>
          <t>Instrumentation</t>
        </is>
      </c>
      <c r="E2287" s="9" t="inlineStr">
        <is>
          <t>PAD-EH</t>
        </is>
      </c>
      <c r="F2287" s="9" t="inlineStr">
        <is>
          <t>PAD-EH 13.8 kV switchgear e-house</t>
        </is>
      </c>
      <c r="G2287" s="9" t="inlineStr">
        <is>
          <t>TM-2</t>
        </is>
      </c>
      <c r="H2287" s="9" t="inlineStr">
        <is>
          <t>TM-2: trailer-mounted aeroderivative GT (TM2500 class, ~35 MW)</t>
        </is>
      </c>
      <c r="I2287" s="9" t="inlineStr">
        <is>
          <t>Instrumentation</t>
        </is>
      </c>
      <c r="J2287" s="9" t="inlineStr">
        <is>
          <t>Instrumentation PLTC / TC-ER 300 V, #18 twisted shielded pairs, overall shield</t>
        </is>
      </c>
      <c r="K2287" s="9" t="inlineStr">
        <is>
          <t>PLTC|4 pr|18</t>
        </is>
      </c>
      <c r="L2287" s="9" t="inlineStr">
        <is>
          <t>4 pr</t>
        </is>
      </c>
      <c r="M2287" s="9" t="inlineStr">
        <is>
          <t>18</t>
        </is>
      </c>
      <c r="N2287" s="9" t="n">
        <v>1</v>
      </c>
      <c r="O2287" s="9" t="n">
        <v>1</v>
      </c>
      <c r="P2287" s="9" t="n"/>
      <c r="Q2287" s="9" t="n"/>
      <c r="R2287" s="9" t="n"/>
      <c r="S2287" s="9" t="inlineStr">
        <is>
          <t>Surface</t>
        </is>
      </c>
      <c r="T2287" s="10" t="n">
        <v>70</v>
      </c>
      <c r="U2287" s="10" t="n">
        <v>47</v>
      </c>
      <c r="V2287" s="10">
        <f>ROUNDUP((T2287+U2287+2*'Read Me'!$B$13)*(1+'Read Me'!$B$12),-1)</f>
        <v/>
      </c>
      <c r="W2287" s="10">
        <f>V2287*N2287*O2287</f>
        <v/>
      </c>
      <c r="X2287" s="9">
        <f>IF(LEFT(I2287,2)="MV",2*N2287*IF(L2287="1/C",O2287,1),0)</f>
        <v/>
      </c>
      <c r="Y2287" s="9">
        <f>IF(OR(LEFT(K2287,4)="LVAX",LEFT(K2287,6)="MV15AX",LEFT(K2287,4)="CTAX",LEFT(K2287,2)="W|"),2*N2287*O2287,0)</f>
        <v/>
      </c>
      <c r="Z2287" s="9" t="inlineStr"/>
    </row>
    <row r="2288">
      <c r="A2288" s="9" t="inlineStr">
        <is>
          <t>I-I-0196</t>
        </is>
      </c>
      <c r="B2288" s="9" t="inlineStr">
        <is>
          <t>I</t>
        </is>
      </c>
      <c r="C2288" s="9" t="inlineStr">
        <is>
          <t>Modular / portable power</t>
        </is>
      </c>
      <c r="D2288" s="9" t="inlineStr">
        <is>
          <t>Instrumentation</t>
        </is>
      </c>
      <c r="E2288" s="9" t="inlineStr">
        <is>
          <t>PAD-EH</t>
        </is>
      </c>
      <c r="F2288" s="9" t="inlineStr">
        <is>
          <t>PAD-EH 13.8 kV switchgear e-house</t>
        </is>
      </c>
      <c r="G2288" s="9" t="inlineStr">
        <is>
          <t>TM-2</t>
        </is>
      </c>
      <c r="H2288" s="9" t="inlineStr">
        <is>
          <t>TM-2: trailer-mounted aeroderivative GT (TM2500 class, ~35 MW)</t>
        </is>
      </c>
      <c r="I2288" s="9" t="inlineStr">
        <is>
          <t>Instrumentation</t>
        </is>
      </c>
      <c r="J2288" s="9" t="inlineStr">
        <is>
          <t>Instrumentation PLTC / TC-ER 300 V, #18 twisted shielded pairs, overall shield</t>
        </is>
      </c>
      <c r="K2288" s="9" t="inlineStr">
        <is>
          <t>PLTC|4 pr|18</t>
        </is>
      </c>
      <c r="L2288" s="9" t="inlineStr">
        <is>
          <t>4 pr</t>
        </is>
      </c>
      <c r="M2288" s="9" t="inlineStr">
        <is>
          <t>18</t>
        </is>
      </c>
      <c r="N2288" s="9" t="n">
        <v>1</v>
      </c>
      <c r="O2288" s="9" t="n">
        <v>1</v>
      </c>
      <c r="P2288" s="9" t="n"/>
      <c r="Q2288" s="9" t="n"/>
      <c r="R2288" s="9" t="n"/>
      <c r="S2288" s="9" t="inlineStr">
        <is>
          <t>Surface</t>
        </is>
      </c>
      <c r="T2288" s="10" t="n">
        <v>70</v>
      </c>
      <c r="U2288" s="10" t="n">
        <v>47</v>
      </c>
      <c r="V2288" s="10">
        <f>ROUNDUP((T2288+U2288+2*'Read Me'!$B$13)*(1+'Read Me'!$B$12),-1)</f>
        <v/>
      </c>
      <c r="W2288" s="10">
        <f>V2288*N2288*O2288</f>
        <v/>
      </c>
      <c r="X2288" s="9">
        <f>IF(LEFT(I2288,2)="MV",2*N2288*IF(L2288="1/C",O2288,1),0)</f>
        <v/>
      </c>
      <c r="Y2288" s="9">
        <f>IF(OR(LEFT(K2288,4)="LVAX",LEFT(K2288,6)="MV15AX",LEFT(K2288,4)="CTAX",LEFT(K2288,2)="W|"),2*N2288*O2288,0)</f>
        <v/>
      </c>
      <c r="Z2288" s="9" t="inlineStr"/>
    </row>
    <row r="2289">
      <c r="A2289" s="9" t="inlineStr">
        <is>
          <t>I-I-0197</t>
        </is>
      </c>
      <c r="B2289" s="9" t="inlineStr">
        <is>
          <t>I</t>
        </is>
      </c>
      <c r="C2289" s="9" t="inlineStr">
        <is>
          <t>Modular / portable power</t>
        </is>
      </c>
      <c r="D2289" s="9" t="inlineStr">
        <is>
          <t>Instrumentation</t>
        </is>
      </c>
      <c r="E2289" s="9" t="inlineStr">
        <is>
          <t>PAD-EH</t>
        </is>
      </c>
      <c r="F2289" s="9" t="inlineStr">
        <is>
          <t>PAD-EH 13.8 kV switchgear e-house</t>
        </is>
      </c>
      <c r="G2289" s="9" t="inlineStr">
        <is>
          <t>TM-2</t>
        </is>
      </c>
      <c r="H2289" s="9" t="inlineStr">
        <is>
          <t>TM-2: trailer-mounted aeroderivative GT (TM2500 class, ~35 MW)</t>
        </is>
      </c>
      <c r="I2289" s="9" t="inlineStr">
        <is>
          <t>Instrumentation</t>
        </is>
      </c>
      <c r="J2289" s="9" t="inlineStr">
        <is>
          <t>Instrumentation PLTC / TC-ER 300 V, #18 twisted shielded pairs, overall shield</t>
        </is>
      </c>
      <c r="K2289" s="9" t="inlineStr">
        <is>
          <t>PLTC|12 pr|18</t>
        </is>
      </c>
      <c r="L2289" s="9" t="inlineStr">
        <is>
          <t>12 pr</t>
        </is>
      </c>
      <c r="M2289" s="9" t="inlineStr">
        <is>
          <t>18</t>
        </is>
      </c>
      <c r="N2289" s="9" t="n">
        <v>1</v>
      </c>
      <c r="O2289" s="9" t="n">
        <v>1</v>
      </c>
      <c r="P2289" s="9" t="n"/>
      <c r="Q2289" s="9" t="n"/>
      <c r="R2289" s="9" t="n"/>
      <c r="S2289" s="9" t="inlineStr">
        <is>
          <t>Surface</t>
        </is>
      </c>
      <c r="T2289" s="10" t="n">
        <v>70</v>
      </c>
      <c r="U2289" s="10" t="n">
        <v>47</v>
      </c>
      <c r="V2289" s="10">
        <f>ROUNDUP((T2289+U2289+2*'Read Me'!$B$13)*(1+'Read Me'!$B$12),-1)</f>
        <v/>
      </c>
      <c r="W2289" s="10">
        <f>V2289*N2289*O2289</f>
        <v/>
      </c>
      <c r="X2289" s="9">
        <f>IF(LEFT(I2289,2)="MV",2*N2289*IF(L2289="1/C",O2289,1),0)</f>
        <v/>
      </c>
      <c r="Y2289" s="9">
        <f>IF(OR(LEFT(K2289,4)="LVAX",LEFT(K2289,6)="MV15AX",LEFT(K2289,4)="CTAX",LEFT(K2289,2)="W|"),2*N2289*O2289,0)</f>
        <v/>
      </c>
      <c r="Z2289" s="9" t="inlineStr"/>
    </row>
    <row r="2290">
      <c r="A2290" s="9" t="inlineStr">
        <is>
          <t>I-I-0198</t>
        </is>
      </c>
      <c r="B2290" s="9" t="inlineStr">
        <is>
          <t>I</t>
        </is>
      </c>
      <c r="C2290" s="9" t="inlineStr">
        <is>
          <t>Modular / portable power</t>
        </is>
      </c>
      <c r="D2290" s="9" t="inlineStr">
        <is>
          <t>Instrumentation</t>
        </is>
      </c>
      <c r="E2290" s="9" t="inlineStr">
        <is>
          <t>PAD-EH</t>
        </is>
      </c>
      <c r="F2290" s="9" t="inlineStr">
        <is>
          <t>PAD-EH 13.8 kV switchgear e-house</t>
        </is>
      </c>
      <c r="G2290" s="9" t="inlineStr">
        <is>
          <t>TM-2</t>
        </is>
      </c>
      <c r="H2290" s="9" t="inlineStr">
        <is>
          <t>TM-2: trailer-mounted aeroderivative GT (TM2500 class, ~35 MW)</t>
        </is>
      </c>
      <c r="I2290" s="9" t="inlineStr">
        <is>
          <t>Instrumentation</t>
        </is>
      </c>
      <c r="J2290" s="9" t="inlineStr">
        <is>
          <t>Instrumentation PLTC / TC-ER 300 V, #18 twisted shielded pairs, overall shield</t>
        </is>
      </c>
      <c r="K2290" s="9" t="inlineStr">
        <is>
          <t>PLTC|12 pr|18</t>
        </is>
      </c>
      <c r="L2290" s="9" t="inlineStr">
        <is>
          <t>12 pr</t>
        </is>
      </c>
      <c r="M2290" s="9" t="inlineStr">
        <is>
          <t>18</t>
        </is>
      </c>
      <c r="N2290" s="9" t="n">
        <v>1</v>
      </c>
      <c r="O2290" s="9" t="n">
        <v>1</v>
      </c>
      <c r="P2290" s="9" t="n"/>
      <c r="Q2290" s="9" t="n"/>
      <c r="R2290" s="9" t="n"/>
      <c r="S2290" s="9" t="inlineStr">
        <is>
          <t>Surface</t>
        </is>
      </c>
      <c r="T2290" s="10" t="n">
        <v>70</v>
      </c>
      <c r="U2290" s="10" t="n">
        <v>47</v>
      </c>
      <c r="V2290" s="10">
        <f>ROUNDUP((T2290+U2290+2*'Read Me'!$B$13)*(1+'Read Me'!$B$12),-1)</f>
        <v/>
      </c>
      <c r="W2290" s="10">
        <f>V2290*N2290*O2290</f>
        <v/>
      </c>
      <c r="X2290" s="9">
        <f>IF(LEFT(I2290,2)="MV",2*N2290*IF(L2290="1/C",O2290,1),0)</f>
        <v/>
      </c>
      <c r="Y2290" s="9">
        <f>IF(OR(LEFT(K2290,4)="LVAX",LEFT(K2290,6)="MV15AX",LEFT(K2290,4)="CTAX",LEFT(K2290,2)="W|"),2*N2290*O2290,0)</f>
        <v/>
      </c>
      <c r="Z2290" s="9" t="inlineStr"/>
    </row>
    <row r="2291">
      <c r="A2291" s="9" t="inlineStr">
        <is>
          <t>I-I-0199</t>
        </is>
      </c>
      <c r="B2291" s="9" t="inlineStr">
        <is>
          <t>I</t>
        </is>
      </c>
      <c r="C2291" s="9" t="inlineStr">
        <is>
          <t>Modular / portable power</t>
        </is>
      </c>
      <c r="D2291" s="9" t="inlineStr">
        <is>
          <t>Instrumentation</t>
        </is>
      </c>
      <c r="E2291" s="9" t="inlineStr">
        <is>
          <t>PAD-EH</t>
        </is>
      </c>
      <c r="F2291" s="9" t="inlineStr">
        <is>
          <t>PAD-EH 13.8 kV switchgear e-house</t>
        </is>
      </c>
      <c r="G2291" s="9" t="inlineStr">
        <is>
          <t>TM-2</t>
        </is>
      </c>
      <c r="H2291" s="9" t="inlineStr">
        <is>
          <t>TM-2: trailer-mounted aeroderivative GT (TM2500 class, ~35 MW)</t>
        </is>
      </c>
      <c r="I2291" s="9" t="inlineStr">
        <is>
          <t>Instrumentation</t>
        </is>
      </c>
      <c r="J2291" s="9" t="inlineStr">
        <is>
          <t>Instrumentation PLTC / TC-ER 300 V, #18 twisted shielded pairs, overall shield</t>
        </is>
      </c>
      <c r="K2291" s="9" t="inlineStr">
        <is>
          <t>PLTC|12 pr|18</t>
        </is>
      </c>
      <c r="L2291" s="9" t="inlineStr">
        <is>
          <t>12 pr</t>
        </is>
      </c>
      <c r="M2291" s="9" t="inlineStr">
        <is>
          <t>18</t>
        </is>
      </c>
      <c r="N2291" s="9" t="n">
        <v>1</v>
      </c>
      <c r="O2291" s="9" t="n">
        <v>1</v>
      </c>
      <c r="P2291" s="9" t="n"/>
      <c r="Q2291" s="9" t="n"/>
      <c r="R2291" s="9" t="n"/>
      <c r="S2291" s="9" t="inlineStr">
        <is>
          <t>Surface</t>
        </is>
      </c>
      <c r="T2291" s="10" t="n">
        <v>70</v>
      </c>
      <c r="U2291" s="10" t="n">
        <v>47</v>
      </c>
      <c r="V2291" s="10">
        <f>ROUNDUP((T2291+U2291+2*'Read Me'!$B$13)*(1+'Read Me'!$B$12),-1)</f>
        <v/>
      </c>
      <c r="W2291" s="10">
        <f>V2291*N2291*O2291</f>
        <v/>
      </c>
      <c r="X2291" s="9">
        <f>IF(LEFT(I2291,2)="MV",2*N2291*IF(L2291="1/C",O2291,1),0)</f>
        <v/>
      </c>
      <c r="Y2291" s="9">
        <f>IF(OR(LEFT(K2291,4)="LVAX",LEFT(K2291,6)="MV15AX",LEFT(K2291,4)="CTAX",LEFT(K2291,2)="W|"),2*N2291*O2291,0)</f>
        <v/>
      </c>
      <c r="Z2291" s="9" t="inlineStr"/>
    </row>
    <row r="2292">
      <c r="A2292" s="9" t="inlineStr">
        <is>
          <t>I-I-0200</t>
        </is>
      </c>
      <c r="B2292" s="9" t="inlineStr">
        <is>
          <t>I</t>
        </is>
      </c>
      <c r="C2292" s="9" t="inlineStr">
        <is>
          <t>Modular / portable power</t>
        </is>
      </c>
      <c r="D2292" s="9" t="inlineStr">
        <is>
          <t>Instrumentation</t>
        </is>
      </c>
      <c r="E2292" s="9" t="inlineStr">
        <is>
          <t>PAD-EH</t>
        </is>
      </c>
      <c r="F2292" s="9" t="inlineStr">
        <is>
          <t>PAD-EH 13.8 kV switchgear e-house</t>
        </is>
      </c>
      <c r="G2292" s="9" t="inlineStr">
        <is>
          <t>TM-2</t>
        </is>
      </c>
      <c r="H2292" s="9" t="inlineStr">
        <is>
          <t>TM-2: trailer-mounted aeroderivative GT (TM2500 class, ~35 MW)</t>
        </is>
      </c>
      <c r="I2292" s="9" t="inlineStr">
        <is>
          <t>Instrumentation</t>
        </is>
      </c>
      <c r="J2292" s="9" t="inlineStr">
        <is>
          <t>Instrumentation PLTC / TC-ER 300 V, #18 twisted shielded pairs, overall shield</t>
        </is>
      </c>
      <c r="K2292" s="9" t="inlineStr">
        <is>
          <t>PLTC|12 pr|18</t>
        </is>
      </c>
      <c r="L2292" s="9" t="inlineStr">
        <is>
          <t>12 pr</t>
        </is>
      </c>
      <c r="M2292" s="9" t="inlineStr">
        <is>
          <t>18</t>
        </is>
      </c>
      <c r="N2292" s="9" t="n">
        <v>1</v>
      </c>
      <c r="O2292" s="9" t="n">
        <v>1</v>
      </c>
      <c r="P2292" s="9" t="n"/>
      <c r="Q2292" s="9" t="n"/>
      <c r="R2292" s="9" t="n"/>
      <c r="S2292" s="9" t="inlineStr">
        <is>
          <t>Surface</t>
        </is>
      </c>
      <c r="T2292" s="10" t="n">
        <v>70</v>
      </c>
      <c r="U2292" s="10" t="n">
        <v>47</v>
      </c>
      <c r="V2292" s="10">
        <f>ROUNDUP((T2292+U2292+2*'Read Me'!$B$13)*(1+'Read Me'!$B$12),-1)</f>
        <v/>
      </c>
      <c r="W2292" s="10">
        <f>V2292*N2292*O2292</f>
        <v/>
      </c>
      <c r="X2292" s="9">
        <f>IF(LEFT(I2292,2)="MV",2*N2292*IF(L2292="1/C",O2292,1),0)</f>
        <v/>
      </c>
      <c r="Y2292" s="9">
        <f>IF(OR(LEFT(K2292,4)="LVAX",LEFT(K2292,6)="MV15AX",LEFT(K2292,4)="CTAX",LEFT(K2292,2)="W|"),2*N2292*O2292,0)</f>
        <v/>
      </c>
      <c r="Z2292" s="9" t="inlineStr"/>
    </row>
    <row r="2293">
      <c r="A2293" s="9" t="inlineStr">
        <is>
          <t>I-I-0201</t>
        </is>
      </c>
      <c r="B2293" s="9" t="inlineStr">
        <is>
          <t>I</t>
        </is>
      </c>
      <c r="C2293" s="9" t="inlineStr">
        <is>
          <t>Modular / portable power</t>
        </is>
      </c>
      <c r="D2293" s="9" t="inlineStr">
        <is>
          <t>Instrumentation</t>
        </is>
      </c>
      <c r="E2293" s="9" t="inlineStr">
        <is>
          <t>PAD-EH</t>
        </is>
      </c>
      <c r="F2293" s="9" t="inlineStr">
        <is>
          <t>PAD-EH 13.8 kV switchgear e-house</t>
        </is>
      </c>
      <c r="G2293" s="9" t="inlineStr">
        <is>
          <t>TM-2</t>
        </is>
      </c>
      <c r="H2293" s="9" t="inlineStr">
        <is>
          <t>TM-2: trailer-mounted aeroderivative GT (TM2500 class, ~35 MW)</t>
        </is>
      </c>
      <c r="I2293" s="9" t="inlineStr">
        <is>
          <t>Instrumentation</t>
        </is>
      </c>
      <c r="J2293" s="9" t="inlineStr">
        <is>
          <t>Instrumentation PLTC / TC-ER 300 V, #18 twisted shielded pairs, overall shield</t>
        </is>
      </c>
      <c r="K2293" s="9" t="inlineStr">
        <is>
          <t>PLTC|12 pr|18</t>
        </is>
      </c>
      <c r="L2293" s="9" t="inlineStr">
        <is>
          <t>12 pr</t>
        </is>
      </c>
      <c r="M2293" s="9" t="inlineStr">
        <is>
          <t>18</t>
        </is>
      </c>
      <c r="N2293" s="9" t="n">
        <v>1</v>
      </c>
      <c r="O2293" s="9" t="n">
        <v>1</v>
      </c>
      <c r="P2293" s="9" t="n"/>
      <c r="Q2293" s="9" t="n"/>
      <c r="R2293" s="9" t="n"/>
      <c r="S2293" s="9" t="inlineStr">
        <is>
          <t>Surface</t>
        </is>
      </c>
      <c r="T2293" s="10" t="n">
        <v>70</v>
      </c>
      <c r="U2293" s="10" t="n">
        <v>47</v>
      </c>
      <c r="V2293" s="10">
        <f>ROUNDUP((T2293+U2293+2*'Read Me'!$B$13)*(1+'Read Me'!$B$12),-1)</f>
        <v/>
      </c>
      <c r="W2293" s="10">
        <f>V2293*N2293*O2293</f>
        <v/>
      </c>
      <c r="X2293" s="9">
        <f>IF(LEFT(I2293,2)="MV",2*N2293*IF(L2293="1/C",O2293,1),0)</f>
        <v/>
      </c>
      <c r="Y2293" s="9">
        <f>IF(OR(LEFT(K2293,4)="LVAX",LEFT(K2293,6)="MV15AX",LEFT(K2293,4)="CTAX",LEFT(K2293,2)="W|"),2*N2293*O2293,0)</f>
        <v/>
      </c>
      <c r="Z2293" s="9" t="inlineStr"/>
    </row>
    <row r="2294">
      <c r="A2294" s="9" t="inlineStr">
        <is>
          <t>I-I-0202</t>
        </is>
      </c>
      <c r="B2294" s="9" t="inlineStr">
        <is>
          <t>I</t>
        </is>
      </c>
      <c r="C2294" s="9" t="inlineStr">
        <is>
          <t>Modular / portable power</t>
        </is>
      </c>
      <c r="D2294" s="9" t="inlineStr">
        <is>
          <t>Instrumentation</t>
        </is>
      </c>
      <c r="E2294" s="9" t="inlineStr">
        <is>
          <t>PAD-EH</t>
        </is>
      </c>
      <c r="F2294" s="9" t="inlineStr">
        <is>
          <t>PAD-EH 13.8 kV switchgear e-house</t>
        </is>
      </c>
      <c r="G2294" s="9" t="inlineStr">
        <is>
          <t>TM-2</t>
        </is>
      </c>
      <c r="H2294" s="9" t="inlineStr">
        <is>
          <t>TM-2: trailer-mounted aeroderivative GT (TM2500 class, ~35 MW)</t>
        </is>
      </c>
      <c r="I2294" s="9" t="inlineStr">
        <is>
          <t>Instrumentation</t>
        </is>
      </c>
      <c r="J2294" s="9" t="inlineStr">
        <is>
          <t>Instrumentation PLTC / TC-ER 300 V, #18 twisted shielded pairs, overall shield</t>
        </is>
      </c>
      <c r="K2294" s="9" t="inlineStr">
        <is>
          <t>PLTC|12 pr|18</t>
        </is>
      </c>
      <c r="L2294" s="9" t="inlineStr">
        <is>
          <t>12 pr</t>
        </is>
      </c>
      <c r="M2294" s="9" t="inlineStr">
        <is>
          <t>18</t>
        </is>
      </c>
      <c r="N2294" s="9" t="n">
        <v>1</v>
      </c>
      <c r="O2294" s="9" t="n">
        <v>1</v>
      </c>
      <c r="P2294" s="9" t="n"/>
      <c r="Q2294" s="9" t="n"/>
      <c r="R2294" s="9" t="n"/>
      <c r="S2294" s="9" t="inlineStr">
        <is>
          <t>Surface</t>
        </is>
      </c>
      <c r="T2294" s="10" t="n">
        <v>70</v>
      </c>
      <c r="U2294" s="10" t="n">
        <v>47</v>
      </c>
      <c r="V2294" s="10">
        <f>ROUNDUP((T2294+U2294+2*'Read Me'!$B$13)*(1+'Read Me'!$B$12),-1)</f>
        <v/>
      </c>
      <c r="W2294" s="10">
        <f>V2294*N2294*O2294</f>
        <v/>
      </c>
      <c r="X2294" s="9">
        <f>IF(LEFT(I2294,2)="MV",2*N2294*IF(L2294="1/C",O2294,1),0)</f>
        <v/>
      </c>
      <c r="Y2294" s="9">
        <f>IF(OR(LEFT(K2294,4)="LVAX",LEFT(K2294,6)="MV15AX",LEFT(K2294,4)="CTAX",LEFT(K2294,2)="W|"),2*N2294*O2294,0)</f>
        <v/>
      </c>
      <c r="Z2294" s="9" t="inlineStr"/>
    </row>
    <row r="2295">
      <c r="A2295" s="9" t="inlineStr">
        <is>
          <t>I-I-0203</t>
        </is>
      </c>
      <c r="B2295" s="9" t="inlineStr">
        <is>
          <t>I</t>
        </is>
      </c>
      <c r="C2295" s="9" t="inlineStr">
        <is>
          <t>Modular / portable power</t>
        </is>
      </c>
      <c r="D2295" s="9" t="inlineStr">
        <is>
          <t>Instrumentation</t>
        </is>
      </c>
      <c r="E2295" s="9" t="inlineStr">
        <is>
          <t>PAD-EH</t>
        </is>
      </c>
      <c r="F2295" s="9" t="inlineStr">
        <is>
          <t>PAD-EH 13.8 kV switchgear e-house</t>
        </is>
      </c>
      <c r="G2295" s="9" t="inlineStr">
        <is>
          <t>TM-2</t>
        </is>
      </c>
      <c r="H2295" s="9" t="inlineStr">
        <is>
          <t>TM-2: trailer-mounted aeroderivative GT (TM2500 class, ~35 MW)</t>
        </is>
      </c>
      <c r="I2295" s="9" t="inlineStr">
        <is>
          <t>Instrumentation</t>
        </is>
      </c>
      <c r="J2295" s="9" t="inlineStr">
        <is>
          <t>Instrumentation PLTC / TC-ER 300 V, #18 twisted shielded pairs, overall shield</t>
        </is>
      </c>
      <c r="K2295" s="9" t="inlineStr">
        <is>
          <t>PLTC|12 pr|18</t>
        </is>
      </c>
      <c r="L2295" s="9" t="inlineStr">
        <is>
          <t>12 pr</t>
        </is>
      </c>
      <c r="M2295" s="9" t="inlineStr">
        <is>
          <t>18</t>
        </is>
      </c>
      <c r="N2295" s="9" t="n">
        <v>1</v>
      </c>
      <c r="O2295" s="9" t="n">
        <v>1</v>
      </c>
      <c r="P2295" s="9" t="n"/>
      <c r="Q2295" s="9" t="n"/>
      <c r="R2295" s="9" t="n"/>
      <c r="S2295" s="9" t="inlineStr">
        <is>
          <t>Surface</t>
        </is>
      </c>
      <c r="T2295" s="10" t="n">
        <v>70</v>
      </c>
      <c r="U2295" s="10" t="n">
        <v>47</v>
      </c>
      <c r="V2295" s="10">
        <f>ROUNDUP((T2295+U2295+2*'Read Me'!$B$13)*(1+'Read Me'!$B$12),-1)</f>
        <v/>
      </c>
      <c r="W2295" s="10">
        <f>V2295*N2295*O2295</f>
        <v/>
      </c>
      <c r="X2295" s="9">
        <f>IF(LEFT(I2295,2)="MV",2*N2295*IF(L2295="1/C",O2295,1),0)</f>
        <v/>
      </c>
      <c r="Y2295" s="9">
        <f>IF(OR(LEFT(K2295,4)="LVAX",LEFT(K2295,6)="MV15AX",LEFT(K2295,4)="CTAX",LEFT(K2295,2)="W|"),2*N2295*O2295,0)</f>
        <v/>
      </c>
      <c r="Z2295" s="9" t="inlineStr"/>
    </row>
    <row r="2296">
      <c r="A2296" s="9" t="inlineStr">
        <is>
          <t>I-I-0204</t>
        </is>
      </c>
      <c r="B2296" s="9" t="inlineStr">
        <is>
          <t>I</t>
        </is>
      </c>
      <c r="C2296" s="9" t="inlineStr">
        <is>
          <t>Modular / portable power</t>
        </is>
      </c>
      <c r="D2296" s="9" t="inlineStr">
        <is>
          <t>Instrumentation</t>
        </is>
      </c>
      <c r="E2296" s="9" t="inlineStr">
        <is>
          <t>PAD-EH</t>
        </is>
      </c>
      <c r="F2296" s="9" t="inlineStr">
        <is>
          <t>PAD-EH 13.8 kV switchgear e-house</t>
        </is>
      </c>
      <c r="G2296" s="9" t="inlineStr">
        <is>
          <t>TM-2</t>
        </is>
      </c>
      <c r="H2296" s="9" t="inlineStr">
        <is>
          <t>TM-2: trailer-mounted aeroderivative GT (TM2500 class, ~35 MW)</t>
        </is>
      </c>
      <c r="I2296" s="9" t="inlineStr">
        <is>
          <t>Instrumentation</t>
        </is>
      </c>
      <c r="J2296" s="9" t="inlineStr">
        <is>
          <t>Instrumentation PLTC / TC-ER 300 V, #18 twisted shielded pairs, overall shield</t>
        </is>
      </c>
      <c r="K2296" s="9" t="inlineStr">
        <is>
          <t>PLTC|12 pr|18</t>
        </is>
      </c>
      <c r="L2296" s="9" t="inlineStr">
        <is>
          <t>12 pr</t>
        </is>
      </c>
      <c r="M2296" s="9" t="inlineStr">
        <is>
          <t>18</t>
        </is>
      </c>
      <c r="N2296" s="9" t="n">
        <v>1</v>
      </c>
      <c r="O2296" s="9" t="n">
        <v>1</v>
      </c>
      <c r="P2296" s="9" t="n"/>
      <c r="Q2296" s="9" t="n"/>
      <c r="R2296" s="9" t="n"/>
      <c r="S2296" s="9" t="inlineStr">
        <is>
          <t>Surface</t>
        </is>
      </c>
      <c r="T2296" s="10" t="n">
        <v>70</v>
      </c>
      <c r="U2296" s="10" t="n">
        <v>47</v>
      </c>
      <c r="V2296" s="10">
        <f>ROUNDUP((T2296+U2296+2*'Read Me'!$B$13)*(1+'Read Me'!$B$12),-1)</f>
        <v/>
      </c>
      <c r="W2296" s="10">
        <f>V2296*N2296*O2296</f>
        <v/>
      </c>
      <c r="X2296" s="9">
        <f>IF(LEFT(I2296,2)="MV",2*N2296*IF(L2296="1/C",O2296,1),0)</f>
        <v/>
      </c>
      <c r="Y2296" s="9">
        <f>IF(OR(LEFT(K2296,4)="LVAX",LEFT(K2296,6)="MV15AX",LEFT(K2296,4)="CTAX",LEFT(K2296,2)="W|"),2*N2296*O2296,0)</f>
        <v/>
      </c>
      <c r="Z2296" s="9" t="inlineStr"/>
    </row>
    <row r="2297">
      <c r="A2297" s="9" t="inlineStr">
        <is>
          <t>I-I-0205</t>
        </is>
      </c>
      <c r="B2297" s="9" t="inlineStr">
        <is>
          <t>I</t>
        </is>
      </c>
      <c r="C2297" s="9" t="inlineStr">
        <is>
          <t>Modular / portable power</t>
        </is>
      </c>
      <c r="D2297" s="9" t="inlineStr">
        <is>
          <t>Thermocouples</t>
        </is>
      </c>
      <c r="E2297" s="9" t="inlineStr">
        <is>
          <t>PAD-EH</t>
        </is>
      </c>
      <c r="F2297" s="9" t="inlineStr">
        <is>
          <t>PAD-EH 13.8 kV switchgear e-house</t>
        </is>
      </c>
      <c r="G2297" s="9" t="inlineStr">
        <is>
          <t>TM-2</t>
        </is>
      </c>
      <c r="H2297" s="9" t="inlineStr">
        <is>
          <t>TM-2: trailer-mounted aeroderivative GT (TM2500 class, ~35 MW)</t>
        </is>
      </c>
      <c r="I2297" s="9" t="inlineStr">
        <is>
          <t>Instrumentation</t>
        </is>
      </c>
      <c r="J2297" s="9" t="inlineStr">
        <is>
          <t>Thermocouple extension KX, #16 shielded pairs, PLTC</t>
        </is>
      </c>
      <c r="K2297" s="9" t="inlineStr">
        <is>
          <t>TCX|12 pr|16</t>
        </is>
      </c>
      <c r="L2297" s="9" t="inlineStr">
        <is>
          <t>12 pr</t>
        </is>
      </c>
      <c r="M2297" s="9" t="inlineStr">
        <is>
          <t>16</t>
        </is>
      </c>
      <c r="N2297" s="9" t="n">
        <v>1</v>
      </c>
      <c r="O2297" s="9" t="n">
        <v>1</v>
      </c>
      <c r="P2297" s="9" t="n"/>
      <c r="Q2297" s="9" t="n"/>
      <c r="R2297" s="9" t="n"/>
      <c r="S2297" s="9" t="inlineStr">
        <is>
          <t>Surface</t>
        </is>
      </c>
      <c r="T2297" s="10" t="n">
        <v>70</v>
      </c>
      <c r="U2297" s="10" t="n">
        <v>47</v>
      </c>
      <c r="V2297" s="10">
        <f>ROUNDUP((T2297+U2297+2*'Read Me'!$B$13)*(1+'Read Me'!$B$12),-1)</f>
        <v/>
      </c>
      <c r="W2297" s="10">
        <f>V2297*N2297*O2297</f>
        <v/>
      </c>
      <c r="X2297" s="9">
        <f>IF(LEFT(I2297,2)="MV",2*N2297*IF(L2297="1/C",O2297,1),0)</f>
        <v/>
      </c>
      <c r="Y2297" s="9">
        <f>IF(OR(LEFT(K2297,4)="LVAX",LEFT(K2297,6)="MV15AX",LEFT(K2297,4)="CTAX",LEFT(K2297,2)="W|"),2*N2297*O2297,0)</f>
        <v/>
      </c>
      <c r="Z2297" s="9" t="inlineStr"/>
    </row>
    <row r="2298">
      <c r="A2298" s="9" t="inlineStr">
        <is>
          <t>I-I-0206</t>
        </is>
      </c>
      <c r="B2298" s="9" t="inlineStr">
        <is>
          <t>I</t>
        </is>
      </c>
      <c r="C2298" s="9" t="inlineStr">
        <is>
          <t>Modular / portable power</t>
        </is>
      </c>
      <c r="D2298" s="9" t="inlineStr">
        <is>
          <t>Thermocouples</t>
        </is>
      </c>
      <c r="E2298" s="9" t="inlineStr">
        <is>
          <t>PAD-EH</t>
        </is>
      </c>
      <c r="F2298" s="9" t="inlineStr">
        <is>
          <t>PAD-EH 13.8 kV switchgear e-house</t>
        </is>
      </c>
      <c r="G2298" s="9" t="inlineStr">
        <is>
          <t>TM-2</t>
        </is>
      </c>
      <c r="H2298" s="9" t="inlineStr">
        <is>
          <t>TM-2: trailer-mounted aeroderivative GT (TM2500 class, ~35 MW)</t>
        </is>
      </c>
      <c r="I2298" s="9" t="inlineStr">
        <is>
          <t>Instrumentation</t>
        </is>
      </c>
      <c r="J2298" s="9" t="inlineStr">
        <is>
          <t>Thermocouple extension KX, #16 shielded pairs, PLTC</t>
        </is>
      </c>
      <c r="K2298" s="9" t="inlineStr">
        <is>
          <t>TCX|12 pr|16</t>
        </is>
      </c>
      <c r="L2298" s="9" t="inlineStr">
        <is>
          <t>12 pr</t>
        </is>
      </c>
      <c r="M2298" s="9" t="inlineStr">
        <is>
          <t>16</t>
        </is>
      </c>
      <c r="N2298" s="9" t="n">
        <v>1</v>
      </c>
      <c r="O2298" s="9" t="n">
        <v>1</v>
      </c>
      <c r="P2298" s="9" t="n"/>
      <c r="Q2298" s="9" t="n"/>
      <c r="R2298" s="9" t="n"/>
      <c r="S2298" s="9" t="inlineStr">
        <is>
          <t>Surface</t>
        </is>
      </c>
      <c r="T2298" s="10" t="n">
        <v>70</v>
      </c>
      <c r="U2298" s="10" t="n">
        <v>47</v>
      </c>
      <c r="V2298" s="10">
        <f>ROUNDUP((T2298+U2298+2*'Read Me'!$B$13)*(1+'Read Me'!$B$12),-1)</f>
        <v/>
      </c>
      <c r="W2298" s="10">
        <f>V2298*N2298*O2298</f>
        <v/>
      </c>
      <c r="X2298" s="9">
        <f>IF(LEFT(I2298,2)="MV",2*N2298*IF(L2298="1/C",O2298,1),0)</f>
        <v/>
      </c>
      <c r="Y2298" s="9">
        <f>IF(OR(LEFT(K2298,4)="LVAX",LEFT(K2298,6)="MV15AX",LEFT(K2298,4)="CTAX",LEFT(K2298,2)="W|"),2*N2298*O2298,0)</f>
        <v/>
      </c>
      <c r="Z2298" s="9" t="inlineStr"/>
    </row>
    <row r="2299">
      <c r="A2299" s="9" t="inlineStr">
        <is>
          <t>I-I-0207</t>
        </is>
      </c>
      <c r="B2299" s="9" t="inlineStr">
        <is>
          <t>I</t>
        </is>
      </c>
      <c r="C2299" s="9" t="inlineStr">
        <is>
          <t>Modular / portable power</t>
        </is>
      </c>
      <c r="D2299" s="9" t="inlineStr">
        <is>
          <t>Thermocouples</t>
        </is>
      </c>
      <c r="E2299" s="9" t="inlineStr">
        <is>
          <t>PAD-EH</t>
        </is>
      </c>
      <c r="F2299" s="9" t="inlineStr">
        <is>
          <t>PAD-EH 13.8 kV switchgear e-house</t>
        </is>
      </c>
      <c r="G2299" s="9" t="inlineStr">
        <is>
          <t>TM-2</t>
        </is>
      </c>
      <c r="H2299" s="9" t="inlineStr">
        <is>
          <t>TM-2: trailer-mounted aeroderivative GT (TM2500 class, ~35 MW)</t>
        </is>
      </c>
      <c r="I2299" s="9" t="inlineStr">
        <is>
          <t>Instrumentation</t>
        </is>
      </c>
      <c r="J2299" s="9" t="inlineStr">
        <is>
          <t>Thermocouple extension KX, #16 shielded pairs, PLTC</t>
        </is>
      </c>
      <c r="K2299" s="9" t="inlineStr">
        <is>
          <t>TCX|12 pr|16</t>
        </is>
      </c>
      <c r="L2299" s="9" t="inlineStr">
        <is>
          <t>12 pr</t>
        </is>
      </c>
      <c r="M2299" s="9" t="inlineStr">
        <is>
          <t>16</t>
        </is>
      </c>
      <c r="N2299" s="9" t="n">
        <v>1</v>
      </c>
      <c r="O2299" s="9" t="n">
        <v>1</v>
      </c>
      <c r="P2299" s="9" t="n"/>
      <c r="Q2299" s="9" t="n"/>
      <c r="R2299" s="9" t="n"/>
      <c r="S2299" s="9" t="inlineStr">
        <is>
          <t>Surface</t>
        </is>
      </c>
      <c r="T2299" s="10" t="n">
        <v>70</v>
      </c>
      <c r="U2299" s="10" t="n">
        <v>47</v>
      </c>
      <c r="V2299" s="10">
        <f>ROUNDUP((T2299+U2299+2*'Read Me'!$B$13)*(1+'Read Me'!$B$12),-1)</f>
        <v/>
      </c>
      <c r="W2299" s="10">
        <f>V2299*N2299*O2299</f>
        <v/>
      </c>
      <c r="X2299" s="9">
        <f>IF(LEFT(I2299,2)="MV",2*N2299*IF(L2299="1/C",O2299,1),0)</f>
        <v/>
      </c>
      <c r="Y2299" s="9">
        <f>IF(OR(LEFT(K2299,4)="LVAX",LEFT(K2299,6)="MV15AX",LEFT(K2299,4)="CTAX",LEFT(K2299,2)="W|"),2*N2299*O2299,0)</f>
        <v/>
      </c>
      <c r="Z2299" s="9" t="inlineStr"/>
    </row>
    <row r="2300">
      <c r="A2300" s="9" t="inlineStr">
        <is>
          <t>I-I-0208</t>
        </is>
      </c>
      <c r="B2300" s="9" t="inlineStr">
        <is>
          <t>I</t>
        </is>
      </c>
      <c r="C2300" s="9" t="inlineStr">
        <is>
          <t>Modular / portable power</t>
        </is>
      </c>
      <c r="D2300" s="9" t="inlineStr">
        <is>
          <t>Thermocouples</t>
        </is>
      </c>
      <c r="E2300" s="9" t="inlineStr">
        <is>
          <t>PAD-EH</t>
        </is>
      </c>
      <c r="F2300" s="9" t="inlineStr">
        <is>
          <t>PAD-EH 13.8 kV switchgear e-house</t>
        </is>
      </c>
      <c r="G2300" s="9" t="inlineStr">
        <is>
          <t>TM-2</t>
        </is>
      </c>
      <c r="H2300" s="9" t="inlineStr">
        <is>
          <t>TM-2: trailer-mounted aeroderivative GT (TM2500 class, ~35 MW)</t>
        </is>
      </c>
      <c r="I2300" s="9" t="inlineStr">
        <is>
          <t>Instrumentation</t>
        </is>
      </c>
      <c r="J2300" s="9" t="inlineStr">
        <is>
          <t>Thermocouple extension KX, #16 shielded pairs, PLTC</t>
        </is>
      </c>
      <c r="K2300" s="9" t="inlineStr">
        <is>
          <t>TCX|12 pr|16</t>
        </is>
      </c>
      <c r="L2300" s="9" t="inlineStr">
        <is>
          <t>12 pr</t>
        </is>
      </c>
      <c r="M2300" s="9" t="inlineStr">
        <is>
          <t>16</t>
        </is>
      </c>
      <c r="N2300" s="9" t="n">
        <v>1</v>
      </c>
      <c r="O2300" s="9" t="n">
        <v>1</v>
      </c>
      <c r="P2300" s="9" t="n"/>
      <c r="Q2300" s="9" t="n"/>
      <c r="R2300" s="9" t="n"/>
      <c r="S2300" s="9" t="inlineStr">
        <is>
          <t>Surface</t>
        </is>
      </c>
      <c r="T2300" s="10" t="n">
        <v>70</v>
      </c>
      <c r="U2300" s="10" t="n">
        <v>47</v>
      </c>
      <c r="V2300" s="10">
        <f>ROUNDUP((T2300+U2300+2*'Read Me'!$B$13)*(1+'Read Me'!$B$12),-1)</f>
        <v/>
      </c>
      <c r="W2300" s="10">
        <f>V2300*N2300*O2300</f>
        <v/>
      </c>
      <c r="X2300" s="9">
        <f>IF(LEFT(I2300,2)="MV",2*N2300*IF(L2300="1/C",O2300,1),0)</f>
        <v/>
      </c>
      <c r="Y2300" s="9">
        <f>IF(OR(LEFT(K2300,4)="LVAX",LEFT(K2300,6)="MV15AX",LEFT(K2300,4)="CTAX",LEFT(K2300,2)="W|"),2*N2300*O2300,0)</f>
        <v/>
      </c>
      <c r="Z2300" s="9" t="inlineStr"/>
    </row>
    <row r="2301">
      <c r="A2301" s="9" t="inlineStr">
        <is>
          <t>I-I-0209</t>
        </is>
      </c>
      <c r="B2301" s="9" t="inlineStr">
        <is>
          <t>I</t>
        </is>
      </c>
      <c r="C2301" s="9" t="inlineStr">
        <is>
          <t>Modular / portable power</t>
        </is>
      </c>
      <c r="D2301" s="9" t="inlineStr">
        <is>
          <t>Thermocouples</t>
        </is>
      </c>
      <c r="E2301" s="9" t="inlineStr">
        <is>
          <t>PAD-EH</t>
        </is>
      </c>
      <c r="F2301" s="9" t="inlineStr">
        <is>
          <t>PAD-EH 13.8 kV switchgear e-house</t>
        </is>
      </c>
      <c r="G2301" s="9" t="inlineStr">
        <is>
          <t>TM-2</t>
        </is>
      </c>
      <c r="H2301" s="9" t="inlineStr">
        <is>
          <t>TM-2: trailer-mounted aeroderivative GT (TM2500 class, ~35 MW)</t>
        </is>
      </c>
      <c r="I2301" s="9" t="inlineStr">
        <is>
          <t>Instrumentation</t>
        </is>
      </c>
      <c r="J2301" s="9" t="inlineStr">
        <is>
          <t>Thermocouple extension KX, #16 shielded pairs, PLTC</t>
        </is>
      </c>
      <c r="K2301" s="9" t="inlineStr">
        <is>
          <t>TCX|12 pr|16</t>
        </is>
      </c>
      <c r="L2301" s="9" t="inlineStr">
        <is>
          <t>12 pr</t>
        </is>
      </c>
      <c r="M2301" s="9" t="inlineStr">
        <is>
          <t>16</t>
        </is>
      </c>
      <c r="N2301" s="9" t="n">
        <v>1</v>
      </c>
      <c r="O2301" s="9" t="n">
        <v>1</v>
      </c>
      <c r="P2301" s="9" t="n"/>
      <c r="Q2301" s="9" t="n"/>
      <c r="R2301" s="9" t="n"/>
      <c r="S2301" s="9" t="inlineStr">
        <is>
          <t>Surface</t>
        </is>
      </c>
      <c r="T2301" s="10" t="n">
        <v>70</v>
      </c>
      <c r="U2301" s="10" t="n">
        <v>47</v>
      </c>
      <c r="V2301" s="10">
        <f>ROUNDUP((T2301+U2301+2*'Read Me'!$B$13)*(1+'Read Me'!$B$12),-1)</f>
        <v/>
      </c>
      <c r="W2301" s="10">
        <f>V2301*N2301*O2301</f>
        <v/>
      </c>
      <c r="X2301" s="9">
        <f>IF(LEFT(I2301,2)="MV",2*N2301*IF(L2301="1/C",O2301,1),0)</f>
        <v/>
      </c>
      <c r="Y2301" s="9">
        <f>IF(OR(LEFT(K2301,4)="LVAX",LEFT(K2301,6)="MV15AX",LEFT(K2301,4)="CTAX",LEFT(K2301,2)="W|"),2*N2301*O2301,0)</f>
        <v/>
      </c>
      <c r="Z2301" s="9" t="inlineStr"/>
    </row>
    <row r="2302">
      <c r="A2302" s="9" t="inlineStr">
        <is>
          <t>I-I-0210</t>
        </is>
      </c>
      <c r="B2302" s="9" t="inlineStr">
        <is>
          <t>I</t>
        </is>
      </c>
      <c r="C2302" s="9" t="inlineStr">
        <is>
          <t>Modular / portable power</t>
        </is>
      </c>
      <c r="D2302" s="9" t="inlineStr">
        <is>
          <t>Thermocouples</t>
        </is>
      </c>
      <c r="E2302" s="9" t="inlineStr">
        <is>
          <t>PAD-EH</t>
        </is>
      </c>
      <c r="F2302" s="9" t="inlineStr">
        <is>
          <t>PAD-EH 13.8 kV switchgear e-house</t>
        </is>
      </c>
      <c r="G2302" s="9" t="inlineStr">
        <is>
          <t>TM-2</t>
        </is>
      </c>
      <c r="H2302" s="9" t="inlineStr">
        <is>
          <t>TM-2: trailer-mounted aeroderivative GT (TM2500 class, ~35 MW)</t>
        </is>
      </c>
      <c r="I2302" s="9" t="inlineStr">
        <is>
          <t>Instrumentation</t>
        </is>
      </c>
      <c r="J2302" s="9" t="inlineStr">
        <is>
          <t>Thermocouple extension KX, #16 shielded pairs, PLTC</t>
        </is>
      </c>
      <c r="K2302" s="9" t="inlineStr">
        <is>
          <t>TCX|12 pr|16</t>
        </is>
      </c>
      <c r="L2302" s="9" t="inlineStr">
        <is>
          <t>12 pr</t>
        </is>
      </c>
      <c r="M2302" s="9" t="inlineStr">
        <is>
          <t>16</t>
        </is>
      </c>
      <c r="N2302" s="9" t="n">
        <v>1</v>
      </c>
      <c r="O2302" s="9" t="n">
        <v>1</v>
      </c>
      <c r="P2302" s="9" t="n"/>
      <c r="Q2302" s="9" t="n"/>
      <c r="R2302" s="9" t="n"/>
      <c r="S2302" s="9" t="inlineStr">
        <is>
          <t>Surface</t>
        </is>
      </c>
      <c r="T2302" s="10" t="n">
        <v>70</v>
      </c>
      <c r="U2302" s="10" t="n">
        <v>47</v>
      </c>
      <c r="V2302" s="10">
        <f>ROUNDUP((T2302+U2302+2*'Read Me'!$B$13)*(1+'Read Me'!$B$12),-1)</f>
        <v/>
      </c>
      <c r="W2302" s="10">
        <f>V2302*N2302*O2302</f>
        <v/>
      </c>
      <c r="X2302" s="9">
        <f>IF(LEFT(I2302,2)="MV",2*N2302*IF(L2302="1/C",O2302,1),0)</f>
        <v/>
      </c>
      <c r="Y2302" s="9">
        <f>IF(OR(LEFT(K2302,4)="LVAX",LEFT(K2302,6)="MV15AX",LEFT(K2302,4)="CTAX",LEFT(K2302,2)="W|"),2*N2302*O2302,0)</f>
        <v/>
      </c>
      <c r="Z2302" s="9" t="inlineStr"/>
    </row>
    <row r="2303">
      <c r="A2303" s="9" t="inlineStr">
        <is>
          <t>I-I-0211</t>
        </is>
      </c>
      <c r="B2303" s="9" t="inlineStr">
        <is>
          <t>I</t>
        </is>
      </c>
      <c r="C2303" s="9" t="inlineStr">
        <is>
          <t>Modular / portable power</t>
        </is>
      </c>
      <c r="D2303" s="9" t="inlineStr">
        <is>
          <t>Instrumentation</t>
        </is>
      </c>
      <c r="E2303" s="9" t="inlineStr"/>
      <c r="F2303" s="9" t="inlineStr">
        <is>
          <t>PCM: power control module</t>
        </is>
      </c>
      <c r="G2303" s="9" t="inlineStr"/>
      <c r="H2303" s="9" t="inlineStr">
        <is>
          <t>Water-injection skid</t>
        </is>
      </c>
      <c r="I2303" s="9" t="inlineStr">
        <is>
          <t>Instrumentation</t>
        </is>
      </c>
      <c r="J2303" s="9" t="inlineStr">
        <is>
          <t>Instrumentation PLTC / TC-ER 300 V, #18 twisted shielded pairs, overall shield</t>
        </is>
      </c>
      <c r="K2303" s="9" t="inlineStr">
        <is>
          <t>PLTC|4 pr|18</t>
        </is>
      </c>
      <c r="L2303" s="9" t="inlineStr">
        <is>
          <t>4 pr</t>
        </is>
      </c>
      <c r="M2303" s="9" t="inlineStr">
        <is>
          <t>18</t>
        </is>
      </c>
      <c r="N2303" s="9" t="n">
        <v>1</v>
      </c>
      <c r="O2303" s="9" t="n">
        <v>1</v>
      </c>
      <c r="P2303" s="9" t="n"/>
      <c r="Q2303" s="9" t="n"/>
      <c r="R2303" s="9" t="n"/>
      <c r="S2303" s="9" t="inlineStr">
        <is>
          <t>Duct bank</t>
        </is>
      </c>
      <c r="T2303" s="10" t="n">
        <v>400</v>
      </c>
      <c r="U2303" s="10" t="n">
        <v>176</v>
      </c>
      <c r="V2303" s="10">
        <f>ROUNDUP((T2303+U2303+2*'Read Me'!$B$13)*(1+'Read Me'!$B$12),-1)</f>
        <v/>
      </c>
      <c r="W2303" s="10">
        <f>V2303*N2303*O2303</f>
        <v/>
      </c>
      <c r="X2303" s="9">
        <f>IF(LEFT(I2303,2)="MV",2*N2303*IF(L2303="1/C",O2303,1),0)</f>
        <v/>
      </c>
      <c r="Y2303" s="9">
        <f>IF(OR(LEFT(K2303,4)="LVAX",LEFT(K2303,6)="MV15AX",LEFT(K2303,4)="CTAX",LEFT(K2303,2)="W|"),2*N2303*O2303,0)</f>
        <v/>
      </c>
      <c r="Z2303" s="9" t="inlineStr"/>
    </row>
    <row r="2304">
      <c r="A2304" s="9" t="inlineStr">
        <is>
          <t>I-I-0212</t>
        </is>
      </c>
      <c r="B2304" s="9" t="inlineStr">
        <is>
          <t>I</t>
        </is>
      </c>
      <c r="C2304" s="9" t="inlineStr">
        <is>
          <t>Modular / portable power</t>
        </is>
      </c>
      <c r="D2304" s="9" t="inlineStr">
        <is>
          <t>Instrumentation</t>
        </is>
      </c>
      <c r="E2304" s="9" t="inlineStr"/>
      <c r="F2304" s="9" t="inlineStr">
        <is>
          <t>PCM: power control module</t>
        </is>
      </c>
      <c r="G2304" s="9" t="inlineStr"/>
      <c r="H2304" s="9" t="inlineStr">
        <is>
          <t>Water-injection skid</t>
        </is>
      </c>
      <c r="I2304" s="9" t="inlineStr">
        <is>
          <t>Instrumentation</t>
        </is>
      </c>
      <c r="J2304" s="9" t="inlineStr">
        <is>
          <t>Instrumentation PLTC / TC-ER 300 V, #18 twisted shielded pairs, overall shield</t>
        </is>
      </c>
      <c r="K2304" s="9" t="inlineStr">
        <is>
          <t>PLTC|12 pr|18</t>
        </is>
      </c>
      <c r="L2304" s="9" t="inlineStr">
        <is>
          <t>12 pr</t>
        </is>
      </c>
      <c r="M2304" s="9" t="inlineStr">
        <is>
          <t>18</t>
        </is>
      </c>
      <c r="N2304" s="9" t="n">
        <v>1</v>
      </c>
      <c r="O2304" s="9" t="n">
        <v>1</v>
      </c>
      <c r="P2304" s="9" t="n"/>
      <c r="Q2304" s="9" t="n"/>
      <c r="R2304" s="9" t="n"/>
      <c r="S2304" s="9" t="inlineStr">
        <is>
          <t>Duct bank</t>
        </is>
      </c>
      <c r="T2304" s="10" t="n">
        <v>400</v>
      </c>
      <c r="U2304" s="10" t="n">
        <v>176</v>
      </c>
      <c r="V2304" s="10">
        <f>ROUNDUP((T2304+U2304+2*'Read Me'!$B$13)*(1+'Read Me'!$B$12),-1)</f>
        <v/>
      </c>
      <c r="W2304" s="10">
        <f>V2304*N2304*O2304</f>
        <v/>
      </c>
      <c r="X2304" s="9">
        <f>IF(LEFT(I2304,2)="MV",2*N2304*IF(L2304="1/C",O2304,1),0)</f>
        <v/>
      </c>
      <c r="Y2304" s="9">
        <f>IF(OR(LEFT(K2304,4)="LVAX",LEFT(K2304,6)="MV15AX",LEFT(K2304,4)="CTAX",LEFT(K2304,2)="W|"),2*N2304*O2304,0)</f>
        <v/>
      </c>
      <c r="Z2304" s="9" t="inlineStr"/>
    </row>
    <row r="2305">
      <c r="A2305" s="9" t="inlineStr">
        <is>
          <t>I-P-0001</t>
        </is>
      </c>
      <c r="B2305" s="9" t="inlineStr">
        <is>
          <t>I</t>
        </is>
      </c>
      <c r="C2305" s="9" t="inlineStr">
        <is>
          <t>Modular / portable power</t>
        </is>
      </c>
      <c r="D2305" s="9" t="inlineStr">
        <is>
          <t>LV power feeder</t>
        </is>
      </c>
      <c r="E2305" s="9" t="inlineStr"/>
      <c r="F2305" s="9" t="inlineStr">
        <is>
          <t>MOD-LV 480 V board + 480 V : 13.8 kV step-up</t>
        </is>
      </c>
      <c r="G2305" s="9" t="inlineStr"/>
      <c r="H2305" s="9" t="inlineStr">
        <is>
          <t>Aqueous ammonia (SC units)</t>
        </is>
      </c>
      <c r="I2305" s="9" t="inlineStr">
        <is>
          <t>LV 600 V</t>
        </is>
      </c>
      <c r="J2305" s="9" t="inlineStr">
        <is>
          <t>Type TC-ER 600 V 3/C Cu XHHW-2 + ground, PVC jacket</t>
        </is>
      </c>
      <c r="K2305" s="9" t="inlineStr">
        <is>
          <t>LV|3/C+G|10</t>
        </is>
      </c>
      <c r="L2305" s="9" t="inlineStr">
        <is>
          <t>3/C+G</t>
        </is>
      </c>
      <c r="M2305" s="9" t="inlineStr">
        <is>
          <t>10</t>
        </is>
      </c>
      <c r="N2305" s="9" t="n">
        <v>1</v>
      </c>
      <c r="O2305" s="9" t="n">
        <v>1</v>
      </c>
      <c r="P2305" s="9" t="n">
        <v>480</v>
      </c>
      <c r="Q2305" s="9" t="n">
        <v>10</v>
      </c>
      <c r="R2305" s="9" t="n">
        <v>14</v>
      </c>
      <c r="S2305" s="9" t="inlineStr">
        <is>
          <t>Duct bank</t>
        </is>
      </c>
      <c r="T2305" s="10" t="n">
        <v>375</v>
      </c>
      <c r="U2305" s="10" t="n">
        <v>37</v>
      </c>
      <c r="V2305" s="10">
        <f>ROUNDUP((T2305+U2305+2*'Read Me'!$B$13)*(1+'Read Me'!$B$12),-1)</f>
        <v/>
      </c>
      <c r="W2305" s="10">
        <f>V2305*N2305*O2305</f>
        <v/>
      </c>
      <c r="X2305" s="9">
        <f>IF(LEFT(I2305,2)="MV",2*N2305*IF(L2305="1/C",O2305,1),0)</f>
        <v/>
      </c>
      <c r="Y2305" s="9">
        <f>IF(OR(LEFT(K2305,4)="LVAX",LEFT(K2305,6)="MV15AX",LEFT(K2305,4)="CTAX",LEFT(K2305,2)="W|"),2*N2305*O2305,0)</f>
        <v/>
      </c>
      <c r="Z2305" s="9" t="inlineStr">
        <is>
          <t>VD 2.8 %</t>
        </is>
      </c>
    </row>
    <row r="2306">
      <c r="A2306" s="9" t="inlineStr">
        <is>
          <t>I-P-0002</t>
        </is>
      </c>
      <c r="B2306" s="9" t="inlineStr">
        <is>
          <t>I</t>
        </is>
      </c>
      <c r="C2306" s="9" t="inlineStr">
        <is>
          <t>Modular / portable power</t>
        </is>
      </c>
      <c r="D2306" s="9" t="inlineStr">
        <is>
          <t>Black-start genset output</t>
        </is>
      </c>
      <c r="E2306" s="9" t="inlineStr"/>
      <c r="F2306" s="9" t="inlineStr">
        <is>
          <t>Black-start genset (proposed; requires study)</t>
        </is>
      </c>
      <c r="G2306" s="9" t="inlineStr"/>
      <c r="H2306" s="9" t="inlineStr">
        <is>
          <t>BS black-start switchgear</t>
        </is>
      </c>
      <c r="I2306" s="9" t="inlineStr">
        <is>
          <t>LV 600 V</t>
        </is>
      </c>
      <c r="J2306" s="9" t="inlineStr">
        <is>
          <t>Type TC-ER 600 V 3/C Cu XHHW-2 + ground, PVC jacket</t>
        </is>
      </c>
      <c r="K2306" s="9" t="inlineStr">
        <is>
          <t>LV|3/C+G|500</t>
        </is>
      </c>
      <c r="L2306" s="9" t="inlineStr">
        <is>
          <t>3/C+G</t>
        </is>
      </c>
      <c r="M2306" s="9" t="inlineStr">
        <is>
          <t>500 kcmil</t>
        </is>
      </c>
      <c r="N2306" s="9" t="n">
        <v>10</v>
      </c>
      <c r="O2306" s="9" t="n">
        <v>1</v>
      </c>
      <c r="P2306" s="9" t="n">
        <v>480</v>
      </c>
      <c r="Q2306" s="9" t="n">
        <v>2000</v>
      </c>
      <c r="R2306" s="9" t="n">
        <v>2532</v>
      </c>
      <c r="S2306" s="9" t="inlineStr">
        <is>
          <t>Tray</t>
        </is>
      </c>
      <c r="T2306" s="10" t="n">
        <v>0</v>
      </c>
      <c r="U2306" s="10" t="n">
        <v>41</v>
      </c>
      <c r="V2306" s="10">
        <f>ROUNDUP((T2306+U2306+2*'Read Me'!$B$13)*(1+'Read Me'!$B$12),-1)</f>
        <v/>
      </c>
      <c r="W2306" s="10">
        <f>V2306*N2306*O2306</f>
        <v/>
      </c>
      <c r="X2306" s="9">
        <f>IF(LEFT(I2306,2)="MV",2*N2306*IF(L2306="1/C",O2306,1),0)</f>
        <v/>
      </c>
      <c r="Y2306" s="9">
        <f>IF(OR(LEFT(K2306,4)="LVAX",LEFT(K2306,6)="MV15AX",LEFT(K2306,4)="CTAX",LEFT(K2306,2)="W|"),2*N2306*O2306,0)</f>
        <v/>
      </c>
      <c r="Z2306" s="9" t="inlineStr">
        <is>
          <t>VD 0.1 %</t>
        </is>
      </c>
    </row>
    <row r="2307">
      <c r="A2307" s="9" t="inlineStr">
        <is>
          <t>I-P-0003</t>
        </is>
      </c>
      <c r="B2307" s="9" t="inlineStr">
        <is>
          <t>I</t>
        </is>
      </c>
      <c r="C2307" s="9" t="inlineStr">
        <is>
          <t>Modular / portable power</t>
        </is>
      </c>
      <c r="D2307" s="9" t="inlineStr">
        <is>
          <t>Black-start genset output</t>
        </is>
      </c>
      <c r="E2307" s="9" t="inlineStr"/>
      <c r="F2307" s="9" t="inlineStr">
        <is>
          <t>Black-start genset (proposed; requires study)</t>
        </is>
      </c>
      <c r="G2307" s="9" t="inlineStr"/>
      <c r="H2307" s="9" t="inlineStr">
        <is>
          <t>BS black-start switchgear</t>
        </is>
      </c>
      <c r="I2307" s="9" t="inlineStr">
        <is>
          <t>LV 600 V</t>
        </is>
      </c>
      <c r="J2307" s="9" t="inlineStr">
        <is>
          <t>Type TC-ER 600 V 3/C Cu XHHW-2 + ground, PVC jacket</t>
        </is>
      </c>
      <c r="K2307" s="9" t="inlineStr">
        <is>
          <t>LV|3/C+G|500</t>
        </is>
      </c>
      <c r="L2307" s="9" t="inlineStr">
        <is>
          <t>3/C+G</t>
        </is>
      </c>
      <c r="M2307" s="9" t="inlineStr">
        <is>
          <t>500 kcmil</t>
        </is>
      </c>
      <c r="N2307" s="9" t="n">
        <v>10</v>
      </c>
      <c r="O2307" s="9" t="n">
        <v>1</v>
      </c>
      <c r="P2307" s="9" t="n">
        <v>480</v>
      </c>
      <c r="Q2307" s="9" t="n">
        <v>2000</v>
      </c>
      <c r="R2307" s="9" t="n">
        <v>2532</v>
      </c>
      <c r="S2307" s="9" t="inlineStr">
        <is>
          <t>Tray</t>
        </is>
      </c>
      <c r="T2307" s="10" t="n">
        <v>0</v>
      </c>
      <c r="U2307" s="10" t="n">
        <v>49</v>
      </c>
      <c r="V2307" s="10">
        <f>ROUNDUP((T2307+U2307+2*'Read Me'!$B$13)*(1+'Read Me'!$B$12),-1)</f>
        <v/>
      </c>
      <c r="W2307" s="10">
        <f>V2307*N2307*O2307</f>
        <v/>
      </c>
      <c r="X2307" s="9">
        <f>IF(LEFT(I2307,2)="MV",2*N2307*IF(L2307="1/C",O2307,1),0)</f>
        <v/>
      </c>
      <c r="Y2307" s="9">
        <f>IF(OR(LEFT(K2307,4)="LVAX",LEFT(K2307,6)="MV15AX",LEFT(K2307,4)="CTAX",LEFT(K2307,2)="W|"),2*N2307*O2307,0)</f>
        <v/>
      </c>
      <c r="Z2307" s="9" t="inlineStr">
        <is>
          <t>VD 0.1 %</t>
        </is>
      </c>
    </row>
    <row r="2308">
      <c r="A2308" s="9" t="inlineStr">
        <is>
          <t>I-P-0004</t>
        </is>
      </c>
      <c r="B2308" s="9" t="inlineStr">
        <is>
          <t>I</t>
        </is>
      </c>
      <c r="C2308" s="9" t="inlineStr">
        <is>
          <t>Modular / portable power</t>
        </is>
      </c>
      <c r="D2308" s="9" t="inlineStr">
        <is>
          <t>LV power feeder</t>
        </is>
      </c>
      <c r="E2308" s="9" t="inlineStr"/>
      <c r="F2308" s="9" t="inlineStr">
        <is>
          <t>PCM: power control module</t>
        </is>
      </c>
      <c r="G2308" s="9" t="inlineStr"/>
      <c r="H2308" s="9" t="inlineStr">
        <is>
          <t>BS black-start switchgear</t>
        </is>
      </c>
      <c r="I2308" s="9" t="inlineStr">
        <is>
          <t>LV 600 V</t>
        </is>
      </c>
      <c r="J2308" s="9" t="inlineStr">
        <is>
          <t>Type TC-ER 600 V 3/C Cu XHHW-2 + ground, PVC jacket</t>
        </is>
      </c>
      <c r="K2308" s="9" t="inlineStr">
        <is>
          <t>LV|3/C+G|6</t>
        </is>
      </c>
      <c r="L2308" s="9" t="inlineStr">
        <is>
          <t>3/C+G</t>
        </is>
      </c>
      <c r="M2308" s="9" t="inlineStr">
        <is>
          <t>6</t>
        </is>
      </c>
      <c r="N2308" s="9" t="n">
        <v>1</v>
      </c>
      <c r="O2308" s="9" t="n">
        <v>1</v>
      </c>
      <c r="P2308" s="9" t="n">
        <v>480</v>
      </c>
      <c r="Q2308" s="9" t="n">
        <v>15</v>
      </c>
      <c r="R2308" s="9" t="n">
        <v>21</v>
      </c>
      <c r="S2308" s="9" t="inlineStr">
        <is>
          <t>Duct bank</t>
        </is>
      </c>
      <c r="T2308" s="10" t="n">
        <v>550</v>
      </c>
      <c r="U2308" s="10" t="n">
        <v>77</v>
      </c>
      <c r="V2308" s="10">
        <f>ROUNDUP((T2308+U2308+2*'Read Me'!$B$13)*(1+'Read Me'!$B$12),-1)</f>
        <v/>
      </c>
      <c r="W2308" s="10">
        <f>V2308*N2308*O2308</f>
        <v/>
      </c>
      <c r="X2308" s="9">
        <f>IF(LEFT(I2308,2)="MV",2*N2308*IF(L2308="1/C",O2308,1),0)</f>
        <v/>
      </c>
      <c r="Y2308" s="9">
        <f>IF(OR(LEFT(K2308,4)="LVAX",LEFT(K2308,6)="MV15AX",LEFT(K2308,4)="CTAX",LEFT(K2308,2)="W|"),2*N2308*O2308,0)</f>
        <v/>
      </c>
      <c r="Z2308" s="9" t="inlineStr">
        <is>
          <t>VD 2.6 %</t>
        </is>
      </c>
    </row>
    <row r="2309">
      <c r="A2309" s="9" t="inlineStr">
        <is>
          <t>I-P-0005</t>
        </is>
      </c>
      <c r="B2309" s="9" t="inlineStr">
        <is>
          <t>I</t>
        </is>
      </c>
      <c r="C2309" s="9" t="inlineStr">
        <is>
          <t>Modular / portable power</t>
        </is>
      </c>
      <c r="D2309" s="9" t="inlineStr">
        <is>
          <t>LV power feeder</t>
        </is>
      </c>
      <c r="E2309" s="9" t="inlineStr"/>
      <c r="F2309" s="9" t="inlineStr">
        <is>
          <t>PCM: power control module</t>
        </is>
      </c>
      <c r="G2309" s="9" t="inlineStr"/>
      <c r="H2309" s="9" t="inlineStr">
        <is>
          <t>CONDITIONAL: BESS black-start alternative</t>
        </is>
      </c>
      <c r="I2309" s="9" t="inlineStr">
        <is>
          <t>LV 600 V</t>
        </is>
      </c>
      <c r="J2309" s="9" t="inlineStr">
        <is>
          <t>Type TC-ER 600 V 3/C Cu XHHW-2 + ground, PVC jacket</t>
        </is>
      </c>
      <c r="K2309" s="9" t="inlineStr">
        <is>
          <t>LV|3/C+G|6</t>
        </is>
      </c>
      <c r="L2309" s="9" t="inlineStr">
        <is>
          <t>3/C+G</t>
        </is>
      </c>
      <c r="M2309" s="9" t="inlineStr">
        <is>
          <t>6</t>
        </is>
      </c>
      <c r="N2309" s="9" t="n">
        <v>1</v>
      </c>
      <c r="O2309" s="9" t="n">
        <v>1</v>
      </c>
      <c r="P2309" s="9" t="n">
        <v>480</v>
      </c>
      <c r="Q2309" s="9" t="n">
        <v>15</v>
      </c>
      <c r="R2309" s="9" t="n">
        <v>21</v>
      </c>
      <c r="S2309" s="9" t="inlineStr">
        <is>
          <t>Duct bank</t>
        </is>
      </c>
      <c r="T2309" s="10" t="n">
        <v>550</v>
      </c>
      <c r="U2309" s="10" t="n">
        <v>32</v>
      </c>
      <c r="V2309" s="10">
        <f>ROUNDUP((T2309+U2309+2*'Read Me'!$B$13)*(1+'Read Me'!$B$12),-1)</f>
        <v/>
      </c>
      <c r="W2309" s="10">
        <f>V2309*N2309*O2309</f>
        <v/>
      </c>
      <c r="X2309" s="9">
        <f>IF(LEFT(I2309,2)="MV",2*N2309*IF(L2309="1/C",O2309,1),0)</f>
        <v/>
      </c>
      <c r="Y2309" s="9">
        <f>IF(OR(LEFT(K2309,4)="LVAX",LEFT(K2309,6)="MV15AX",LEFT(K2309,4)="CTAX",LEFT(K2309,2)="W|"),2*N2309*O2309,0)</f>
        <v/>
      </c>
      <c r="Z2309" s="9" t="inlineStr">
        <is>
          <t>VD 2.4 %</t>
        </is>
      </c>
    </row>
    <row r="2310">
      <c r="A2310" s="9" t="inlineStr">
        <is>
          <t>I-P-0006</t>
        </is>
      </c>
      <c r="B2310" s="9" t="inlineStr">
        <is>
          <t>I</t>
        </is>
      </c>
      <c r="C2310" s="9" t="inlineStr">
        <is>
          <t>Modular / portable power</t>
        </is>
      </c>
      <c r="D2310" s="9" t="inlineStr">
        <is>
          <t>LV power feeder</t>
        </is>
      </c>
      <c r="E2310" s="9" t="inlineStr"/>
      <c r="F2310" s="9" t="inlineStr">
        <is>
          <t>PCM: power control module</t>
        </is>
      </c>
      <c r="G2310" s="9" t="inlineStr"/>
      <c r="H2310" s="9" t="inlineStr">
        <is>
          <t>CONDITIONAL: SC-1 inlet chiller / evaporative cooler</t>
        </is>
      </c>
      <c r="I2310" s="9" t="inlineStr">
        <is>
          <t>LV 600 V</t>
        </is>
      </c>
      <c r="J2310" s="9" t="inlineStr">
        <is>
          <t>Type TC-ER 600 V 3/C Cu XHHW-2 + ground, PVC jacket</t>
        </is>
      </c>
      <c r="K2310" s="9" t="inlineStr">
        <is>
          <t>LV|3/C+G|350</t>
        </is>
      </c>
      <c r="L2310" s="9" t="inlineStr">
        <is>
          <t>3/C+G</t>
        </is>
      </c>
      <c r="M2310" s="9" t="inlineStr">
        <is>
          <t>350 kcmil</t>
        </is>
      </c>
      <c r="N2310" s="9" t="n">
        <v>3</v>
      </c>
      <c r="O2310" s="9" t="n">
        <v>1</v>
      </c>
      <c r="P2310" s="9" t="n">
        <v>480</v>
      </c>
      <c r="Q2310" s="9" t="n">
        <v>500</v>
      </c>
      <c r="R2310" s="9" t="n">
        <v>708</v>
      </c>
      <c r="S2310" s="9" t="inlineStr">
        <is>
          <t>Duct bank</t>
        </is>
      </c>
      <c r="T2310" s="10" t="n">
        <v>40</v>
      </c>
      <c r="U2310" s="10" t="n">
        <v>52</v>
      </c>
      <c r="V2310" s="10">
        <f>ROUNDUP((T2310+U2310+2*'Read Me'!$B$13)*(1+'Read Me'!$B$12),-1)</f>
        <v/>
      </c>
      <c r="W2310" s="10">
        <f>V2310*N2310*O2310</f>
        <v/>
      </c>
      <c r="X2310" s="9">
        <f>IF(LEFT(I2310,2)="MV",2*N2310*IF(L2310="1/C",O2310,1),0)</f>
        <v/>
      </c>
      <c r="Y2310" s="9">
        <f>IF(OR(LEFT(K2310,4)="LVAX",LEFT(K2310,6)="MV15AX",LEFT(K2310,4)="CTAX",LEFT(K2310,2)="W|"),2*N2310*O2310,0)</f>
        <v/>
      </c>
      <c r="Z2310" s="9" t="inlineStr">
        <is>
          <t>VD 0.3 %</t>
        </is>
      </c>
    </row>
    <row r="2311">
      <c r="A2311" s="9" t="inlineStr">
        <is>
          <t>I-P-0007</t>
        </is>
      </c>
      <c r="B2311" s="9" t="inlineStr">
        <is>
          <t>I</t>
        </is>
      </c>
      <c r="C2311" s="9" t="inlineStr">
        <is>
          <t>Modular / portable power</t>
        </is>
      </c>
      <c r="D2311" s="9" t="inlineStr">
        <is>
          <t>LV power feeder</t>
        </is>
      </c>
      <c r="E2311" s="9" t="inlineStr"/>
      <c r="F2311" s="9" t="inlineStr">
        <is>
          <t>MOD-LV 480 V board + 480 V : 13.8 kV step-up</t>
        </is>
      </c>
      <c r="G2311" s="9" t="inlineStr"/>
      <c r="H2311" s="9" t="inlineStr">
        <is>
          <t>CONDITIONAL: SC-2 inlet chiller / evaporative cooler</t>
        </is>
      </c>
      <c r="I2311" s="9" t="inlineStr">
        <is>
          <t>LV 600 V</t>
        </is>
      </c>
      <c r="J2311" s="9" t="inlineStr">
        <is>
          <t>Type TC-ER 600 V 3/C Cu XHHW-2 + ground, PVC jacket</t>
        </is>
      </c>
      <c r="K2311" s="9" t="inlineStr">
        <is>
          <t>LV|3/C+G|350</t>
        </is>
      </c>
      <c r="L2311" s="9" t="inlineStr">
        <is>
          <t>3/C+G</t>
        </is>
      </c>
      <c r="M2311" s="9" t="inlineStr">
        <is>
          <t>350 kcmil</t>
        </is>
      </c>
      <c r="N2311" s="9" t="n">
        <v>3</v>
      </c>
      <c r="O2311" s="9" t="n">
        <v>1</v>
      </c>
      <c r="P2311" s="9" t="n">
        <v>480</v>
      </c>
      <c r="Q2311" s="9" t="n">
        <v>500</v>
      </c>
      <c r="R2311" s="9" t="n">
        <v>708</v>
      </c>
      <c r="S2311" s="9" t="inlineStr">
        <is>
          <t>Duct bank</t>
        </is>
      </c>
      <c r="T2311" s="10" t="n">
        <v>237</v>
      </c>
      <c r="U2311" s="10" t="n">
        <v>119</v>
      </c>
      <c r="V2311" s="10">
        <f>ROUNDUP((T2311+U2311+2*'Read Me'!$B$13)*(1+'Read Me'!$B$12),-1)</f>
        <v/>
      </c>
      <c r="W2311" s="10">
        <f>V2311*N2311*O2311</f>
        <v/>
      </c>
      <c r="X2311" s="9">
        <f>IF(LEFT(I2311,2)="MV",2*N2311*IF(L2311="1/C",O2311,1),0)</f>
        <v/>
      </c>
      <c r="Y2311" s="9">
        <f>IF(OR(LEFT(K2311,4)="LVAX",LEFT(K2311,6)="MV15AX",LEFT(K2311,4)="CTAX",LEFT(K2311,2)="W|"),2*N2311*O2311,0)</f>
        <v/>
      </c>
      <c r="Z2311" s="9" t="inlineStr">
        <is>
          <t>VD 1.2 %</t>
        </is>
      </c>
    </row>
    <row r="2312">
      <c r="A2312" s="9" t="inlineStr">
        <is>
          <t>I-P-0008</t>
        </is>
      </c>
      <c r="B2312" s="9" t="inlineStr">
        <is>
          <t>I</t>
        </is>
      </c>
      <c r="C2312" s="9" t="inlineStr">
        <is>
          <t>Modular / portable power</t>
        </is>
      </c>
      <c r="D2312" s="9" t="inlineStr">
        <is>
          <t>LV panel / distribution feeder</t>
        </is>
      </c>
      <c r="E2312" s="9" t="inlineStr">
        <is>
          <t>PAD-LV</t>
        </is>
      </c>
      <c r="F2312" s="9" t="inlineStr">
        <is>
          <t>PAD-LV 480 V paralleling switchboard</t>
        </is>
      </c>
      <c r="G2312" s="9" t="inlineStr">
        <is>
          <t>CONT-EH</t>
        </is>
      </c>
      <c r="H2312" s="9" t="inlineStr">
        <is>
          <t>CONT paralleling switchgear e-house</t>
        </is>
      </c>
      <c r="I2312" s="9" t="inlineStr">
        <is>
          <t>LV 600 V</t>
        </is>
      </c>
      <c r="J2312" s="9" t="inlineStr">
        <is>
          <t>Type TC-ER 600 V 3/C Cu XHHW-2 + ground, PVC jacket</t>
        </is>
      </c>
      <c r="K2312" s="9" t="inlineStr">
        <is>
          <t>LV|3/C+G|6</t>
        </is>
      </c>
      <c r="L2312" s="9" t="inlineStr">
        <is>
          <t>3/C+G</t>
        </is>
      </c>
      <c r="M2312" s="9" t="inlineStr">
        <is>
          <t>6</t>
        </is>
      </c>
      <c r="N2312" s="9" t="n">
        <v>1</v>
      </c>
      <c r="O2312" s="9" t="n">
        <v>1</v>
      </c>
      <c r="P2312" s="9" t="n">
        <v>480</v>
      </c>
      <c r="Q2312" s="9" t="n">
        <v>30</v>
      </c>
      <c r="R2312" s="9" t="n">
        <v>42</v>
      </c>
      <c r="S2312" s="9" t="inlineStr">
        <is>
          <t>Conduit link</t>
        </is>
      </c>
      <c r="T2312" s="10" t="n">
        <v>73</v>
      </c>
      <c r="U2312" s="10" t="n">
        <v>58</v>
      </c>
      <c r="V2312" s="10">
        <f>ROUNDUP((T2312+U2312+2*'Read Me'!$B$13)*(1+'Read Me'!$B$12),-1)</f>
        <v/>
      </c>
      <c r="W2312" s="10">
        <f>V2312*N2312*O2312</f>
        <v/>
      </c>
      <c r="X2312" s="9">
        <f>IF(LEFT(I2312,2)="MV",2*N2312*IF(L2312="1/C",O2312,1),0)</f>
        <v/>
      </c>
      <c r="Y2312" s="9">
        <f>IF(OR(LEFT(K2312,4)="LVAX",LEFT(K2312,6)="MV15AX",LEFT(K2312,4)="CTAX",LEFT(K2312,2)="W|"),2*N2312*O2312,0)</f>
        <v/>
      </c>
      <c r="Z2312" s="9" t="inlineStr">
        <is>
          <t>VD 1.1 %</t>
        </is>
      </c>
    </row>
    <row r="2313">
      <c r="A2313" s="9" t="inlineStr">
        <is>
          <t>I-P-0009</t>
        </is>
      </c>
      <c r="B2313" s="9" t="inlineStr">
        <is>
          <t>I</t>
        </is>
      </c>
      <c r="C2313" s="9" t="inlineStr">
        <is>
          <t>Modular / portable power</t>
        </is>
      </c>
      <c r="D2313" s="9" t="inlineStr">
        <is>
          <t>FC-5 SOFC output to inverter / AC cabinet</t>
        </is>
      </c>
      <c r="E2313" s="9" t="inlineStr">
        <is>
          <t>FC-5</t>
        </is>
      </c>
      <c r="F2313" s="9" t="inlineStr">
        <is>
          <t>FC-5: SOFC module (Bloom ES5 class, 200-300 kW)</t>
        </is>
      </c>
      <c r="G2313" s="9" t="inlineStr"/>
      <c r="H2313" s="9" t="inlineStr">
        <is>
          <t>FC-5..12 inverter / AC cabinet / desulfurizer</t>
        </is>
      </c>
      <c r="I2313" s="9" t="inlineStr">
        <is>
          <t>LV 600 V</t>
        </is>
      </c>
      <c r="J2313" s="9" t="inlineStr">
        <is>
          <t>Type TC-ER 600 V 3/C Cu XHHW-2 + ground, PVC jacket</t>
        </is>
      </c>
      <c r="K2313" s="9" t="inlineStr">
        <is>
          <t>LV|3/C+G|3/0</t>
        </is>
      </c>
      <c r="L2313" s="9" t="inlineStr">
        <is>
          <t>3/C+G</t>
        </is>
      </c>
      <c r="M2313" s="9" t="inlineStr">
        <is>
          <t>3/0</t>
        </is>
      </c>
      <c r="N2313" s="9" t="n">
        <v>2</v>
      </c>
      <c r="O2313" s="9" t="n">
        <v>1</v>
      </c>
      <c r="P2313" s="9" t="n">
        <v>480</v>
      </c>
      <c r="Q2313" s="9" t="n">
        <v>250</v>
      </c>
      <c r="R2313" s="9" t="n">
        <v>317</v>
      </c>
      <c r="S2313" s="9" t="inlineStr">
        <is>
          <t>Duct bank</t>
        </is>
      </c>
      <c r="T2313" s="10" t="n">
        <v>133</v>
      </c>
      <c r="U2313" s="10" t="n">
        <v>32</v>
      </c>
      <c r="V2313" s="10">
        <f>ROUNDUP((T2313+U2313+2*'Read Me'!$B$13)*(1+'Read Me'!$B$12),-1)</f>
        <v/>
      </c>
      <c r="W2313" s="10">
        <f>V2313*N2313*O2313</f>
        <v/>
      </c>
      <c r="X2313" s="9">
        <f>IF(LEFT(I2313,2)="MV",2*N2313*IF(L2313="1/C",O2313,1),0)</f>
        <v/>
      </c>
      <c r="Y2313" s="9">
        <f>IF(OR(LEFT(K2313,4)="LVAX",LEFT(K2313,6)="MV15AX",LEFT(K2313,4)="CTAX",LEFT(K2313,2)="W|"),2*N2313*O2313,0)</f>
        <v/>
      </c>
      <c r="Z2313" s="9" t="inlineStr">
        <is>
          <t>VD 0.8 %</t>
        </is>
      </c>
    </row>
    <row r="2314">
      <c r="A2314" s="9" t="inlineStr">
        <is>
          <t>I-P-0010</t>
        </is>
      </c>
      <c r="B2314" s="9" t="inlineStr">
        <is>
          <t>I</t>
        </is>
      </c>
      <c r="C2314" s="9" t="inlineStr">
        <is>
          <t>Modular / portable power</t>
        </is>
      </c>
      <c r="D2314" s="9" t="inlineStr">
        <is>
          <t>FC-6 SOFC output to inverter / AC cabinet</t>
        </is>
      </c>
      <c r="E2314" s="9" t="inlineStr">
        <is>
          <t>FC-6</t>
        </is>
      </c>
      <c r="F2314" s="9" t="inlineStr">
        <is>
          <t>FC-6: SOFC module (Bloom ES5 class, 200-300 kW)</t>
        </is>
      </c>
      <c r="G2314" s="9" t="inlineStr"/>
      <c r="H2314" s="9" t="inlineStr">
        <is>
          <t>FC-5..12 inverter / AC cabinet / desulfurizer</t>
        </is>
      </c>
      <c r="I2314" s="9" t="inlineStr">
        <is>
          <t>LV 600 V</t>
        </is>
      </c>
      <c r="J2314" s="9" t="inlineStr">
        <is>
          <t>Type TC-ER 600 V 3/C Cu XHHW-2 + ground, PVC jacket</t>
        </is>
      </c>
      <c r="K2314" s="9" t="inlineStr">
        <is>
          <t>LV|3/C+G|3/0</t>
        </is>
      </c>
      <c r="L2314" s="9" t="inlineStr">
        <is>
          <t>3/C+G</t>
        </is>
      </c>
      <c r="M2314" s="9" t="inlineStr">
        <is>
          <t>3/0</t>
        </is>
      </c>
      <c r="N2314" s="9" t="n">
        <v>2</v>
      </c>
      <c r="O2314" s="9" t="n">
        <v>1</v>
      </c>
      <c r="P2314" s="9" t="n">
        <v>480</v>
      </c>
      <c r="Q2314" s="9" t="n">
        <v>250</v>
      </c>
      <c r="R2314" s="9" t="n">
        <v>317</v>
      </c>
      <c r="S2314" s="9" t="inlineStr">
        <is>
          <t>Duct bank</t>
        </is>
      </c>
      <c r="T2314" s="10" t="n">
        <v>119</v>
      </c>
      <c r="U2314" s="10" t="n">
        <v>32</v>
      </c>
      <c r="V2314" s="10">
        <f>ROUNDUP((T2314+U2314+2*'Read Me'!$B$13)*(1+'Read Me'!$B$12),-1)</f>
        <v/>
      </c>
      <c r="W2314" s="10">
        <f>V2314*N2314*O2314</f>
        <v/>
      </c>
      <c r="X2314" s="9">
        <f>IF(LEFT(I2314,2)="MV",2*N2314*IF(L2314="1/C",O2314,1),0)</f>
        <v/>
      </c>
      <c r="Y2314" s="9">
        <f>IF(OR(LEFT(K2314,4)="LVAX",LEFT(K2314,6)="MV15AX",LEFT(K2314,4)="CTAX",LEFT(K2314,2)="W|"),2*N2314*O2314,0)</f>
        <v/>
      </c>
      <c r="Z2314" s="9" t="inlineStr">
        <is>
          <t>VD 0.7 %</t>
        </is>
      </c>
    </row>
    <row r="2315">
      <c r="A2315" s="9" t="inlineStr">
        <is>
          <t>I-P-0011</t>
        </is>
      </c>
      <c r="B2315" s="9" t="inlineStr">
        <is>
          <t>I</t>
        </is>
      </c>
      <c r="C2315" s="9" t="inlineStr">
        <is>
          <t>Modular / portable power</t>
        </is>
      </c>
      <c r="D2315" s="9" t="inlineStr">
        <is>
          <t>FC-7 SOFC output to inverter / AC cabinet</t>
        </is>
      </c>
      <c r="E2315" s="9" t="inlineStr">
        <is>
          <t>FC-7</t>
        </is>
      </c>
      <c r="F2315" s="9" t="inlineStr">
        <is>
          <t>FC-7: SOFC module (Bloom ES5 class, 200-300 kW)</t>
        </is>
      </c>
      <c r="G2315" s="9" t="inlineStr"/>
      <c r="H2315" s="9" t="inlineStr">
        <is>
          <t>FC-5..12 inverter / AC cabinet / desulfurizer</t>
        </is>
      </c>
      <c r="I2315" s="9" t="inlineStr">
        <is>
          <t>LV 600 V</t>
        </is>
      </c>
      <c r="J2315" s="9" t="inlineStr">
        <is>
          <t>Type TC-ER 600 V 3/C Cu XHHW-2 + ground, PVC jacket</t>
        </is>
      </c>
      <c r="K2315" s="9" t="inlineStr">
        <is>
          <t>LV|3/C+G|3/0</t>
        </is>
      </c>
      <c r="L2315" s="9" t="inlineStr">
        <is>
          <t>3/C+G</t>
        </is>
      </c>
      <c r="M2315" s="9" t="inlineStr">
        <is>
          <t>3/0</t>
        </is>
      </c>
      <c r="N2315" s="9" t="n">
        <v>2</v>
      </c>
      <c r="O2315" s="9" t="n">
        <v>1</v>
      </c>
      <c r="P2315" s="9" t="n">
        <v>480</v>
      </c>
      <c r="Q2315" s="9" t="n">
        <v>250</v>
      </c>
      <c r="R2315" s="9" t="n">
        <v>317</v>
      </c>
      <c r="S2315" s="9" t="inlineStr">
        <is>
          <t>Duct bank</t>
        </is>
      </c>
      <c r="T2315" s="10" t="n">
        <v>105</v>
      </c>
      <c r="U2315" s="10" t="n">
        <v>32</v>
      </c>
      <c r="V2315" s="10">
        <f>ROUNDUP((T2315+U2315+2*'Read Me'!$B$13)*(1+'Read Me'!$B$12),-1)</f>
        <v/>
      </c>
      <c r="W2315" s="10">
        <f>V2315*N2315*O2315</f>
        <v/>
      </c>
      <c r="X2315" s="9">
        <f>IF(LEFT(I2315,2)="MV",2*N2315*IF(L2315="1/C",O2315,1),0)</f>
        <v/>
      </c>
      <c r="Y2315" s="9">
        <f>IF(OR(LEFT(K2315,4)="LVAX",LEFT(K2315,6)="MV15AX",LEFT(K2315,4)="CTAX",LEFT(K2315,2)="W|"),2*N2315*O2315,0)</f>
        <v/>
      </c>
      <c r="Z2315" s="9" t="inlineStr">
        <is>
          <t>VD 0.7 %</t>
        </is>
      </c>
    </row>
    <row r="2316">
      <c r="A2316" s="9" t="inlineStr">
        <is>
          <t>I-P-0012</t>
        </is>
      </c>
      <c r="B2316" s="9" t="inlineStr">
        <is>
          <t>I</t>
        </is>
      </c>
      <c r="C2316" s="9" t="inlineStr">
        <is>
          <t>Modular / portable power</t>
        </is>
      </c>
      <c r="D2316" s="9" t="inlineStr">
        <is>
          <t>FC-8 SOFC output to inverter / AC cabinet</t>
        </is>
      </c>
      <c r="E2316" s="9" t="inlineStr">
        <is>
          <t>FC-8</t>
        </is>
      </c>
      <c r="F2316" s="9" t="inlineStr">
        <is>
          <t>FC-8: SOFC module (Bloom ES5 class, 200-300 kW)</t>
        </is>
      </c>
      <c r="G2316" s="9" t="inlineStr"/>
      <c r="H2316" s="9" t="inlineStr">
        <is>
          <t>FC-5..12 inverter / AC cabinet / desulfurizer</t>
        </is>
      </c>
      <c r="I2316" s="9" t="inlineStr">
        <is>
          <t>LV 600 V</t>
        </is>
      </c>
      <c r="J2316" s="9" t="inlineStr">
        <is>
          <t>Type TC-ER 600 V 3/C Cu XHHW-2 + ground, PVC jacket</t>
        </is>
      </c>
      <c r="K2316" s="9" t="inlineStr">
        <is>
          <t>LV|3/C+G|3/0</t>
        </is>
      </c>
      <c r="L2316" s="9" t="inlineStr">
        <is>
          <t>3/C+G</t>
        </is>
      </c>
      <c r="M2316" s="9" t="inlineStr">
        <is>
          <t>3/0</t>
        </is>
      </c>
      <c r="N2316" s="9" t="n">
        <v>2</v>
      </c>
      <c r="O2316" s="9" t="n">
        <v>1</v>
      </c>
      <c r="P2316" s="9" t="n">
        <v>480</v>
      </c>
      <c r="Q2316" s="9" t="n">
        <v>250</v>
      </c>
      <c r="R2316" s="9" t="n">
        <v>317</v>
      </c>
      <c r="S2316" s="9" t="inlineStr">
        <is>
          <t>Duct bank</t>
        </is>
      </c>
      <c r="T2316" s="10" t="n">
        <v>91</v>
      </c>
      <c r="U2316" s="10" t="n">
        <v>32</v>
      </c>
      <c r="V2316" s="10">
        <f>ROUNDUP((T2316+U2316+2*'Read Me'!$B$13)*(1+'Read Me'!$B$12),-1)</f>
        <v/>
      </c>
      <c r="W2316" s="10">
        <f>V2316*N2316*O2316</f>
        <v/>
      </c>
      <c r="X2316" s="9">
        <f>IF(LEFT(I2316,2)="MV",2*N2316*IF(L2316="1/C",O2316,1),0)</f>
        <v/>
      </c>
      <c r="Y2316" s="9">
        <f>IF(OR(LEFT(K2316,4)="LVAX",LEFT(K2316,6)="MV15AX",LEFT(K2316,4)="CTAX",LEFT(K2316,2)="W|"),2*N2316*O2316,0)</f>
        <v/>
      </c>
      <c r="Z2316" s="9" t="inlineStr">
        <is>
          <t>VD 0.6 %</t>
        </is>
      </c>
    </row>
    <row r="2317">
      <c r="A2317" s="9" t="inlineStr">
        <is>
          <t>I-P-0013</t>
        </is>
      </c>
      <c r="B2317" s="9" t="inlineStr">
        <is>
          <t>I</t>
        </is>
      </c>
      <c r="C2317" s="9" t="inlineStr">
        <is>
          <t>Modular / portable power</t>
        </is>
      </c>
      <c r="D2317" s="9" t="inlineStr">
        <is>
          <t>FC-9 SOFC output to inverter / AC cabinet</t>
        </is>
      </c>
      <c r="E2317" s="9" t="inlineStr">
        <is>
          <t>FC-9</t>
        </is>
      </c>
      <c r="F2317" s="9" t="inlineStr">
        <is>
          <t>FC-9: SOFC module (Bloom ES5 class, 200-300 kW)</t>
        </is>
      </c>
      <c r="G2317" s="9" t="inlineStr"/>
      <c r="H2317" s="9" t="inlineStr">
        <is>
          <t>FC-5..12 inverter / AC cabinet / desulfurizer</t>
        </is>
      </c>
      <c r="I2317" s="9" t="inlineStr">
        <is>
          <t>LV 600 V</t>
        </is>
      </c>
      <c r="J2317" s="9" t="inlineStr">
        <is>
          <t>Type TC-ER 600 V 3/C Cu XHHW-2 + ground, PVC jacket</t>
        </is>
      </c>
      <c r="K2317" s="9" t="inlineStr">
        <is>
          <t>LV|3/C+G|3/0</t>
        </is>
      </c>
      <c r="L2317" s="9" t="inlineStr">
        <is>
          <t>3/C+G</t>
        </is>
      </c>
      <c r="M2317" s="9" t="inlineStr">
        <is>
          <t>3/0</t>
        </is>
      </c>
      <c r="N2317" s="9" t="n">
        <v>2</v>
      </c>
      <c r="O2317" s="9" t="n">
        <v>1</v>
      </c>
      <c r="P2317" s="9" t="n">
        <v>480</v>
      </c>
      <c r="Q2317" s="9" t="n">
        <v>250</v>
      </c>
      <c r="R2317" s="9" t="n">
        <v>317</v>
      </c>
      <c r="S2317" s="9" t="inlineStr">
        <is>
          <t>Duct bank</t>
        </is>
      </c>
      <c r="T2317" s="10" t="n">
        <v>77</v>
      </c>
      <c r="U2317" s="10" t="n">
        <v>32</v>
      </c>
      <c r="V2317" s="10">
        <f>ROUNDUP((T2317+U2317+2*'Read Me'!$B$13)*(1+'Read Me'!$B$12),-1)</f>
        <v/>
      </c>
      <c r="W2317" s="10">
        <f>V2317*N2317*O2317</f>
        <v/>
      </c>
      <c r="X2317" s="9">
        <f>IF(LEFT(I2317,2)="MV",2*N2317*IF(L2317="1/C",O2317,1),0)</f>
        <v/>
      </c>
      <c r="Y2317" s="9">
        <f>IF(OR(LEFT(K2317,4)="LVAX",LEFT(K2317,6)="MV15AX",LEFT(K2317,4)="CTAX",LEFT(K2317,2)="W|"),2*N2317*O2317,0)</f>
        <v/>
      </c>
      <c r="Z2317" s="9" t="inlineStr">
        <is>
          <t>VD 0.5 %</t>
        </is>
      </c>
    </row>
    <row r="2318">
      <c r="A2318" s="9" t="inlineStr">
        <is>
          <t>I-P-0014</t>
        </is>
      </c>
      <c r="B2318" s="9" t="inlineStr">
        <is>
          <t>I</t>
        </is>
      </c>
      <c r="C2318" s="9" t="inlineStr">
        <is>
          <t>Modular / portable power</t>
        </is>
      </c>
      <c r="D2318" s="9" t="inlineStr">
        <is>
          <t>FC-10 SOFC output to inverter / AC cabinet</t>
        </is>
      </c>
      <c r="E2318" s="9" t="inlineStr">
        <is>
          <t>FC-10</t>
        </is>
      </c>
      <c r="F2318" s="9" t="inlineStr">
        <is>
          <t>FC-10: SOFC module (Bloom ES5 class, 200-300 kW)</t>
        </is>
      </c>
      <c r="G2318" s="9" t="inlineStr"/>
      <c r="H2318" s="9" t="inlineStr">
        <is>
          <t>FC-5..12 inverter / AC cabinet / desulfurizer</t>
        </is>
      </c>
      <c r="I2318" s="9" t="inlineStr">
        <is>
          <t>LV 600 V</t>
        </is>
      </c>
      <c r="J2318" s="9" t="inlineStr">
        <is>
          <t>Type TC-ER 600 V 3/C Cu XHHW-2 + ground, PVC jacket</t>
        </is>
      </c>
      <c r="K2318" s="9" t="inlineStr">
        <is>
          <t>LV|3/C+G|3/0</t>
        </is>
      </c>
      <c r="L2318" s="9" t="inlineStr">
        <is>
          <t>3/C+G</t>
        </is>
      </c>
      <c r="M2318" s="9" t="inlineStr">
        <is>
          <t>3/0</t>
        </is>
      </c>
      <c r="N2318" s="9" t="n">
        <v>2</v>
      </c>
      <c r="O2318" s="9" t="n">
        <v>1</v>
      </c>
      <c r="P2318" s="9" t="n">
        <v>480</v>
      </c>
      <c r="Q2318" s="9" t="n">
        <v>250</v>
      </c>
      <c r="R2318" s="9" t="n">
        <v>317</v>
      </c>
      <c r="S2318" s="9" t="inlineStr">
        <is>
          <t>Duct bank</t>
        </is>
      </c>
      <c r="T2318" s="10" t="n">
        <v>63</v>
      </c>
      <c r="U2318" s="10" t="n">
        <v>32</v>
      </c>
      <c r="V2318" s="10">
        <f>ROUNDUP((T2318+U2318+2*'Read Me'!$B$13)*(1+'Read Me'!$B$12),-1)</f>
        <v/>
      </c>
      <c r="W2318" s="10">
        <f>V2318*N2318*O2318</f>
        <v/>
      </c>
      <c r="X2318" s="9">
        <f>IF(LEFT(I2318,2)="MV",2*N2318*IF(L2318="1/C",O2318,1),0)</f>
        <v/>
      </c>
      <c r="Y2318" s="9">
        <f>IF(OR(LEFT(K2318,4)="LVAX",LEFT(K2318,6)="MV15AX",LEFT(K2318,4)="CTAX",LEFT(K2318,2)="W|"),2*N2318*O2318,0)</f>
        <v/>
      </c>
      <c r="Z2318" s="9" t="inlineStr">
        <is>
          <t>VD 0.5 %</t>
        </is>
      </c>
    </row>
    <row r="2319">
      <c r="A2319" s="9" t="inlineStr">
        <is>
          <t>I-P-0015</t>
        </is>
      </c>
      <c r="B2319" s="9" t="inlineStr">
        <is>
          <t>I</t>
        </is>
      </c>
      <c r="C2319" s="9" t="inlineStr">
        <is>
          <t>Modular / portable power</t>
        </is>
      </c>
      <c r="D2319" s="9" t="inlineStr">
        <is>
          <t>FC-11 SOFC output to inverter / AC cabinet</t>
        </is>
      </c>
      <c r="E2319" s="9" t="inlineStr">
        <is>
          <t>FC-11</t>
        </is>
      </c>
      <c r="F2319" s="9" t="inlineStr">
        <is>
          <t>FC-11: SOFC module (Bloom ES5 class, 200-300 kW)</t>
        </is>
      </c>
      <c r="G2319" s="9" t="inlineStr"/>
      <c r="H2319" s="9" t="inlineStr">
        <is>
          <t>FC-5..12 inverter / AC cabinet / desulfurizer</t>
        </is>
      </c>
      <c r="I2319" s="9" t="inlineStr">
        <is>
          <t>LV 600 V</t>
        </is>
      </c>
      <c r="J2319" s="9" t="inlineStr">
        <is>
          <t>Type TC-ER 600 V 3/C Cu XHHW-2 + ground, PVC jacket</t>
        </is>
      </c>
      <c r="K2319" s="9" t="inlineStr">
        <is>
          <t>LV|3/C+G|3/0</t>
        </is>
      </c>
      <c r="L2319" s="9" t="inlineStr">
        <is>
          <t>3/C+G</t>
        </is>
      </c>
      <c r="M2319" s="9" t="inlineStr">
        <is>
          <t>3/0</t>
        </is>
      </c>
      <c r="N2319" s="9" t="n">
        <v>2</v>
      </c>
      <c r="O2319" s="9" t="n">
        <v>1</v>
      </c>
      <c r="P2319" s="9" t="n">
        <v>480</v>
      </c>
      <c r="Q2319" s="9" t="n">
        <v>250</v>
      </c>
      <c r="R2319" s="9" t="n">
        <v>317</v>
      </c>
      <c r="S2319" s="9" t="inlineStr">
        <is>
          <t>Duct bank</t>
        </is>
      </c>
      <c r="T2319" s="10" t="n">
        <v>49</v>
      </c>
      <c r="U2319" s="10" t="n">
        <v>32</v>
      </c>
      <c r="V2319" s="10">
        <f>ROUNDUP((T2319+U2319+2*'Read Me'!$B$13)*(1+'Read Me'!$B$12),-1)</f>
        <v/>
      </c>
      <c r="W2319" s="10">
        <f>V2319*N2319*O2319</f>
        <v/>
      </c>
      <c r="X2319" s="9">
        <f>IF(LEFT(I2319,2)="MV",2*N2319*IF(L2319="1/C",O2319,1),0)</f>
        <v/>
      </c>
      <c r="Y2319" s="9">
        <f>IF(OR(LEFT(K2319,4)="LVAX",LEFT(K2319,6)="MV15AX",LEFT(K2319,4)="CTAX",LEFT(K2319,2)="W|"),2*N2319*O2319,0)</f>
        <v/>
      </c>
      <c r="Z2319" s="9" t="inlineStr">
        <is>
          <t>VD 0.4 %</t>
        </is>
      </c>
    </row>
    <row r="2320">
      <c r="A2320" s="9" t="inlineStr">
        <is>
          <t>I-P-0016</t>
        </is>
      </c>
      <c r="B2320" s="9" t="inlineStr">
        <is>
          <t>I</t>
        </is>
      </c>
      <c r="C2320" s="9" t="inlineStr">
        <is>
          <t>Modular / portable power</t>
        </is>
      </c>
      <c r="D2320" s="9" t="inlineStr">
        <is>
          <t>FC-12 SOFC output to inverter / AC cabinet</t>
        </is>
      </c>
      <c r="E2320" s="9" t="inlineStr">
        <is>
          <t>FC-12</t>
        </is>
      </c>
      <c r="F2320" s="9" t="inlineStr">
        <is>
          <t>FC-12: SOFC module (Bloom ES5 class, 200-300 kW)</t>
        </is>
      </c>
      <c r="G2320" s="9" t="inlineStr"/>
      <c r="H2320" s="9" t="inlineStr">
        <is>
          <t>FC-5..12 inverter / AC cabinet / desulfurizer</t>
        </is>
      </c>
      <c r="I2320" s="9" t="inlineStr">
        <is>
          <t>LV 600 V</t>
        </is>
      </c>
      <c r="J2320" s="9" t="inlineStr">
        <is>
          <t>Type TC-ER 600 V 3/C Cu XHHW-2 + ground, PVC jacket</t>
        </is>
      </c>
      <c r="K2320" s="9" t="inlineStr">
        <is>
          <t>LV|3/C+G|3/0</t>
        </is>
      </c>
      <c r="L2320" s="9" t="inlineStr">
        <is>
          <t>3/C+G</t>
        </is>
      </c>
      <c r="M2320" s="9" t="inlineStr">
        <is>
          <t>3/0</t>
        </is>
      </c>
      <c r="N2320" s="9" t="n">
        <v>2</v>
      </c>
      <c r="O2320" s="9" t="n">
        <v>1</v>
      </c>
      <c r="P2320" s="9" t="n">
        <v>480</v>
      </c>
      <c r="Q2320" s="9" t="n">
        <v>250</v>
      </c>
      <c r="R2320" s="9" t="n">
        <v>317</v>
      </c>
      <c r="S2320" s="9" t="inlineStr">
        <is>
          <t>Duct bank</t>
        </is>
      </c>
      <c r="T2320" s="10" t="n">
        <v>40</v>
      </c>
      <c r="U2320" s="10" t="n">
        <v>32</v>
      </c>
      <c r="V2320" s="10">
        <f>ROUNDUP((T2320+U2320+2*'Read Me'!$B$13)*(1+'Read Me'!$B$12),-1)</f>
        <v/>
      </c>
      <c r="W2320" s="10">
        <f>V2320*N2320*O2320</f>
        <v/>
      </c>
      <c r="X2320" s="9">
        <f>IF(LEFT(I2320,2)="MV",2*N2320*IF(L2320="1/C",O2320,1),0)</f>
        <v/>
      </c>
      <c r="Y2320" s="9">
        <f>IF(OR(LEFT(K2320,4)="LVAX",LEFT(K2320,6)="MV15AX",LEFT(K2320,4)="CTAX",LEFT(K2320,2)="W|"),2*N2320*O2320,0)</f>
        <v/>
      </c>
      <c r="Z2320" s="9" t="inlineStr">
        <is>
          <t>VD 0.3 %</t>
        </is>
      </c>
    </row>
    <row r="2321">
      <c r="A2321" s="9" t="inlineStr">
        <is>
          <t>I-P-0017</t>
        </is>
      </c>
      <c r="B2321" s="9" t="inlineStr">
        <is>
          <t>I</t>
        </is>
      </c>
      <c r="C2321" s="9" t="inlineStr">
        <is>
          <t>Modular / portable power</t>
        </is>
      </c>
      <c r="D2321" s="9" t="inlineStr">
        <is>
          <t>FC-1 SOFC output to inverter / AC cabinet</t>
        </is>
      </c>
      <c r="E2321" s="9" t="inlineStr"/>
      <c r="F2321" s="9" t="inlineStr">
        <is>
          <t>FC-1: SOFC module (Bloom ES5 class, 200-300 kW)</t>
        </is>
      </c>
      <c r="G2321" s="9" t="inlineStr"/>
      <c r="H2321" s="9" t="inlineStr">
        <is>
          <t>Fuel-cell inverter / AC cabinet / desulfurizer</t>
        </is>
      </c>
      <c r="I2321" s="9" t="inlineStr">
        <is>
          <t>LV 600 V</t>
        </is>
      </c>
      <c r="J2321" s="9" t="inlineStr">
        <is>
          <t>ARMOR-X MC-HL 600 V 3/C Cu XHHW-2 + ground, CWA, black PVC (Class I Div 2)</t>
        </is>
      </c>
      <c r="K2321" s="9" t="inlineStr">
        <is>
          <t>LVAX|3/C+G|3/0</t>
        </is>
      </c>
      <c r="L2321" s="9" t="inlineStr">
        <is>
          <t>3/C+G</t>
        </is>
      </c>
      <c r="M2321" s="9" t="inlineStr">
        <is>
          <t>3/0</t>
        </is>
      </c>
      <c r="N2321" s="9" t="n">
        <v>2</v>
      </c>
      <c r="O2321" s="9" t="n">
        <v>1</v>
      </c>
      <c r="P2321" s="9" t="n">
        <v>480</v>
      </c>
      <c r="Q2321" s="9" t="n">
        <v>250</v>
      </c>
      <c r="R2321" s="9" t="n">
        <v>317</v>
      </c>
      <c r="S2321" s="9" t="inlineStr">
        <is>
          <t>Tray</t>
        </is>
      </c>
      <c r="T2321" s="10" t="n">
        <v>62</v>
      </c>
      <c r="U2321" s="10" t="n">
        <v>32</v>
      </c>
      <c r="V2321" s="10">
        <f>ROUNDUP((T2321+U2321+2*'Read Me'!$B$13)*(1+'Read Me'!$B$12),-1)</f>
        <v/>
      </c>
      <c r="W2321" s="10">
        <f>V2321*N2321*O2321</f>
        <v/>
      </c>
      <c r="X2321" s="9">
        <f>IF(LEFT(I2321,2)="MV",2*N2321*IF(L2321="1/C",O2321,1),0)</f>
        <v/>
      </c>
      <c r="Y2321" s="9">
        <f>IF(OR(LEFT(K2321,4)="LVAX",LEFT(K2321,6)="MV15AX",LEFT(K2321,4)="CTAX",LEFT(K2321,2)="W|"),2*N2321*O2321,0)</f>
        <v/>
      </c>
      <c r="Z2321" s="9" t="inlineStr">
        <is>
          <t>VD 0.5 %</t>
        </is>
      </c>
    </row>
    <row r="2322">
      <c r="A2322" s="9" t="inlineStr">
        <is>
          <t>I-P-0018</t>
        </is>
      </c>
      <c r="B2322" s="9" t="inlineStr">
        <is>
          <t>I</t>
        </is>
      </c>
      <c r="C2322" s="9" t="inlineStr">
        <is>
          <t>Modular / portable power</t>
        </is>
      </c>
      <c r="D2322" s="9" t="inlineStr">
        <is>
          <t>FC-2 SOFC output to inverter / AC cabinet</t>
        </is>
      </c>
      <c r="E2322" s="9" t="inlineStr"/>
      <c r="F2322" s="9" t="inlineStr">
        <is>
          <t>FC-2: SOFC module (Bloom ES5 class, 200-300 kW)</t>
        </is>
      </c>
      <c r="G2322" s="9" t="inlineStr"/>
      <c r="H2322" s="9" t="inlineStr">
        <is>
          <t>Fuel-cell inverter / AC cabinet / desulfurizer</t>
        </is>
      </c>
      <c r="I2322" s="9" t="inlineStr">
        <is>
          <t>LV 600 V</t>
        </is>
      </c>
      <c r="J2322" s="9" t="inlineStr">
        <is>
          <t>ARMOR-X MC-HL 600 V 3/C Cu XHHW-2 + ground, CWA, black PVC (Class I Div 2)</t>
        </is>
      </c>
      <c r="K2322" s="9" t="inlineStr">
        <is>
          <t>LVAX|3/C+G|3/0</t>
        </is>
      </c>
      <c r="L2322" s="9" t="inlineStr">
        <is>
          <t>3/C+G</t>
        </is>
      </c>
      <c r="M2322" s="9" t="inlineStr">
        <is>
          <t>3/0</t>
        </is>
      </c>
      <c r="N2322" s="9" t="n">
        <v>2</v>
      </c>
      <c r="O2322" s="9" t="n">
        <v>1</v>
      </c>
      <c r="P2322" s="9" t="n">
        <v>480</v>
      </c>
      <c r="Q2322" s="9" t="n">
        <v>250</v>
      </c>
      <c r="R2322" s="9" t="n">
        <v>317</v>
      </c>
      <c r="S2322" s="9" t="inlineStr">
        <is>
          <t>Tray</t>
        </is>
      </c>
      <c r="T2322" s="10" t="n">
        <v>39</v>
      </c>
      <c r="U2322" s="10" t="n">
        <v>41</v>
      </c>
      <c r="V2322" s="10">
        <f>ROUNDUP((T2322+U2322+2*'Read Me'!$B$13)*(1+'Read Me'!$B$12),-1)</f>
        <v/>
      </c>
      <c r="W2322" s="10">
        <f>V2322*N2322*O2322</f>
        <v/>
      </c>
      <c r="X2322" s="9">
        <f>IF(LEFT(I2322,2)="MV",2*N2322*IF(L2322="1/C",O2322,1),0)</f>
        <v/>
      </c>
      <c r="Y2322" s="9">
        <f>IF(OR(LEFT(K2322,4)="LVAX",LEFT(K2322,6)="MV15AX",LEFT(K2322,4)="CTAX",LEFT(K2322,2)="W|"),2*N2322*O2322,0)</f>
        <v/>
      </c>
      <c r="Z2322" s="9" t="inlineStr">
        <is>
          <t>VD 0.4 %</t>
        </is>
      </c>
    </row>
    <row r="2323">
      <c r="A2323" s="9" t="inlineStr">
        <is>
          <t>I-P-0019</t>
        </is>
      </c>
      <c r="B2323" s="9" t="inlineStr">
        <is>
          <t>I</t>
        </is>
      </c>
      <c r="C2323" s="9" t="inlineStr">
        <is>
          <t>Modular / portable power</t>
        </is>
      </c>
      <c r="D2323" s="9" t="inlineStr">
        <is>
          <t>FC-3 SOFC output to inverter / AC cabinet</t>
        </is>
      </c>
      <c r="E2323" s="9" t="inlineStr"/>
      <c r="F2323" s="9" t="inlineStr">
        <is>
          <t>FC-3: SOFC module (Bloom ES5 class, 200-300 kW)</t>
        </is>
      </c>
      <c r="G2323" s="9" t="inlineStr"/>
      <c r="H2323" s="9" t="inlineStr">
        <is>
          <t>Fuel-cell inverter / AC cabinet / desulfurizer</t>
        </is>
      </c>
      <c r="I2323" s="9" t="inlineStr">
        <is>
          <t>LV 600 V</t>
        </is>
      </c>
      <c r="J2323" s="9" t="inlineStr">
        <is>
          <t>ARMOR-X MC-HL 600 V 3/C Cu XHHW-2 + ground, CWA, black PVC (Class I Div 2)</t>
        </is>
      </c>
      <c r="K2323" s="9" t="inlineStr">
        <is>
          <t>LVAX|3/C+G|3/0</t>
        </is>
      </c>
      <c r="L2323" s="9" t="inlineStr">
        <is>
          <t>3/C+G</t>
        </is>
      </c>
      <c r="M2323" s="9" t="inlineStr">
        <is>
          <t>3/0</t>
        </is>
      </c>
      <c r="N2323" s="9" t="n">
        <v>2</v>
      </c>
      <c r="O2323" s="9" t="n">
        <v>1</v>
      </c>
      <c r="P2323" s="9" t="n">
        <v>480</v>
      </c>
      <c r="Q2323" s="9" t="n">
        <v>250</v>
      </c>
      <c r="R2323" s="9" t="n">
        <v>317</v>
      </c>
      <c r="S2323" s="9" t="inlineStr">
        <is>
          <t>Tray</t>
        </is>
      </c>
      <c r="T2323" s="10" t="n">
        <v>11</v>
      </c>
      <c r="U2323" s="10" t="n">
        <v>55</v>
      </c>
      <c r="V2323" s="10">
        <f>ROUNDUP((T2323+U2323+2*'Read Me'!$B$13)*(1+'Read Me'!$B$12),-1)</f>
        <v/>
      </c>
      <c r="W2323" s="10">
        <f>V2323*N2323*O2323</f>
        <v/>
      </c>
      <c r="X2323" s="9">
        <f>IF(LEFT(I2323,2)="MV",2*N2323*IF(L2323="1/C",O2323,1),0)</f>
        <v/>
      </c>
      <c r="Y2323" s="9">
        <f>IF(OR(LEFT(K2323,4)="LVAX",LEFT(K2323,6)="MV15AX",LEFT(K2323,4)="CTAX",LEFT(K2323,2)="W|"),2*N2323*O2323,0)</f>
        <v/>
      </c>
      <c r="Z2323" s="9" t="inlineStr">
        <is>
          <t>VD 0.3 %</t>
        </is>
      </c>
    </row>
    <row r="2324">
      <c r="A2324" s="9" t="inlineStr">
        <is>
          <t>I-P-0020</t>
        </is>
      </c>
      <c r="B2324" s="9" t="inlineStr">
        <is>
          <t>I</t>
        </is>
      </c>
      <c r="C2324" s="9" t="inlineStr">
        <is>
          <t>Modular / portable power</t>
        </is>
      </c>
      <c r="D2324" s="9" t="inlineStr">
        <is>
          <t>FC-4 SOFC output to inverter / AC cabinet</t>
        </is>
      </c>
      <c r="E2324" s="9" t="inlineStr"/>
      <c r="F2324" s="9" t="inlineStr">
        <is>
          <t>FC-4: SOFC module (Bloom ES5 class, 200-300 kW)</t>
        </is>
      </c>
      <c r="G2324" s="9" t="inlineStr"/>
      <c r="H2324" s="9" t="inlineStr">
        <is>
          <t>Fuel-cell inverter / AC cabinet / desulfurizer</t>
        </is>
      </c>
      <c r="I2324" s="9" t="inlineStr">
        <is>
          <t>LV 600 V</t>
        </is>
      </c>
      <c r="J2324" s="9" t="inlineStr">
        <is>
          <t>ARMOR-X MC-HL 600 V 3/C Cu XHHW-2 + ground, CWA, black PVC (Class I Div 2)</t>
        </is>
      </c>
      <c r="K2324" s="9" t="inlineStr">
        <is>
          <t>LVAX|3/C+G|3/0</t>
        </is>
      </c>
      <c r="L2324" s="9" t="inlineStr">
        <is>
          <t>3/C+G</t>
        </is>
      </c>
      <c r="M2324" s="9" t="inlineStr">
        <is>
          <t>3/0</t>
        </is>
      </c>
      <c r="N2324" s="9" t="n">
        <v>2</v>
      </c>
      <c r="O2324" s="9" t="n">
        <v>1</v>
      </c>
      <c r="P2324" s="9" t="n">
        <v>480</v>
      </c>
      <c r="Q2324" s="9" t="n">
        <v>250</v>
      </c>
      <c r="R2324" s="9" t="n">
        <v>317</v>
      </c>
      <c r="S2324" s="9" t="inlineStr">
        <is>
          <t>Tray</t>
        </is>
      </c>
      <c r="T2324" s="10" t="n">
        <v>0</v>
      </c>
      <c r="U2324" s="10" t="n">
        <v>52</v>
      </c>
      <c r="V2324" s="10">
        <f>ROUNDUP((T2324+U2324+2*'Read Me'!$B$13)*(1+'Read Me'!$B$12),-1)</f>
        <v/>
      </c>
      <c r="W2324" s="10">
        <f>V2324*N2324*O2324</f>
        <v/>
      </c>
      <c r="X2324" s="9">
        <f>IF(LEFT(I2324,2)="MV",2*N2324*IF(L2324="1/C",O2324,1),0)</f>
        <v/>
      </c>
      <c r="Y2324" s="9">
        <f>IF(OR(LEFT(K2324,4)="LVAX",LEFT(K2324,6)="MV15AX",LEFT(K2324,4)="CTAX",LEFT(K2324,2)="W|"),2*N2324*O2324,0)</f>
        <v/>
      </c>
      <c r="Z2324" s="9" t="inlineStr">
        <is>
          <t>VD 0.3 %</t>
        </is>
      </c>
    </row>
    <row r="2325">
      <c r="A2325" s="9" t="inlineStr">
        <is>
          <t>I-P-0021</t>
        </is>
      </c>
      <c r="B2325" s="9" t="inlineStr">
        <is>
          <t>I</t>
        </is>
      </c>
      <c r="C2325" s="9" t="inlineStr">
        <is>
          <t>Modular / portable power</t>
        </is>
      </c>
      <c r="D2325" s="9" t="inlineStr">
        <is>
          <t>LV power feeder</t>
        </is>
      </c>
      <c r="E2325" s="9" t="inlineStr"/>
      <c r="F2325" s="9" t="inlineStr">
        <is>
          <t>PCM: power control module</t>
        </is>
      </c>
      <c r="G2325" s="9" t="inlineStr"/>
      <c r="H2325" s="9" t="inlineStr">
        <is>
          <t>Gas conditioning skid</t>
        </is>
      </c>
      <c r="I2325" s="9" t="inlineStr">
        <is>
          <t>LV 600 V</t>
        </is>
      </c>
      <c r="J2325" s="9" t="inlineStr">
        <is>
          <t>ARMOR-X MC-HL 600 V 3/C Cu XHHW-2 + ground, CWA, black PVC (Class I Div 2)</t>
        </is>
      </c>
      <c r="K2325" s="9" t="inlineStr">
        <is>
          <t>LVAX|3/C+G|6</t>
        </is>
      </c>
      <c r="L2325" s="9" t="inlineStr">
        <is>
          <t>3/C+G</t>
        </is>
      </c>
      <c r="M2325" s="9" t="inlineStr">
        <is>
          <t>6</t>
        </is>
      </c>
      <c r="N2325" s="9" t="n">
        <v>1</v>
      </c>
      <c r="O2325" s="9" t="n">
        <v>1</v>
      </c>
      <c r="P2325" s="9" t="n">
        <v>480</v>
      </c>
      <c r="Q2325" s="9" t="n">
        <v>30</v>
      </c>
      <c r="R2325" s="9" t="n">
        <v>42</v>
      </c>
      <c r="S2325" s="9" t="inlineStr">
        <is>
          <t>Tray</t>
        </is>
      </c>
      <c r="T2325" s="10" t="n">
        <v>32</v>
      </c>
      <c r="U2325" s="10" t="n">
        <v>94</v>
      </c>
      <c r="V2325" s="10">
        <f>ROUNDUP((T2325+U2325+2*'Read Me'!$B$13)*(1+'Read Me'!$B$12),-1)</f>
        <v/>
      </c>
      <c r="W2325" s="10">
        <f>V2325*N2325*O2325</f>
        <v/>
      </c>
      <c r="X2325" s="9">
        <f>IF(LEFT(I2325,2)="MV",2*N2325*IF(L2325="1/C",O2325,1),0)</f>
        <v/>
      </c>
      <c r="Y2325" s="9">
        <f>IF(OR(LEFT(K2325,4)="LVAX",LEFT(K2325,6)="MV15AX",LEFT(K2325,4)="CTAX",LEFT(K2325,2)="W|"),2*N2325*O2325,0)</f>
        <v/>
      </c>
      <c r="Z2325" s="9" t="inlineStr">
        <is>
          <t>VD 1.0 %</t>
        </is>
      </c>
    </row>
    <row r="2326">
      <c r="A2326" s="9" t="inlineStr">
        <is>
          <t>I-P-0022</t>
        </is>
      </c>
      <c r="B2326" s="9" t="inlineStr">
        <is>
          <t>I</t>
        </is>
      </c>
      <c r="C2326" s="9" t="inlineStr">
        <is>
          <t>Modular / portable power</t>
        </is>
      </c>
      <c r="D2326" s="9" t="inlineStr">
        <is>
          <t>LV panel / distribution feeder</t>
        </is>
      </c>
      <c r="E2326" s="9" t="inlineStr"/>
      <c r="F2326" s="9" t="inlineStr">
        <is>
          <t>PCM: power control module</t>
        </is>
      </c>
      <c r="G2326" s="9" t="inlineStr"/>
      <c r="H2326" s="9" t="inlineStr">
        <is>
          <t>Lube oil / starting air / oily water building</t>
        </is>
      </c>
      <c r="I2326" s="9" t="inlineStr">
        <is>
          <t>LV 600 V</t>
        </is>
      </c>
      <c r="J2326" s="9" t="inlineStr">
        <is>
          <t>Type TC-ER 600 V 3/C Cu XHHW-2 + ground, PVC jacket</t>
        </is>
      </c>
      <c r="K2326" s="9" t="inlineStr">
        <is>
          <t>LV|3/C+G|1/0</t>
        </is>
      </c>
      <c r="L2326" s="9" t="inlineStr">
        <is>
          <t>3/C+G</t>
        </is>
      </c>
      <c r="M2326" s="9" t="inlineStr">
        <is>
          <t>1/0</t>
        </is>
      </c>
      <c r="N2326" s="9" t="n">
        <v>1</v>
      </c>
      <c r="O2326" s="9" t="n">
        <v>1</v>
      </c>
      <c r="P2326" s="9" t="n">
        <v>480</v>
      </c>
      <c r="Q2326" s="9" t="n">
        <v>79</v>
      </c>
      <c r="R2326" s="9" t="n">
        <v>112</v>
      </c>
      <c r="S2326" s="9" t="inlineStr">
        <is>
          <t>Tray</t>
        </is>
      </c>
      <c r="T2326" s="10" t="n">
        <v>32</v>
      </c>
      <c r="U2326" s="10" t="n">
        <v>164</v>
      </c>
      <c r="V2326" s="10">
        <f>ROUNDUP((T2326+U2326+2*'Read Me'!$B$13)*(1+'Read Me'!$B$12),-1)</f>
        <v/>
      </c>
      <c r="W2326" s="10">
        <f>V2326*N2326*O2326</f>
        <v/>
      </c>
      <c r="X2326" s="9">
        <f>IF(LEFT(I2326,2)="MV",2*N2326*IF(L2326="1/C",O2326,1),0)</f>
        <v/>
      </c>
      <c r="Y2326" s="9">
        <f>IF(OR(LEFT(K2326,4)="LVAX",LEFT(K2326,6)="MV15AX",LEFT(K2326,4)="CTAX",LEFT(K2326,2)="W|"),2*N2326*O2326,0)</f>
        <v/>
      </c>
      <c r="Z2326" s="9" t="inlineStr">
        <is>
          <t>VD 1.1 %</t>
        </is>
      </c>
    </row>
    <row r="2327">
      <c r="A2327" s="9" t="inlineStr">
        <is>
          <t>I-P-0023</t>
        </is>
      </c>
      <c r="B2327" s="9" t="inlineStr">
        <is>
          <t>I</t>
        </is>
      </c>
      <c r="C2327" s="9" t="inlineStr">
        <is>
          <t>Modular / portable power</t>
        </is>
      </c>
      <c r="D2327" s="9" t="inlineStr">
        <is>
          <t>LV panel / distribution feeder</t>
        </is>
      </c>
      <c r="E2327" s="9" t="inlineStr"/>
      <c r="F2327" s="9" t="inlineStr">
        <is>
          <t>MOD-LV 480 V board + 480 V : 13.8 kV step-up</t>
        </is>
      </c>
      <c r="G2327" s="9" t="inlineStr">
        <is>
          <t>MOD-EH</t>
        </is>
      </c>
      <c r="H2327" s="9" t="inlineStr">
        <is>
          <t>MOD-EH: 13.8 kV modular collector e-house</t>
        </is>
      </c>
      <c r="I2327" s="9" t="inlineStr">
        <is>
          <t>LV 600 V</t>
        </is>
      </c>
      <c r="J2327" s="9" t="inlineStr">
        <is>
          <t>Type TC-ER 600 V 3/C Cu XHHW-2 + ground, PVC jacket</t>
        </is>
      </c>
      <c r="K2327" s="9" t="inlineStr">
        <is>
          <t>LV|3/C+G|4</t>
        </is>
      </c>
      <c r="L2327" s="9" t="inlineStr">
        <is>
          <t>3/C+G</t>
        </is>
      </c>
      <c r="M2327" s="9" t="inlineStr">
        <is>
          <t>4</t>
        </is>
      </c>
      <c r="N2327" s="9" t="n">
        <v>1</v>
      </c>
      <c r="O2327" s="9" t="n">
        <v>1</v>
      </c>
      <c r="P2327" s="9" t="n">
        <v>480</v>
      </c>
      <c r="Q2327" s="9" t="n">
        <v>30</v>
      </c>
      <c r="R2327" s="9" t="n">
        <v>42</v>
      </c>
      <c r="S2327" s="9" t="inlineStr">
        <is>
          <t>Duct bank</t>
        </is>
      </c>
      <c r="T2327" s="10" t="n">
        <v>346</v>
      </c>
      <c r="U2327" s="10" t="n">
        <v>32</v>
      </c>
      <c r="V2327" s="10">
        <f>ROUNDUP((T2327+U2327+2*'Read Me'!$B$13)*(1+'Read Me'!$B$12),-1)</f>
        <v/>
      </c>
      <c r="W2327" s="10">
        <f>V2327*N2327*O2327</f>
        <v/>
      </c>
      <c r="X2327" s="9">
        <f>IF(LEFT(I2327,2)="MV",2*N2327*IF(L2327="1/C",O2327,1),0)</f>
        <v/>
      </c>
      <c r="Y2327" s="9">
        <f>IF(OR(LEFT(K2327,4)="LVAX",LEFT(K2327,6)="MV15AX",LEFT(K2327,4)="CTAX",LEFT(K2327,2)="W|"),2*N2327*O2327,0)</f>
        <v/>
      </c>
      <c r="Z2327" s="9" t="inlineStr">
        <is>
          <t>VD 2.0 %</t>
        </is>
      </c>
    </row>
    <row r="2328">
      <c r="A2328" s="9" t="inlineStr">
        <is>
          <t>I-P-0024</t>
        </is>
      </c>
      <c r="B2328" s="9" t="inlineStr">
        <is>
          <t>I</t>
        </is>
      </c>
      <c r="C2328" s="9" t="inlineStr">
        <is>
          <t>Modular / portable power</t>
        </is>
      </c>
      <c r="D2328" s="9" t="inlineStr">
        <is>
          <t>Fuel-cell AC cabinet to MOD-LV</t>
        </is>
      </c>
      <c r="E2328" s="9" t="inlineStr"/>
      <c r="F2328" s="9" t="inlineStr">
        <is>
          <t>Fuel-cell inverter / AC cabinet / desulfurizer</t>
        </is>
      </c>
      <c r="G2328" s="9" t="inlineStr"/>
      <c r="H2328" s="9" t="inlineStr">
        <is>
          <t>MOD-LV 480 V board + 480 V : 13.8 kV step-up</t>
        </is>
      </c>
      <c r="I2328" s="9" t="inlineStr">
        <is>
          <t>LV 600 V</t>
        </is>
      </c>
      <c r="J2328" s="9" t="inlineStr">
        <is>
          <t>Type TC-ER 600 V 3/C Cu XHHW-2 + ground, PVC jacket</t>
        </is>
      </c>
      <c r="K2328" s="9" t="inlineStr">
        <is>
          <t>LV|3/C+G|350</t>
        </is>
      </c>
      <c r="L2328" s="9" t="inlineStr">
        <is>
          <t>3/C+G</t>
        </is>
      </c>
      <c r="M2328" s="9" t="inlineStr">
        <is>
          <t>350 kcmil</t>
        </is>
      </c>
      <c r="N2328" s="9" t="n">
        <v>6</v>
      </c>
      <c r="O2328" s="9" t="n">
        <v>1</v>
      </c>
      <c r="P2328" s="9" t="n">
        <v>480</v>
      </c>
      <c r="Q2328" s="9" t="n">
        <v>1000</v>
      </c>
      <c r="R2328" s="9" t="n">
        <v>1266</v>
      </c>
      <c r="S2328" s="9" t="inlineStr">
        <is>
          <t>Duct bank</t>
        </is>
      </c>
      <c r="T2328" s="10" t="n">
        <v>237</v>
      </c>
      <c r="U2328" s="10" t="n">
        <v>32</v>
      </c>
      <c r="V2328" s="10">
        <f>ROUNDUP((T2328+U2328+2*'Read Me'!$B$13)*(1+'Read Me'!$B$12),-1)</f>
        <v/>
      </c>
      <c r="W2328" s="10">
        <f>V2328*N2328*O2328</f>
        <v/>
      </c>
      <c r="X2328" s="9">
        <f>IF(LEFT(I2328,2)="MV",2*N2328*IF(L2328="1/C",O2328,1),0)</f>
        <v/>
      </c>
      <c r="Y2328" s="9">
        <f>IF(OR(LEFT(K2328,4)="LVAX",LEFT(K2328,6)="MV15AX",LEFT(K2328,4)="CTAX",LEFT(K2328,2)="W|"),2*N2328*O2328,0)</f>
        <v/>
      </c>
      <c r="Z2328" s="9" t="inlineStr">
        <is>
          <t>VD 0.8 %</t>
        </is>
      </c>
    </row>
    <row r="2329">
      <c r="A2329" s="9" t="inlineStr">
        <is>
          <t>I-P-0025</t>
        </is>
      </c>
      <c r="B2329" s="9" t="inlineStr">
        <is>
          <t>I</t>
        </is>
      </c>
      <c r="C2329" s="9" t="inlineStr">
        <is>
          <t>Modular / portable power</t>
        </is>
      </c>
      <c r="D2329" s="9" t="inlineStr">
        <is>
          <t>Fuel-cell AC cabinet to MOD-LV</t>
        </is>
      </c>
      <c r="E2329" s="9" t="inlineStr"/>
      <c r="F2329" s="9" t="inlineStr">
        <is>
          <t>FC-5..12 inverter / AC cabinet / desulfurizer</t>
        </is>
      </c>
      <c r="G2329" s="9" t="inlineStr"/>
      <c r="H2329" s="9" t="inlineStr">
        <is>
          <t>MOD-LV 480 V board + 480 V : 13.8 kV step-up</t>
        </is>
      </c>
      <c r="I2329" s="9" t="inlineStr">
        <is>
          <t>LV 600 V</t>
        </is>
      </c>
      <c r="J2329" s="9" t="inlineStr">
        <is>
          <t>Type TC-ER 600 V 3/C Cu XHHW-2 + ground, PVC jacket</t>
        </is>
      </c>
      <c r="K2329" s="9" t="inlineStr">
        <is>
          <t>LV|3/C+G|500</t>
        </is>
      </c>
      <c r="L2329" s="9" t="inlineStr">
        <is>
          <t>3/C+G</t>
        </is>
      </c>
      <c r="M2329" s="9" t="inlineStr">
        <is>
          <t>500 kcmil</t>
        </is>
      </c>
      <c r="N2329" s="9" t="n">
        <v>10</v>
      </c>
      <c r="O2329" s="9" t="n">
        <v>1</v>
      </c>
      <c r="P2329" s="9" t="n">
        <v>480</v>
      </c>
      <c r="Q2329" s="9" t="n">
        <v>2000</v>
      </c>
      <c r="R2329" s="9" t="n">
        <v>2532</v>
      </c>
      <c r="S2329" s="9" t="inlineStr">
        <is>
          <t>Duct bank</t>
        </is>
      </c>
      <c r="T2329" s="10" t="n">
        <v>622</v>
      </c>
      <c r="U2329" s="10" t="n">
        <v>32</v>
      </c>
      <c r="V2329" s="10">
        <f>ROUNDUP((T2329+U2329+2*'Read Me'!$B$13)*(1+'Read Me'!$B$12),-1)</f>
        <v/>
      </c>
      <c r="W2329" s="10">
        <f>V2329*N2329*O2329</f>
        <v/>
      </c>
      <c r="X2329" s="9">
        <f>IF(LEFT(I2329,2)="MV",2*N2329*IF(L2329="1/C",O2329,1),0)</f>
        <v/>
      </c>
      <c r="Y2329" s="9">
        <f>IF(OR(LEFT(K2329,4)="LVAX",LEFT(K2329,6)="MV15AX",LEFT(K2329,4)="CTAX",LEFT(K2329,2)="W|"),2*N2329*O2329,0)</f>
        <v/>
      </c>
      <c r="Z2329" s="9" t="inlineStr">
        <is>
          <t>VD 1.7 %</t>
        </is>
      </c>
    </row>
    <row r="2330">
      <c r="A2330" s="9" t="inlineStr">
        <is>
          <t>I-P-0026</t>
        </is>
      </c>
      <c r="B2330" s="9" t="inlineStr">
        <is>
          <t>I</t>
        </is>
      </c>
      <c r="C2330" s="9" t="inlineStr">
        <is>
          <t>Modular / portable power</t>
        </is>
      </c>
      <c r="D2330" s="9" t="inlineStr">
        <is>
          <t>MT-1 microturbine output</t>
        </is>
      </c>
      <c r="E2330" s="9" t="inlineStr"/>
      <c r="F2330" s="9" t="inlineStr">
        <is>
          <t>MT-1: microturbine 1 MW (Capstone C1000 class)</t>
        </is>
      </c>
      <c r="G2330" s="9" t="inlineStr"/>
      <c r="H2330" s="9" t="inlineStr">
        <is>
          <t>MOD-LV 480 V board + 480 V : 13.8 kV step-up</t>
        </is>
      </c>
      <c r="I2330" s="9" t="inlineStr">
        <is>
          <t>LV 600 V</t>
        </is>
      </c>
      <c r="J2330" s="9" t="inlineStr">
        <is>
          <t>Type TC-ER 600 V 3/C Cu XHHW-2 + ground, PVC jacket</t>
        </is>
      </c>
      <c r="K2330" s="9" t="inlineStr">
        <is>
          <t>LV|3/C+G|350</t>
        </is>
      </c>
      <c r="L2330" s="9" t="inlineStr">
        <is>
          <t>3/C+G</t>
        </is>
      </c>
      <c r="M2330" s="9" t="inlineStr">
        <is>
          <t>350 kcmil</t>
        </is>
      </c>
      <c r="N2330" s="9" t="n">
        <v>6</v>
      </c>
      <c r="O2330" s="9" t="n">
        <v>1</v>
      </c>
      <c r="P2330" s="9" t="n">
        <v>480</v>
      </c>
      <c r="Q2330" s="9" t="n">
        <v>1000</v>
      </c>
      <c r="R2330" s="9" t="n">
        <v>1266</v>
      </c>
      <c r="S2330" s="9" t="inlineStr">
        <is>
          <t>Duct bank</t>
        </is>
      </c>
      <c r="T2330" s="10" t="n">
        <v>96</v>
      </c>
      <c r="U2330" s="10" t="n">
        <v>32</v>
      </c>
      <c r="V2330" s="10">
        <f>ROUNDUP((T2330+U2330+2*'Read Me'!$B$13)*(1+'Read Me'!$B$12),-1)</f>
        <v/>
      </c>
      <c r="W2330" s="10">
        <f>V2330*N2330*O2330</f>
        <v/>
      </c>
      <c r="X2330" s="9">
        <f>IF(LEFT(I2330,2)="MV",2*N2330*IF(L2330="1/C",O2330,1),0)</f>
        <v/>
      </c>
      <c r="Y2330" s="9">
        <f>IF(OR(LEFT(K2330,4)="LVAX",LEFT(K2330,6)="MV15AX",LEFT(K2330,4)="CTAX",LEFT(K2330,2)="W|"),2*N2330*O2330,0)</f>
        <v/>
      </c>
      <c r="Z2330" s="9" t="inlineStr">
        <is>
          <t>VD 0.4 %</t>
        </is>
      </c>
    </row>
    <row r="2331">
      <c r="A2331" s="9" t="inlineStr">
        <is>
          <t>I-P-0027</t>
        </is>
      </c>
      <c r="B2331" s="9" t="inlineStr">
        <is>
          <t>I</t>
        </is>
      </c>
      <c r="C2331" s="9" t="inlineStr">
        <is>
          <t>Modular / portable power</t>
        </is>
      </c>
      <c r="D2331" s="9" t="inlineStr">
        <is>
          <t>MT-2 microturbine output</t>
        </is>
      </c>
      <c r="E2331" s="9" t="inlineStr"/>
      <c r="F2331" s="9" t="inlineStr">
        <is>
          <t>MT-2: microturbine 1 MW (Capstone C1000 class)</t>
        </is>
      </c>
      <c r="G2331" s="9" t="inlineStr"/>
      <c r="H2331" s="9" t="inlineStr">
        <is>
          <t>MOD-LV 480 V board + 480 V : 13.8 kV step-up</t>
        </is>
      </c>
      <c r="I2331" s="9" t="inlineStr">
        <is>
          <t>LV 600 V</t>
        </is>
      </c>
      <c r="J2331" s="9" t="inlineStr">
        <is>
          <t>Type TC-ER 600 V 3/C Cu XHHW-2 + ground, PVC jacket</t>
        </is>
      </c>
      <c r="K2331" s="9" t="inlineStr">
        <is>
          <t>LV|3/C+G|350</t>
        </is>
      </c>
      <c r="L2331" s="9" t="inlineStr">
        <is>
          <t>3/C+G</t>
        </is>
      </c>
      <c r="M2331" s="9" t="inlineStr">
        <is>
          <t>350 kcmil</t>
        </is>
      </c>
      <c r="N2331" s="9" t="n">
        <v>6</v>
      </c>
      <c r="O2331" s="9" t="n">
        <v>1</v>
      </c>
      <c r="P2331" s="9" t="n">
        <v>480</v>
      </c>
      <c r="Q2331" s="9" t="n">
        <v>1000</v>
      </c>
      <c r="R2331" s="9" t="n">
        <v>1266</v>
      </c>
      <c r="S2331" s="9" t="inlineStr">
        <is>
          <t>Duct bank</t>
        </is>
      </c>
      <c r="T2331" s="10" t="n">
        <v>118</v>
      </c>
      <c r="U2331" s="10" t="n">
        <v>38</v>
      </c>
      <c r="V2331" s="10">
        <f>ROUNDUP((T2331+U2331+2*'Read Me'!$B$13)*(1+'Read Me'!$B$12),-1)</f>
        <v/>
      </c>
      <c r="W2331" s="10">
        <f>V2331*N2331*O2331</f>
        <v/>
      </c>
      <c r="X2331" s="9">
        <f>IF(LEFT(I2331,2)="MV",2*N2331*IF(L2331="1/C",O2331,1),0)</f>
        <v/>
      </c>
      <c r="Y2331" s="9">
        <f>IF(OR(LEFT(K2331,4)="LVAX",LEFT(K2331,6)="MV15AX",LEFT(K2331,4)="CTAX",LEFT(K2331,2)="W|"),2*N2331*O2331,0)</f>
        <v/>
      </c>
      <c r="Z2331" s="9" t="inlineStr">
        <is>
          <t>VD 0.5 %</t>
        </is>
      </c>
    </row>
    <row r="2332">
      <c r="A2332" s="9" t="inlineStr">
        <is>
          <t>I-P-0028</t>
        </is>
      </c>
      <c r="B2332" s="9" t="inlineStr">
        <is>
          <t>I</t>
        </is>
      </c>
      <c r="C2332" s="9" t="inlineStr">
        <is>
          <t>Modular / portable power</t>
        </is>
      </c>
      <c r="D2332" s="9" t="inlineStr">
        <is>
          <t>MT-3 microturbine output</t>
        </is>
      </c>
      <c r="E2332" s="9" t="inlineStr"/>
      <c r="F2332" s="9" t="inlineStr">
        <is>
          <t>MT-3: microturbine 1 MW (Capstone C1000 class)</t>
        </is>
      </c>
      <c r="G2332" s="9" t="inlineStr"/>
      <c r="H2332" s="9" t="inlineStr">
        <is>
          <t>MOD-LV 480 V board + 480 V : 13.8 kV step-up</t>
        </is>
      </c>
      <c r="I2332" s="9" t="inlineStr">
        <is>
          <t>LV 600 V</t>
        </is>
      </c>
      <c r="J2332" s="9" t="inlineStr">
        <is>
          <t>Type TC-ER 600 V 3/C Cu XHHW-2 + ground, PVC jacket</t>
        </is>
      </c>
      <c r="K2332" s="9" t="inlineStr">
        <is>
          <t>LV|3/C+G|350</t>
        </is>
      </c>
      <c r="L2332" s="9" t="inlineStr">
        <is>
          <t>3/C+G</t>
        </is>
      </c>
      <c r="M2332" s="9" t="inlineStr">
        <is>
          <t>350 kcmil</t>
        </is>
      </c>
      <c r="N2332" s="9" t="n">
        <v>6</v>
      </c>
      <c r="O2332" s="9" t="n">
        <v>1</v>
      </c>
      <c r="P2332" s="9" t="n">
        <v>480</v>
      </c>
      <c r="Q2332" s="9" t="n">
        <v>1000</v>
      </c>
      <c r="R2332" s="9" t="n">
        <v>1266</v>
      </c>
      <c r="S2332" s="9" t="inlineStr">
        <is>
          <t>Duct bank</t>
        </is>
      </c>
      <c r="T2332" s="10" t="n">
        <v>111</v>
      </c>
      <c r="U2332" s="10" t="n">
        <v>45</v>
      </c>
      <c r="V2332" s="10">
        <f>ROUNDUP((T2332+U2332+2*'Read Me'!$B$13)*(1+'Read Me'!$B$12),-1)</f>
        <v/>
      </c>
      <c r="W2332" s="10">
        <f>V2332*N2332*O2332</f>
        <v/>
      </c>
      <c r="X2332" s="9">
        <f>IF(LEFT(I2332,2)="MV",2*N2332*IF(L2332="1/C",O2332,1),0)</f>
        <v/>
      </c>
      <c r="Y2332" s="9">
        <f>IF(OR(LEFT(K2332,4)="LVAX",LEFT(K2332,6)="MV15AX",LEFT(K2332,4)="CTAX",LEFT(K2332,2)="W|"),2*N2332*O2332,0)</f>
        <v/>
      </c>
      <c r="Z2332" s="9" t="inlineStr">
        <is>
          <t>VD 0.5 %</t>
        </is>
      </c>
    </row>
    <row r="2333">
      <c r="A2333" s="9" t="inlineStr">
        <is>
          <t>I-P-0029</t>
        </is>
      </c>
      <c r="B2333" s="9" t="inlineStr">
        <is>
          <t>I</t>
        </is>
      </c>
      <c r="C2333" s="9" t="inlineStr">
        <is>
          <t>Modular / portable power</t>
        </is>
      </c>
      <c r="D2333" s="9" t="inlineStr">
        <is>
          <t>MT-4 microturbine output</t>
        </is>
      </c>
      <c r="E2333" s="9" t="inlineStr">
        <is>
          <t>MT-4</t>
        </is>
      </c>
      <c r="F2333" s="9" t="inlineStr">
        <is>
          <t>MT-4: microturbine 1 MW (Capstone C1000 class)</t>
        </is>
      </c>
      <c r="G2333" s="9" t="inlineStr"/>
      <c r="H2333" s="9" t="inlineStr">
        <is>
          <t>MOD-LV 480 V board + 480 V : 13.8 kV step-up</t>
        </is>
      </c>
      <c r="I2333" s="9" t="inlineStr">
        <is>
          <t>LV 600 V</t>
        </is>
      </c>
      <c r="J2333" s="9" t="inlineStr">
        <is>
          <t>Type TC-ER 600 V 3/C Cu XHHW-2 + ground, PVC jacket</t>
        </is>
      </c>
      <c r="K2333" s="9" t="inlineStr">
        <is>
          <t>LV|3/C+G|350</t>
        </is>
      </c>
      <c r="L2333" s="9" t="inlineStr">
        <is>
          <t>3/C+G</t>
        </is>
      </c>
      <c r="M2333" s="9" t="inlineStr">
        <is>
          <t>350 kcmil</t>
        </is>
      </c>
      <c r="N2333" s="9" t="n">
        <v>6</v>
      </c>
      <c r="O2333" s="9" t="n">
        <v>1</v>
      </c>
      <c r="P2333" s="9" t="n">
        <v>480</v>
      </c>
      <c r="Q2333" s="9" t="n">
        <v>1000</v>
      </c>
      <c r="R2333" s="9" t="n">
        <v>1266</v>
      </c>
      <c r="S2333" s="9" t="inlineStr">
        <is>
          <t>Duct bank</t>
        </is>
      </c>
      <c r="T2333" s="10" t="n">
        <v>591</v>
      </c>
      <c r="U2333" s="10" t="n">
        <v>40</v>
      </c>
      <c r="V2333" s="10">
        <f>ROUNDUP((T2333+U2333+2*'Read Me'!$B$13)*(1+'Read Me'!$B$12),-1)</f>
        <v/>
      </c>
      <c r="W2333" s="10">
        <f>V2333*N2333*O2333</f>
        <v/>
      </c>
      <c r="X2333" s="9">
        <f>IF(LEFT(I2333,2)="MV",2*N2333*IF(L2333="1/C",O2333,1),0)</f>
        <v/>
      </c>
      <c r="Y2333" s="9">
        <f>IF(OR(LEFT(K2333,4)="LVAX",LEFT(K2333,6)="MV15AX",LEFT(K2333,4)="CTAX",LEFT(K2333,2)="W|"),2*N2333*O2333,0)</f>
        <v/>
      </c>
      <c r="Z2333" s="9" t="inlineStr">
        <is>
          <t>VD 1.9 %</t>
        </is>
      </c>
    </row>
    <row r="2334">
      <c r="A2334" s="9" t="inlineStr">
        <is>
          <t>I-P-0030</t>
        </is>
      </c>
      <c r="B2334" s="9" t="inlineStr">
        <is>
          <t>I</t>
        </is>
      </c>
      <c r="C2334" s="9" t="inlineStr">
        <is>
          <t>Modular / portable power</t>
        </is>
      </c>
      <c r="D2334" s="9" t="inlineStr">
        <is>
          <t>MT-5 microturbine output</t>
        </is>
      </c>
      <c r="E2334" s="9" t="inlineStr">
        <is>
          <t>MT-5</t>
        </is>
      </c>
      <c r="F2334" s="9" t="inlineStr">
        <is>
          <t>MT-5: microturbine 1 MW (Capstone C1000 class)</t>
        </is>
      </c>
      <c r="G2334" s="9" t="inlineStr"/>
      <c r="H2334" s="9" t="inlineStr">
        <is>
          <t>MOD-LV 480 V board + 480 V : 13.8 kV step-up</t>
        </is>
      </c>
      <c r="I2334" s="9" t="inlineStr">
        <is>
          <t>LV 600 V</t>
        </is>
      </c>
      <c r="J2334" s="9" t="inlineStr">
        <is>
          <t>Type TC-ER 600 V 3/C Cu XHHW-2 + ground, PVC jacket</t>
        </is>
      </c>
      <c r="K2334" s="9" t="inlineStr">
        <is>
          <t>LV|3/C+G|350</t>
        </is>
      </c>
      <c r="L2334" s="9" t="inlineStr">
        <is>
          <t>3/C+G</t>
        </is>
      </c>
      <c r="M2334" s="9" t="inlineStr">
        <is>
          <t>350 kcmil</t>
        </is>
      </c>
      <c r="N2334" s="9" t="n">
        <v>6</v>
      </c>
      <c r="O2334" s="9" t="n">
        <v>1</v>
      </c>
      <c r="P2334" s="9" t="n">
        <v>480</v>
      </c>
      <c r="Q2334" s="9" t="n">
        <v>1000</v>
      </c>
      <c r="R2334" s="9" t="n">
        <v>1266</v>
      </c>
      <c r="S2334" s="9" t="inlineStr">
        <is>
          <t>Duct bank</t>
        </is>
      </c>
      <c r="T2334" s="10" t="n">
        <v>565</v>
      </c>
      <c r="U2334" s="10" t="n">
        <v>52</v>
      </c>
      <c r="V2334" s="10">
        <f>ROUNDUP((T2334+U2334+2*'Read Me'!$B$13)*(1+'Read Me'!$B$12),-1)</f>
        <v/>
      </c>
      <c r="W2334" s="10">
        <f>V2334*N2334*O2334</f>
        <v/>
      </c>
      <c r="X2334" s="9">
        <f>IF(LEFT(I2334,2)="MV",2*N2334*IF(L2334="1/C",O2334,1),0)</f>
        <v/>
      </c>
      <c r="Y2334" s="9">
        <f>IF(OR(LEFT(K2334,4)="LVAX",LEFT(K2334,6)="MV15AX",LEFT(K2334,4)="CTAX",LEFT(K2334,2)="W|"),2*N2334*O2334,0)</f>
        <v/>
      </c>
      <c r="Z2334" s="9" t="inlineStr">
        <is>
          <t>VD 1.9 %</t>
        </is>
      </c>
    </row>
    <row r="2335">
      <c r="A2335" s="9" t="inlineStr">
        <is>
          <t>I-P-0031</t>
        </is>
      </c>
      <c r="B2335" s="9" t="inlineStr">
        <is>
          <t>I</t>
        </is>
      </c>
      <c r="C2335" s="9" t="inlineStr">
        <is>
          <t>Modular / portable power</t>
        </is>
      </c>
      <c r="D2335" s="9" t="inlineStr">
        <is>
          <t>MT-6 microturbine output</t>
        </is>
      </c>
      <c r="E2335" s="9" t="inlineStr">
        <is>
          <t>MT-6</t>
        </is>
      </c>
      <c r="F2335" s="9" t="inlineStr">
        <is>
          <t>MT-6: microturbine 1 MW (Capstone C1000 class)</t>
        </is>
      </c>
      <c r="G2335" s="9" t="inlineStr"/>
      <c r="H2335" s="9" t="inlineStr">
        <is>
          <t>MOD-LV 480 V board + 480 V : 13.8 kV step-up</t>
        </is>
      </c>
      <c r="I2335" s="9" t="inlineStr">
        <is>
          <t>LV 600 V</t>
        </is>
      </c>
      <c r="J2335" s="9" t="inlineStr">
        <is>
          <t>Type TC-ER 600 V 3/C Cu XHHW-2 + ground, PVC jacket</t>
        </is>
      </c>
      <c r="K2335" s="9" t="inlineStr">
        <is>
          <t>LV|3/C+G|350</t>
        </is>
      </c>
      <c r="L2335" s="9" t="inlineStr">
        <is>
          <t>3/C+G</t>
        </is>
      </c>
      <c r="M2335" s="9" t="inlineStr">
        <is>
          <t>350 kcmil</t>
        </is>
      </c>
      <c r="N2335" s="9" t="n">
        <v>6</v>
      </c>
      <c r="O2335" s="9" t="n">
        <v>1</v>
      </c>
      <c r="P2335" s="9" t="n">
        <v>480</v>
      </c>
      <c r="Q2335" s="9" t="n">
        <v>1000</v>
      </c>
      <c r="R2335" s="9" t="n">
        <v>1266</v>
      </c>
      <c r="S2335" s="9" t="inlineStr">
        <is>
          <t>Duct bank</t>
        </is>
      </c>
      <c r="T2335" s="10" t="n">
        <v>551</v>
      </c>
      <c r="U2335" s="10" t="n">
        <v>38</v>
      </c>
      <c r="V2335" s="10">
        <f>ROUNDUP((T2335+U2335+2*'Read Me'!$B$13)*(1+'Read Me'!$B$12),-1)</f>
        <v/>
      </c>
      <c r="W2335" s="10">
        <f>V2335*N2335*O2335</f>
        <v/>
      </c>
      <c r="X2335" s="9">
        <f>IF(LEFT(I2335,2)="MV",2*N2335*IF(L2335="1/C",O2335,1),0)</f>
        <v/>
      </c>
      <c r="Y2335" s="9">
        <f>IF(OR(LEFT(K2335,4)="LVAX",LEFT(K2335,6)="MV15AX",LEFT(K2335,4)="CTAX",LEFT(K2335,2)="W|"),2*N2335*O2335,0)</f>
        <v/>
      </c>
      <c r="Z2335" s="9" t="inlineStr">
        <is>
          <t>VD 1.8 %</t>
        </is>
      </c>
    </row>
    <row r="2336">
      <c r="A2336" s="9" t="inlineStr">
        <is>
          <t>I-P-0032</t>
        </is>
      </c>
      <c r="B2336" s="9" t="inlineStr">
        <is>
          <t>I</t>
        </is>
      </c>
      <c r="C2336" s="9" t="inlineStr">
        <is>
          <t>Modular / portable power</t>
        </is>
      </c>
      <c r="D2336" s="9" t="inlineStr">
        <is>
          <t>PAD-LV to PAD-TX</t>
        </is>
      </c>
      <c r="E2336" s="9" t="inlineStr">
        <is>
          <t>PAD-LV</t>
        </is>
      </c>
      <c r="F2336" s="9" t="inlineStr">
        <is>
          <t>PAD-LV 480 V paralleling switchboard</t>
        </is>
      </c>
      <c r="G2336" s="9" t="inlineStr">
        <is>
          <t>PAD-TX</t>
        </is>
      </c>
      <c r="H2336" s="9" t="inlineStr">
        <is>
          <t>PAD-TX 480 V : 13.8 kV</t>
        </is>
      </c>
      <c r="I2336" s="9" t="inlineStr">
        <is>
          <t>LV 600 V</t>
        </is>
      </c>
      <c r="J2336" s="9" t="inlineStr">
        <is>
          <t>XHHW-2 600 V 1/C Cu (feeder sets in tray / duct)</t>
        </is>
      </c>
      <c r="K2336" s="9" t="inlineStr">
        <is>
          <t>LV1C|1/C|500</t>
        </is>
      </c>
      <c r="L2336" s="9" t="inlineStr">
        <is>
          <t>1/C</t>
        </is>
      </c>
      <c r="M2336" s="9" t="inlineStr">
        <is>
          <t>500 kcmil</t>
        </is>
      </c>
      <c r="N2336" s="9" t="n">
        <v>8</v>
      </c>
      <c r="O2336" s="9" t="n">
        <v>4</v>
      </c>
      <c r="P2336" s="9" t="n">
        <v>480</v>
      </c>
      <c r="Q2336" s="9" t="n">
        <v>3000</v>
      </c>
      <c r="R2336" s="9" t="n">
        <v>3600</v>
      </c>
      <c r="S2336" s="9" t="inlineStr">
        <is>
          <t>Conduit link</t>
        </is>
      </c>
      <c r="T2336" s="10" t="n">
        <v>25</v>
      </c>
      <c r="U2336" s="10" t="n">
        <v>27</v>
      </c>
      <c r="V2336" s="10">
        <f>ROUNDUP((T2336+U2336+2*'Read Me'!$B$13)*(1+'Read Me'!$B$12),-1)</f>
        <v/>
      </c>
      <c r="W2336" s="10">
        <f>V2336*N2336*O2336</f>
        <v/>
      </c>
      <c r="X2336" s="9">
        <f>IF(LEFT(I2336,2)="MV",2*N2336*IF(L2336="1/C",O2336,1),0)</f>
        <v/>
      </c>
      <c r="Y2336" s="9">
        <f>IF(OR(LEFT(K2336,4)="LVAX",LEFT(K2336,6)="MV15AX",LEFT(K2336,4)="CTAX",LEFT(K2336,2)="W|"),2*N2336*O2336,0)</f>
        <v/>
      </c>
      <c r="Z2336" s="9" t="inlineStr"/>
    </row>
    <row r="2337">
      <c r="A2337" s="9" t="inlineStr">
        <is>
          <t>I-P-0033</t>
        </is>
      </c>
      <c r="B2337" s="9" t="inlineStr">
        <is>
          <t>I</t>
        </is>
      </c>
      <c r="C2337" s="9" t="inlineStr">
        <is>
          <t>Modular / portable power</t>
        </is>
      </c>
      <c r="D2337" s="9" t="inlineStr">
        <is>
          <t>LV panel / distribution feeder</t>
        </is>
      </c>
      <c r="E2337" s="9" t="inlineStr"/>
      <c r="F2337" s="9" t="inlineStr">
        <is>
          <t>PCM: power control module</t>
        </is>
      </c>
      <c r="G2337" s="9" t="inlineStr"/>
      <c r="H2337" s="9" t="inlineStr">
        <is>
          <t>PCM: power control module</t>
        </is>
      </c>
      <c r="I2337" s="9" t="inlineStr">
        <is>
          <t>LV 600 V</t>
        </is>
      </c>
      <c r="J2337" s="9" t="inlineStr">
        <is>
          <t>Type TC-ER 600 V 3/C Cu XHHW-2 + ground, PVC jacket</t>
        </is>
      </c>
      <c r="K2337" s="9" t="inlineStr">
        <is>
          <t>LV|3/C+G|4</t>
        </is>
      </c>
      <c r="L2337" s="9" t="inlineStr">
        <is>
          <t>3/C+G</t>
        </is>
      </c>
      <c r="M2337" s="9" t="inlineStr">
        <is>
          <t>4</t>
        </is>
      </c>
      <c r="N2337" s="9" t="n">
        <v>1</v>
      </c>
      <c r="O2337" s="9" t="n">
        <v>1</v>
      </c>
      <c r="P2337" s="9" t="n">
        <v>480</v>
      </c>
      <c r="Q2337" s="9" t="n">
        <v>38</v>
      </c>
      <c r="R2337" s="9" t="n">
        <v>54</v>
      </c>
      <c r="S2337" s="9" t="inlineStr">
        <is>
          <t>Tray</t>
        </is>
      </c>
      <c r="T2337" s="10" t="n">
        <v>0</v>
      </c>
      <c r="U2337" s="10" t="n">
        <v>32</v>
      </c>
      <c r="V2337" s="10">
        <f>ROUNDUP((T2337+U2337+2*'Read Me'!$B$13)*(1+'Read Me'!$B$12),-1)</f>
        <v/>
      </c>
      <c r="W2337" s="10">
        <f>V2337*N2337*O2337</f>
        <v/>
      </c>
      <c r="X2337" s="9">
        <f>IF(LEFT(I2337,2)="MV",2*N2337*IF(L2337="1/C",O2337,1),0)</f>
        <v/>
      </c>
      <c r="Y2337" s="9">
        <f>IF(OR(LEFT(K2337,4)="LVAX",LEFT(K2337,6)="MV15AX",LEFT(K2337,4)="CTAX",LEFT(K2337,2)="W|"),2*N2337*O2337,0)</f>
        <v/>
      </c>
      <c r="Z2337" s="9" t="inlineStr">
        <is>
          <t>VD 0.2 %</t>
        </is>
      </c>
    </row>
    <row r="2338">
      <c r="A2338" s="9" t="inlineStr">
        <is>
          <t>I-P-0034</t>
        </is>
      </c>
      <c r="B2338" s="9" t="inlineStr">
        <is>
          <t>I</t>
        </is>
      </c>
      <c r="C2338" s="9" t="inlineStr">
        <is>
          <t>Modular / portable power</t>
        </is>
      </c>
      <c r="D2338" s="9" t="inlineStr">
        <is>
          <t>LV panel / distribution feeder</t>
        </is>
      </c>
      <c r="E2338" s="9" t="inlineStr"/>
      <c r="F2338" s="9" t="inlineStr">
        <is>
          <t>PCM: power control module</t>
        </is>
      </c>
      <c r="G2338" s="9" t="inlineStr"/>
      <c r="H2338" s="9" t="inlineStr">
        <is>
          <t>RICE CEMS</t>
        </is>
      </c>
      <c r="I2338" s="9" t="inlineStr">
        <is>
          <t>LV 600 V</t>
        </is>
      </c>
      <c r="J2338" s="9" t="inlineStr">
        <is>
          <t>Type TC-ER 600 V 3/C Cu XHHW-2 + ground, PVC jacket</t>
        </is>
      </c>
      <c r="K2338" s="9" t="inlineStr">
        <is>
          <t>LV|3/C+G|4</t>
        </is>
      </c>
      <c r="L2338" s="9" t="inlineStr">
        <is>
          <t>3/C+G</t>
        </is>
      </c>
      <c r="M2338" s="9" t="inlineStr">
        <is>
          <t>4</t>
        </is>
      </c>
      <c r="N2338" s="9" t="n">
        <v>1</v>
      </c>
      <c r="O2338" s="9" t="n">
        <v>1</v>
      </c>
      <c r="P2338" s="9" t="n">
        <v>480</v>
      </c>
      <c r="Q2338" s="9" t="n">
        <v>30</v>
      </c>
      <c r="R2338" s="9" t="n">
        <v>42</v>
      </c>
      <c r="S2338" s="9" t="inlineStr">
        <is>
          <t>Duct bank</t>
        </is>
      </c>
      <c r="T2338" s="10" t="n">
        <v>260</v>
      </c>
      <c r="U2338" s="10" t="n">
        <v>131</v>
      </c>
      <c r="V2338" s="10">
        <f>ROUNDUP((T2338+U2338+2*'Read Me'!$B$13)*(1+'Read Me'!$B$12),-1)</f>
        <v/>
      </c>
      <c r="W2338" s="10">
        <f>V2338*N2338*O2338</f>
        <v/>
      </c>
      <c r="X2338" s="9">
        <f>IF(LEFT(I2338,2)="MV",2*N2338*IF(L2338="1/C",O2338,1),0)</f>
        <v/>
      </c>
      <c r="Y2338" s="9">
        <f>IF(OR(LEFT(K2338,4)="LVAX",LEFT(K2338,6)="MV15AX",LEFT(K2338,4)="CTAX",LEFT(K2338,2)="W|"),2*N2338*O2338,0)</f>
        <v/>
      </c>
      <c r="Z2338" s="9" t="inlineStr">
        <is>
          <t>VD 2.0 %</t>
        </is>
      </c>
    </row>
    <row r="2339">
      <c r="A2339" s="9" t="inlineStr">
        <is>
          <t>I-P-0035</t>
        </is>
      </c>
      <c r="B2339" s="9" t="inlineStr">
        <is>
          <t>I</t>
        </is>
      </c>
      <c r="C2339" s="9" t="inlineStr">
        <is>
          <t>Modular / portable power</t>
        </is>
      </c>
      <c r="D2339" s="9" t="inlineStr">
        <is>
          <t>LV power feeder</t>
        </is>
      </c>
      <c r="E2339" s="9" t="inlineStr"/>
      <c r="F2339" s="9" t="inlineStr">
        <is>
          <t>PCM: power control module</t>
        </is>
      </c>
      <c r="G2339" s="9" t="inlineStr">
        <is>
          <t>RICE</t>
        </is>
      </c>
      <c r="H2339" s="9" t="inlineStr">
        <is>
          <t>RICE engine hall (8 engines)</t>
        </is>
      </c>
      <c r="I2339" s="9" t="inlineStr">
        <is>
          <t>LV 600 V</t>
        </is>
      </c>
      <c r="J2339" s="9" t="inlineStr">
        <is>
          <t>Type TC-ER 600 V 3/C Cu XHHW-2 + ground, PVC jacket</t>
        </is>
      </c>
      <c r="K2339" s="9" t="inlineStr">
        <is>
          <t>LV|3/C+G|8</t>
        </is>
      </c>
      <c r="L2339" s="9" t="inlineStr">
        <is>
          <t>3/C+G</t>
        </is>
      </c>
      <c r="M2339" s="9" t="inlineStr">
        <is>
          <t>8</t>
        </is>
      </c>
      <c r="N2339" s="9" t="n">
        <v>1</v>
      </c>
      <c r="O2339" s="9" t="n">
        <v>1</v>
      </c>
      <c r="P2339" s="9" t="n">
        <v>480</v>
      </c>
      <c r="Q2339" s="9" t="n">
        <v>15</v>
      </c>
      <c r="R2339" s="9" t="n">
        <v>21</v>
      </c>
      <c r="S2339" s="9" t="inlineStr">
        <is>
          <t>Duct bank</t>
        </is>
      </c>
      <c r="T2339" s="10" t="n">
        <v>367</v>
      </c>
      <c r="U2339" s="10" t="n">
        <v>95</v>
      </c>
      <c r="V2339" s="10">
        <f>ROUNDUP((T2339+U2339+2*'Read Me'!$B$13)*(1+'Read Me'!$B$12),-1)</f>
        <v/>
      </c>
      <c r="W2339" s="10">
        <f>V2339*N2339*O2339</f>
        <v/>
      </c>
      <c r="X2339" s="9">
        <f>IF(LEFT(I2339,2)="MV",2*N2339*IF(L2339="1/C",O2339,1),0)</f>
        <v/>
      </c>
      <c r="Y2339" s="9">
        <f>IF(OR(LEFT(K2339,4)="LVAX",LEFT(K2339,6)="MV15AX",LEFT(K2339,4)="CTAX",LEFT(K2339,2)="W|"),2*N2339*O2339,0)</f>
        <v/>
      </c>
      <c r="Z2339" s="9" t="inlineStr">
        <is>
          <t>VD 3.0 %</t>
        </is>
      </c>
    </row>
    <row r="2340">
      <c r="A2340" s="9" t="inlineStr">
        <is>
          <t>I-P-0036</t>
        </is>
      </c>
      <c r="B2340" s="9" t="inlineStr">
        <is>
          <t>I</t>
        </is>
      </c>
      <c r="C2340" s="9" t="inlineStr">
        <is>
          <t>Modular / portable power</t>
        </is>
      </c>
      <c r="D2340" s="9" t="inlineStr">
        <is>
          <t>LV power feeder</t>
        </is>
      </c>
      <c r="E2340" s="9" t="inlineStr"/>
      <c r="F2340" s="9" t="inlineStr">
        <is>
          <t>PCM: power control module</t>
        </is>
      </c>
      <c r="G2340" s="9" t="inlineStr"/>
      <c r="H2340" s="9" t="inlineStr">
        <is>
          <t>Reagent storage</t>
        </is>
      </c>
      <c r="I2340" s="9" t="inlineStr">
        <is>
          <t>LV 600 V</t>
        </is>
      </c>
      <c r="J2340" s="9" t="inlineStr">
        <is>
          <t>Type TC-ER 600 V 3/C Cu XHHW-2 + ground, PVC jacket</t>
        </is>
      </c>
      <c r="K2340" s="9" t="inlineStr">
        <is>
          <t>LV|3/C+G|10</t>
        </is>
      </c>
      <c r="L2340" s="9" t="inlineStr">
        <is>
          <t>3/C+G</t>
        </is>
      </c>
      <c r="M2340" s="9" t="inlineStr">
        <is>
          <t>10</t>
        </is>
      </c>
      <c r="N2340" s="9" t="n">
        <v>1</v>
      </c>
      <c r="O2340" s="9" t="n">
        <v>1</v>
      </c>
      <c r="P2340" s="9" t="n">
        <v>480</v>
      </c>
      <c r="Q2340" s="9" t="n">
        <v>15</v>
      </c>
      <c r="R2340" s="9" t="n">
        <v>21</v>
      </c>
      <c r="S2340" s="9" t="inlineStr">
        <is>
          <t>Tray</t>
        </is>
      </c>
      <c r="T2340" s="10" t="n">
        <v>32</v>
      </c>
      <c r="U2340" s="10" t="n">
        <v>32</v>
      </c>
      <c r="V2340" s="10">
        <f>ROUNDUP((T2340+U2340+2*'Read Me'!$B$13)*(1+'Read Me'!$B$12),-1)</f>
        <v/>
      </c>
      <c r="W2340" s="10">
        <f>V2340*N2340*O2340</f>
        <v/>
      </c>
      <c r="X2340" s="9">
        <f>IF(LEFT(I2340,2)="MV",2*N2340*IF(L2340="1/C",O2340,1),0)</f>
        <v/>
      </c>
      <c r="Y2340" s="9">
        <f>IF(OR(LEFT(K2340,4)="LVAX",LEFT(K2340,6)="MV15AX",LEFT(K2340,4)="CTAX",LEFT(K2340,2)="W|"),2*N2340*O2340,0)</f>
        <v/>
      </c>
      <c r="Z2340" s="9" t="inlineStr">
        <is>
          <t>VD 0.7 %</t>
        </is>
      </c>
    </row>
    <row r="2341">
      <c r="A2341" s="9" t="inlineStr">
        <is>
          <t>I-P-0037</t>
        </is>
      </c>
      <c r="B2341" s="9" t="inlineStr">
        <is>
          <t>I</t>
        </is>
      </c>
      <c r="C2341" s="9" t="inlineStr">
        <is>
          <t>Modular / portable power</t>
        </is>
      </c>
      <c r="D2341" s="9" t="inlineStr">
        <is>
          <t>LV power feeder</t>
        </is>
      </c>
      <c r="E2341" s="9" t="inlineStr"/>
      <c r="F2341" s="9" t="inlineStr">
        <is>
          <t>MOD-LV 480 V board + 480 V : 13.8 kV step-up</t>
        </is>
      </c>
      <c r="G2341" s="9" t="inlineStr"/>
      <c r="H2341" s="9" t="inlineStr">
        <is>
          <t>Water-injection skid</t>
        </is>
      </c>
      <c r="I2341" s="9" t="inlineStr">
        <is>
          <t>LV 600 V</t>
        </is>
      </c>
      <c r="J2341" s="9" t="inlineStr">
        <is>
          <t>Type TC-ER 600 V 3/C Cu XHHW-2 + ground, PVC jacket</t>
        </is>
      </c>
      <c r="K2341" s="9" t="inlineStr">
        <is>
          <t>LV|3/C+G|8</t>
        </is>
      </c>
      <c r="L2341" s="9" t="inlineStr">
        <is>
          <t>3/C+G</t>
        </is>
      </c>
      <c r="M2341" s="9" t="inlineStr">
        <is>
          <t>8</t>
        </is>
      </c>
      <c r="N2341" s="9" t="n">
        <v>1</v>
      </c>
      <c r="O2341" s="9" t="n">
        <v>1</v>
      </c>
      <c r="P2341" s="9" t="n">
        <v>480</v>
      </c>
      <c r="Q2341" s="9" t="n">
        <v>15</v>
      </c>
      <c r="R2341" s="9" t="n">
        <v>21</v>
      </c>
      <c r="S2341" s="9" t="inlineStr">
        <is>
          <t>Duct bank</t>
        </is>
      </c>
      <c r="T2341" s="10" t="n">
        <v>375</v>
      </c>
      <c r="U2341" s="10" t="n">
        <v>74</v>
      </c>
      <c r="V2341" s="10">
        <f>ROUNDUP((T2341+U2341+2*'Read Me'!$B$13)*(1+'Read Me'!$B$12),-1)</f>
        <v/>
      </c>
      <c r="W2341" s="10">
        <f>V2341*N2341*O2341</f>
        <v/>
      </c>
      <c r="X2341" s="9">
        <f>IF(LEFT(I2341,2)="MV",2*N2341*IF(L2341="1/C",O2341,1),0)</f>
        <v/>
      </c>
      <c r="Y2341" s="9">
        <f>IF(OR(LEFT(K2341,4)="LVAX",LEFT(K2341,6)="MV15AX",LEFT(K2341,4)="CTAX",LEFT(K2341,2)="W|"),2*N2341*O2341,0)</f>
        <v/>
      </c>
      <c r="Z2341" s="9" t="inlineStr">
        <is>
          <t>VD 2.9 %</t>
        </is>
      </c>
    </row>
    <row r="2342">
      <c r="A2342" s="9" t="inlineStr">
        <is>
          <t>I-MV-0001</t>
        </is>
      </c>
      <c r="B2342" s="9" t="inlineStr">
        <is>
          <t>I</t>
        </is>
      </c>
      <c r="C2342" s="9" t="inlineStr">
        <is>
          <t>Modular / portable power</t>
        </is>
      </c>
      <c r="D2342" s="9" t="inlineStr">
        <is>
          <t>CONT-3 13.8 kV to CONT-EH (ground tray)</t>
        </is>
      </c>
      <c r="E2342" s="9" t="inlineStr">
        <is>
          <t>CONT-3</t>
        </is>
      </c>
      <c r="F2342" s="9" t="inlineStr">
        <is>
          <t>CONT-3: containerized gas genset 13.8 kV (40 ft)</t>
        </is>
      </c>
      <c r="G2342" s="9" t="inlineStr">
        <is>
          <t>CONT-EH</t>
        </is>
      </c>
      <c r="H2342" s="9" t="inlineStr">
        <is>
          <t>CONT paralleling switchgear e-house</t>
        </is>
      </c>
      <c r="I2342" s="9" t="inlineStr">
        <is>
          <t>MV 15 kV</t>
        </is>
      </c>
      <c r="J2342" s="9" t="inlineStr">
        <is>
          <t>MV-105 15 kV 1/C Cu, EPR 133%, Cu tape shield, PVC jacket (triplexed)</t>
        </is>
      </c>
      <c r="K2342" s="9" t="inlineStr">
        <is>
          <t>MV15|1/C|2</t>
        </is>
      </c>
      <c r="L2342" s="9" t="inlineStr">
        <is>
          <t>1/C</t>
        </is>
      </c>
      <c r="M2342" s="9" t="inlineStr">
        <is>
          <t>2</t>
        </is>
      </c>
      <c r="N2342" s="9" t="n">
        <v>1</v>
      </c>
      <c r="O2342" s="9" t="n">
        <v>3</v>
      </c>
      <c r="P2342" s="9" t="n">
        <v>13800</v>
      </c>
      <c r="Q2342" s="9" t="n">
        <v>2000</v>
      </c>
      <c r="R2342" s="9" t="n">
        <v>93</v>
      </c>
      <c r="S2342" s="9" t="inlineStr">
        <is>
          <t>Surface</t>
        </is>
      </c>
      <c r="T2342" s="10" t="n">
        <v>184</v>
      </c>
      <c r="U2342" s="10" t="n">
        <v>58</v>
      </c>
      <c r="V2342" s="10">
        <f>ROUNDUP((T2342+U2342+2*'Read Me'!$B$13)*(1+'Read Me'!$B$12),-1)</f>
        <v/>
      </c>
      <c r="W2342" s="10">
        <f>V2342*N2342*O2342</f>
        <v/>
      </c>
      <c r="X2342" s="9">
        <f>IF(LEFT(I2342,2)="MV",2*N2342*IF(L2342="1/C",O2342,1),0)</f>
        <v/>
      </c>
      <c r="Y2342" s="9">
        <f>IF(OR(LEFT(K2342,4)="LVAX",LEFT(K2342,6)="MV15AX",LEFT(K2342,4)="CTAX",LEFT(K2342,2)="W|"),2*N2342*O2342,0)</f>
        <v/>
      </c>
      <c r="Z2342" s="9" t="inlineStr"/>
    </row>
    <row r="2343">
      <c r="A2343" s="9" t="inlineStr">
        <is>
          <t>I-MV-0002</t>
        </is>
      </c>
      <c r="B2343" s="9" t="inlineStr">
        <is>
          <t>I</t>
        </is>
      </c>
      <c r="C2343" s="9" t="inlineStr">
        <is>
          <t>Modular / portable power</t>
        </is>
      </c>
      <c r="D2343" s="9" t="inlineStr">
        <is>
          <t>CONT-4 13.8 kV to CONT-EH (ground tray)</t>
        </is>
      </c>
      <c r="E2343" s="9" t="inlineStr">
        <is>
          <t>CONT-4</t>
        </is>
      </c>
      <c r="F2343" s="9" t="inlineStr">
        <is>
          <t>CONT-4: containerized gas genset 13.8 kV (40 ft)</t>
        </is>
      </c>
      <c r="G2343" s="9" t="inlineStr">
        <is>
          <t>CONT-EH</t>
        </is>
      </c>
      <c r="H2343" s="9" t="inlineStr">
        <is>
          <t>CONT paralleling switchgear e-house</t>
        </is>
      </c>
      <c r="I2343" s="9" t="inlineStr">
        <is>
          <t>MV 15 kV</t>
        </is>
      </c>
      <c r="J2343" s="9" t="inlineStr">
        <is>
          <t>MV-105 15 kV 1/C Cu, EPR 133%, Cu tape shield, PVC jacket (triplexed)</t>
        </is>
      </c>
      <c r="K2343" s="9" t="inlineStr">
        <is>
          <t>MV15|1/C|2</t>
        </is>
      </c>
      <c r="L2343" s="9" t="inlineStr">
        <is>
          <t>1/C</t>
        </is>
      </c>
      <c r="M2343" s="9" t="inlineStr">
        <is>
          <t>2</t>
        </is>
      </c>
      <c r="N2343" s="9" t="n">
        <v>1</v>
      </c>
      <c r="O2343" s="9" t="n">
        <v>3</v>
      </c>
      <c r="P2343" s="9" t="n">
        <v>13800</v>
      </c>
      <c r="Q2343" s="9" t="n">
        <v>2000</v>
      </c>
      <c r="R2343" s="9" t="n">
        <v>93</v>
      </c>
      <c r="S2343" s="9" t="inlineStr">
        <is>
          <t>Surface</t>
        </is>
      </c>
      <c r="T2343" s="10" t="n">
        <v>184</v>
      </c>
      <c r="U2343" s="10" t="n">
        <v>98</v>
      </c>
      <c r="V2343" s="10">
        <f>ROUNDUP((T2343+U2343+2*'Read Me'!$B$13)*(1+'Read Me'!$B$12),-1)</f>
        <v/>
      </c>
      <c r="W2343" s="10">
        <f>V2343*N2343*O2343</f>
        <v/>
      </c>
      <c r="X2343" s="9">
        <f>IF(LEFT(I2343,2)="MV",2*N2343*IF(L2343="1/C",O2343,1),0)</f>
        <v/>
      </c>
      <c r="Y2343" s="9">
        <f>IF(OR(LEFT(K2343,4)="LVAX",LEFT(K2343,6)="MV15AX",LEFT(K2343,4)="CTAX",LEFT(K2343,2)="W|"),2*N2343*O2343,0)</f>
        <v/>
      </c>
      <c r="Z2343" s="9" t="inlineStr"/>
    </row>
    <row r="2344">
      <c r="A2344" s="9" t="inlineStr">
        <is>
          <t>I-MV-0003</t>
        </is>
      </c>
      <c r="B2344" s="9" t="inlineStr">
        <is>
          <t>I</t>
        </is>
      </c>
      <c r="C2344" s="9" t="inlineStr">
        <is>
          <t>Modular / portable power</t>
        </is>
      </c>
      <c r="D2344" s="9" t="inlineStr">
        <is>
          <t>CONT-5 13.8 kV to CONT-EH (ground tray)</t>
        </is>
      </c>
      <c r="E2344" s="9" t="inlineStr">
        <is>
          <t>CONT-5</t>
        </is>
      </c>
      <c r="F2344" s="9" t="inlineStr">
        <is>
          <t>CONT-5: containerized gas genset 13.8 kV (40 ft)</t>
        </is>
      </c>
      <c r="G2344" s="9" t="inlineStr">
        <is>
          <t>CONT-EH</t>
        </is>
      </c>
      <c r="H2344" s="9" t="inlineStr">
        <is>
          <t>CONT paralleling switchgear e-house</t>
        </is>
      </c>
      <c r="I2344" s="9" t="inlineStr">
        <is>
          <t>MV 15 kV</t>
        </is>
      </c>
      <c r="J2344" s="9" t="inlineStr">
        <is>
          <t>MV-105 15 kV 1/C Cu, EPR 133%, Cu tape shield, PVC jacket (triplexed)</t>
        </is>
      </c>
      <c r="K2344" s="9" t="inlineStr">
        <is>
          <t>MV15|1/C|2</t>
        </is>
      </c>
      <c r="L2344" s="9" t="inlineStr">
        <is>
          <t>1/C</t>
        </is>
      </c>
      <c r="M2344" s="9" t="inlineStr">
        <is>
          <t>2</t>
        </is>
      </c>
      <c r="N2344" s="9" t="n">
        <v>1</v>
      </c>
      <c r="O2344" s="9" t="n">
        <v>3</v>
      </c>
      <c r="P2344" s="9" t="n">
        <v>13800</v>
      </c>
      <c r="Q2344" s="9" t="n">
        <v>2000</v>
      </c>
      <c r="R2344" s="9" t="n">
        <v>93</v>
      </c>
      <c r="S2344" s="9" t="inlineStr">
        <is>
          <t>Tray</t>
        </is>
      </c>
      <c r="T2344" s="10" t="n">
        <v>4</v>
      </c>
      <c r="U2344" s="10" t="n">
        <v>98</v>
      </c>
      <c r="V2344" s="10">
        <f>ROUNDUP((T2344+U2344+2*'Read Me'!$B$13)*(1+'Read Me'!$B$12),-1)</f>
        <v/>
      </c>
      <c r="W2344" s="10">
        <f>V2344*N2344*O2344</f>
        <v/>
      </c>
      <c r="X2344" s="9">
        <f>IF(LEFT(I2344,2)="MV",2*N2344*IF(L2344="1/C",O2344,1),0)</f>
        <v/>
      </c>
      <c r="Y2344" s="9">
        <f>IF(OR(LEFT(K2344,4)="LVAX",LEFT(K2344,6)="MV15AX",LEFT(K2344,4)="CTAX",LEFT(K2344,2)="W|"),2*N2344*O2344,0)</f>
        <v/>
      </c>
      <c r="Z2344" s="9" t="inlineStr"/>
    </row>
    <row r="2345">
      <c r="A2345" s="9" t="inlineStr">
        <is>
          <t>I-MV-0004</t>
        </is>
      </c>
      <c r="B2345" s="9" t="inlineStr">
        <is>
          <t>I</t>
        </is>
      </c>
      <c r="C2345" s="9" t="inlineStr">
        <is>
          <t>Modular / portable power</t>
        </is>
      </c>
      <c r="D2345" s="9" t="inlineStr">
        <is>
          <t>CONT-6 13.8 kV to CONT-EH (ground tray)</t>
        </is>
      </c>
      <c r="E2345" s="9" t="inlineStr">
        <is>
          <t>CONT-6</t>
        </is>
      </c>
      <c r="F2345" s="9" t="inlineStr">
        <is>
          <t>CONT-6: containerized gas genset 13.8 kV (40 ft)</t>
        </is>
      </c>
      <c r="G2345" s="9" t="inlineStr">
        <is>
          <t>CONT-EH</t>
        </is>
      </c>
      <c r="H2345" s="9" t="inlineStr">
        <is>
          <t>CONT paralleling switchgear e-house</t>
        </is>
      </c>
      <c r="I2345" s="9" t="inlineStr">
        <is>
          <t>MV 15 kV</t>
        </is>
      </c>
      <c r="J2345" s="9" t="inlineStr">
        <is>
          <t>MV-105 15 kV 1/C Cu, EPR 133%, Cu tape shield, PVC jacket (triplexed)</t>
        </is>
      </c>
      <c r="K2345" s="9" t="inlineStr">
        <is>
          <t>MV15|1/C|2</t>
        </is>
      </c>
      <c r="L2345" s="9" t="inlineStr">
        <is>
          <t>1/C</t>
        </is>
      </c>
      <c r="M2345" s="9" t="inlineStr">
        <is>
          <t>2</t>
        </is>
      </c>
      <c r="N2345" s="9" t="n">
        <v>1</v>
      </c>
      <c r="O2345" s="9" t="n">
        <v>3</v>
      </c>
      <c r="P2345" s="9" t="n">
        <v>13800</v>
      </c>
      <c r="Q2345" s="9" t="n">
        <v>2000</v>
      </c>
      <c r="R2345" s="9" t="n">
        <v>93</v>
      </c>
      <c r="S2345" s="9" t="inlineStr">
        <is>
          <t>Surface</t>
        </is>
      </c>
      <c r="T2345" s="10" t="n">
        <v>225</v>
      </c>
      <c r="U2345" s="10" t="n">
        <v>27</v>
      </c>
      <c r="V2345" s="10">
        <f>ROUNDUP((T2345+U2345+2*'Read Me'!$B$13)*(1+'Read Me'!$B$12),-1)</f>
        <v/>
      </c>
      <c r="W2345" s="10">
        <f>V2345*N2345*O2345</f>
        <v/>
      </c>
      <c r="X2345" s="9">
        <f>IF(LEFT(I2345,2)="MV",2*N2345*IF(L2345="1/C",O2345,1),0)</f>
        <v/>
      </c>
      <c r="Y2345" s="9">
        <f>IF(OR(LEFT(K2345,4)="LVAX",LEFT(K2345,6)="MV15AX",LEFT(K2345,4)="CTAX",LEFT(K2345,2)="W|"),2*N2345*O2345,0)</f>
        <v/>
      </c>
      <c r="Z2345" s="9" t="inlineStr"/>
    </row>
    <row r="2346">
      <c r="A2346" s="9" t="inlineStr">
        <is>
          <t>I-MV-0005</t>
        </is>
      </c>
      <c r="B2346" s="9" t="inlineStr">
        <is>
          <t>I</t>
        </is>
      </c>
      <c r="C2346" s="9" t="inlineStr">
        <is>
          <t>Modular / portable power</t>
        </is>
      </c>
      <c r="D2346" s="9" t="inlineStr">
        <is>
          <t>CONT-7 13.8 kV to CONT-EH (ground tray)</t>
        </is>
      </c>
      <c r="E2346" s="9" t="inlineStr">
        <is>
          <t>CONT-7</t>
        </is>
      </c>
      <c r="F2346" s="9" t="inlineStr">
        <is>
          <t>CONT-7: containerized gas genset 13.8 kV (40 ft)</t>
        </is>
      </c>
      <c r="G2346" s="9" t="inlineStr">
        <is>
          <t>CONT-EH</t>
        </is>
      </c>
      <c r="H2346" s="9" t="inlineStr">
        <is>
          <t>CONT paralleling switchgear e-house</t>
        </is>
      </c>
      <c r="I2346" s="9" t="inlineStr">
        <is>
          <t>MV 15 kV</t>
        </is>
      </c>
      <c r="J2346" s="9" t="inlineStr">
        <is>
          <t>MV-105 15 kV 1/C Cu, EPR 133%, Cu tape shield, PVC jacket (triplexed)</t>
        </is>
      </c>
      <c r="K2346" s="9" t="inlineStr">
        <is>
          <t>MV15|1/C|2</t>
        </is>
      </c>
      <c r="L2346" s="9" t="inlineStr">
        <is>
          <t>1/C</t>
        </is>
      </c>
      <c r="M2346" s="9" t="inlineStr">
        <is>
          <t>2</t>
        </is>
      </c>
      <c r="N2346" s="9" t="n">
        <v>1</v>
      </c>
      <c r="O2346" s="9" t="n">
        <v>3</v>
      </c>
      <c r="P2346" s="9" t="n">
        <v>13800</v>
      </c>
      <c r="Q2346" s="9" t="n">
        <v>2000</v>
      </c>
      <c r="R2346" s="9" t="n">
        <v>93</v>
      </c>
      <c r="S2346" s="9" t="inlineStr">
        <is>
          <t>Surface</t>
        </is>
      </c>
      <c r="T2346" s="10" t="n">
        <v>225</v>
      </c>
      <c r="U2346" s="10" t="n">
        <v>67</v>
      </c>
      <c r="V2346" s="10">
        <f>ROUNDUP((T2346+U2346+2*'Read Me'!$B$13)*(1+'Read Me'!$B$12),-1)</f>
        <v/>
      </c>
      <c r="W2346" s="10">
        <f>V2346*N2346*O2346</f>
        <v/>
      </c>
      <c r="X2346" s="9">
        <f>IF(LEFT(I2346,2)="MV",2*N2346*IF(L2346="1/C",O2346,1),0)</f>
        <v/>
      </c>
      <c r="Y2346" s="9">
        <f>IF(OR(LEFT(K2346,4)="LVAX",LEFT(K2346,6)="MV15AX",LEFT(K2346,4)="CTAX",LEFT(K2346,2)="W|"),2*N2346*O2346,0)</f>
        <v/>
      </c>
      <c r="Z2346" s="9" t="inlineStr"/>
    </row>
    <row r="2347">
      <c r="A2347" s="9" t="inlineStr">
        <is>
          <t>I-MV-0006</t>
        </is>
      </c>
      <c r="B2347" s="9" t="inlineStr">
        <is>
          <t>I</t>
        </is>
      </c>
      <c r="C2347" s="9" t="inlineStr">
        <is>
          <t>Modular / portable power</t>
        </is>
      </c>
      <c r="D2347" s="9" t="inlineStr">
        <is>
          <t>CONT-8 13.8 kV to CONT-EH (ground tray)</t>
        </is>
      </c>
      <c r="E2347" s="9" t="inlineStr">
        <is>
          <t>CONT-8</t>
        </is>
      </c>
      <c r="F2347" s="9" t="inlineStr">
        <is>
          <t>CONT-8: containerized gas genset 13.8 kV (40 ft)</t>
        </is>
      </c>
      <c r="G2347" s="9" t="inlineStr">
        <is>
          <t>CONT-EH</t>
        </is>
      </c>
      <c r="H2347" s="9" t="inlineStr">
        <is>
          <t>CONT paralleling switchgear e-house</t>
        </is>
      </c>
      <c r="I2347" s="9" t="inlineStr">
        <is>
          <t>MV 15 kV</t>
        </is>
      </c>
      <c r="J2347" s="9" t="inlineStr">
        <is>
          <t>MV-105 15 kV 1/C Cu, EPR 133%, Cu tape shield, PVC jacket (triplexed)</t>
        </is>
      </c>
      <c r="K2347" s="9" t="inlineStr">
        <is>
          <t>MV15|1/C|2</t>
        </is>
      </c>
      <c r="L2347" s="9" t="inlineStr">
        <is>
          <t>1/C</t>
        </is>
      </c>
      <c r="M2347" s="9" t="inlineStr">
        <is>
          <t>2</t>
        </is>
      </c>
      <c r="N2347" s="9" t="n">
        <v>1</v>
      </c>
      <c r="O2347" s="9" t="n">
        <v>3</v>
      </c>
      <c r="P2347" s="9" t="n">
        <v>13800</v>
      </c>
      <c r="Q2347" s="9" t="n">
        <v>2000</v>
      </c>
      <c r="R2347" s="9" t="n">
        <v>93</v>
      </c>
      <c r="S2347" s="9" t="inlineStr">
        <is>
          <t>Surface</t>
        </is>
      </c>
      <c r="T2347" s="10" t="n">
        <v>25</v>
      </c>
      <c r="U2347" s="10" t="n">
        <v>71</v>
      </c>
      <c r="V2347" s="10">
        <f>ROUNDUP((T2347+U2347+2*'Read Me'!$B$13)*(1+'Read Me'!$B$12),-1)</f>
        <v/>
      </c>
      <c r="W2347" s="10">
        <f>V2347*N2347*O2347</f>
        <v/>
      </c>
      <c r="X2347" s="9">
        <f>IF(LEFT(I2347,2)="MV",2*N2347*IF(L2347="1/C",O2347,1),0)</f>
        <v/>
      </c>
      <c r="Y2347" s="9">
        <f>IF(OR(LEFT(K2347,4)="LVAX",LEFT(K2347,6)="MV15AX",LEFT(K2347,4)="CTAX",LEFT(K2347,2)="W|"),2*N2347*O2347,0)</f>
        <v/>
      </c>
      <c r="Z2347" s="9" t="inlineStr"/>
    </row>
    <row r="2348">
      <c r="A2348" s="9" t="inlineStr">
        <is>
          <t>I-MV-0007</t>
        </is>
      </c>
      <c r="B2348" s="9" t="inlineStr">
        <is>
          <t>I</t>
        </is>
      </c>
      <c r="C2348" s="9" t="inlineStr">
        <is>
          <t>Modular / portable power</t>
        </is>
      </c>
      <c r="D2348" s="9" t="inlineStr">
        <is>
          <t>Modular-yard fuel-gas compressor</t>
        </is>
      </c>
      <c r="E2348" s="9" t="inlineStr">
        <is>
          <t>MOD-EH</t>
        </is>
      </c>
      <c r="F2348" s="9" t="inlineStr">
        <is>
          <t>MOD-EH: 13.8 kV modular collector e-house</t>
        </is>
      </c>
      <c r="G2348" s="9" t="inlineStr"/>
      <c r="H2348" s="9" t="inlineStr">
        <is>
          <t>Fuel-gas compressors 3 x 100% electric</t>
        </is>
      </c>
      <c r="I2348" s="9" t="inlineStr">
        <is>
          <t>MV 15 kV</t>
        </is>
      </c>
      <c r="J2348" s="9" t="inlineStr">
        <is>
          <t>ARMOR-X MC-HL / MV-105 15 kV 3/C Cu, EPR 133%, tape shield, gnd, CWA, red PVC</t>
        </is>
      </c>
      <c r="K2348" s="9" t="inlineStr">
        <is>
          <t>MV15AX|3/C|2</t>
        </is>
      </c>
      <c r="L2348" s="9" t="inlineStr">
        <is>
          <t>3/C</t>
        </is>
      </c>
      <c r="M2348" s="9" t="inlineStr">
        <is>
          <t>2</t>
        </is>
      </c>
      <c r="N2348" s="9" t="n">
        <v>1</v>
      </c>
      <c r="O2348" s="9" t="n">
        <v>1</v>
      </c>
      <c r="P2348" s="9" t="n">
        <v>13800</v>
      </c>
      <c r="Q2348" s="9" t="n">
        <v>1500</v>
      </c>
      <c r="R2348" s="9" t="n">
        <v>70</v>
      </c>
      <c r="S2348" s="9" t="inlineStr">
        <is>
          <t>Duct bank</t>
        </is>
      </c>
      <c r="T2348" s="10" t="n">
        <v>527</v>
      </c>
      <c r="U2348" s="10" t="n">
        <v>136</v>
      </c>
      <c r="V2348" s="10">
        <f>ROUNDUP((T2348+U2348+2*'Read Me'!$B$13)*(1+'Read Me'!$B$12),-1)</f>
        <v/>
      </c>
      <c r="W2348" s="10">
        <f>V2348*N2348*O2348</f>
        <v/>
      </c>
      <c r="X2348" s="9">
        <f>IF(LEFT(I2348,2)="MV",2*N2348*IF(L2348="1/C",O2348,1),0)</f>
        <v/>
      </c>
      <c r="Y2348" s="9">
        <f>IF(OR(LEFT(K2348,4)="LVAX",LEFT(K2348,6)="MV15AX",LEFT(K2348,4)="CTAX",LEFT(K2348,2)="W|"),2*N2348*O2348,0)</f>
        <v/>
      </c>
      <c r="Z2348" s="9" t="inlineStr"/>
    </row>
    <row r="2349">
      <c r="A2349" s="9" t="inlineStr">
        <is>
          <t>I-MV-0008</t>
        </is>
      </c>
      <c r="B2349" s="9" t="inlineStr">
        <is>
          <t>I</t>
        </is>
      </c>
      <c r="C2349" s="9" t="inlineStr">
        <is>
          <t>Modular / portable power</t>
        </is>
      </c>
      <c r="D2349" s="9" t="inlineStr">
        <is>
          <t>Modular-yard fuel-gas compressor</t>
        </is>
      </c>
      <c r="E2349" s="9" t="inlineStr">
        <is>
          <t>MOD-EH</t>
        </is>
      </c>
      <c r="F2349" s="9" t="inlineStr">
        <is>
          <t>MOD-EH: 13.8 kV modular collector e-house</t>
        </is>
      </c>
      <c r="G2349" s="9" t="inlineStr"/>
      <c r="H2349" s="9" t="inlineStr">
        <is>
          <t>Fuel-gas compressors 3 x 100% electric</t>
        </is>
      </c>
      <c r="I2349" s="9" t="inlineStr">
        <is>
          <t>MV 15 kV</t>
        </is>
      </c>
      <c r="J2349" s="9" t="inlineStr">
        <is>
          <t>ARMOR-X MC-HL / MV-105 15 kV 3/C Cu, EPR 133%, tape shield, gnd, CWA, red PVC</t>
        </is>
      </c>
      <c r="K2349" s="9" t="inlineStr">
        <is>
          <t>MV15AX|3/C|2</t>
        </is>
      </c>
      <c r="L2349" s="9" t="inlineStr">
        <is>
          <t>3/C</t>
        </is>
      </c>
      <c r="M2349" s="9" t="inlineStr">
        <is>
          <t>2</t>
        </is>
      </c>
      <c r="N2349" s="9" t="n">
        <v>1</v>
      </c>
      <c r="O2349" s="9" t="n">
        <v>1</v>
      </c>
      <c r="P2349" s="9" t="n">
        <v>13800</v>
      </c>
      <c r="Q2349" s="9" t="n">
        <v>1500</v>
      </c>
      <c r="R2349" s="9" t="n">
        <v>70</v>
      </c>
      <c r="S2349" s="9" t="inlineStr">
        <is>
          <t>Duct bank</t>
        </is>
      </c>
      <c r="T2349" s="10" t="n">
        <v>527</v>
      </c>
      <c r="U2349" s="10" t="n">
        <v>136</v>
      </c>
      <c r="V2349" s="10">
        <f>ROUNDUP((T2349+U2349+2*'Read Me'!$B$13)*(1+'Read Me'!$B$12),-1)</f>
        <v/>
      </c>
      <c r="W2349" s="10">
        <f>V2349*N2349*O2349</f>
        <v/>
      </c>
      <c r="X2349" s="9">
        <f>IF(LEFT(I2349,2)="MV",2*N2349*IF(L2349="1/C",O2349,1),0)</f>
        <v/>
      </c>
      <c r="Y2349" s="9">
        <f>IF(OR(LEFT(K2349,4)="LVAX",LEFT(K2349,6)="MV15AX",LEFT(K2349,4)="CTAX",LEFT(K2349,2)="W|"),2*N2349*O2349,0)</f>
        <v/>
      </c>
      <c r="Z2349" s="9" t="inlineStr"/>
    </row>
    <row r="2350">
      <c r="A2350" s="9" t="inlineStr">
        <is>
          <t>I-MV-0009</t>
        </is>
      </c>
      <c r="B2350" s="9" t="inlineStr">
        <is>
          <t>I</t>
        </is>
      </c>
      <c r="C2350" s="9" t="inlineStr">
        <is>
          <t>Modular / portable power</t>
        </is>
      </c>
      <c r="D2350" s="9" t="inlineStr">
        <is>
          <t>Modular-yard fuel-gas compressor</t>
        </is>
      </c>
      <c r="E2350" s="9" t="inlineStr">
        <is>
          <t>MOD-EH</t>
        </is>
      </c>
      <c r="F2350" s="9" t="inlineStr">
        <is>
          <t>MOD-EH: 13.8 kV modular collector e-house</t>
        </is>
      </c>
      <c r="G2350" s="9" t="inlineStr"/>
      <c r="H2350" s="9" t="inlineStr">
        <is>
          <t>Fuel-gas compressors 3 x 100% electric</t>
        </is>
      </c>
      <c r="I2350" s="9" t="inlineStr">
        <is>
          <t>MV 15 kV</t>
        </is>
      </c>
      <c r="J2350" s="9" t="inlineStr">
        <is>
          <t>ARMOR-X MC-HL / MV-105 15 kV 3/C Cu, EPR 133%, tape shield, gnd, CWA, red PVC</t>
        </is>
      </c>
      <c r="K2350" s="9" t="inlineStr">
        <is>
          <t>MV15AX|3/C|2</t>
        </is>
      </c>
      <c r="L2350" s="9" t="inlineStr">
        <is>
          <t>3/C</t>
        </is>
      </c>
      <c r="M2350" s="9" t="inlineStr">
        <is>
          <t>2</t>
        </is>
      </c>
      <c r="N2350" s="9" t="n">
        <v>1</v>
      </c>
      <c r="O2350" s="9" t="n">
        <v>1</v>
      </c>
      <c r="P2350" s="9" t="n">
        <v>13800</v>
      </c>
      <c r="Q2350" s="9" t="n">
        <v>1500</v>
      </c>
      <c r="R2350" s="9" t="n">
        <v>70</v>
      </c>
      <c r="S2350" s="9" t="inlineStr">
        <is>
          <t>Duct bank</t>
        </is>
      </c>
      <c r="T2350" s="10" t="n">
        <v>527</v>
      </c>
      <c r="U2350" s="10" t="n">
        <v>136</v>
      </c>
      <c r="V2350" s="10">
        <f>ROUNDUP((T2350+U2350+2*'Read Me'!$B$13)*(1+'Read Me'!$B$12),-1)</f>
        <v/>
      </c>
      <c r="W2350" s="10">
        <f>V2350*N2350*O2350</f>
        <v/>
      </c>
      <c r="X2350" s="9">
        <f>IF(LEFT(I2350,2)="MV",2*N2350*IF(L2350="1/C",O2350,1),0)</f>
        <v/>
      </c>
      <c r="Y2350" s="9">
        <f>IF(OR(LEFT(K2350,4)="LVAX",LEFT(K2350,6)="MV15AX",LEFT(K2350,4)="CTAX",LEFT(K2350,2)="W|"),2*N2350*O2350,0)</f>
        <v/>
      </c>
      <c r="Z2350" s="9" t="inlineStr"/>
    </row>
    <row r="2351">
      <c r="A2351" s="9" t="inlineStr">
        <is>
          <t>I-MV-0010</t>
        </is>
      </c>
      <c r="B2351" s="9" t="inlineStr">
        <is>
          <t>I</t>
        </is>
      </c>
      <c r="C2351" s="9" t="inlineStr">
        <is>
          <t>Modular / portable power</t>
        </is>
      </c>
      <c r="D2351" s="9" t="inlineStr">
        <is>
          <t>SC-1 PCM to MOD-EH</t>
        </is>
      </c>
      <c r="E2351" s="9" t="inlineStr"/>
      <c r="F2351" s="9" t="inlineStr">
        <is>
          <t>SC-1 PCM + 15 kV GCB</t>
        </is>
      </c>
      <c r="G2351" s="9" t="inlineStr">
        <is>
          <t>MOD-EH</t>
        </is>
      </c>
      <c r="H2351" s="9" t="inlineStr">
        <is>
          <t>MOD-EH: 13.8 kV modular collector e-house</t>
        </is>
      </c>
      <c r="I2351" s="9" t="inlineStr">
        <is>
          <t>MV 15 kV</t>
        </is>
      </c>
      <c r="J2351" s="9" t="inlineStr">
        <is>
          <t>MV-105 15 kV 1/C Cu, EPR 133%, Cu tape shield, PVC jacket (triplexed)</t>
        </is>
      </c>
      <c r="K2351" s="9" t="inlineStr">
        <is>
          <t>MV15|1/C|750</t>
        </is>
      </c>
      <c r="L2351" s="9" t="inlineStr">
        <is>
          <t>1/C</t>
        </is>
      </c>
      <c r="M2351" s="9" t="inlineStr">
        <is>
          <t>750 kcmil</t>
        </is>
      </c>
      <c r="N2351" s="9" t="n">
        <v>5</v>
      </c>
      <c r="O2351" s="9" t="n">
        <v>3</v>
      </c>
      <c r="P2351" s="9" t="n">
        <v>13800</v>
      </c>
      <c r="Q2351" s="9" t="n">
        <v>50000</v>
      </c>
      <c r="R2351" s="9" t="n">
        <v>2092</v>
      </c>
      <c r="S2351" s="9" t="inlineStr">
        <is>
          <t>Duct bank</t>
        </is>
      </c>
      <c r="T2351" s="10" t="n">
        <v>397</v>
      </c>
      <c r="U2351" s="10" t="n">
        <v>32</v>
      </c>
      <c r="V2351" s="10">
        <f>ROUNDUP((T2351+U2351+2*'Read Me'!$B$13)*(1+'Read Me'!$B$12),-1)</f>
        <v/>
      </c>
      <c r="W2351" s="10">
        <f>V2351*N2351*O2351</f>
        <v/>
      </c>
      <c r="X2351" s="9">
        <f>IF(LEFT(I2351,2)="MV",2*N2351*IF(L2351="1/C",O2351,1),0)</f>
        <v/>
      </c>
      <c r="Y2351" s="9">
        <f>IF(OR(LEFT(K2351,4)="LVAX",LEFT(K2351,6)="MV15AX",LEFT(K2351,4)="CTAX",LEFT(K2351,2)="W|"),2*N2351*O2351,0)</f>
        <v/>
      </c>
      <c r="Z2351" s="9" t="inlineStr"/>
    </row>
    <row r="2352">
      <c r="A2352" s="9" t="inlineStr">
        <is>
          <t>I-MV-0011</t>
        </is>
      </c>
      <c r="B2352" s="9" t="inlineStr">
        <is>
          <t>I</t>
        </is>
      </c>
      <c r="C2352" s="9" t="inlineStr">
        <is>
          <t>Modular / portable power</t>
        </is>
      </c>
      <c r="D2352" s="9" t="inlineStr">
        <is>
          <t>SC-2 PCM to MOD-EH</t>
        </is>
      </c>
      <c r="E2352" s="9" t="inlineStr"/>
      <c r="F2352" s="9" t="inlineStr">
        <is>
          <t>SC-2 PCM + 15 kV GCB</t>
        </is>
      </c>
      <c r="G2352" s="9" t="inlineStr">
        <is>
          <t>MOD-EH</t>
        </is>
      </c>
      <c r="H2352" s="9" t="inlineStr">
        <is>
          <t>MOD-EH: 13.8 kV modular collector e-house</t>
        </is>
      </c>
      <c r="I2352" s="9" t="inlineStr">
        <is>
          <t>MV 15 kV</t>
        </is>
      </c>
      <c r="J2352" s="9" t="inlineStr">
        <is>
          <t>MV-105 15 kV 1/C Cu, EPR 133%, Cu tape shield, PVC jacket (triplexed)</t>
        </is>
      </c>
      <c r="K2352" s="9" t="inlineStr">
        <is>
          <t>MV15|1/C|750</t>
        </is>
      </c>
      <c r="L2352" s="9" t="inlineStr">
        <is>
          <t>1/C</t>
        </is>
      </c>
      <c r="M2352" s="9" t="inlineStr">
        <is>
          <t>750 kcmil</t>
        </is>
      </c>
      <c r="N2352" s="9" t="n">
        <v>5</v>
      </c>
      <c r="O2352" s="9" t="n">
        <v>3</v>
      </c>
      <c r="P2352" s="9" t="n">
        <v>13800</v>
      </c>
      <c r="Q2352" s="9" t="n">
        <v>50000</v>
      </c>
      <c r="R2352" s="9" t="n">
        <v>2092</v>
      </c>
      <c r="S2352" s="9" t="inlineStr">
        <is>
          <t>Duct bank</t>
        </is>
      </c>
      <c r="T2352" s="10" t="n">
        <v>665</v>
      </c>
      <c r="U2352" s="10" t="n">
        <v>76</v>
      </c>
      <c r="V2352" s="10">
        <f>ROUNDUP((T2352+U2352+2*'Read Me'!$B$13)*(1+'Read Me'!$B$12),-1)</f>
        <v/>
      </c>
      <c r="W2352" s="10">
        <f>V2352*N2352*O2352</f>
        <v/>
      </c>
      <c r="X2352" s="9">
        <f>IF(LEFT(I2352,2)="MV",2*N2352*IF(L2352="1/C",O2352,1),0)</f>
        <v/>
      </c>
      <c r="Y2352" s="9">
        <f>IF(OR(LEFT(K2352,4)="LVAX",LEFT(K2352,6)="MV15AX",LEFT(K2352,4)="CTAX",LEFT(K2352,2)="W|"),2*N2352*O2352,0)</f>
        <v/>
      </c>
      <c r="Z2352" s="9" t="inlineStr"/>
    </row>
    <row r="2353">
      <c r="A2353" s="9" t="inlineStr">
        <is>
          <t>I-MV-0012</t>
        </is>
      </c>
      <c r="B2353" s="9" t="inlineStr">
        <is>
          <t>I</t>
        </is>
      </c>
      <c r="C2353" s="9" t="inlineStr">
        <is>
          <t>Modular / portable power</t>
        </is>
      </c>
      <c r="D2353" s="9" t="inlineStr">
        <is>
          <t>RICE PCM to MOD-EH (bus tie)</t>
        </is>
      </c>
      <c r="E2353" s="9" t="inlineStr"/>
      <c r="F2353" s="9" t="inlineStr">
        <is>
          <t>PCM: power control module</t>
        </is>
      </c>
      <c r="G2353" s="9" t="inlineStr">
        <is>
          <t>MOD-EH</t>
        </is>
      </c>
      <c r="H2353" s="9" t="inlineStr">
        <is>
          <t>MOD-EH: 13.8 kV modular collector e-house</t>
        </is>
      </c>
      <c r="I2353" s="9" t="inlineStr">
        <is>
          <t>MV 15 kV</t>
        </is>
      </c>
      <c r="J2353" s="9" t="inlineStr">
        <is>
          <t>MV-105 15 kV 1/C Cu, EPR 133%, Cu tape shield, PVC jacket (triplexed)</t>
        </is>
      </c>
      <c r="K2353" s="9" t="inlineStr">
        <is>
          <t>MV15|1/C|1000</t>
        </is>
      </c>
      <c r="L2353" s="9" t="inlineStr">
        <is>
          <t>1/C</t>
        </is>
      </c>
      <c r="M2353" s="9" t="inlineStr">
        <is>
          <t>1000 kcmil</t>
        </is>
      </c>
      <c r="N2353" s="9" t="n">
        <v>10</v>
      </c>
      <c r="O2353" s="9" t="n">
        <v>3</v>
      </c>
      <c r="P2353" s="9" t="n">
        <v>13800</v>
      </c>
      <c r="Q2353" s="9" t="n">
        <v>150000</v>
      </c>
      <c r="R2353" s="9" t="n">
        <v>6276</v>
      </c>
      <c r="S2353" s="9" t="inlineStr">
        <is>
          <t>Duct bank</t>
        </is>
      </c>
      <c r="T2353" s="10" t="n">
        <v>355</v>
      </c>
      <c r="U2353" s="10" t="n">
        <v>32</v>
      </c>
      <c r="V2353" s="10">
        <f>ROUNDUP((T2353+U2353+2*'Read Me'!$B$13)*(1+'Read Me'!$B$12),-1)</f>
        <v/>
      </c>
      <c r="W2353" s="10">
        <f>V2353*N2353*O2353</f>
        <v/>
      </c>
      <c r="X2353" s="9">
        <f>IF(LEFT(I2353,2)="MV",2*N2353*IF(L2353="1/C",O2353,1),0)</f>
        <v/>
      </c>
      <c r="Y2353" s="9">
        <f>IF(OR(LEFT(K2353,4)="LVAX",LEFT(K2353,6)="MV15AX",LEFT(K2353,4)="CTAX",LEFT(K2353,2)="W|"),2*N2353*O2353,0)</f>
        <v/>
      </c>
      <c r="Z2353" s="9" t="inlineStr">
        <is>
          <t>may be bus duct</t>
        </is>
      </c>
    </row>
    <row r="2354">
      <c r="A2354" s="9" t="inlineStr">
        <is>
          <t>I-MV-0013</t>
        </is>
      </c>
      <c r="B2354" s="9" t="inlineStr">
        <is>
          <t>I</t>
        </is>
      </c>
      <c r="C2354" s="9" t="inlineStr">
        <is>
          <t>Modular / portable power</t>
        </is>
      </c>
      <c r="D2354" s="9" t="inlineStr">
        <is>
          <t>MOD-LV step-up to MOD-EH</t>
        </is>
      </c>
      <c r="E2354" s="9" t="inlineStr"/>
      <c r="F2354" s="9" t="inlineStr">
        <is>
          <t>MOD-LV 480 V board + 480 V : 13.8 kV step-up</t>
        </is>
      </c>
      <c r="G2354" s="9" t="inlineStr">
        <is>
          <t>MOD-EH</t>
        </is>
      </c>
      <c r="H2354" s="9" t="inlineStr">
        <is>
          <t>MOD-EH: 13.8 kV modular collector e-house</t>
        </is>
      </c>
      <c r="I2354" s="9" t="inlineStr">
        <is>
          <t>MV 15 kV</t>
        </is>
      </c>
      <c r="J2354" s="9" t="inlineStr">
        <is>
          <t>MV-105 15 kV 1/C Cu, EPR 133%, Cu tape shield, PVC jacket (triplexed)</t>
        </is>
      </c>
      <c r="K2354" s="9" t="inlineStr">
        <is>
          <t>MV15|1/C|500</t>
        </is>
      </c>
      <c r="L2354" s="9" t="inlineStr">
        <is>
          <t>1/C</t>
        </is>
      </c>
      <c r="M2354" s="9" t="inlineStr">
        <is>
          <t>500 kcmil</t>
        </is>
      </c>
      <c r="N2354" s="9" t="n">
        <v>1</v>
      </c>
      <c r="O2354" s="9" t="n">
        <v>3</v>
      </c>
      <c r="P2354" s="9" t="n">
        <v>13800</v>
      </c>
      <c r="Q2354" s="9" t="n">
        <v>7500</v>
      </c>
      <c r="R2354" s="9" t="n">
        <v>314</v>
      </c>
      <c r="S2354" s="9" t="inlineStr">
        <is>
          <t>Duct bank</t>
        </is>
      </c>
      <c r="T2354" s="10" t="n">
        <v>346</v>
      </c>
      <c r="U2354" s="10" t="n">
        <v>32</v>
      </c>
      <c r="V2354" s="10">
        <f>ROUNDUP((T2354+U2354+2*'Read Me'!$B$13)*(1+'Read Me'!$B$12),-1)</f>
        <v/>
      </c>
      <c r="W2354" s="10">
        <f>V2354*N2354*O2354</f>
        <v/>
      </c>
      <c r="X2354" s="9">
        <f>IF(LEFT(I2354,2)="MV",2*N2354*IF(L2354="1/C",O2354,1),0)</f>
        <v/>
      </c>
      <c r="Y2354" s="9">
        <f>IF(OR(LEFT(K2354,4)="LVAX",LEFT(K2354,6)="MV15AX",LEFT(K2354,4)="CTAX",LEFT(K2354,2)="W|"),2*N2354*O2354,0)</f>
        <v/>
      </c>
      <c r="Z2354" s="9" t="inlineStr"/>
    </row>
    <row r="2355">
      <c r="A2355" s="9" t="inlineStr">
        <is>
          <t>I-MV-0014</t>
        </is>
      </c>
      <c r="B2355" s="9" t="inlineStr">
        <is>
          <t>I</t>
        </is>
      </c>
      <c r="C2355" s="9" t="inlineStr">
        <is>
          <t>Modular / portable power</t>
        </is>
      </c>
      <c r="D2355" s="9" t="inlineStr">
        <is>
          <t>CONT-EH to PAD-EH</t>
        </is>
      </c>
      <c r="E2355" s="9" t="inlineStr">
        <is>
          <t>CONT-EH</t>
        </is>
      </c>
      <c r="F2355" s="9" t="inlineStr">
        <is>
          <t>CONT paralleling switchgear e-house</t>
        </is>
      </c>
      <c r="G2355" s="9" t="inlineStr">
        <is>
          <t>PAD-EH</t>
        </is>
      </c>
      <c r="H2355" s="9" t="inlineStr">
        <is>
          <t>PAD-EH 13.8 kV switchgear e-house</t>
        </is>
      </c>
      <c r="I2355" s="9" t="inlineStr">
        <is>
          <t>MV 15 kV</t>
        </is>
      </c>
      <c r="J2355" s="9" t="inlineStr">
        <is>
          <t>MV-105 15 kV 1/C Cu, EPR 133%, Cu tape shield, PVC jacket (triplexed)</t>
        </is>
      </c>
      <c r="K2355" s="9" t="inlineStr">
        <is>
          <t>MV15|1/C|500</t>
        </is>
      </c>
      <c r="L2355" s="9" t="inlineStr">
        <is>
          <t>1/C</t>
        </is>
      </c>
      <c r="M2355" s="9" t="inlineStr">
        <is>
          <t>500 kcmil</t>
        </is>
      </c>
      <c r="N2355" s="9" t="n">
        <v>2</v>
      </c>
      <c r="O2355" s="9" t="n">
        <v>3</v>
      </c>
      <c r="P2355" s="9" t="n">
        <v>13800</v>
      </c>
      <c r="Q2355" s="9" t="n">
        <v>12000</v>
      </c>
      <c r="R2355" s="9" t="n">
        <v>558</v>
      </c>
      <c r="S2355" s="9" t="inlineStr">
        <is>
          <t>Surface</t>
        </is>
      </c>
      <c r="T2355" s="10" t="n">
        <v>56</v>
      </c>
      <c r="U2355" s="10" t="n">
        <v>27</v>
      </c>
      <c r="V2355" s="10">
        <f>ROUNDUP((T2355+U2355+2*'Read Me'!$B$13)*(1+'Read Me'!$B$12),-1)</f>
        <v/>
      </c>
      <c r="W2355" s="10">
        <f>V2355*N2355*O2355</f>
        <v/>
      </c>
      <c r="X2355" s="9">
        <f>IF(LEFT(I2355,2)="MV",2*N2355*IF(L2355="1/C",O2355,1),0)</f>
        <v/>
      </c>
      <c r="Y2355" s="9">
        <f>IF(OR(LEFT(K2355,4)="LVAX",LEFT(K2355,6)="MV15AX",LEFT(K2355,4)="CTAX",LEFT(K2355,2)="W|"),2*N2355*O2355,0)</f>
        <v/>
      </c>
      <c r="Z2355" s="9" t="inlineStr"/>
    </row>
    <row r="2356">
      <c r="A2356" s="9" t="inlineStr">
        <is>
          <t>I-MV-0015</t>
        </is>
      </c>
      <c r="B2356" s="9" t="inlineStr">
        <is>
          <t>I</t>
        </is>
      </c>
      <c r="C2356" s="9" t="inlineStr">
        <is>
          <t>Modular / portable power</t>
        </is>
      </c>
      <c r="D2356" s="9" t="inlineStr">
        <is>
          <t>TM-1 (TM2500) generator leads to PAD-EH</t>
        </is>
      </c>
      <c r="E2356" s="9" t="inlineStr">
        <is>
          <t>TM-1</t>
        </is>
      </c>
      <c r="F2356" s="9" t="inlineStr">
        <is>
          <t>TM-1: trailer-mounted aeroderivative GT (TM2500 class, ~35 MW)</t>
        </is>
      </c>
      <c r="G2356" s="9" t="inlineStr">
        <is>
          <t>PAD-EH</t>
        </is>
      </c>
      <c r="H2356" s="9" t="inlineStr">
        <is>
          <t>PAD-EH 13.8 kV switchgear e-house</t>
        </is>
      </c>
      <c r="I2356" s="9" t="inlineStr">
        <is>
          <t>MV 15 kV</t>
        </is>
      </c>
      <c r="J2356" s="9" t="inlineStr">
        <is>
          <t>MV-105 15 kV 1/C Cu, EPR 133%, Cu tape shield, PVC jacket (triplexed)</t>
        </is>
      </c>
      <c r="K2356" s="9" t="inlineStr">
        <is>
          <t>MV15|1/C|1000</t>
        </is>
      </c>
      <c r="L2356" s="9" t="inlineStr">
        <is>
          <t>1/C</t>
        </is>
      </c>
      <c r="M2356" s="9" t="inlineStr">
        <is>
          <t>1000 kcmil</t>
        </is>
      </c>
      <c r="N2356" s="9" t="n">
        <v>2</v>
      </c>
      <c r="O2356" s="9" t="n">
        <v>3</v>
      </c>
      <c r="P2356" s="9" t="n">
        <v>13800</v>
      </c>
      <c r="Q2356" s="9" t="n">
        <v>35000</v>
      </c>
      <c r="R2356" s="9" t="n">
        <v>1464</v>
      </c>
      <c r="S2356" s="9" t="inlineStr">
        <is>
          <t>Surface</t>
        </is>
      </c>
      <c r="T2356" s="10" t="n">
        <v>185</v>
      </c>
      <c r="U2356" s="10" t="n">
        <v>27</v>
      </c>
      <c r="V2356" s="10">
        <f>ROUNDUP((T2356+U2356+2*'Read Me'!$B$13)*(1+'Read Me'!$B$12),-1)</f>
        <v/>
      </c>
      <c r="W2356" s="10">
        <f>V2356*N2356*O2356</f>
        <v/>
      </c>
      <c r="X2356" s="9">
        <f>IF(LEFT(I2356,2)="MV",2*N2356*IF(L2356="1/C",O2356,1),0)</f>
        <v/>
      </c>
      <c r="Y2356" s="9">
        <f>IF(OR(LEFT(K2356,4)="LVAX",LEFT(K2356,6)="MV15AX",LEFT(K2356,4)="CTAX",LEFT(K2356,2)="W|"),2*N2356*O2356,0)</f>
        <v/>
      </c>
      <c r="Z2356" s="9" t="inlineStr">
        <is>
          <t>2 per phase per the model (ground tray)</t>
        </is>
      </c>
    </row>
    <row r="2357">
      <c r="A2357" s="9" t="inlineStr">
        <is>
          <t>I-MV-0016</t>
        </is>
      </c>
      <c r="B2357" s="9" t="inlineStr">
        <is>
          <t>I</t>
        </is>
      </c>
      <c r="C2357" s="9" t="inlineStr">
        <is>
          <t>Modular / portable power</t>
        </is>
      </c>
      <c r="D2357" s="9" t="inlineStr">
        <is>
          <t>TM-2 (TM2500) generator leads to PAD-EH</t>
        </is>
      </c>
      <c r="E2357" s="9" t="inlineStr">
        <is>
          <t>TM-2</t>
        </is>
      </c>
      <c r="F2357" s="9" t="inlineStr">
        <is>
          <t>TM-2: trailer-mounted aeroderivative GT (TM2500 class, ~35 MW)</t>
        </is>
      </c>
      <c r="G2357" s="9" t="inlineStr">
        <is>
          <t>PAD-EH</t>
        </is>
      </c>
      <c r="H2357" s="9" t="inlineStr">
        <is>
          <t>PAD-EH 13.8 kV switchgear e-house</t>
        </is>
      </c>
      <c r="I2357" s="9" t="inlineStr">
        <is>
          <t>MV 15 kV</t>
        </is>
      </c>
      <c r="J2357" s="9" t="inlineStr">
        <is>
          <t>MV-105 15 kV 1/C Cu, EPR 133%, Cu tape shield, PVC jacket (triplexed)</t>
        </is>
      </c>
      <c r="K2357" s="9" t="inlineStr">
        <is>
          <t>MV15|1/C|1000</t>
        </is>
      </c>
      <c r="L2357" s="9" t="inlineStr">
        <is>
          <t>1/C</t>
        </is>
      </c>
      <c r="M2357" s="9" t="inlineStr">
        <is>
          <t>1000 kcmil</t>
        </is>
      </c>
      <c r="N2357" s="9" t="n">
        <v>2</v>
      </c>
      <c r="O2357" s="9" t="n">
        <v>3</v>
      </c>
      <c r="P2357" s="9" t="n">
        <v>13800</v>
      </c>
      <c r="Q2357" s="9" t="n">
        <v>35000</v>
      </c>
      <c r="R2357" s="9" t="n">
        <v>1464</v>
      </c>
      <c r="S2357" s="9" t="inlineStr">
        <is>
          <t>Surface</t>
        </is>
      </c>
      <c r="T2357" s="10" t="n">
        <v>90</v>
      </c>
      <c r="U2357" s="10" t="n">
        <v>27</v>
      </c>
      <c r="V2357" s="10">
        <f>ROUNDUP((T2357+U2357+2*'Read Me'!$B$13)*(1+'Read Me'!$B$12),-1)</f>
        <v/>
      </c>
      <c r="W2357" s="10">
        <f>V2357*N2357*O2357</f>
        <v/>
      </c>
      <c r="X2357" s="9">
        <f>IF(LEFT(I2357,2)="MV",2*N2357*IF(L2357="1/C",O2357,1),0)</f>
        <v/>
      </c>
      <c r="Y2357" s="9">
        <f>IF(OR(LEFT(K2357,4)="LVAX",LEFT(K2357,6)="MV15AX",LEFT(K2357,4)="CTAX",LEFT(K2357,2)="W|"),2*N2357*O2357,0)</f>
        <v/>
      </c>
      <c r="Z2357" s="9" t="inlineStr">
        <is>
          <t>2 per phase per the model (ground tray)</t>
        </is>
      </c>
    </row>
    <row r="2358">
      <c r="A2358" s="9" t="inlineStr">
        <is>
          <t>I-MV-0017</t>
        </is>
      </c>
      <c r="B2358" s="9" t="inlineStr">
        <is>
          <t>I</t>
        </is>
      </c>
      <c r="C2358" s="9" t="inlineStr">
        <is>
          <t>Modular / portable power</t>
        </is>
      </c>
      <c r="D2358" s="9" t="inlineStr">
        <is>
          <t>RICE-1 generator leads to the PCM</t>
        </is>
      </c>
      <c r="E2358" s="9" t="inlineStr">
        <is>
          <t>RICE-1</t>
        </is>
      </c>
      <c r="F2358" s="9" t="inlineStr">
        <is>
          <t>RICE engine-generator 1</t>
        </is>
      </c>
      <c r="G2358" s="9" t="inlineStr"/>
      <c r="H2358" s="9" t="inlineStr">
        <is>
          <t>PCM: power control module</t>
        </is>
      </c>
      <c r="I2358" s="9" t="inlineStr">
        <is>
          <t>MV 15 kV</t>
        </is>
      </c>
      <c r="J2358" s="9" t="inlineStr">
        <is>
          <t>MV-105 15 kV 1/C Cu, EPR 133%, Cu tape shield, PVC jacket (triplexed)</t>
        </is>
      </c>
      <c r="K2358" s="9" t="inlineStr">
        <is>
          <t>MV15|1/C|750</t>
        </is>
      </c>
      <c r="L2358" s="9" t="inlineStr">
        <is>
          <t>1/C</t>
        </is>
      </c>
      <c r="M2358" s="9" t="inlineStr">
        <is>
          <t>750 kcmil</t>
        </is>
      </c>
      <c r="N2358" s="9" t="n">
        <v>2</v>
      </c>
      <c r="O2358" s="9" t="n">
        <v>3</v>
      </c>
      <c r="P2358" s="9" t="n">
        <v>13800</v>
      </c>
      <c r="Q2358" s="9" t="n">
        <v>18400</v>
      </c>
      <c r="R2358" s="9" t="n">
        <v>770</v>
      </c>
      <c r="S2358" s="9" t="inlineStr">
        <is>
          <t>Duct bank</t>
        </is>
      </c>
      <c r="T2358" s="10" t="n">
        <v>576</v>
      </c>
      <c r="U2358" s="10" t="n">
        <v>111</v>
      </c>
      <c r="V2358" s="10">
        <f>ROUNDUP((T2358+U2358+2*'Read Me'!$B$13)*(1+'Read Me'!$B$12),-1)</f>
        <v/>
      </c>
      <c r="W2358" s="10">
        <f>V2358*N2358*O2358</f>
        <v/>
      </c>
      <c r="X2358" s="9">
        <f>IF(LEFT(I2358,2)="MV",2*N2358*IF(L2358="1/C",O2358,1),0)</f>
        <v/>
      </c>
      <c r="Y2358" s="9">
        <f>IF(OR(LEFT(K2358,4)="LVAX",LEFT(K2358,6)="MV15AX",LEFT(K2358,4)="CTAX",LEFT(K2358,2)="W|"),2*N2358*O2358,0)</f>
        <v/>
      </c>
      <c r="Z2358" s="9" t="inlineStr">
        <is>
          <t>18V50 class ~18 MW (typ.)</t>
        </is>
      </c>
    </row>
    <row r="2359">
      <c r="A2359" s="9" t="inlineStr">
        <is>
          <t>I-MV-0018</t>
        </is>
      </c>
      <c r="B2359" s="9" t="inlineStr">
        <is>
          <t>I</t>
        </is>
      </c>
      <c r="C2359" s="9" t="inlineStr">
        <is>
          <t>Modular / portable power</t>
        </is>
      </c>
      <c r="D2359" s="9" t="inlineStr">
        <is>
          <t>RICE-2 generator leads to the PCM</t>
        </is>
      </c>
      <c r="E2359" s="9" t="inlineStr">
        <is>
          <t>RICE-2</t>
        </is>
      </c>
      <c r="F2359" s="9" t="inlineStr">
        <is>
          <t>RICE engine-generator 2</t>
        </is>
      </c>
      <c r="G2359" s="9" t="inlineStr"/>
      <c r="H2359" s="9" t="inlineStr">
        <is>
          <t>PCM: power control module</t>
        </is>
      </c>
      <c r="I2359" s="9" t="inlineStr">
        <is>
          <t>MV 15 kV</t>
        </is>
      </c>
      <c r="J2359" s="9" t="inlineStr">
        <is>
          <t>MV-105 15 kV 1/C Cu, EPR 133%, Cu tape shield, PVC jacket (triplexed)</t>
        </is>
      </c>
      <c r="K2359" s="9" t="inlineStr">
        <is>
          <t>MV15|1/C|750</t>
        </is>
      </c>
      <c r="L2359" s="9" t="inlineStr">
        <is>
          <t>1/C</t>
        </is>
      </c>
      <c r="M2359" s="9" t="inlineStr">
        <is>
          <t>750 kcmil</t>
        </is>
      </c>
      <c r="N2359" s="9" t="n">
        <v>2</v>
      </c>
      <c r="O2359" s="9" t="n">
        <v>3</v>
      </c>
      <c r="P2359" s="9" t="n">
        <v>13800</v>
      </c>
      <c r="Q2359" s="9" t="n">
        <v>18400</v>
      </c>
      <c r="R2359" s="9" t="n">
        <v>770</v>
      </c>
      <c r="S2359" s="9" t="inlineStr">
        <is>
          <t>Duct bank</t>
        </is>
      </c>
      <c r="T2359" s="10" t="n">
        <v>550</v>
      </c>
      <c r="U2359" s="10" t="n">
        <v>109</v>
      </c>
      <c r="V2359" s="10">
        <f>ROUNDUP((T2359+U2359+2*'Read Me'!$B$13)*(1+'Read Me'!$B$12),-1)</f>
        <v/>
      </c>
      <c r="W2359" s="10">
        <f>V2359*N2359*O2359</f>
        <v/>
      </c>
      <c r="X2359" s="9">
        <f>IF(LEFT(I2359,2)="MV",2*N2359*IF(L2359="1/C",O2359,1),0)</f>
        <v/>
      </c>
      <c r="Y2359" s="9">
        <f>IF(OR(LEFT(K2359,4)="LVAX",LEFT(K2359,6)="MV15AX",LEFT(K2359,4)="CTAX",LEFT(K2359,2)="W|"),2*N2359*O2359,0)</f>
        <v/>
      </c>
      <c r="Z2359" s="9" t="inlineStr">
        <is>
          <t>18V50 class ~18 MW (typ.)</t>
        </is>
      </c>
    </row>
    <row r="2360">
      <c r="A2360" s="9" t="inlineStr">
        <is>
          <t>I-MV-0019</t>
        </is>
      </c>
      <c r="B2360" s="9" t="inlineStr">
        <is>
          <t>I</t>
        </is>
      </c>
      <c r="C2360" s="9" t="inlineStr">
        <is>
          <t>Modular / portable power</t>
        </is>
      </c>
      <c r="D2360" s="9" t="inlineStr">
        <is>
          <t>RICE-3 generator leads to the PCM</t>
        </is>
      </c>
      <c r="E2360" s="9" t="inlineStr">
        <is>
          <t>RICE-3</t>
        </is>
      </c>
      <c r="F2360" s="9" t="inlineStr">
        <is>
          <t>RICE engine-generator 3</t>
        </is>
      </c>
      <c r="G2360" s="9" t="inlineStr"/>
      <c r="H2360" s="9" t="inlineStr">
        <is>
          <t>PCM: power control module</t>
        </is>
      </c>
      <c r="I2360" s="9" t="inlineStr">
        <is>
          <t>MV 15 kV</t>
        </is>
      </c>
      <c r="J2360" s="9" t="inlineStr">
        <is>
          <t>MV-105 15 kV 1/C Cu, EPR 133%, Cu tape shield, PVC jacket (triplexed)</t>
        </is>
      </c>
      <c r="K2360" s="9" t="inlineStr">
        <is>
          <t>MV15|1/C|750</t>
        </is>
      </c>
      <c r="L2360" s="9" t="inlineStr">
        <is>
          <t>1/C</t>
        </is>
      </c>
      <c r="M2360" s="9" t="inlineStr">
        <is>
          <t>750 kcmil</t>
        </is>
      </c>
      <c r="N2360" s="9" t="n">
        <v>2</v>
      </c>
      <c r="O2360" s="9" t="n">
        <v>3</v>
      </c>
      <c r="P2360" s="9" t="n">
        <v>13800</v>
      </c>
      <c r="Q2360" s="9" t="n">
        <v>18400</v>
      </c>
      <c r="R2360" s="9" t="n">
        <v>770</v>
      </c>
      <c r="S2360" s="9" t="inlineStr">
        <is>
          <t>Duct bank</t>
        </is>
      </c>
      <c r="T2360" s="10" t="n">
        <v>550</v>
      </c>
      <c r="U2360" s="10" t="n">
        <v>81</v>
      </c>
      <c r="V2360" s="10">
        <f>ROUNDUP((T2360+U2360+2*'Read Me'!$B$13)*(1+'Read Me'!$B$12),-1)</f>
        <v/>
      </c>
      <c r="W2360" s="10">
        <f>V2360*N2360*O2360</f>
        <v/>
      </c>
      <c r="X2360" s="9">
        <f>IF(LEFT(I2360,2)="MV",2*N2360*IF(L2360="1/C",O2360,1),0)</f>
        <v/>
      </c>
      <c r="Y2360" s="9">
        <f>IF(OR(LEFT(K2360,4)="LVAX",LEFT(K2360,6)="MV15AX",LEFT(K2360,4)="CTAX",LEFT(K2360,2)="W|"),2*N2360*O2360,0)</f>
        <v/>
      </c>
      <c r="Z2360" s="9" t="inlineStr">
        <is>
          <t>18V50 class ~18 MW (typ.)</t>
        </is>
      </c>
    </row>
    <row r="2361">
      <c r="A2361" s="9" t="inlineStr">
        <is>
          <t>I-MV-0020</t>
        </is>
      </c>
      <c r="B2361" s="9" t="inlineStr">
        <is>
          <t>I</t>
        </is>
      </c>
      <c r="C2361" s="9" t="inlineStr">
        <is>
          <t>Modular / portable power</t>
        </is>
      </c>
      <c r="D2361" s="9" t="inlineStr">
        <is>
          <t>RICE-4 generator leads to the PCM</t>
        </is>
      </c>
      <c r="E2361" s="9" t="inlineStr">
        <is>
          <t>RICE-4</t>
        </is>
      </c>
      <c r="F2361" s="9" t="inlineStr">
        <is>
          <t>RICE engine-generator 4</t>
        </is>
      </c>
      <c r="G2361" s="9" t="inlineStr"/>
      <c r="H2361" s="9" t="inlineStr">
        <is>
          <t>PCM: power control module</t>
        </is>
      </c>
      <c r="I2361" s="9" t="inlineStr">
        <is>
          <t>MV 15 kV</t>
        </is>
      </c>
      <c r="J2361" s="9" t="inlineStr">
        <is>
          <t>MV-105 15 kV 1/C Cu, EPR 133%, Cu tape shield, PVC jacket (triplexed)</t>
        </is>
      </c>
      <c r="K2361" s="9" t="inlineStr">
        <is>
          <t>MV15|1/C|750</t>
        </is>
      </c>
      <c r="L2361" s="9" t="inlineStr">
        <is>
          <t>1/C</t>
        </is>
      </c>
      <c r="M2361" s="9" t="inlineStr">
        <is>
          <t>750 kcmil</t>
        </is>
      </c>
      <c r="N2361" s="9" t="n">
        <v>2</v>
      </c>
      <c r="O2361" s="9" t="n">
        <v>3</v>
      </c>
      <c r="P2361" s="9" t="n">
        <v>13800</v>
      </c>
      <c r="Q2361" s="9" t="n">
        <v>18400</v>
      </c>
      <c r="R2361" s="9" t="n">
        <v>770</v>
      </c>
      <c r="S2361" s="9" t="inlineStr">
        <is>
          <t>Duct bank</t>
        </is>
      </c>
      <c r="T2361" s="10" t="n">
        <v>550</v>
      </c>
      <c r="U2361" s="10" t="n">
        <v>53</v>
      </c>
      <c r="V2361" s="10">
        <f>ROUNDUP((T2361+U2361+2*'Read Me'!$B$13)*(1+'Read Me'!$B$12),-1)</f>
        <v/>
      </c>
      <c r="W2361" s="10">
        <f>V2361*N2361*O2361</f>
        <v/>
      </c>
      <c r="X2361" s="9">
        <f>IF(LEFT(I2361,2)="MV",2*N2361*IF(L2361="1/C",O2361,1),0)</f>
        <v/>
      </c>
      <c r="Y2361" s="9">
        <f>IF(OR(LEFT(K2361,4)="LVAX",LEFT(K2361,6)="MV15AX",LEFT(K2361,4)="CTAX",LEFT(K2361,2)="W|"),2*N2361*O2361,0)</f>
        <v/>
      </c>
      <c r="Z2361" s="9" t="inlineStr">
        <is>
          <t>18V50 class ~18 MW (typ.)</t>
        </is>
      </c>
    </row>
    <row r="2362">
      <c r="A2362" s="9" t="inlineStr">
        <is>
          <t>I-MV-0021</t>
        </is>
      </c>
      <c r="B2362" s="9" t="inlineStr">
        <is>
          <t>I</t>
        </is>
      </c>
      <c r="C2362" s="9" t="inlineStr">
        <is>
          <t>Modular / portable power</t>
        </is>
      </c>
      <c r="D2362" s="9" t="inlineStr">
        <is>
          <t>RICE-5 generator leads to the PCM</t>
        </is>
      </c>
      <c r="E2362" s="9" t="inlineStr">
        <is>
          <t>RICE-5</t>
        </is>
      </c>
      <c r="F2362" s="9" t="inlineStr">
        <is>
          <t>RICE engine-generator 5</t>
        </is>
      </c>
      <c r="G2362" s="9" t="inlineStr"/>
      <c r="H2362" s="9" t="inlineStr">
        <is>
          <t>PCM: power control module</t>
        </is>
      </c>
      <c r="I2362" s="9" t="inlineStr">
        <is>
          <t>MV 15 kV</t>
        </is>
      </c>
      <c r="J2362" s="9" t="inlineStr">
        <is>
          <t>MV-105 15 kV 1/C Cu, EPR 133%, Cu tape shield, PVC jacket (triplexed)</t>
        </is>
      </c>
      <c r="K2362" s="9" t="inlineStr">
        <is>
          <t>MV15|1/C|750</t>
        </is>
      </c>
      <c r="L2362" s="9" t="inlineStr">
        <is>
          <t>1/C</t>
        </is>
      </c>
      <c r="M2362" s="9" t="inlineStr">
        <is>
          <t>750 kcmil</t>
        </is>
      </c>
      <c r="N2362" s="9" t="n">
        <v>2</v>
      </c>
      <c r="O2362" s="9" t="n">
        <v>3</v>
      </c>
      <c r="P2362" s="9" t="n">
        <v>13800</v>
      </c>
      <c r="Q2362" s="9" t="n">
        <v>18400</v>
      </c>
      <c r="R2362" s="9" t="n">
        <v>770</v>
      </c>
      <c r="S2362" s="9" t="inlineStr">
        <is>
          <t>Duct bank</t>
        </is>
      </c>
      <c r="T2362" s="10" t="n">
        <v>525</v>
      </c>
      <c r="U2362" s="10" t="n">
        <v>50</v>
      </c>
      <c r="V2362" s="10">
        <f>ROUNDUP((T2362+U2362+2*'Read Me'!$B$13)*(1+'Read Me'!$B$12),-1)</f>
        <v/>
      </c>
      <c r="W2362" s="10">
        <f>V2362*N2362*O2362</f>
        <v/>
      </c>
      <c r="X2362" s="9">
        <f>IF(LEFT(I2362,2)="MV",2*N2362*IF(L2362="1/C",O2362,1),0)</f>
        <v/>
      </c>
      <c r="Y2362" s="9">
        <f>IF(OR(LEFT(K2362,4)="LVAX",LEFT(K2362,6)="MV15AX",LEFT(K2362,4)="CTAX",LEFT(K2362,2)="W|"),2*N2362*O2362,0)</f>
        <v/>
      </c>
      <c r="Z2362" s="9" t="inlineStr">
        <is>
          <t>18V50 class ~18 MW (typ.)</t>
        </is>
      </c>
    </row>
    <row r="2363">
      <c r="A2363" s="9" t="inlineStr">
        <is>
          <t>I-MV-0022</t>
        </is>
      </c>
      <c r="B2363" s="9" t="inlineStr">
        <is>
          <t>I</t>
        </is>
      </c>
      <c r="C2363" s="9" t="inlineStr">
        <is>
          <t>Modular / portable power</t>
        </is>
      </c>
      <c r="D2363" s="9" t="inlineStr">
        <is>
          <t>RICE-6 generator leads to the PCM</t>
        </is>
      </c>
      <c r="E2363" s="9" t="inlineStr">
        <is>
          <t>RICE-6</t>
        </is>
      </c>
      <c r="F2363" s="9" t="inlineStr">
        <is>
          <t>RICE engine-generator 6</t>
        </is>
      </c>
      <c r="G2363" s="9" t="inlineStr"/>
      <c r="H2363" s="9" t="inlineStr">
        <is>
          <t>PCM: power control module</t>
        </is>
      </c>
      <c r="I2363" s="9" t="inlineStr">
        <is>
          <t>MV 15 kV</t>
        </is>
      </c>
      <c r="J2363" s="9" t="inlineStr">
        <is>
          <t>MV-105 15 kV 1/C Cu, EPR 133%, Cu tape shield, PVC jacket (triplexed)</t>
        </is>
      </c>
      <c r="K2363" s="9" t="inlineStr">
        <is>
          <t>MV15|1/C|750</t>
        </is>
      </c>
      <c r="L2363" s="9" t="inlineStr">
        <is>
          <t>1/C</t>
        </is>
      </c>
      <c r="M2363" s="9" t="inlineStr">
        <is>
          <t>750 kcmil</t>
        </is>
      </c>
      <c r="N2363" s="9" t="n">
        <v>2</v>
      </c>
      <c r="O2363" s="9" t="n">
        <v>3</v>
      </c>
      <c r="P2363" s="9" t="n">
        <v>13800</v>
      </c>
      <c r="Q2363" s="9" t="n">
        <v>18400</v>
      </c>
      <c r="R2363" s="9" t="n">
        <v>770</v>
      </c>
      <c r="S2363" s="9" t="inlineStr">
        <is>
          <t>Duct bank</t>
        </is>
      </c>
      <c r="T2363" s="10" t="n">
        <v>469</v>
      </c>
      <c r="U2363" s="10" t="n">
        <v>78</v>
      </c>
      <c r="V2363" s="10">
        <f>ROUNDUP((T2363+U2363+2*'Read Me'!$B$13)*(1+'Read Me'!$B$12),-1)</f>
        <v/>
      </c>
      <c r="W2363" s="10">
        <f>V2363*N2363*O2363</f>
        <v/>
      </c>
      <c r="X2363" s="9">
        <f>IF(LEFT(I2363,2)="MV",2*N2363*IF(L2363="1/C",O2363,1),0)</f>
        <v/>
      </c>
      <c r="Y2363" s="9">
        <f>IF(OR(LEFT(K2363,4)="LVAX",LEFT(K2363,6)="MV15AX",LEFT(K2363,4)="CTAX",LEFT(K2363,2)="W|"),2*N2363*O2363,0)</f>
        <v/>
      </c>
      <c r="Z2363" s="9" t="inlineStr">
        <is>
          <t>18V50 class ~18 MW (typ.)</t>
        </is>
      </c>
    </row>
    <row r="2364">
      <c r="A2364" s="9" t="inlineStr">
        <is>
          <t>I-MV-0023</t>
        </is>
      </c>
      <c r="B2364" s="9" t="inlineStr">
        <is>
          <t>I</t>
        </is>
      </c>
      <c r="C2364" s="9" t="inlineStr">
        <is>
          <t>Modular / portable power</t>
        </is>
      </c>
      <c r="D2364" s="9" t="inlineStr">
        <is>
          <t>RICE-7 generator leads to the PCM</t>
        </is>
      </c>
      <c r="E2364" s="9" t="inlineStr">
        <is>
          <t>RICE-7</t>
        </is>
      </c>
      <c r="F2364" s="9" t="inlineStr">
        <is>
          <t>RICE engine-generator 7</t>
        </is>
      </c>
      <c r="G2364" s="9" t="inlineStr"/>
      <c r="H2364" s="9" t="inlineStr">
        <is>
          <t>PCM: power control module</t>
        </is>
      </c>
      <c r="I2364" s="9" t="inlineStr">
        <is>
          <t>MV 15 kV</t>
        </is>
      </c>
      <c r="J2364" s="9" t="inlineStr">
        <is>
          <t>MV-105 15 kV 1/C Cu, EPR 133%, Cu tape shield, PVC jacket (triplexed)</t>
        </is>
      </c>
      <c r="K2364" s="9" t="inlineStr">
        <is>
          <t>MV15|1/C|750</t>
        </is>
      </c>
      <c r="L2364" s="9" t="inlineStr">
        <is>
          <t>1/C</t>
        </is>
      </c>
      <c r="M2364" s="9" t="inlineStr">
        <is>
          <t>750 kcmil</t>
        </is>
      </c>
      <c r="N2364" s="9" t="n">
        <v>2</v>
      </c>
      <c r="O2364" s="9" t="n">
        <v>3</v>
      </c>
      <c r="P2364" s="9" t="n">
        <v>13800</v>
      </c>
      <c r="Q2364" s="9" t="n">
        <v>18400</v>
      </c>
      <c r="R2364" s="9" t="n">
        <v>770</v>
      </c>
      <c r="S2364" s="9" t="inlineStr">
        <is>
          <t>Tray</t>
        </is>
      </c>
      <c r="T2364" s="10" t="n">
        <v>83</v>
      </c>
      <c r="U2364" s="10" t="n">
        <v>106</v>
      </c>
      <c r="V2364" s="10">
        <f>ROUNDUP((T2364+U2364+2*'Read Me'!$B$13)*(1+'Read Me'!$B$12),-1)</f>
        <v/>
      </c>
      <c r="W2364" s="10">
        <f>V2364*N2364*O2364</f>
        <v/>
      </c>
      <c r="X2364" s="9">
        <f>IF(LEFT(I2364,2)="MV",2*N2364*IF(L2364="1/C",O2364,1),0)</f>
        <v/>
      </c>
      <c r="Y2364" s="9">
        <f>IF(OR(LEFT(K2364,4)="LVAX",LEFT(K2364,6)="MV15AX",LEFT(K2364,4)="CTAX",LEFT(K2364,2)="W|"),2*N2364*O2364,0)</f>
        <v/>
      </c>
      <c r="Z2364" s="9" t="inlineStr">
        <is>
          <t>18V50 class ~18 MW (typ.)</t>
        </is>
      </c>
    </row>
    <row r="2365">
      <c r="A2365" s="9" t="inlineStr">
        <is>
          <t>I-MV-0024</t>
        </is>
      </c>
      <c r="B2365" s="9" t="inlineStr">
        <is>
          <t>I</t>
        </is>
      </c>
      <c r="C2365" s="9" t="inlineStr">
        <is>
          <t>Modular / portable power</t>
        </is>
      </c>
      <c r="D2365" s="9" t="inlineStr">
        <is>
          <t>RICE-8 generator leads to the PCM</t>
        </is>
      </c>
      <c r="E2365" s="9" t="inlineStr">
        <is>
          <t>RICE-8</t>
        </is>
      </c>
      <c r="F2365" s="9" t="inlineStr">
        <is>
          <t>RICE engine-generator 8</t>
        </is>
      </c>
      <c r="G2365" s="9" t="inlineStr"/>
      <c r="H2365" s="9" t="inlineStr">
        <is>
          <t>PCM: power control module</t>
        </is>
      </c>
      <c r="I2365" s="9" t="inlineStr">
        <is>
          <t>MV 15 kV</t>
        </is>
      </c>
      <c r="J2365" s="9" t="inlineStr">
        <is>
          <t>MV-105 15 kV 1/C Cu, EPR 133%, Cu tape shield, PVC jacket (triplexed)</t>
        </is>
      </c>
      <c r="K2365" s="9" t="inlineStr">
        <is>
          <t>MV15|1/C|750</t>
        </is>
      </c>
      <c r="L2365" s="9" t="inlineStr">
        <is>
          <t>1/C</t>
        </is>
      </c>
      <c r="M2365" s="9" t="inlineStr">
        <is>
          <t>750 kcmil</t>
        </is>
      </c>
      <c r="N2365" s="9" t="n">
        <v>2</v>
      </c>
      <c r="O2365" s="9" t="n">
        <v>3</v>
      </c>
      <c r="P2365" s="9" t="n">
        <v>13800</v>
      </c>
      <c r="Q2365" s="9" t="n">
        <v>18400</v>
      </c>
      <c r="R2365" s="9" t="n">
        <v>770</v>
      </c>
      <c r="S2365" s="9" t="inlineStr">
        <is>
          <t>Tray</t>
        </is>
      </c>
      <c r="T2365" s="10" t="n">
        <v>37</v>
      </c>
      <c r="U2365" s="10" t="n">
        <v>124</v>
      </c>
      <c r="V2365" s="10">
        <f>ROUNDUP((T2365+U2365+2*'Read Me'!$B$13)*(1+'Read Me'!$B$12),-1)</f>
        <v/>
      </c>
      <c r="W2365" s="10">
        <f>V2365*N2365*O2365</f>
        <v/>
      </c>
      <c r="X2365" s="9">
        <f>IF(LEFT(I2365,2)="MV",2*N2365*IF(L2365="1/C",O2365,1),0)</f>
        <v/>
      </c>
      <c r="Y2365" s="9">
        <f>IF(OR(LEFT(K2365,4)="LVAX",LEFT(K2365,6)="MV15AX",LEFT(K2365,4)="CTAX",LEFT(K2365,2)="W|"),2*N2365*O2365,0)</f>
        <v/>
      </c>
      <c r="Z2365" s="9" t="inlineStr">
        <is>
          <t>18V50 class ~18 MW (typ.)</t>
        </is>
      </c>
    </row>
    <row r="2366">
      <c r="A2366" s="9" t="inlineStr">
        <is>
          <t>I-MV-0025</t>
        </is>
      </c>
      <c r="B2366" s="9" t="inlineStr">
        <is>
          <t>I</t>
        </is>
      </c>
      <c r="C2366" s="9" t="inlineStr">
        <is>
          <t>Modular / portable power</t>
        </is>
      </c>
      <c r="D2366" s="9" t="inlineStr">
        <is>
          <t>SC-1 (LM6000 class) generator leads to its PCM / GCB</t>
        </is>
      </c>
      <c r="E2366" s="9" t="inlineStr">
        <is>
          <t>SC-1</t>
        </is>
      </c>
      <c r="F2366" s="9" t="inlineStr">
        <is>
          <t>SC-1: aeroderivative simple-cycle unit (LM6000 class)</t>
        </is>
      </c>
      <c r="G2366" s="9" t="inlineStr"/>
      <c r="H2366" s="9" t="inlineStr">
        <is>
          <t>SC-1 PCM + 15 kV GCB</t>
        </is>
      </c>
      <c r="I2366" s="9" t="inlineStr">
        <is>
          <t>MV 15 kV</t>
        </is>
      </c>
      <c r="J2366" s="9" t="inlineStr">
        <is>
          <t>MV-105 15 kV 1/C Cu, EPR 133%, Cu tape shield, PVC jacket (triplexed)</t>
        </is>
      </c>
      <c r="K2366" s="9" t="inlineStr">
        <is>
          <t>MV15|1/C|750</t>
        </is>
      </c>
      <c r="L2366" s="9" t="inlineStr">
        <is>
          <t>1/C</t>
        </is>
      </c>
      <c r="M2366" s="9" t="inlineStr">
        <is>
          <t>750 kcmil</t>
        </is>
      </c>
      <c r="N2366" s="9" t="n">
        <v>5</v>
      </c>
      <c r="O2366" s="9" t="n">
        <v>3</v>
      </c>
      <c r="P2366" s="9" t="n">
        <v>13800</v>
      </c>
      <c r="Q2366" s="9" t="n">
        <v>50000</v>
      </c>
      <c r="R2366" s="9" t="n">
        <v>2092</v>
      </c>
      <c r="S2366" s="9" t="inlineStr">
        <is>
          <t>Tray</t>
        </is>
      </c>
      <c r="T2366" s="10" t="n">
        <v>12</v>
      </c>
      <c r="U2366" s="10" t="n">
        <v>52</v>
      </c>
      <c r="V2366" s="10">
        <f>ROUNDUP((T2366+U2366+2*'Read Me'!$B$13)*(1+'Read Me'!$B$12),-1)</f>
        <v/>
      </c>
      <c r="W2366" s="10">
        <f>V2366*N2366*O2366</f>
        <v/>
      </c>
      <c r="X2366" s="9">
        <f>IF(LEFT(I2366,2)="MV",2*N2366*IF(L2366="1/C",O2366,1),0)</f>
        <v/>
      </c>
      <c r="Y2366" s="9">
        <f>IF(OR(LEFT(K2366,4)="LVAX",LEFT(K2366,6)="MV15AX",LEFT(K2366,4)="CTAX",LEFT(K2366,2)="W|"),2*N2366*O2366,0)</f>
        <v/>
      </c>
      <c r="Z2366" s="9" t="inlineStr"/>
    </row>
    <row r="2367">
      <c r="A2367" s="9" t="inlineStr">
        <is>
          <t>I-MV-0026</t>
        </is>
      </c>
      <c r="B2367" s="9" t="inlineStr">
        <is>
          <t>I</t>
        </is>
      </c>
      <c r="C2367" s="9" t="inlineStr">
        <is>
          <t>Modular / portable power</t>
        </is>
      </c>
      <c r="D2367" s="9" t="inlineStr">
        <is>
          <t>SC-2 (LM6000 class) generator leads to its PCM / GCB</t>
        </is>
      </c>
      <c r="E2367" s="9" t="inlineStr">
        <is>
          <t>SC-2</t>
        </is>
      </c>
      <c r="F2367" s="9" t="inlineStr">
        <is>
          <t>SC-2: aeroderivative simple-cycle unit (LM6000 class)</t>
        </is>
      </c>
      <c r="G2367" s="9" t="inlineStr"/>
      <c r="H2367" s="9" t="inlineStr">
        <is>
          <t>SC-2 PCM + 15 kV GCB</t>
        </is>
      </c>
      <c r="I2367" s="9" t="inlineStr">
        <is>
          <t>MV 15 kV</t>
        </is>
      </c>
      <c r="J2367" s="9" t="inlineStr">
        <is>
          <t>MV-105 15 kV 1/C Cu, EPR 133%, Cu tape shield, PVC jacket (triplexed)</t>
        </is>
      </c>
      <c r="K2367" s="9" t="inlineStr">
        <is>
          <t>MV15|1/C|750</t>
        </is>
      </c>
      <c r="L2367" s="9" t="inlineStr">
        <is>
          <t>1/C</t>
        </is>
      </c>
      <c r="M2367" s="9" t="inlineStr">
        <is>
          <t>750 kcmil</t>
        </is>
      </c>
      <c r="N2367" s="9" t="n">
        <v>5</v>
      </c>
      <c r="O2367" s="9" t="n">
        <v>3</v>
      </c>
      <c r="P2367" s="9" t="n">
        <v>13800</v>
      </c>
      <c r="Q2367" s="9" t="n">
        <v>50000</v>
      </c>
      <c r="R2367" s="9" t="n">
        <v>2092</v>
      </c>
      <c r="S2367" s="9" t="inlineStr">
        <is>
          <t>Tray</t>
        </is>
      </c>
      <c r="T2367" s="10" t="n">
        <v>83</v>
      </c>
      <c r="U2367" s="10" t="n">
        <v>76</v>
      </c>
      <c r="V2367" s="10">
        <f>ROUNDUP((T2367+U2367+2*'Read Me'!$B$13)*(1+'Read Me'!$B$12),-1)</f>
        <v/>
      </c>
      <c r="W2367" s="10">
        <f>V2367*N2367*O2367</f>
        <v/>
      </c>
      <c r="X2367" s="9">
        <f>IF(LEFT(I2367,2)="MV",2*N2367*IF(L2367="1/C",O2367,1),0)</f>
        <v/>
      </c>
      <c r="Y2367" s="9">
        <f>IF(OR(LEFT(K2367,4)="LVAX",LEFT(K2367,6)="MV15AX",LEFT(K2367,4)="CTAX",LEFT(K2367,2)="W|"),2*N2367*O2367,0)</f>
        <v/>
      </c>
      <c r="Z2367" s="9" t="inlineStr"/>
    </row>
    <row r="2368">
      <c r="A2368" s="9" t="inlineStr">
        <is>
          <t>I-MV-0027</t>
        </is>
      </c>
      <c r="B2368" s="9" t="inlineStr">
        <is>
          <t>I</t>
        </is>
      </c>
      <c r="C2368" s="9" t="inlineStr">
        <is>
          <t>Modular / portable power</t>
        </is>
      </c>
      <c r="D2368" s="9" t="inlineStr">
        <is>
          <t>MOD-EH to T-MOD-1 LV side</t>
        </is>
      </c>
      <c r="E2368" s="9" t="inlineStr">
        <is>
          <t>MOD-EH</t>
        </is>
      </c>
      <c r="F2368" s="9" t="inlineStr">
        <is>
          <t>MOD-EH: 13.8 kV modular collector e-house</t>
        </is>
      </c>
      <c r="G2368" s="9" t="inlineStr">
        <is>
          <t>T-MOD-1</t>
        </is>
      </c>
      <c r="H2368" s="9" t="inlineStr">
        <is>
          <t>T-MOD-1: 13.8/230 kV</t>
        </is>
      </c>
      <c r="I2368" s="9" t="inlineStr">
        <is>
          <t>MV 15 kV</t>
        </is>
      </c>
      <c r="J2368" s="9" t="inlineStr">
        <is>
          <t>MV-105 15 kV 1/C Cu, EPR 133%, Cu tape shield, PVC jacket (triplexed)</t>
        </is>
      </c>
      <c r="K2368" s="9" t="inlineStr">
        <is>
          <t>MV15|1/C|1000</t>
        </is>
      </c>
      <c r="L2368" s="9" t="inlineStr">
        <is>
          <t>1/C</t>
        </is>
      </c>
      <c r="M2368" s="9" t="inlineStr">
        <is>
          <t>1000 kcmil</t>
        </is>
      </c>
      <c r="N2368" s="9" t="n">
        <v>10</v>
      </c>
      <c r="O2368" s="9" t="n">
        <v>3</v>
      </c>
      <c r="P2368" s="9" t="n">
        <v>13800</v>
      </c>
      <c r="Q2368" s="9" t="n">
        <v>120000</v>
      </c>
      <c r="R2368" s="9" t="n">
        <v>5021</v>
      </c>
      <c r="S2368" s="9" t="inlineStr">
        <is>
          <t>Conduit link</t>
        </is>
      </c>
      <c r="T2368" s="10" t="n">
        <v>0</v>
      </c>
      <c r="U2368" s="10" t="n">
        <v>82</v>
      </c>
      <c r="V2368" s="10">
        <f>ROUNDUP((T2368+U2368+2*'Read Me'!$B$13)*(1+'Read Me'!$B$12),-1)</f>
        <v/>
      </c>
      <c r="W2368" s="10">
        <f>V2368*N2368*O2368</f>
        <v/>
      </c>
      <c r="X2368" s="9">
        <f>IF(LEFT(I2368,2)="MV",2*N2368*IF(L2368="1/C",O2368,1),0)</f>
        <v/>
      </c>
      <c r="Y2368" s="9">
        <f>IF(OR(LEFT(K2368,4)="LVAX",LEFT(K2368,6)="MV15AX",LEFT(K2368,4)="CTAX",LEFT(K2368,2)="W|"),2*N2368*O2368,0)</f>
        <v/>
      </c>
      <c r="Z2368" s="9" t="inlineStr">
        <is>
          <t>may be bus duct</t>
        </is>
      </c>
    </row>
    <row r="2369">
      <c r="A2369" s="9" t="inlineStr">
        <is>
          <t>I-MV-0028</t>
        </is>
      </c>
      <c r="B2369" s="9" t="inlineStr">
        <is>
          <t>I</t>
        </is>
      </c>
      <c r="C2369" s="9" t="inlineStr">
        <is>
          <t>Modular / portable power</t>
        </is>
      </c>
      <c r="D2369" s="9" t="inlineStr">
        <is>
          <t>MOD-EH to T-MOD-2 LV side</t>
        </is>
      </c>
      <c r="E2369" s="9" t="inlineStr">
        <is>
          <t>MOD-EH</t>
        </is>
      </c>
      <c r="F2369" s="9" t="inlineStr">
        <is>
          <t>MOD-EH: 13.8 kV modular collector e-house</t>
        </is>
      </c>
      <c r="G2369" s="9" t="inlineStr">
        <is>
          <t>T-MOD-2</t>
        </is>
      </c>
      <c r="H2369" s="9" t="inlineStr">
        <is>
          <t>T-MOD-2: 13.8/230 kV</t>
        </is>
      </c>
      <c r="I2369" s="9" t="inlineStr">
        <is>
          <t>MV 15 kV</t>
        </is>
      </c>
      <c r="J2369" s="9" t="inlineStr">
        <is>
          <t>MV-105 15 kV 1/C Cu, EPR 133%, Cu tape shield, PVC jacket (triplexed)</t>
        </is>
      </c>
      <c r="K2369" s="9" t="inlineStr">
        <is>
          <t>MV15|1/C|1000</t>
        </is>
      </c>
      <c r="L2369" s="9" t="inlineStr">
        <is>
          <t>1/C</t>
        </is>
      </c>
      <c r="M2369" s="9" t="inlineStr">
        <is>
          <t>1000 kcmil</t>
        </is>
      </c>
      <c r="N2369" s="9" t="n">
        <v>10</v>
      </c>
      <c r="O2369" s="9" t="n">
        <v>3</v>
      </c>
      <c r="P2369" s="9" t="n">
        <v>13800</v>
      </c>
      <c r="Q2369" s="9" t="n">
        <v>120000</v>
      </c>
      <c r="R2369" s="9" t="n">
        <v>5021</v>
      </c>
      <c r="S2369" s="9" t="inlineStr">
        <is>
          <t>Conduit link</t>
        </is>
      </c>
      <c r="T2369" s="10" t="n">
        <v>0</v>
      </c>
      <c r="U2369" s="10" t="n">
        <v>142</v>
      </c>
      <c r="V2369" s="10">
        <f>ROUNDUP((T2369+U2369+2*'Read Me'!$B$13)*(1+'Read Me'!$B$12),-1)</f>
        <v/>
      </c>
      <c r="W2369" s="10">
        <f>V2369*N2369*O2369</f>
        <v/>
      </c>
      <c r="X2369" s="9">
        <f>IF(LEFT(I2369,2)="MV",2*N2369*IF(L2369="1/C",O2369,1),0)</f>
        <v/>
      </c>
      <c r="Y2369" s="9">
        <f>IF(OR(LEFT(K2369,4)="LVAX",LEFT(K2369,6)="MV15AX",LEFT(K2369,4)="CTAX",LEFT(K2369,2)="W|"),2*N2369*O2369,0)</f>
        <v/>
      </c>
      <c r="Z2369" s="9" t="inlineStr">
        <is>
          <t>may be bus duct</t>
        </is>
      </c>
    </row>
    <row r="2370">
      <c r="A2370" s="9" t="inlineStr">
        <is>
          <t>I-PP-0001</t>
        </is>
      </c>
      <c r="B2370" s="9" t="inlineStr">
        <is>
          <t>I</t>
        </is>
      </c>
      <c r="C2370" s="9" t="inlineStr">
        <is>
          <t>Modular / portable power</t>
        </is>
      </c>
      <c r="D2370" s="9" t="inlineStr">
        <is>
          <t>GEN-E 480 V to PAD-LV (Type W sets, cam-lock)</t>
        </is>
      </c>
      <c r="E2370" s="9" t="inlineStr">
        <is>
          <t>GEN-E</t>
        </is>
      </c>
      <c r="F2370" s="9" t="inlineStr">
        <is>
          <t>GEN-E: enclosed industrial gas genset 2 MW</t>
        </is>
      </c>
      <c r="G2370" s="9" t="inlineStr">
        <is>
          <t>PAD-LV</t>
        </is>
      </c>
      <c r="H2370" s="9" t="inlineStr">
        <is>
          <t>PAD-LV 480 V paralleling switchboard</t>
        </is>
      </c>
      <c r="I2370" s="9" t="inlineStr">
        <is>
          <t>Portable LV</t>
        </is>
      </c>
      <c r="J2370" s="9" t="inlineStr">
        <is>
          <t>Type W 2 kV 1/C Cu, EPDM / CPE (portable, cam-lock)</t>
        </is>
      </c>
      <c r="K2370" s="9" t="inlineStr">
        <is>
          <t>W|1/C|4/0</t>
        </is>
      </c>
      <c r="L2370" s="9" t="inlineStr">
        <is>
          <t>1/C</t>
        </is>
      </c>
      <c r="M2370" s="9" t="inlineStr">
        <is>
          <t>4/0</t>
        </is>
      </c>
      <c r="N2370" s="9" t="n">
        <v>8</v>
      </c>
      <c r="O2370" s="9" t="n">
        <v>4</v>
      </c>
      <c r="P2370" s="9" t="n">
        <v>480</v>
      </c>
      <c r="Q2370" s="9" t="n">
        <v>2000</v>
      </c>
      <c r="R2370" s="9" t="n">
        <v>2406</v>
      </c>
      <c r="S2370" s="9" t="inlineStr">
        <is>
          <t>Surface</t>
        </is>
      </c>
      <c r="T2370" s="10" t="n">
        <v>143</v>
      </c>
      <c r="U2370" s="10" t="n">
        <v>27</v>
      </c>
      <c r="V2370" s="10">
        <f>ROUNDUP((T2370+U2370+2*'Read Me'!$B$13)*(1+'Read Me'!$B$12),-1)</f>
        <v/>
      </c>
      <c r="W2370" s="10">
        <f>V2370*N2370*O2370</f>
        <v/>
      </c>
      <c r="X2370" s="9">
        <f>IF(LEFT(I2370,2)="MV",2*N2370*IF(L2370="1/C",O2370,1),0)</f>
        <v/>
      </c>
      <c r="Y2370" s="9">
        <f>IF(OR(LEFT(K2370,4)="LVAX",LEFT(K2370,6)="MV15AX",LEFT(K2370,4)="CTAX",LEFT(K2370,2)="W|"),2*N2370*O2370,0)</f>
        <v/>
      </c>
      <c r="Z2370" s="9" t="inlineStr">
        <is>
          <t>4 x 1/C per set incl. ground</t>
        </is>
      </c>
    </row>
    <row r="2371">
      <c r="A2371" s="9" t="inlineStr">
        <is>
          <t>I-PP-0002</t>
        </is>
      </c>
      <c r="B2371" s="9" t="inlineStr">
        <is>
          <t>I</t>
        </is>
      </c>
      <c r="C2371" s="9" t="inlineStr">
        <is>
          <t>Modular / portable power</t>
        </is>
      </c>
      <c r="D2371" s="9" t="inlineStr">
        <is>
          <t>GEN-O 480 V to PAD-LV (Type W sets, cam-lock)</t>
        </is>
      </c>
      <c r="E2371" s="9" t="inlineStr">
        <is>
          <t>GEN-O</t>
        </is>
      </c>
      <c r="F2371" s="9" t="inlineStr">
        <is>
          <t>GEN-O: open engine-generator skid</t>
        </is>
      </c>
      <c r="G2371" s="9" t="inlineStr">
        <is>
          <t>PAD-LV</t>
        </is>
      </c>
      <c r="H2371" s="9" t="inlineStr">
        <is>
          <t>PAD-LV 480 V paralleling switchboard</t>
        </is>
      </c>
      <c r="I2371" s="9" t="inlineStr">
        <is>
          <t>Portable LV</t>
        </is>
      </c>
      <c r="J2371" s="9" t="inlineStr">
        <is>
          <t>Type W 2 kV 1/C Cu, EPDM / CPE (portable, cam-lock)</t>
        </is>
      </c>
      <c r="K2371" s="9" t="inlineStr">
        <is>
          <t>W|1/C|4/0</t>
        </is>
      </c>
      <c r="L2371" s="9" t="inlineStr">
        <is>
          <t>1/C</t>
        </is>
      </c>
      <c r="M2371" s="9" t="inlineStr">
        <is>
          <t>4/0</t>
        </is>
      </c>
      <c r="N2371" s="9" t="n">
        <v>4</v>
      </c>
      <c r="O2371" s="9" t="n">
        <v>4</v>
      </c>
      <c r="P2371" s="9" t="n">
        <v>480</v>
      </c>
      <c r="Q2371" s="9" t="n">
        <v>1000</v>
      </c>
      <c r="R2371" s="9" t="n">
        <v>1203</v>
      </c>
      <c r="S2371" s="9" t="inlineStr">
        <is>
          <t>Surface</t>
        </is>
      </c>
      <c r="T2371" s="10" t="n">
        <v>132</v>
      </c>
      <c r="U2371" s="10" t="n">
        <v>27</v>
      </c>
      <c r="V2371" s="10">
        <f>ROUNDUP((T2371+U2371+2*'Read Me'!$B$13)*(1+'Read Me'!$B$12),-1)</f>
        <v/>
      </c>
      <c r="W2371" s="10">
        <f>V2371*N2371*O2371</f>
        <v/>
      </c>
      <c r="X2371" s="9">
        <f>IF(LEFT(I2371,2)="MV",2*N2371*IF(L2371="1/C",O2371,1),0)</f>
        <v/>
      </c>
      <c r="Y2371" s="9">
        <f>IF(OR(LEFT(K2371,4)="LVAX",LEFT(K2371,6)="MV15AX",LEFT(K2371,4)="CTAX",LEFT(K2371,2)="W|"),2*N2371*O2371,0)</f>
        <v/>
      </c>
      <c r="Z2371" s="9" t="inlineStr">
        <is>
          <t>4 x 1/C per set incl. ground</t>
        </is>
      </c>
    </row>
    <row r="2372">
      <c r="A2372" s="9" t="inlineStr">
        <is>
          <t>I-PP-0003</t>
        </is>
      </c>
      <c r="B2372" s="9" t="inlineStr">
        <is>
          <t>I</t>
        </is>
      </c>
      <c r="C2372" s="9" t="inlineStr">
        <is>
          <t>Modular / portable power</t>
        </is>
      </c>
      <c r="D2372" s="9" t="inlineStr">
        <is>
          <t>CONT-1 13.8 kV leads to GSP-1</t>
        </is>
      </c>
      <c r="E2372" s="9" t="inlineStr">
        <is>
          <t>CONT-1</t>
        </is>
      </c>
      <c r="F2372" s="9" t="inlineStr">
        <is>
          <t>CONT-1: containerized genset 13.8 kV (40 ft)</t>
        </is>
      </c>
      <c r="G2372" s="9" t="inlineStr">
        <is>
          <t>GSP-1</t>
        </is>
      </c>
      <c r="H2372" s="9" t="inlineStr">
        <is>
          <t>GSP-1: generator breaker / protection</t>
        </is>
      </c>
      <c r="I2372" s="9" t="inlineStr">
        <is>
          <t>Portable MV</t>
        </is>
      </c>
      <c r="J2372" s="9" t="inlineStr">
        <is>
          <t>Type SHD-GC 15 kV 3/C Cu, 2 grounds + GC, yellow CPE (portable)</t>
        </is>
      </c>
      <c r="K2372" s="9" t="inlineStr">
        <is>
          <t>SHD|3/C|2</t>
        </is>
      </c>
      <c r="L2372" s="9" t="inlineStr">
        <is>
          <t>3/C</t>
        </is>
      </c>
      <c r="M2372" s="9" t="inlineStr">
        <is>
          <t>2</t>
        </is>
      </c>
      <c r="N2372" s="9" t="n">
        <v>1</v>
      </c>
      <c r="O2372" s="9" t="n">
        <v>1</v>
      </c>
      <c r="P2372" s="9" t="n">
        <v>13800</v>
      </c>
      <c r="Q2372" s="9" t="n">
        <v>2000</v>
      </c>
      <c r="R2372" s="9" t="n">
        <v>93</v>
      </c>
      <c r="S2372" s="9" t="inlineStr">
        <is>
          <t>Tray</t>
        </is>
      </c>
      <c r="T2372" s="10" t="n">
        <v>0</v>
      </c>
      <c r="U2372" s="10" t="n">
        <v>29</v>
      </c>
      <c r="V2372" s="10">
        <f>ROUNDUP((T2372+U2372+2*'Read Me'!$B$13)*(1+'Read Me'!$B$12),-1)</f>
        <v/>
      </c>
      <c r="W2372" s="10">
        <f>V2372*N2372*O2372</f>
        <v/>
      </c>
      <c r="X2372" s="9">
        <f>IF(LEFT(I2372,2)="MV",2*N2372*IF(L2372="1/C",O2372,1),0)</f>
        <v/>
      </c>
      <c r="Y2372" s="9">
        <f>IF(OR(LEFT(K2372,4)="LVAX",LEFT(K2372,6)="MV15AX",LEFT(K2372,4)="CTAX",LEFT(K2372,2)="W|"),2*N2372*O2372,0)</f>
        <v/>
      </c>
      <c r="Z2372" s="9" t="inlineStr">
        <is>
          <t>portable, on grade</t>
        </is>
      </c>
    </row>
    <row r="2373">
      <c r="A2373" s="9" t="inlineStr">
        <is>
          <t>I-PP-0004</t>
        </is>
      </c>
      <c r="B2373" s="9" t="inlineStr">
        <is>
          <t>I</t>
        </is>
      </c>
      <c r="C2373" s="9" t="inlineStr">
        <is>
          <t>Modular / portable power</t>
        </is>
      </c>
      <c r="D2373" s="9" t="inlineStr">
        <is>
          <t>CONT-2 13.8 kV leads to GSP-2</t>
        </is>
      </c>
      <c r="E2373" s="9" t="inlineStr">
        <is>
          <t>CONT-2</t>
        </is>
      </c>
      <c r="F2373" s="9" t="inlineStr">
        <is>
          <t>CONT-2: containerized genset 13.8 kV (40 ft)</t>
        </is>
      </c>
      <c r="G2373" s="9" t="inlineStr">
        <is>
          <t>GSP-2</t>
        </is>
      </c>
      <c r="H2373" s="9" t="inlineStr">
        <is>
          <t>GSP-2: generator breaker / protection</t>
        </is>
      </c>
      <c r="I2373" s="9" t="inlineStr">
        <is>
          <t>Portable MV</t>
        </is>
      </c>
      <c r="J2373" s="9" t="inlineStr">
        <is>
          <t>Type SHD-GC 15 kV 3/C Cu, 2 grounds + GC, yellow CPE (portable)</t>
        </is>
      </c>
      <c r="K2373" s="9" t="inlineStr">
        <is>
          <t>SHD|3/C|2</t>
        </is>
      </c>
      <c r="L2373" s="9" t="inlineStr">
        <is>
          <t>3/C</t>
        </is>
      </c>
      <c r="M2373" s="9" t="inlineStr">
        <is>
          <t>2</t>
        </is>
      </c>
      <c r="N2373" s="9" t="n">
        <v>1</v>
      </c>
      <c r="O2373" s="9" t="n">
        <v>1</v>
      </c>
      <c r="P2373" s="9" t="n">
        <v>13800</v>
      </c>
      <c r="Q2373" s="9" t="n">
        <v>2000</v>
      </c>
      <c r="R2373" s="9" t="n">
        <v>93</v>
      </c>
      <c r="S2373" s="9" t="inlineStr">
        <is>
          <t>Riser</t>
        </is>
      </c>
      <c r="T2373" s="10" t="n">
        <v>2</v>
      </c>
      <c r="U2373" s="10" t="n">
        <v>27</v>
      </c>
      <c r="V2373" s="10">
        <f>ROUNDUP((T2373+U2373+2*'Read Me'!$B$13)*(1+'Read Me'!$B$12),-1)</f>
        <v/>
      </c>
      <c r="W2373" s="10">
        <f>V2373*N2373*O2373</f>
        <v/>
      </c>
      <c r="X2373" s="9">
        <f>IF(LEFT(I2373,2)="MV",2*N2373*IF(L2373="1/C",O2373,1),0)</f>
        <v/>
      </c>
      <c r="Y2373" s="9">
        <f>IF(OR(LEFT(K2373,4)="LVAX",LEFT(K2373,6)="MV15AX",LEFT(K2373,4)="CTAX",LEFT(K2373,2)="W|"),2*N2373*O2373,0)</f>
        <v/>
      </c>
      <c r="Z2373" s="9" t="inlineStr">
        <is>
          <t>portable, on grade</t>
        </is>
      </c>
    </row>
    <row r="2374">
      <c r="A2374" s="9" t="inlineStr">
        <is>
          <t>I-PP-0005</t>
        </is>
      </c>
      <c r="B2374" s="9" t="inlineStr">
        <is>
          <t>I</t>
        </is>
      </c>
      <c r="C2374" s="9" t="inlineStr">
        <is>
          <t>Modular / portable power</t>
        </is>
      </c>
      <c r="D2374" s="9" t="inlineStr">
        <is>
          <t>PIC to commissioning load bank</t>
        </is>
      </c>
      <c r="E2374" s="9" t="inlineStr">
        <is>
          <t>PIC</t>
        </is>
      </c>
      <c r="F2374" s="9" t="inlineStr">
        <is>
          <t>PIC: portable input cabinet</t>
        </is>
      </c>
      <c r="G2374" s="9" t="inlineStr">
        <is>
          <t>LB</t>
        </is>
      </c>
      <c r="H2374" s="9" t="inlineStr">
        <is>
          <t>LB: commissioning load bank (trailer)</t>
        </is>
      </c>
      <c r="I2374" s="9" t="inlineStr">
        <is>
          <t>Portable MV</t>
        </is>
      </c>
      <c r="J2374" s="9" t="inlineStr">
        <is>
          <t>Type SHD-GC 15 kV 3/C Cu, 2 grounds + GC, yellow CPE (portable)</t>
        </is>
      </c>
      <c r="K2374" s="9" t="inlineStr">
        <is>
          <t>SHD|3/C|2</t>
        </is>
      </c>
      <c r="L2374" s="9" t="inlineStr">
        <is>
          <t>3/C</t>
        </is>
      </c>
      <c r="M2374" s="9" t="inlineStr">
        <is>
          <t>2</t>
        </is>
      </c>
      <c r="N2374" s="9" t="n">
        <v>1</v>
      </c>
      <c r="O2374" s="9" t="n">
        <v>1</v>
      </c>
      <c r="P2374" s="9" t="n">
        <v>13800</v>
      </c>
      <c r="Q2374" s="9" t="n">
        <v>2000</v>
      </c>
      <c r="R2374" s="9" t="n">
        <v>93</v>
      </c>
      <c r="S2374" s="9" t="inlineStr">
        <is>
          <t>Surface</t>
        </is>
      </c>
      <c r="T2374" s="10" t="n">
        <v>27</v>
      </c>
      <c r="U2374" s="10" t="n">
        <v>39</v>
      </c>
      <c r="V2374" s="10">
        <f>ROUNDUP((T2374+U2374+2*'Read Me'!$B$13)*(1+'Read Me'!$B$12),-1)</f>
        <v/>
      </c>
      <c r="W2374" s="10">
        <f>V2374*N2374*O2374</f>
        <v/>
      </c>
      <c r="X2374" s="9">
        <f>IF(LEFT(I2374,2)="MV",2*N2374*IF(L2374="1/C",O2374,1),0)</f>
        <v/>
      </c>
      <c r="Y2374" s="9">
        <f>IF(OR(LEFT(K2374,4)="LVAX",LEFT(K2374,6)="MV15AX",LEFT(K2374,4)="CTAX",LEFT(K2374,2)="W|"),2*N2374*O2374,0)</f>
        <v/>
      </c>
      <c r="Z2374" s="9" t="inlineStr">
        <is>
          <t>portable</t>
        </is>
      </c>
    </row>
    <row r="2375">
      <c r="A2375" s="9" t="inlineStr">
        <is>
          <t>I-PP-0006</t>
        </is>
      </c>
      <c r="B2375" s="9" t="inlineStr">
        <is>
          <t>I</t>
        </is>
      </c>
      <c r="C2375" s="9" t="inlineStr">
        <is>
          <t>Modular / portable power</t>
        </is>
      </c>
      <c r="D2375" s="9" t="inlineStr">
        <is>
          <t>GSP-1 to PAD-EH</t>
        </is>
      </c>
      <c r="E2375" s="9" t="inlineStr">
        <is>
          <t>GSP-1</t>
        </is>
      </c>
      <c r="F2375" s="9" t="inlineStr">
        <is>
          <t>GSP-1: generator breaker / protection</t>
        </is>
      </c>
      <c r="G2375" s="9" t="inlineStr">
        <is>
          <t>PAD-EH</t>
        </is>
      </c>
      <c r="H2375" s="9" t="inlineStr">
        <is>
          <t>PAD-EH 13.8 kV switchgear e-house</t>
        </is>
      </c>
      <c r="I2375" s="9" t="inlineStr">
        <is>
          <t>Portable MV</t>
        </is>
      </c>
      <c r="J2375" s="9" t="inlineStr">
        <is>
          <t>Type SHD-GC 15 kV 3/C Cu, 2 grounds + GC, yellow CPE (portable)</t>
        </is>
      </c>
      <c r="K2375" s="9" t="inlineStr">
        <is>
          <t>SHD|3/C|2</t>
        </is>
      </c>
      <c r="L2375" s="9" t="inlineStr">
        <is>
          <t>3/C</t>
        </is>
      </c>
      <c r="M2375" s="9" t="inlineStr">
        <is>
          <t>2</t>
        </is>
      </c>
      <c r="N2375" s="9" t="n">
        <v>1</v>
      </c>
      <c r="O2375" s="9" t="n">
        <v>1</v>
      </c>
      <c r="P2375" s="9" t="n">
        <v>13800</v>
      </c>
      <c r="Q2375" s="9" t="n">
        <v>2000</v>
      </c>
      <c r="R2375" s="9" t="n">
        <v>93</v>
      </c>
      <c r="S2375" s="9" t="inlineStr">
        <is>
          <t>Surface</t>
        </is>
      </c>
      <c r="T2375" s="10" t="n">
        <v>374</v>
      </c>
      <c r="U2375" s="10" t="n">
        <v>27</v>
      </c>
      <c r="V2375" s="10">
        <f>ROUNDUP((T2375+U2375+2*'Read Me'!$B$13)*(1+'Read Me'!$B$12),-1)</f>
        <v/>
      </c>
      <c r="W2375" s="10">
        <f>V2375*N2375*O2375</f>
        <v/>
      </c>
      <c r="X2375" s="9">
        <f>IF(LEFT(I2375,2)="MV",2*N2375*IF(L2375="1/C",O2375,1),0)</f>
        <v/>
      </c>
      <c r="Y2375" s="9">
        <f>IF(OR(LEFT(K2375,4)="LVAX",LEFT(K2375,6)="MV15AX",LEFT(K2375,4)="CTAX",LEFT(K2375,2)="W|"),2*N2375*O2375,0)</f>
        <v/>
      </c>
      <c r="Z2375" s="9" t="inlineStr">
        <is>
          <t>portable, on grade</t>
        </is>
      </c>
    </row>
    <row r="2376">
      <c r="A2376" s="9" t="inlineStr">
        <is>
          <t>I-PP-0007</t>
        </is>
      </c>
      <c r="B2376" s="9" t="inlineStr">
        <is>
          <t>I</t>
        </is>
      </c>
      <c r="C2376" s="9" t="inlineStr">
        <is>
          <t>Modular / portable power</t>
        </is>
      </c>
      <c r="D2376" s="9" t="inlineStr">
        <is>
          <t>GSP-2 to PAD-EH</t>
        </is>
      </c>
      <c r="E2376" s="9" t="inlineStr">
        <is>
          <t>GSP-2</t>
        </is>
      </c>
      <c r="F2376" s="9" t="inlineStr">
        <is>
          <t>GSP-2: generator breaker / protection</t>
        </is>
      </c>
      <c r="G2376" s="9" t="inlineStr">
        <is>
          <t>PAD-EH</t>
        </is>
      </c>
      <c r="H2376" s="9" t="inlineStr">
        <is>
          <t>PAD-EH 13.8 kV switchgear e-house</t>
        </is>
      </c>
      <c r="I2376" s="9" t="inlineStr">
        <is>
          <t>Portable MV</t>
        </is>
      </c>
      <c r="J2376" s="9" t="inlineStr">
        <is>
          <t>Type SHD-GC 15 kV 3/C Cu, 2 grounds + GC, yellow CPE (portable)</t>
        </is>
      </c>
      <c r="K2376" s="9" t="inlineStr">
        <is>
          <t>SHD|3/C|2</t>
        </is>
      </c>
      <c r="L2376" s="9" t="inlineStr">
        <is>
          <t>3/C</t>
        </is>
      </c>
      <c r="M2376" s="9" t="inlineStr">
        <is>
          <t>2</t>
        </is>
      </c>
      <c r="N2376" s="9" t="n">
        <v>1</v>
      </c>
      <c r="O2376" s="9" t="n">
        <v>1</v>
      </c>
      <c r="P2376" s="9" t="n">
        <v>13800</v>
      </c>
      <c r="Q2376" s="9" t="n">
        <v>2000</v>
      </c>
      <c r="R2376" s="9" t="n">
        <v>93</v>
      </c>
      <c r="S2376" s="9" t="inlineStr">
        <is>
          <t>Surface</t>
        </is>
      </c>
      <c r="T2376" s="10" t="n">
        <v>399</v>
      </c>
      <c r="U2376" s="10" t="n">
        <v>27</v>
      </c>
      <c r="V2376" s="10">
        <f>ROUNDUP((T2376+U2376+2*'Read Me'!$B$13)*(1+'Read Me'!$B$12),-1)</f>
        <v/>
      </c>
      <c r="W2376" s="10">
        <f>V2376*N2376*O2376</f>
        <v/>
      </c>
      <c r="X2376" s="9">
        <f>IF(LEFT(I2376,2)="MV",2*N2376*IF(L2376="1/C",O2376,1),0)</f>
        <v/>
      </c>
      <c r="Y2376" s="9">
        <f>IF(OR(LEFT(K2376,4)="LVAX",LEFT(K2376,6)="MV15AX",LEFT(K2376,4)="CTAX",LEFT(K2376,2)="W|"),2*N2376*O2376,0)</f>
        <v/>
      </c>
      <c r="Z2376" s="9" t="inlineStr">
        <is>
          <t>portable, on grade</t>
        </is>
      </c>
    </row>
    <row r="2377">
      <c r="A2377" s="9" t="inlineStr">
        <is>
          <t>I-PP-0008</t>
        </is>
      </c>
      <c r="B2377" s="9" t="inlineStr">
        <is>
          <t>I</t>
        </is>
      </c>
      <c r="C2377" s="9" t="inlineStr">
        <is>
          <t>Modular / portable power</t>
        </is>
      </c>
      <c r="D2377" s="9" t="inlineStr">
        <is>
          <t>MOB-1 13.8 kV to PIC through the C-L01 ramp</t>
        </is>
      </c>
      <c r="E2377" s="9" t="inlineStr">
        <is>
          <t>MOB-1</t>
        </is>
      </c>
      <c r="F2377" s="9" t="inlineStr">
        <is>
          <t>MOB-1: trailer genset</t>
        </is>
      </c>
      <c r="G2377" s="9" t="inlineStr">
        <is>
          <t>PIC</t>
        </is>
      </c>
      <c r="H2377" s="9" t="inlineStr">
        <is>
          <t>PIC: portable input cabinet</t>
        </is>
      </c>
      <c r="I2377" s="9" t="inlineStr">
        <is>
          <t>Portable MV</t>
        </is>
      </c>
      <c r="J2377" s="9" t="inlineStr">
        <is>
          <t>Type SHD-GC 15 kV 3/C Cu, 2 grounds + GC, yellow CPE (portable)</t>
        </is>
      </c>
      <c r="K2377" s="9" t="inlineStr">
        <is>
          <t>SHD|3/C|2</t>
        </is>
      </c>
      <c r="L2377" s="9" t="inlineStr">
        <is>
          <t>3/C</t>
        </is>
      </c>
      <c r="M2377" s="9" t="inlineStr">
        <is>
          <t>2</t>
        </is>
      </c>
      <c r="N2377" s="9" t="n">
        <v>1</v>
      </c>
      <c r="O2377" s="9" t="n">
        <v>1</v>
      </c>
      <c r="P2377" s="9" t="n">
        <v>13800</v>
      </c>
      <c r="Q2377" s="9" t="n">
        <v>2000</v>
      </c>
      <c r="R2377" s="9" t="n">
        <v>93</v>
      </c>
      <c r="S2377" s="9" t="inlineStr">
        <is>
          <t>Surface</t>
        </is>
      </c>
      <c r="T2377" s="10" t="n">
        <v>162</v>
      </c>
      <c r="U2377" s="10" t="n">
        <v>27</v>
      </c>
      <c r="V2377" s="10">
        <f>ROUNDUP((T2377+U2377+2*'Read Me'!$B$13)*(1+'Read Me'!$B$12),-1)</f>
        <v/>
      </c>
      <c r="W2377" s="10">
        <f>V2377*N2377*O2377</f>
        <v/>
      </c>
      <c r="X2377" s="9">
        <f>IF(LEFT(I2377,2)="MV",2*N2377*IF(L2377="1/C",O2377,1),0)</f>
        <v/>
      </c>
      <c r="Y2377" s="9">
        <f>IF(OR(LEFT(K2377,4)="LVAX",LEFT(K2377,6)="MV15AX",LEFT(K2377,4)="CTAX",LEFT(K2377,2)="W|"),2*N2377*O2377,0)</f>
        <v/>
      </c>
      <c r="Z2377" s="9" t="inlineStr">
        <is>
          <t>portable</t>
        </is>
      </c>
    </row>
    <row r="2378">
      <c r="A2378" s="9" t="inlineStr">
        <is>
          <t>J-C-0001</t>
        </is>
      </c>
      <c r="B2378" s="9" t="inlineStr">
        <is>
          <t>J</t>
        </is>
      </c>
      <c r="C2378" s="9" t="inlineStr">
        <is>
          <t>GT inlet chilling</t>
        </is>
      </c>
      <c r="D2378" s="9" t="inlineStr">
        <is>
          <t>Control</t>
        </is>
      </c>
      <c r="E2378" s="9" t="inlineStr"/>
      <c r="F2378" s="9" t="inlineStr">
        <is>
          <t>Inlet-chilling e-house / transformer</t>
        </is>
      </c>
      <c r="G2378" s="9" t="inlineStr"/>
      <c r="H2378" s="9" t="inlineStr">
        <is>
          <t>CHW pumps</t>
        </is>
      </c>
      <c r="I2378" s="9" t="inlineStr">
        <is>
          <t>Control</t>
        </is>
      </c>
      <c r="J2378" s="9" t="inlineStr">
        <is>
          <t>Control cable 600 V Type TC-ER, Cu #14 AWG, PVC jacket</t>
        </is>
      </c>
      <c r="K2378" s="9" t="inlineStr">
        <is>
          <t>CT|7/C|14</t>
        </is>
      </c>
      <c r="L2378" s="9" t="inlineStr">
        <is>
          <t>7/C</t>
        </is>
      </c>
      <c r="M2378" s="9" t="inlineStr">
        <is>
          <t>14</t>
        </is>
      </c>
      <c r="N2378" s="9" t="n">
        <v>1</v>
      </c>
      <c r="O2378" s="9" t="n">
        <v>1</v>
      </c>
      <c r="P2378" s="9" t="n"/>
      <c r="Q2378" s="9" t="n"/>
      <c r="R2378" s="9" t="n"/>
      <c r="S2378" s="9" t="inlineStr">
        <is>
          <t>Tray</t>
        </is>
      </c>
      <c r="T2378" s="10" t="n">
        <v>214</v>
      </c>
      <c r="U2378" s="10" t="n">
        <v>58</v>
      </c>
      <c r="V2378" s="10">
        <f>ROUNDUP((T2378+U2378+2*'Read Me'!$B$13)*(1+'Read Me'!$B$12),-1)</f>
        <v/>
      </c>
      <c r="W2378" s="10">
        <f>V2378*N2378*O2378</f>
        <v/>
      </c>
      <c r="X2378" s="9">
        <f>IF(LEFT(I2378,2)="MV",2*N2378*IF(L2378="1/C",O2378,1),0)</f>
        <v/>
      </c>
      <c r="Y2378" s="9">
        <f>IF(OR(LEFT(K2378,4)="LVAX",LEFT(K2378,6)="MV15AX",LEFT(K2378,4)="CTAX",LEFT(K2378,2)="W|"),2*N2378*O2378,0)</f>
        <v/>
      </c>
      <c r="Z2378" s="9" t="inlineStr"/>
    </row>
    <row r="2379">
      <c r="A2379" s="9" t="inlineStr">
        <is>
          <t>J-C-0002</t>
        </is>
      </c>
      <c r="B2379" s="9" t="inlineStr">
        <is>
          <t>J</t>
        </is>
      </c>
      <c r="C2379" s="9" t="inlineStr">
        <is>
          <t>GT inlet chilling</t>
        </is>
      </c>
      <c r="D2379" s="9" t="inlineStr">
        <is>
          <t>Control</t>
        </is>
      </c>
      <c r="E2379" s="9" t="inlineStr"/>
      <c r="F2379" s="9" t="inlineStr">
        <is>
          <t>Inlet-chilling e-house / transformer</t>
        </is>
      </c>
      <c r="G2379" s="9" t="inlineStr"/>
      <c r="H2379" s="9" t="inlineStr">
        <is>
          <t>CW pumps (inlet chilling)</t>
        </is>
      </c>
      <c r="I2379" s="9" t="inlineStr">
        <is>
          <t>Control</t>
        </is>
      </c>
      <c r="J2379" s="9" t="inlineStr">
        <is>
          <t>Control cable 600 V Type TC-ER, Cu #14 AWG, PVC jacket</t>
        </is>
      </c>
      <c r="K2379" s="9" t="inlineStr">
        <is>
          <t>CT|7/C|14</t>
        </is>
      </c>
      <c r="L2379" s="9" t="inlineStr">
        <is>
          <t>7/C</t>
        </is>
      </c>
      <c r="M2379" s="9" t="inlineStr">
        <is>
          <t>14</t>
        </is>
      </c>
      <c r="N2379" s="9" t="n">
        <v>1</v>
      </c>
      <c r="O2379" s="9" t="n">
        <v>1</v>
      </c>
      <c r="P2379" s="9" t="n"/>
      <c r="Q2379" s="9" t="n"/>
      <c r="R2379" s="9" t="n"/>
      <c r="S2379" s="9" t="inlineStr">
        <is>
          <t>Tray</t>
        </is>
      </c>
      <c r="T2379" s="10" t="n">
        <v>0</v>
      </c>
      <c r="U2379" s="10" t="n">
        <v>70</v>
      </c>
      <c r="V2379" s="10">
        <f>ROUNDUP((T2379+U2379+2*'Read Me'!$B$13)*(1+'Read Me'!$B$12),-1)</f>
        <v/>
      </c>
      <c r="W2379" s="10">
        <f>V2379*N2379*O2379</f>
        <v/>
      </c>
      <c r="X2379" s="9">
        <f>IF(LEFT(I2379,2)="MV",2*N2379*IF(L2379="1/C",O2379,1),0)</f>
        <v/>
      </c>
      <c r="Y2379" s="9">
        <f>IF(OR(LEFT(K2379,4)="LVAX",LEFT(K2379,6)="MV15AX",LEFT(K2379,4)="CTAX",LEFT(K2379,2)="W|"),2*N2379*O2379,0)</f>
        <v/>
      </c>
      <c r="Z2379" s="9" t="inlineStr"/>
    </row>
    <row r="2380">
      <c r="A2380" s="9" t="inlineStr">
        <is>
          <t>J-C-0003</t>
        </is>
      </c>
      <c r="B2380" s="9" t="inlineStr">
        <is>
          <t>J</t>
        </is>
      </c>
      <c r="C2380" s="9" t="inlineStr">
        <is>
          <t>GT inlet chilling</t>
        </is>
      </c>
      <c r="D2380" s="9" t="inlineStr">
        <is>
          <t>Control</t>
        </is>
      </c>
      <c r="E2380" s="9" t="inlineStr"/>
      <c r="F2380" s="9" t="inlineStr">
        <is>
          <t>Inlet-chilling e-house / transformer</t>
        </is>
      </c>
      <c r="G2380" s="9" t="inlineStr"/>
      <c r="H2380" s="9" t="inlineStr">
        <is>
          <t>Chillers x6 (water-cooled)</t>
        </is>
      </c>
      <c r="I2380" s="9" t="inlineStr">
        <is>
          <t>Control</t>
        </is>
      </c>
      <c r="J2380" s="9" t="inlineStr">
        <is>
          <t>Control cable 600 V Type TC-ER, Cu #14 AWG, PVC jacket</t>
        </is>
      </c>
      <c r="K2380" s="9" t="inlineStr">
        <is>
          <t>CT|7/C|14</t>
        </is>
      </c>
      <c r="L2380" s="9" t="inlineStr">
        <is>
          <t>7/C</t>
        </is>
      </c>
      <c r="M2380" s="9" t="inlineStr">
        <is>
          <t>14</t>
        </is>
      </c>
      <c r="N2380" s="9" t="n">
        <v>1</v>
      </c>
      <c r="O2380" s="9" t="n">
        <v>1</v>
      </c>
      <c r="P2380" s="9" t="n"/>
      <c r="Q2380" s="9" t="n"/>
      <c r="R2380" s="9" t="n"/>
      <c r="S2380" s="9" t="inlineStr">
        <is>
          <t>Duct bank</t>
        </is>
      </c>
      <c r="T2380" s="10" t="n">
        <v>10</v>
      </c>
      <c r="U2380" s="10" t="n">
        <v>32</v>
      </c>
      <c r="V2380" s="10">
        <f>ROUNDUP((T2380+U2380+2*'Read Me'!$B$13)*(1+'Read Me'!$B$12),-1)</f>
        <v/>
      </c>
      <c r="W2380" s="10">
        <f>V2380*N2380*O2380</f>
        <v/>
      </c>
      <c r="X2380" s="9">
        <f>IF(LEFT(I2380,2)="MV",2*N2380*IF(L2380="1/C",O2380,1),0)</f>
        <v/>
      </c>
      <c r="Y2380" s="9">
        <f>IF(OR(LEFT(K2380,4)="LVAX",LEFT(K2380,6)="MV15AX",LEFT(K2380,4)="CTAX",LEFT(K2380,2)="W|"),2*N2380*O2380,0)</f>
        <v/>
      </c>
      <c r="Z2380" s="9" t="inlineStr"/>
    </row>
    <row r="2381">
      <c r="A2381" s="9" t="inlineStr">
        <is>
          <t>J-C-0004</t>
        </is>
      </c>
      <c r="B2381" s="9" t="inlineStr">
        <is>
          <t>J</t>
        </is>
      </c>
      <c r="C2381" s="9" t="inlineStr">
        <is>
          <t>GT inlet chilling</t>
        </is>
      </c>
      <c r="D2381" s="9" t="inlineStr">
        <is>
          <t>Control</t>
        </is>
      </c>
      <c r="E2381" s="9" t="inlineStr"/>
      <c r="F2381" s="9" t="inlineStr">
        <is>
          <t>Inlet-chilling e-house / transformer</t>
        </is>
      </c>
      <c r="G2381" s="9" t="inlineStr"/>
      <c r="H2381" s="9" t="inlineStr">
        <is>
          <t>Inlet-chilling e-house / transformer</t>
        </is>
      </c>
      <c r="I2381" s="9" t="inlineStr">
        <is>
          <t>Control</t>
        </is>
      </c>
      <c r="J2381" s="9" t="inlineStr">
        <is>
          <t>Control cable 600 V Type TC-ER, Cu #14 AWG, PVC jacket</t>
        </is>
      </c>
      <c r="K2381" s="9" t="inlineStr">
        <is>
          <t>CT|7/C|14</t>
        </is>
      </c>
      <c r="L2381" s="9" t="inlineStr">
        <is>
          <t>7/C</t>
        </is>
      </c>
      <c r="M2381" s="9" t="inlineStr">
        <is>
          <t>14</t>
        </is>
      </c>
      <c r="N2381" s="9" t="n">
        <v>1</v>
      </c>
      <c r="O2381" s="9" t="n">
        <v>1</v>
      </c>
      <c r="P2381" s="9" t="n"/>
      <c r="Q2381" s="9" t="n"/>
      <c r="R2381" s="9" t="n"/>
      <c r="S2381" s="9" t="inlineStr">
        <is>
          <t>Tray</t>
        </is>
      </c>
      <c r="T2381" s="10" t="n">
        <v>0</v>
      </c>
      <c r="U2381" s="10" t="n">
        <v>32</v>
      </c>
      <c r="V2381" s="10">
        <f>ROUNDUP((T2381+U2381+2*'Read Me'!$B$13)*(1+'Read Me'!$B$12),-1)</f>
        <v/>
      </c>
      <c r="W2381" s="10">
        <f>V2381*N2381*O2381</f>
        <v/>
      </c>
      <c r="X2381" s="9">
        <f>IF(LEFT(I2381,2)="MV",2*N2381*IF(L2381="1/C",O2381,1),0)</f>
        <v/>
      </c>
      <c r="Y2381" s="9">
        <f>IF(OR(LEFT(K2381,4)="LVAX",LEFT(K2381,6)="MV15AX",LEFT(K2381,4)="CTAX",LEFT(K2381,2)="W|"),2*N2381*O2381,0)</f>
        <v/>
      </c>
      <c r="Z2381" s="9" t="inlineStr"/>
    </row>
    <row r="2382">
      <c r="A2382" s="9" t="inlineStr">
        <is>
          <t>J-C-0005</t>
        </is>
      </c>
      <c r="B2382" s="9" t="inlineStr">
        <is>
          <t>J</t>
        </is>
      </c>
      <c r="C2382" s="9" t="inlineStr">
        <is>
          <t>GT inlet chilling</t>
        </is>
      </c>
      <c r="D2382" s="9" t="inlineStr">
        <is>
          <t>Control</t>
        </is>
      </c>
      <c r="E2382" s="9" t="inlineStr"/>
      <c r="F2382" s="9" t="inlineStr">
        <is>
          <t>Inlet-chilling e-house / transformer</t>
        </is>
      </c>
      <c r="G2382" s="9" t="inlineStr"/>
      <c r="H2382" s="9" t="inlineStr">
        <is>
          <t>Inlet-chilling e-house / transformer</t>
        </is>
      </c>
      <c r="I2382" s="9" t="inlineStr">
        <is>
          <t>Control</t>
        </is>
      </c>
      <c r="J2382" s="9" t="inlineStr">
        <is>
          <t>Control cable 600 V Type TC-ER, Cu #14 AWG, PVC jacket</t>
        </is>
      </c>
      <c r="K2382" s="9" t="inlineStr">
        <is>
          <t>CT|12/C|14</t>
        </is>
      </c>
      <c r="L2382" s="9" t="inlineStr">
        <is>
          <t>12/C</t>
        </is>
      </c>
      <c r="M2382" s="9" t="inlineStr">
        <is>
          <t>14</t>
        </is>
      </c>
      <c r="N2382" s="9" t="n">
        <v>1</v>
      </c>
      <c r="O2382" s="9" t="n">
        <v>1</v>
      </c>
      <c r="P2382" s="9" t="n"/>
      <c r="Q2382" s="9" t="n"/>
      <c r="R2382" s="9" t="n"/>
      <c r="S2382" s="9" t="inlineStr">
        <is>
          <t>Tray</t>
        </is>
      </c>
      <c r="T2382" s="10" t="n">
        <v>0</v>
      </c>
      <c r="U2382" s="10" t="n">
        <v>32</v>
      </c>
      <c r="V2382" s="10">
        <f>ROUNDUP((T2382+U2382+2*'Read Me'!$B$13)*(1+'Read Me'!$B$12),-1)</f>
        <v/>
      </c>
      <c r="W2382" s="10">
        <f>V2382*N2382*O2382</f>
        <v/>
      </c>
      <c r="X2382" s="9">
        <f>IF(LEFT(I2382,2)="MV",2*N2382*IF(L2382="1/C",O2382,1),0)</f>
        <v/>
      </c>
      <c r="Y2382" s="9">
        <f>IF(OR(LEFT(K2382,4)="LVAX",LEFT(K2382,6)="MV15AX",LEFT(K2382,4)="CTAX",LEFT(K2382,2)="W|"),2*N2382*O2382,0)</f>
        <v/>
      </c>
      <c r="Z2382" s="9" t="inlineStr"/>
    </row>
    <row r="2383">
      <c r="A2383" s="9" t="inlineStr">
        <is>
          <t>J-C-0006</t>
        </is>
      </c>
      <c r="B2383" s="9" t="inlineStr">
        <is>
          <t>J</t>
        </is>
      </c>
      <c r="C2383" s="9" t="inlineStr">
        <is>
          <t>GT inlet chilling</t>
        </is>
      </c>
      <c r="D2383" s="9" t="inlineStr">
        <is>
          <t>CT / VT</t>
        </is>
      </c>
      <c r="E2383" s="9" t="inlineStr"/>
      <c r="F2383" s="9" t="inlineStr">
        <is>
          <t>Inlet-chilling e-house / transformer</t>
        </is>
      </c>
      <c r="G2383" s="9" t="inlineStr"/>
      <c r="H2383" s="9" t="inlineStr">
        <is>
          <t>Inlet-chilling e-house / transformer</t>
        </is>
      </c>
      <c r="I2383" s="9" t="inlineStr">
        <is>
          <t>Control</t>
        </is>
      </c>
      <c r="J2383" s="9" t="inlineStr">
        <is>
          <t>Control cable 600 V Type TC-ER, Cu #10 AWG (CT / VT circuits)</t>
        </is>
      </c>
      <c r="K2383" s="9" t="inlineStr">
        <is>
          <t>CTCT|4/C|10</t>
        </is>
      </c>
      <c r="L2383" s="9" t="inlineStr">
        <is>
          <t>4/C</t>
        </is>
      </c>
      <c r="M2383" s="9" t="inlineStr">
        <is>
          <t>10</t>
        </is>
      </c>
      <c r="N2383" s="9" t="n">
        <v>1</v>
      </c>
      <c r="O2383" s="9" t="n">
        <v>1</v>
      </c>
      <c r="P2383" s="9" t="n"/>
      <c r="Q2383" s="9" t="n"/>
      <c r="R2383" s="9" t="n"/>
      <c r="S2383" s="9" t="inlineStr">
        <is>
          <t>Tray</t>
        </is>
      </c>
      <c r="T2383" s="10" t="n">
        <v>0</v>
      </c>
      <c r="U2383" s="10" t="n">
        <v>32</v>
      </c>
      <c r="V2383" s="10">
        <f>ROUNDUP((T2383+U2383+2*'Read Me'!$B$13)*(1+'Read Me'!$B$12),-1)</f>
        <v/>
      </c>
      <c r="W2383" s="10">
        <f>V2383*N2383*O2383</f>
        <v/>
      </c>
      <c r="X2383" s="9">
        <f>IF(LEFT(I2383,2)="MV",2*N2383*IF(L2383="1/C",O2383,1),0)</f>
        <v/>
      </c>
      <c r="Y2383" s="9">
        <f>IF(OR(LEFT(K2383,4)="LVAX",LEFT(K2383,6)="MV15AX",LEFT(K2383,4)="CTAX",LEFT(K2383,2)="W|"),2*N2383*O2383,0)</f>
        <v/>
      </c>
      <c r="Z2383" s="9" t="inlineStr"/>
    </row>
    <row r="2384">
      <c r="A2384" s="9" t="inlineStr">
        <is>
          <t>J-C-0007</t>
        </is>
      </c>
      <c r="B2384" s="9" t="inlineStr">
        <is>
          <t>J</t>
        </is>
      </c>
      <c r="C2384" s="9" t="inlineStr">
        <is>
          <t>GT inlet chilling</t>
        </is>
      </c>
      <c r="D2384" s="9" t="inlineStr">
        <is>
          <t>CT / VT</t>
        </is>
      </c>
      <c r="E2384" s="9" t="inlineStr"/>
      <c r="F2384" s="9" t="inlineStr">
        <is>
          <t>Inlet-chilling e-house / transformer</t>
        </is>
      </c>
      <c r="G2384" s="9" t="inlineStr"/>
      <c r="H2384" s="9" t="inlineStr">
        <is>
          <t>Inlet-chilling e-house / transformer</t>
        </is>
      </c>
      <c r="I2384" s="9" t="inlineStr">
        <is>
          <t>Control</t>
        </is>
      </c>
      <c r="J2384" s="9" t="inlineStr">
        <is>
          <t>Control cable 600 V Type TC-ER, Cu #10 AWG (CT / VT circuits)</t>
        </is>
      </c>
      <c r="K2384" s="9" t="inlineStr">
        <is>
          <t>CTCT|4/C|10</t>
        </is>
      </c>
      <c r="L2384" s="9" t="inlineStr">
        <is>
          <t>4/C</t>
        </is>
      </c>
      <c r="M2384" s="9" t="inlineStr">
        <is>
          <t>10</t>
        </is>
      </c>
      <c r="N2384" s="9" t="n">
        <v>1</v>
      </c>
      <c r="O2384" s="9" t="n">
        <v>1</v>
      </c>
      <c r="P2384" s="9" t="n"/>
      <c r="Q2384" s="9" t="n"/>
      <c r="R2384" s="9" t="n"/>
      <c r="S2384" s="9" t="inlineStr">
        <is>
          <t>Tray</t>
        </is>
      </c>
      <c r="T2384" s="10" t="n">
        <v>0</v>
      </c>
      <c r="U2384" s="10" t="n">
        <v>32</v>
      </c>
      <c r="V2384" s="10">
        <f>ROUNDUP((T2384+U2384+2*'Read Me'!$B$13)*(1+'Read Me'!$B$12),-1)</f>
        <v/>
      </c>
      <c r="W2384" s="10">
        <f>V2384*N2384*O2384</f>
        <v/>
      </c>
      <c r="X2384" s="9">
        <f>IF(LEFT(I2384,2)="MV",2*N2384*IF(L2384="1/C",O2384,1),0)</f>
        <v/>
      </c>
      <c r="Y2384" s="9">
        <f>IF(OR(LEFT(K2384,4)="LVAX",LEFT(K2384,6)="MV15AX",LEFT(K2384,4)="CTAX",LEFT(K2384,2)="W|"),2*N2384*O2384,0)</f>
        <v/>
      </c>
      <c r="Z2384" s="9" t="inlineStr"/>
    </row>
    <row r="2385">
      <c r="A2385" s="9" t="inlineStr">
        <is>
          <t>J-C-0008</t>
        </is>
      </c>
      <c r="B2385" s="9" t="inlineStr">
        <is>
          <t>J</t>
        </is>
      </c>
      <c r="C2385" s="9" t="inlineStr">
        <is>
          <t>GT inlet chilling</t>
        </is>
      </c>
      <c r="D2385" s="9" t="inlineStr">
        <is>
          <t>Control</t>
        </is>
      </c>
      <c r="E2385" s="9" t="inlineStr"/>
      <c r="F2385" s="9" t="inlineStr">
        <is>
          <t>Inlet-chilling e-house / transformer</t>
        </is>
      </c>
      <c r="G2385" s="9" t="inlineStr"/>
      <c r="H2385" s="9" t="inlineStr">
        <is>
          <t>Inlet-chilling tower (12 cells): chiller heat rejection</t>
        </is>
      </c>
      <c r="I2385" s="9" t="inlineStr">
        <is>
          <t>Control</t>
        </is>
      </c>
      <c r="J2385" s="9" t="inlineStr">
        <is>
          <t>Control cable 600 V Type TC-ER, Cu #14 AWG, PVC jacket</t>
        </is>
      </c>
      <c r="K2385" s="9" t="inlineStr">
        <is>
          <t>CT|7/C|14</t>
        </is>
      </c>
      <c r="L2385" s="9" t="inlineStr">
        <is>
          <t>7/C</t>
        </is>
      </c>
      <c r="M2385" s="9" t="inlineStr">
        <is>
          <t>14</t>
        </is>
      </c>
      <c r="N2385" s="9" t="n">
        <v>1</v>
      </c>
      <c r="O2385" s="9" t="n">
        <v>1</v>
      </c>
      <c r="P2385" s="9" t="n"/>
      <c r="Q2385" s="9" t="n"/>
      <c r="R2385" s="9" t="n"/>
      <c r="S2385" s="9" t="inlineStr">
        <is>
          <t>Tray</t>
        </is>
      </c>
      <c r="T2385" s="10" t="n">
        <v>214</v>
      </c>
      <c r="U2385" s="10" t="n">
        <v>47</v>
      </c>
      <c r="V2385" s="10">
        <f>ROUNDUP((T2385+U2385+2*'Read Me'!$B$13)*(1+'Read Me'!$B$12),-1)</f>
        <v/>
      </c>
      <c r="W2385" s="10">
        <f>V2385*N2385*O2385</f>
        <v/>
      </c>
      <c r="X2385" s="9">
        <f>IF(LEFT(I2385,2)="MV",2*N2385*IF(L2385="1/C",O2385,1),0)</f>
        <v/>
      </c>
      <c r="Y2385" s="9">
        <f>IF(OR(LEFT(K2385,4)="LVAX",LEFT(K2385,6)="MV15AX",LEFT(K2385,4)="CTAX",LEFT(K2385,2)="W|"),2*N2385*O2385,0)</f>
        <v/>
      </c>
      <c r="Z2385" s="9" t="inlineStr"/>
    </row>
    <row r="2386">
      <c r="A2386" s="9" t="inlineStr">
        <is>
          <t>J-I-0001</t>
        </is>
      </c>
      <c r="B2386" s="9" t="inlineStr">
        <is>
          <t>J</t>
        </is>
      </c>
      <c r="C2386" s="9" t="inlineStr">
        <is>
          <t>GT inlet chilling</t>
        </is>
      </c>
      <c r="D2386" s="9" t="inlineStr">
        <is>
          <t>Instrumentation</t>
        </is>
      </c>
      <c r="E2386" s="9" t="inlineStr"/>
      <c r="F2386" s="9" t="inlineStr">
        <is>
          <t>Inlet-chilling e-house / transformer</t>
        </is>
      </c>
      <c r="G2386" s="9" t="inlineStr"/>
      <c r="H2386" s="9" t="inlineStr">
        <is>
          <t>CHW pumps</t>
        </is>
      </c>
      <c r="I2386" s="9" t="inlineStr">
        <is>
          <t>Instrumentation</t>
        </is>
      </c>
      <c r="J2386" s="9" t="inlineStr">
        <is>
          <t>Instrumentation PLTC / TC-ER 300 V, #18 twisted shielded pairs, overall shield</t>
        </is>
      </c>
      <c r="K2386" s="9" t="inlineStr">
        <is>
          <t>PLTC|4 pr|18</t>
        </is>
      </c>
      <c r="L2386" s="9" t="inlineStr">
        <is>
          <t>4 pr</t>
        </is>
      </c>
      <c r="M2386" s="9" t="inlineStr">
        <is>
          <t>18</t>
        </is>
      </c>
      <c r="N2386" s="9" t="n">
        <v>1</v>
      </c>
      <c r="O2386" s="9" t="n">
        <v>1</v>
      </c>
      <c r="P2386" s="9" t="n"/>
      <c r="Q2386" s="9" t="n"/>
      <c r="R2386" s="9" t="n"/>
      <c r="S2386" s="9" t="inlineStr">
        <is>
          <t>Tray</t>
        </is>
      </c>
      <c r="T2386" s="10" t="n">
        <v>214</v>
      </c>
      <c r="U2386" s="10" t="n">
        <v>58</v>
      </c>
      <c r="V2386" s="10">
        <f>ROUNDUP((T2386+U2386+2*'Read Me'!$B$13)*(1+'Read Me'!$B$12),-1)</f>
        <v/>
      </c>
      <c r="W2386" s="10">
        <f>V2386*N2386*O2386</f>
        <v/>
      </c>
      <c r="X2386" s="9">
        <f>IF(LEFT(I2386,2)="MV",2*N2386*IF(L2386="1/C",O2386,1),0)</f>
        <v/>
      </c>
      <c r="Y2386" s="9">
        <f>IF(OR(LEFT(K2386,4)="LVAX",LEFT(K2386,6)="MV15AX",LEFT(K2386,4)="CTAX",LEFT(K2386,2)="W|"),2*N2386*O2386,0)</f>
        <v/>
      </c>
      <c r="Z2386" s="9" t="inlineStr"/>
    </row>
    <row r="2387">
      <c r="A2387" s="9" t="inlineStr">
        <is>
          <t>J-I-0002</t>
        </is>
      </c>
      <c r="B2387" s="9" t="inlineStr">
        <is>
          <t>J</t>
        </is>
      </c>
      <c r="C2387" s="9" t="inlineStr">
        <is>
          <t>GT inlet chilling</t>
        </is>
      </c>
      <c r="D2387" s="9" t="inlineStr">
        <is>
          <t>Instrumentation</t>
        </is>
      </c>
      <c r="E2387" s="9" t="inlineStr"/>
      <c r="F2387" s="9" t="inlineStr">
        <is>
          <t>Inlet-chilling e-house / transformer</t>
        </is>
      </c>
      <c r="G2387" s="9" t="inlineStr"/>
      <c r="H2387" s="9" t="inlineStr">
        <is>
          <t>CHW pumps</t>
        </is>
      </c>
      <c r="I2387" s="9" t="inlineStr">
        <is>
          <t>Instrumentation</t>
        </is>
      </c>
      <c r="J2387" s="9" t="inlineStr">
        <is>
          <t>Instrumentation PLTC / TC-ER 300 V, #18 twisted shielded pairs, overall shield</t>
        </is>
      </c>
      <c r="K2387" s="9" t="inlineStr">
        <is>
          <t>PLTC|12 pr|18</t>
        </is>
      </c>
      <c r="L2387" s="9" t="inlineStr">
        <is>
          <t>12 pr</t>
        </is>
      </c>
      <c r="M2387" s="9" t="inlineStr">
        <is>
          <t>18</t>
        </is>
      </c>
      <c r="N2387" s="9" t="n">
        <v>1</v>
      </c>
      <c r="O2387" s="9" t="n">
        <v>1</v>
      </c>
      <c r="P2387" s="9" t="n"/>
      <c r="Q2387" s="9" t="n"/>
      <c r="R2387" s="9" t="n"/>
      <c r="S2387" s="9" t="inlineStr">
        <is>
          <t>Tray</t>
        </is>
      </c>
      <c r="T2387" s="10" t="n">
        <v>214</v>
      </c>
      <c r="U2387" s="10" t="n">
        <v>58</v>
      </c>
      <c r="V2387" s="10">
        <f>ROUNDUP((T2387+U2387+2*'Read Me'!$B$13)*(1+'Read Me'!$B$12),-1)</f>
        <v/>
      </c>
      <c r="W2387" s="10">
        <f>V2387*N2387*O2387</f>
        <v/>
      </c>
      <c r="X2387" s="9">
        <f>IF(LEFT(I2387,2)="MV",2*N2387*IF(L2387="1/C",O2387,1),0)</f>
        <v/>
      </c>
      <c r="Y2387" s="9">
        <f>IF(OR(LEFT(K2387,4)="LVAX",LEFT(K2387,6)="MV15AX",LEFT(K2387,4)="CTAX",LEFT(K2387,2)="W|"),2*N2387*O2387,0)</f>
        <v/>
      </c>
      <c r="Z2387" s="9" t="inlineStr"/>
    </row>
    <row r="2388">
      <c r="A2388" s="9" t="inlineStr">
        <is>
          <t>J-I-0003</t>
        </is>
      </c>
      <c r="B2388" s="9" t="inlineStr">
        <is>
          <t>J</t>
        </is>
      </c>
      <c r="C2388" s="9" t="inlineStr">
        <is>
          <t>GT inlet chilling</t>
        </is>
      </c>
      <c r="D2388" s="9" t="inlineStr">
        <is>
          <t>Instrumentation</t>
        </is>
      </c>
      <c r="E2388" s="9" t="inlineStr"/>
      <c r="F2388" s="9" t="inlineStr">
        <is>
          <t>Inlet-chilling e-house / transformer</t>
        </is>
      </c>
      <c r="G2388" s="9" t="inlineStr"/>
      <c r="H2388" s="9" t="inlineStr">
        <is>
          <t>CONDITIONAL: TES chilled-water tank</t>
        </is>
      </c>
      <c r="I2388" s="9" t="inlineStr">
        <is>
          <t>Instrumentation</t>
        </is>
      </c>
      <c r="J2388" s="9" t="inlineStr">
        <is>
          <t>Instrumentation PLTC / TC-ER 300 V, #18 twisted shielded pairs, overall shield</t>
        </is>
      </c>
      <c r="K2388" s="9" t="inlineStr">
        <is>
          <t>PLTC|4 pr|18</t>
        </is>
      </c>
      <c r="L2388" s="9" t="inlineStr">
        <is>
          <t>4 pr</t>
        </is>
      </c>
      <c r="M2388" s="9" t="inlineStr">
        <is>
          <t>18</t>
        </is>
      </c>
      <c r="N2388" s="9" t="n">
        <v>1</v>
      </c>
      <c r="O2388" s="9" t="n">
        <v>1</v>
      </c>
      <c r="P2388" s="9" t="n"/>
      <c r="Q2388" s="9" t="n"/>
      <c r="R2388" s="9" t="n"/>
      <c r="S2388" s="9" t="inlineStr">
        <is>
          <t>Tray</t>
        </is>
      </c>
      <c r="T2388" s="10" t="n">
        <v>214</v>
      </c>
      <c r="U2388" s="10" t="n">
        <v>32</v>
      </c>
      <c r="V2388" s="10">
        <f>ROUNDUP((T2388+U2388+2*'Read Me'!$B$13)*(1+'Read Me'!$B$12),-1)</f>
        <v/>
      </c>
      <c r="W2388" s="10">
        <f>V2388*N2388*O2388</f>
        <v/>
      </c>
      <c r="X2388" s="9">
        <f>IF(LEFT(I2388,2)="MV",2*N2388*IF(L2388="1/C",O2388,1),0)</f>
        <v/>
      </c>
      <c r="Y2388" s="9">
        <f>IF(OR(LEFT(K2388,4)="LVAX",LEFT(K2388,6)="MV15AX",LEFT(K2388,4)="CTAX",LEFT(K2388,2)="W|"),2*N2388*O2388,0)</f>
        <v/>
      </c>
      <c r="Z2388" s="9" t="inlineStr"/>
    </row>
    <row r="2389">
      <c r="A2389" s="9" t="inlineStr">
        <is>
          <t>J-I-0004</t>
        </is>
      </c>
      <c r="B2389" s="9" t="inlineStr">
        <is>
          <t>J</t>
        </is>
      </c>
      <c r="C2389" s="9" t="inlineStr">
        <is>
          <t>GT inlet chilling</t>
        </is>
      </c>
      <c r="D2389" s="9" t="inlineStr">
        <is>
          <t>Instrumentation</t>
        </is>
      </c>
      <c r="E2389" s="9" t="inlineStr"/>
      <c r="F2389" s="9" t="inlineStr">
        <is>
          <t>Inlet-chilling e-house / transformer</t>
        </is>
      </c>
      <c r="G2389" s="9" t="inlineStr"/>
      <c r="H2389" s="9" t="inlineStr">
        <is>
          <t>CONDITIONAL: TES chilled-water tank</t>
        </is>
      </c>
      <c r="I2389" s="9" t="inlineStr">
        <is>
          <t>Instrumentation</t>
        </is>
      </c>
      <c r="J2389" s="9" t="inlineStr">
        <is>
          <t>Instrumentation PLTC / TC-ER 300 V, #18 twisted shielded pairs, overall shield</t>
        </is>
      </c>
      <c r="K2389" s="9" t="inlineStr">
        <is>
          <t>PLTC|12 pr|18</t>
        </is>
      </c>
      <c r="L2389" s="9" t="inlineStr">
        <is>
          <t>12 pr</t>
        </is>
      </c>
      <c r="M2389" s="9" t="inlineStr">
        <is>
          <t>18</t>
        </is>
      </c>
      <c r="N2389" s="9" t="n">
        <v>1</v>
      </c>
      <c r="O2389" s="9" t="n">
        <v>1</v>
      </c>
      <c r="P2389" s="9" t="n"/>
      <c r="Q2389" s="9" t="n"/>
      <c r="R2389" s="9" t="n"/>
      <c r="S2389" s="9" t="inlineStr">
        <is>
          <t>Tray</t>
        </is>
      </c>
      <c r="T2389" s="10" t="n">
        <v>214</v>
      </c>
      <c r="U2389" s="10" t="n">
        <v>32</v>
      </c>
      <c r="V2389" s="10">
        <f>ROUNDUP((T2389+U2389+2*'Read Me'!$B$13)*(1+'Read Me'!$B$12),-1)</f>
        <v/>
      </c>
      <c r="W2389" s="10">
        <f>V2389*N2389*O2389</f>
        <v/>
      </c>
      <c r="X2389" s="9">
        <f>IF(LEFT(I2389,2)="MV",2*N2389*IF(L2389="1/C",O2389,1),0)</f>
        <v/>
      </c>
      <c r="Y2389" s="9">
        <f>IF(OR(LEFT(K2389,4)="LVAX",LEFT(K2389,6)="MV15AX",LEFT(K2389,4)="CTAX",LEFT(K2389,2)="W|"),2*N2389*O2389,0)</f>
        <v/>
      </c>
      <c r="Z2389" s="9" t="inlineStr"/>
    </row>
    <row r="2390">
      <c r="A2390" s="9" t="inlineStr">
        <is>
          <t>J-I-0005</t>
        </is>
      </c>
      <c r="B2390" s="9" t="inlineStr">
        <is>
          <t>J</t>
        </is>
      </c>
      <c r="C2390" s="9" t="inlineStr">
        <is>
          <t>GT inlet chilling</t>
        </is>
      </c>
      <c r="D2390" s="9" t="inlineStr">
        <is>
          <t>Instrumentation</t>
        </is>
      </c>
      <c r="E2390" s="9" t="inlineStr"/>
      <c r="F2390" s="9" t="inlineStr">
        <is>
          <t>Inlet-chilling e-house / transformer</t>
        </is>
      </c>
      <c r="G2390" s="9" t="inlineStr"/>
      <c r="H2390" s="9" t="inlineStr">
        <is>
          <t>CW pumps (inlet chilling)</t>
        </is>
      </c>
      <c r="I2390" s="9" t="inlineStr">
        <is>
          <t>Instrumentation</t>
        </is>
      </c>
      <c r="J2390" s="9" t="inlineStr">
        <is>
          <t>Instrumentation PLTC / TC-ER 300 V, #18 twisted shielded pairs, overall shield</t>
        </is>
      </c>
      <c r="K2390" s="9" t="inlineStr">
        <is>
          <t>PLTC|4 pr|18</t>
        </is>
      </c>
      <c r="L2390" s="9" t="inlineStr">
        <is>
          <t>4 pr</t>
        </is>
      </c>
      <c r="M2390" s="9" t="inlineStr">
        <is>
          <t>18</t>
        </is>
      </c>
      <c r="N2390" s="9" t="n">
        <v>1</v>
      </c>
      <c r="O2390" s="9" t="n">
        <v>1</v>
      </c>
      <c r="P2390" s="9" t="n"/>
      <c r="Q2390" s="9" t="n"/>
      <c r="R2390" s="9" t="n"/>
      <c r="S2390" s="9" t="inlineStr">
        <is>
          <t>Tray</t>
        </is>
      </c>
      <c r="T2390" s="10" t="n">
        <v>0</v>
      </c>
      <c r="U2390" s="10" t="n">
        <v>70</v>
      </c>
      <c r="V2390" s="10">
        <f>ROUNDUP((T2390+U2390+2*'Read Me'!$B$13)*(1+'Read Me'!$B$12),-1)</f>
        <v/>
      </c>
      <c r="W2390" s="10">
        <f>V2390*N2390*O2390</f>
        <v/>
      </c>
      <c r="X2390" s="9">
        <f>IF(LEFT(I2390,2)="MV",2*N2390*IF(L2390="1/C",O2390,1),0)</f>
        <v/>
      </c>
      <c r="Y2390" s="9">
        <f>IF(OR(LEFT(K2390,4)="LVAX",LEFT(K2390,6)="MV15AX",LEFT(K2390,4)="CTAX",LEFT(K2390,2)="W|"),2*N2390*O2390,0)</f>
        <v/>
      </c>
      <c r="Z2390" s="9" t="inlineStr"/>
    </row>
    <row r="2391">
      <c r="A2391" s="9" t="inlineStr">
        <is>
          <t>J-I-0006</t>
        </is>
      </c>
      <c r="B2391" s="9" t="inlineStr">
        <is>
          <t>J</t>
        </is>
      </c>
      <c r="C2391" s="9" t="inlineStr">
        <is>
          <t>GT inlet chilling</t>
        </is>
      </c>
      <c r="D2391" s="9" t="inlineStr">
        <is>
          <t>Instrumentation</t>
        </is>
      </c>
      <c r="E2391" s="9" t="inlineStr"/>
      <c r="F2391" s="9" t="inlineStr">
        <is>
          <t>Inlet-chilling e-house / transformer</t>
        </is>
      </c>
      <c r="G2391" s="9" t="inlineStr"/>
      <c r="H2391" s="9" t="inlineStr">
        <is>
          <t>CW pumps (inlet chilling)</t>
        </is>
      </c>
      <c r="I2391" s="9" t="inlineStr">
        <is>
          <t>Instrumentation</t>
        </is>
      </c>
      <c r="J2391" s="9" t="inlineStr">
        <is>
          <t>Instrumentation PLTC / TC-ER 300 V, #18 twisted shielded pairs, overall shield</t>
        </is>
      </c>
      <c r="K2391" s="9" t="inlineStr">
        <is>
          <t>PLTC|12 pr|18</t>
        </is>
      </c>
      <c r="L2391" s="9" t="inlineStr">
        <is>
          <t>12 pr</t>
        </is>
      </c>
      <c r="M2391" s="9" t="inlineStr">
        <is>
          <t>18</t>
        </is>
      </c>
      <c r="N2391" s="9" t="n">
        <v>1</v>
      </c>
      <c r="O2391" s="9" t="n">
        <v>1</v>
      </c>
      <c r="P2391" s="9" t="n"/>
      <c r="Q2391" s="9" t="n"/>
      <c r="R2391" s="9" t="n"/>
      <c r="S2391" s="9" t="inlineStr">
        <is>
          <t>Tray</t>
        </is>
      </c>
      <c r="T2391" s="10" t="n">
        <v>0</v>
      </c>
      <c r="U2391" s="10" t="n">
        <v>70</v>
      </c>
      <c r="V2391" s="10">
        <f>ROUNDUP((T2391+U2391+2*'Read Me'!$B$13)*(1+'Read Me'!$B$12),-1)</f>
        <v/>
      </c>
      <c r="W2391" s="10">
        <f>V2391*N2391*O2391</f>
        <v/>
      </c>
      <c r="X2391" s="9">
        <f>IF(LEFT(I2391,2)="MV",2*N2391*IF(L2391="1/C",O2391,1),0)</f>
        <v/>
      </c>
      <c r="Y2391" s="9">
        <f>IF(OR(LEFT(K2391,4)="LVAX",LEFT(K2391,6)="MV15AX",LEFT(K2391,4)="CTAX",LEFT(K2391,2)="W|"),2*N2391*O2391,0)</f>
        <v/>
      </c>
      <c r="Z2391" s="9" t="inlineStr"/>
    </row>
    <row r="2392">
      <c r="A2392" s="9" t="inlineStr">
        <is>
          <t>J-I-0007</t>
        </is>
      </c>
      <c r="B2392" s="9" t="inlineStr">
        <is>
          <t>J</t>
        </is>
      </c>
      <c r="C2392" s="9" t="inlineStr">
        <is>
          <t>GT inlet chilling</t>
        </is>
      </c>
      <c r="D2392" s="9" t="inlineStr">
        <is>
          <t>Instrumentation</t>
        </is>
      </c>
      <c r="E2392" s="9" t="inlineStr"/>
      <c r="F2392" s="9" t="inlineStr">
        <is>
          <t>Inlet-chilling e-house / transformer</t>
        </is>
      </c>
      <c r="G2392" s="9" t="inlineStr"/>
      <c r="H2392" s="9" t="inlineStr">
        <is>
          <t>Chillers x6 (water-cooled)</t>
        </is>
      </c>
      <c r="I2392" s="9" t="inlineStr">
        <is>
          <t>Instrumentation</t>
        </is>
      </c>
      <c r="J2392" s="9" t="inlineStr">
        <is>
          <t>Instrumentation PLTC / TC-ER 300 V, #18 twisted shielded pairs, overall shield</t>
        </is>
      </c>
      <c r="K2392" s="9" t="inlineStr">
        <is>
          <t>PLTC|4 pr|18</t>
        </is>
      </c>
      <c r="L2392" s="9" t="inlineStr">
        <is>
          <t>4 pr</t>
        </is>
      </c>
      <c r="M2392" s="9" t="inlineStr">
        <is>
          <t>18</t>
        </is>
      </c>
      <c r="N2392" s="9" t="n">
        <v>1</v>
      </c>
      <c r="O2392" s="9" t="n">
        <v>1</v>
      </c>
      <c r="P2392" s="9" t="n"/>
      <c r="Q2392" s="9" t="n"/>
      <c r="R2392" s="9" t="n"/>
      <c r="S2392" s="9" t="inlineStr">
        <is>
          <t>Duct bank</t>
        </is>
      </c>
      <c r="T2392" s="10" t="n">
        <v>10</v>
      </c>
      <c r="U2392" s="10" t="n">
        <v>32</v>
      </c>
      <c r="V2392" s="10">
        <f>ROUNDUP((T2392+U2392+2*'Read Me'!$B$13)*(1+'Read Me'!$B$12),-1)</f>
        <v/>
      </c>
      <c r="W2392" s="10">
        <f>V2392*N2392*O2392</f>
        <v/>
      </c>
      <c r="X2392" s="9">
        <f>IF(LEFT(I2392,2)="MV",2*N2392*IF(L2392="1/C",O2392,1),0)</f>
        <v/>
      </c>
      <c r="Y2392" s="9">
        <f>IF(OR(LEFT(K2392,4)="LVAX",LEFT(K2392,6)="MV15AX",LEFT(K2392,4)="CTAX",LEFT(K2392,2)="W|"),2*N2392*O2392,0)</f>
        <v/>
      </c>
      <c r="Z2392" s="9" t="inlineStr"/>
    </row>
    <row r="2393">
      <c r="A2393" s="9" t="inlineStr">
        <is>
          <t>J-I-0008</t>
        </is>
      </c>
      <c r="B2393" s="9" t="inlineStr">
        <is>
          <t>J</t>
        </is>
      </c>
      <c r="C2393" s="9" t="inlineStr">
        <is>
          <t>GT inlet chilling</t>
        </is>
      </c>
      <c r="D2393" s="9" t="inlineStr">
        <is>
          <t>Instrumentation</t>
        </is>
      </c>
      <c r="E2393" s="9" t="inlineStr"/>
      <c r="F2393" s="9" t="inlineStr">
        <is>
          <t>Inlet-chilling e-house / transformer</t>
        </is>
      </c>
      <c r="G2393" s="9" t="inlineStr"/>
      <c r="H2393" s="9" t="inlineStr">
        <is>
          <t>Inlet-chilling e-house / transformer</t>
        </is>
      </c>
      <c r="I2393" s="9" t="inlineStr">
        <is>
          <t>Instrumentation</t>
        </is>
      </c>
      <c r="J2393" s="9" t="inlineStr">
        <is>
          <t>Instrumentation PLTC / TC-ER 300 V, #18 twisted shielded pairs, overall shield</t>
        </is>
      </c>
      <c r="K2393" s="9" t="inlineStr">
        <is>
          <t>PLTC|4 pr|18</t>
        </is>
      </c>
      <c r="L2393" s="9" t="inlineStr">
        <is>
          <t>4 pr</t>
        </is>
      </c>
      <c r="M2393" s="9" t="inlineStr">
        <is>
          <t>18</t>
        </is>
      </c>
      <c r="N2393" s="9" t="n">
        <v>1</v>
      </c>
      <c r="O2393" s="9" t="n">
        <v>1</v>
      </c>
      <c r="P2393" s="9" t="n"/>
      <c r="Q2393" s="9" t="n"/>
      <c r="R2393" s="9" t="n"/>
      <c r="S2393" s="9" t="inlineStr">
        <is>
          <t>Tray</t>
        </is>
      </c>
      <c r="T2393" s="10" t="n">
        <v>0</v>
      </c>
      <c r="U2393" s="10" t="n">
        <v>32</v>
      </c>
      <c r="V2393" s="10">
        <f>ROUNDUP((T2393+U2393+2*'Read Me'!$B$13)*(1+'Read Me'!$B$12),-1)</f>
        <v/>
      </c>
      <c r="W2393" s="10">
        <f>V2393*N2393*O2393</f>
        <v/>
      </c>
      <c r="X2393" s="9">
        <f>IF(LEFT(I2393,2)="MV",2*N2393*IF(L2393="1/C",O2393,1),0)</f>
        <v/>
      </c>
      <c r="Y2393" s="9">
        <f>IF(OR(LEFT(K2393,4)="LVAX",LEFT(K2393,6)="MV15AX",LEFT(K2393,4)="CTAX",LEFT(K2393,2)="W|"),2*N2393*O2393,0)</f>
        <v/>
      </c>
      <c r="Z2393" s="9" t="inlineStr"/>
    </row>
    <row r="2394">
      <c r="A2394" s="9" t="inlineStr">
        <is>
          <t>J-I-0009</t>
        </is>
      </c>
      <c r="B2394" s="9" t="inlineStr">
        <is>
          <t>J</t>
        </is>
      </c>
      <c r="C2394" s="9" t="inlineStr">
        <is>
          <t>GT inlet chilling</t>
        </is>
      </c>
      <c r="D2394" s="9" t="inlineStr">
        <is>
          <t>Instrumentation</t>
        </is>
      </c>
      <c r="E2394" s="9" t="inlineStr"/>
      <c r="F2394" s="9" t="inlineStr">
        <is>
          <t>Inlet-chilling e-house / transformer</t>
        </is>
      </c>
      <c r="G2394" s="9" t="inlineStr"/>
      <c r="H2394" s="9" t="inlineStr">
        <is>
          <t>Inlet-chilling tower (12 cells): chiller heat rejection</t>
        </is>
      </c>
      <c r="I2394" s="9" t="inlineStr">
        <is>
          <t>Instrumentation</t>
        </is>
      </c>
      <c r="J2394" s="9" t="inlineStr">
        <is>
          <t>Instrumentation PLTC / TC-ER 300 V, #18 twisted shielded pairs, overall shield</t>
        </is>
      </c>
      <c r="K2394" s="9" t="inlineStr">
        <is>
          <t>PLTC|4 pr|18</t>
        </is>
      </c>
      <c r="L2394" s="9" t="inlineStr">
        <is>
          <t>4 pr</t>
        </is>
      </c>
      <c r="M2394" s="9" t="inlineStr">
        <is>
          <t>18</t>
        </is>
      </c>
      <c r="N2394" s="9" t="n">
        <v>1</v>
      </c>
      <c r="O2394" s="9" t="n">
        <v>1</v>
      </c>
      <c r="P2394" s="9" t="n"/>
      <c r="Q2394" s="9" t="n"/>
      <c r="R2394" s="9" t="n"/>
      <c r="S2394" s="9" t="inlineStr">
        <is>
          <t>Tray</t>
        </is>
      </c>
      <c r="T2394" s="10" t="n">
        <v>214</v>
      </c>
      <c r="U2394" s="10" t="n">
        <v>47</v>
      </c>
      <c r="V2394" s="10">
        <f>ROUNDUP((T2394+U2394+2*'Read Me'!$B$13)*(1+'Read Me'!$B$12),-1)</f>
        <v/>
      </c>
      <c r="W2394" s="10">
        <f>V2394*N2394*O2394</f>
        <v/>
      </c>
      <c r="X2394" s="9">
        <f>IF(LEFT(I2394,2)="MV",2*N2394*IF(L2394="1/C",O2394,1),0)</f>
        <v/>
      </c>
      <c r="Y2394" s="9">
        <f>IF(OR(LEFT(K2394,4)="LVAX",LEFT(K2394,6)="MV15AX",LEFT(K2394,4)="CTAX",LEFT(K2394,2)="W|"),2*N2394*O2394,0)</f>
        <v/>
      </c>
      <c r="Z2394" s="9" t="inlineStr"/>
    </row>
    <row r="2395">
      <c r="A2395" s="9" t="inlineStr">
        <is>
          <t>J-P-0001</t>
        </is>
      </c>
      <c r="B2395" s="9" t="inlineStr">
        <is>
          <t>J</t>
        </is>
      </c>
      <c r="C2395" s="9" t="inlineStr">
        <is>
          <t>GT inlet chilling</t>
        </is>
      </c>
      <c r="D2395" s="9" t="inlineStr">
        <is>
          <t>LV power feeder</t>
        </is>
      </c>
      <c r="E2395" s="9" t="inlineStr"/>
      <c r="F2395" s="9" t="inlineStr">
        <is>
          <t>Inlet-chilling e-house / transformer</t>
        </is>
      </c>
      <c r="G2395" s="9" t="inlineStr"/>
      <c r="H2395" s="9" t="inlineStr">
        <is>
          <t>CHW pumps</t>
        </is>
      </c>
      <c r="I2395" s="9" t="inlineStr">
        <is>
          <t>LV 600 V</t>
        </is>
      </c>
      <c r="J2395" s="9" t="inlineStr">
        <is>
          <t>Type TC-ER 600 V 3/C Cu XHHW-2 + ground, PVC jacket</t>
        </is>
      </c>
      <c r="K2395" s="9" t="inlineStr">
        <is>
          <t>LV|3/C+G|10</t>
        </is>
      </c>
      <c r="L2395" s="9" t="inlineStr">
        <is>
          <t>3/C+G</t>
        </is>
      </c>
      <c r="M2395" s="9" t="inlineStr">
        <is>
          <t>10</t>
        </is>
      </c>
      <c r="N2395" s="9" t="n">
        <v>1</v>
      </c>
      <c r="O2395" s="9" t="n">
        <v>1</v>
      </c>
      <c r="P2395" s="9" t="n">
        <v>480</v>
      </c>
      <c r="Q2395" s="9" t="n">
        <v>15</v>
      </c>
      <c r="R2395" s="9" t="n">
        <v>21</v>
      </c>
      <c r="S2395" s="9" t="inlineStr">
        <is>
          <t>Tray</t>
        </is>
      </c>
      <c r="T2395" s="10" t="n">
        <v>214</v>
      </c>
      <c r="U2395" s="10" t="n">
        <v>58</v>
      </c>
      <c r="V2395" s="10">
        <f>ROUNDUP((T2395+U2395+2*'Read Me'!$B$13)*(1+'Read Me'!$B$12),-1)</f>
        <v/>
      </c>
      <c r="W2395" s="10">
        <f>V2395*N2395*O2395</f>
        <v/>
      </c>
      <c r="X2395" s="9">
        <f>IF(LEFT(I2395,2)="MV",2*N2395*IF(L2395="1/C",O2395,1),0)</f>
        <v/>
      </c>
      <c r="Y2395" s="9">
        <f>IF(OR(LEFT(K2395,4)="LVAX",LEFT(K2395,6)="MV15AX",LEFT(K2395,4)="CTAX",LEFT(K2395,2)="W|"),2*N2395*O2395,0)</f>
        <v/>
      </c>
      <c r="Z2395" s="9" t="inlineStr">
        <is>
          <t>VD 2.8 %</t>
        </is>
      </c>
    </row>
    <row r="2396">
      <c r="A2396" s="9" t="inlineStr">
        <is>
          <t>J-P-0002</t>
        </is>
      </c>
      <c r="B2396" s="9" t="inlineStr">
        <is>
          <t>J</t>
        </is>
      </c>
      <c r="C2396" s="9" t="inlineStr">
        <is>
          <t>GT inlet chilling</t>
        </is>
      </c>
      <c r="D2396" s="9" t="inlineStr">
        <is>
          <t>LV power feeder</t>
        </is>
      </c>
      <c r="E2396" s="9" t="inlineStr"/>
      <c r="F2396" s="9" t="inlineStr">
        <is>
          <t>Inlet-chilling e-house / transformer</t>
        </is>
      </c>
      <c r="G2396" s="9" t="inlineStr"/>
      <c r="H2396" s="9" t="inlineStr">
        <is>
          <t>CONDITIONAL: TES chilled-water tank</t>
        </is>
      </c>
      <c r="I2396" s="9" t="inlineStr">
        <is>
          <t>LV 600 V</t>
        </is>
      </c>
      <c r="J2396" s="9" t="inlineStr">
        <is>
          <t>Type TC-ER 600 V 3/C Cu XHHW-2 + ground, PVC jacket</t>
        </is>
      </c>
      <c r="K2396" s="9" t="inlineStr">
        <is>
          <t>LV|3/C+G|10</t>
        </is>
      </c>
      <c r="L2396" s="9" t="inlineStr">
        <is>
          <t>3/C+G</t>
        </is>
      </c>
      <c r="M2396" s="9" t="inlineStr">
        <is>
          <t>10</t>
        </is>
      </c>
      <c r="N2396" s="9" t="n">
        <v>1</v>
      </c>
      <c r="O2396" s="9" t="n">
        <v>1</v>
      </c>
      <c r="P2396" s="9" t="n">
        <v>480</v>
      </c>
      <c r="Q2396" s="9" t="n">
        <v>10</v>
      </c>
      <c r="R2396" s="9" t="n">
        <v>14</v>
      </c>
      <c r="S2396" s="9" t="inlineStr">
        <is>
          <t>Tray</t>
        </is>
      </c>
      <c r="T2396" s="10" t="n">
        <v>214</v>
      </c>
      <c r="U2396" s="10" t="n">
        <v>32</v>
      </c>
      <c r="V2396" s="10">
        <f>ROUNDUP((T2396+U2396+2*'Read Me'!$B$13)*(1+'Read Me'!$B$12),-1)</f>
        <v/>
      </c>
      <c r="W2396" s="10">
        <f>V2396*N2396*O2396</f>
        <v/>
      </c>
      <c r="X2396" s="9">
        <f>IF(LEFT(I2396,2)="MV",2*N2396*IF(L2396="1/C",O2396,1),0)</f>
        <v/>
      </c>
      <c r="Y2396" s="9">
        <f>IF(OR(LEFT(K2396,4)="LVAX",LEFT(K2396,6)="MV15AX",LEFT(K2396,4)="CTAX",LEFT(K2396,2)="W|"),2*N2396*O2396,0)</f>
        <v/>
      </c>
      <c r="Z2396" s="9" t="inlineStr">
        <is>
          <t>VD 1.7 %</t>
        </is>
      </c>
    </row>
    <row r="2397">
      <c r="A2397" s="9" t="inlineStr">
        <is>
          <t>J-P-0003</t>
        </is>
      </c>
      <c r="B2397" s="9" t="inlineStr">
        <is>
          <t>J</t>
        </is>
      </c>
      <c r="C2397" s="9" t="inlineStr">
        <is>
          <t>GT inlet chilling</t>
        </is>
      </c>
      <c r="D2397" s="9" t="inlineStr">
        <is>
          <t>LV power feeder</t>
        </is>
      </c>
      <c r="E2397" s="9" t="inlineStr"/>
      <c r="F2397" s="9" t="inlineStr">
        <is>
          <t>Inlet-chilling e-house / transformer</t>
        </is>
      </c>
      <c r="G2397" s="9" t="inlineStr"/>
      <c r="H2397" s="9" t="inlineStr">
        <is>
          <t>Inlet-chilling tower (12 cells): chiller heat rejection</t>
        </is>
      </c>
      <c r="I2397" s="9" t="inlineStr">
        <is>
          <t>LV 600 V</t>
        </is>
      </c>
      <c r="J2397" s="9" t="inlineStr">
        <is>
          <t>Type TC-ER 600 V 3/C Cu XHHW-2 + ground, PVC jacket</t>
        </is>
      </c>
      <c r="K2397" s="9" t="inlineStr">
        <is>
          <t>LV|3/C+G|10</t>
        </is>
      </c>
      <c r="L2397" s="9" t="inlineStr">
        <is>
          <t>3/C+G</t>
        </is>
      </c>
      <c r="M2397" s="9" t="inlineStr">
        <is>
          <t>10</t>
        </is>
      </c>
      <c r="N2397" s="9" t="n">
        <v>1</v>
      </c>
      <c r="O2397" s="9" t="n">
        <v>1</v>
      </c>
      <c r="P2397" s="9" t="n">
        <v>480</v>
      </c>
      <c r="Q2397" s="9" t="n">
        <v>15</v>
      </c>
      <c r="R2397" s="9" t="n">
        <v>21</v>
      </c>
      <c r="S2397" s="9" t="inlineStr">
        <is>
          <t>Tray</t>
        </is>
      </c>
      <c r="T2397" s="10" t="n">
        <v>214</v>
      </c>
      <c r="U2397" s="10" t="n">
        <v>47</v>
      </c>
      <c r="V2397" s="10">
        <f>ROUNDUP((T2397+U2397+2*'Read Me'!$B$13)*(1+'Read Me'!$B$12),-1)</f>
        <v/>
      </c>
      <c r="W2397" s="10">
        <f>V2397*N2397*O2397</f>
        <v/>
      </c>
      <c r="X2397" s="9">
        <f>IF(LEFT(I2397,2)="MV",2*N2397*IF(L2397="1/C",O2397,1),0)</f>
        <v/>
      </c>
      <c r="Y2397" s="9">
        <f>IF(OR(LEFT(K2397,4)="LVAX",LEFT(K2397,6)="MV15AX",LEFT(K2397,4)="CTAX",LEFT(K2397,2)="W|"),2*N2397*O2397,0)</f>
        <v/>
      </c>
      <c r="Z2397" s="9" t="inlineStr">
        <is>
          <t>VD 2.7 %</t>
        </is>
      </c>
    </row>
    <row r="2398">
      <c r="A2398" s="9" t="inlineStr">
        <is>
          <t>J-MV-0001</t>
        </is>
      </c>
      <c r="B2398" s="9" t="inlineStr">
        <is>
          <t>J</t>
        </is>
      </c>
      <c r="C2398" s="9" t="inlineStr">
        <is>
          <t>GT inlet chilling</t>
        </is>
      </c>
      <c r="D2398" s="9" t="inlineStr">
        <is>
          <t>Inlet-chilling e-house / transformer</t>
        </is>
      </c>
      <c r="E2398" s="9" t="inlineStr">
        <is>
          <t>SWGR-13.8-1</t>
        </is>
      </c>
      <c r="F2398" s="9" t="inlineStr">
        <is>
          <t>R1 SWGR-13.8-1 (11 x 36 in cubicles, 15 kV metal-clad)</t>
        </is>
      </c>
      <c r="G2398" s="9" t="inlineStr"/>
      <c r="H2398" s="9" t="inlineStr">
        <is>
          <t>Inlet-chilling e-house / transformer</t>
        </is>
      </c>
      <c r="I2398" s="9" t="inlineStr">
        <is>
          <t>MV 15 kV</t>
        </is>
      </c>
      <c r="J2398" s="9" t="inlineStr">
        <is>
          <t>MV-105 15 kV 1/C Cu, EPR 133%, Cu tape shield, PVC jacket (triplexed)</t>
        </is>
      </c>
      <c r="K2398" s="9" t="inlineStr">
        <is>
          <t>MV15|1/C|1000</t>
        </is>
      </c>
      <c r="L2398" s="9" t="inlineStr">
        <is>
          <t>1/C</t>
        </is>
      </c>
      <c r="M2398" s="9" t="inlineStr">
        <is>
          <t>1000 kcmil</t>
        </is>
      </c>
      <c r="N2398" s="9" t="n">
        <v>1</v>
      </c>
      <c r="O2398" s="9" t="n">
        <v>3</v>
      </c>
      <c r="P2398" s="9" t="n">
        <v>13800</v>
      </c>
      <c r="Q2398" s="9" t="n">
        <v>12000</v>
      </c>
      <c r="R2398" s="9" t="n">
        <v>502</v>
      </c>
      <c r="S2398" s="9" t="inlineStr">
        <is>
          <t>Estimated</t>
        </is>
      </c>
      <c r="T2398" s="10" t="n">
        <v>598</v>
      </c>
      <c r="U2398" s="10" t="n">
        <v>40</v>
      </c>
      <c r="V2398" s="10">
        <f>ROUNDUP((T2398+U2398+2*'Read Me'!$B$13)*(1+'Read Me'!$B$12),-1)</f>
        <v/>
      </c>
      <c r="W2398" s="10">
        <f>V2398*N2398*O2398</f>
        <v/>
      </c>
      <c r="X2398" s="9">
        <f>IF(LEFT(I2398,2)="MV",2*N2398*IF(L2398="1/C",O2398,1),0)</f>
        <v/>
      </c>
      <c r="Y2398" s="9">
        <f>IF(OR(LEFT(K2398,4)="LVAX",LEFT(K2398,6)="MV15AX",LEFT(K2398,4)="CTAX",LEFT(K2398,2)="W|"),2*N2398*O2398,0)</f>
        <v/>
      </c>
      <c r="Z2398" s="9" t="inlineStr"/>
    </row>
    <row r="2399">
      <c r="A2399" s="9" t="inlineStr">
        <is>
          <t>J-MV-0002</t>
        </is>
      </c>
      <c r="B2399" s="9" t="inlineStr">
        <is>
          <t>J</t>
        </is>
      </c>
      <c r="C2399" s="9" t="inlineStr">
        <is>
          <t>GT inlet chilling</t>
        </is>
      </c>
      <c r="D2399" s="9" t="inlineStr">
        <is>
          <t>Inlet-chilling CW pump 1</t>
        </is>
      </c>
      <c r="E2399" s="9" t="inlineStr"/>
      <c r="F2399" s="9" t="inlineStr">
        <is>
          <t>Inlet-chilling e-house / transformer</t>
        </is>
      </c>
      <c r="G2399" s="9" t="inlineStr"/>
      <c r="H2399" s="9" t="inlineStr">
        <is>
          <t>CW pumps (inlet chilling)</t>
        </is>
      </c>
      <c r="I2399" s="9" t="inlineStr">
        <is>
          <t>MV 5 kV</t>
        </is>
      </c>
      <c r="J2399" s="9" t="inlineStr">
        <is>
          <t>MV-105 5 kV 3/C Cu, EPR 133%, tape shield, gnd, PVC jacket</t>
        </is>
      </c>
      <c r="K2399" s="9" t="inlineStr">
        <is>
          <t>MV5|3/C|2</t>
        </is>
      </c>
      <c r="L2399" s="9" t="inlineStr">
        <is>
          <t>3/C</t>
        </is>
      </c>
      <c r="M2399" s="9" t="inlineStr">
        <is>
          <t>2</t>
        </is>
      </c>
      <c r="N2399" s="9" t="n">
        <v>1</v>
      </c>
      <c r="O2399" s="9" t="n">
        <v>1</v>
      </c>
      <c r="P2399" s="9" t="n">
        <v>4160</v>
      </c>
      <c r="Q2399" s="9" t="n">
        <v>450</v>
      </c>
      <c r="R2399" s="9" t="n">
        <v>69</v>
      </c>
      <c r="S2399" s="9" t="inlineStr">
        <is>
          <t>Tray</t>
        </is>
      </c>
      <c r="T2399" s="10" t="n">
        <v>0</v>
      </c>
      <c r="U2399" s="10" t="n">
        <v>70</v>
      </c>
      <c r="V2399" s="10">
        <f>ROUNDUP((T2399+U2399+2*'Read Me'!$B$13)*(1+'Read Me'!$B$12),-1)</f>
        <v/>
      </c>
      <c r="W2399" s="10">
        <f>V2399*N2399*O2399</f>
        <v/>
      </c>
      <c r="X2399" s="9">
        <f>IF(LEFT(I2399,2)="MV",2*N2399*IF(L2399="1/C",O2399,1),0)</f>
        <v/>
      </c>
      <c r="Y2399" s="9">
        <f>IF(OR(LEFT(K2399,4)="LVAX",LEFT(K2399,6)="MV15AX",LEFT(K2399,4)="CTAX",LEFT(K2399,2)="W|"),2*N2399*O2399,0)</f>
        <v/>
      </c>
      <c r="Z2399" s="9" t="inlineStr"/>
    </row>
    <row r="2400">
      <c r="A2400" s="9" t="inlineStr">
        <is>
          <t>J-MV-0003</t>
        </is>
      </c>
      <c r="B2400" s="9" t="inlineStr">
        <is>
          <t>J</t>
        </is>
      </c>
      <c r="C2400" s="9" t="inlineStr">
        <is>
          <t>GT inlet chilling</t>
        </is>
      </c>
      <c r="D2400" s="9" t="inlineStr">
        <is>
          <t>Inlet-chilling CW pump 2</t>
        </is>
      </c>
      <c r="E2400" s="9" t="inlineStr"/>
      <c r="F2400" s="9" t="inlineStr">
        <is>
          <t>Inlet-chilling e-house / transformer</t>
        </is>
      </c>
      <c r="G2400" s="9" t="inlineStr"/>
      <c r="H2400" s="9" t="inlineStr">
        <is>
          <t>CW pumps (inlet chilling)</t>
        </is>
      </c>
      <c r="I2400" s="9" t="inlineStr">
        <is>
          <t>MV 5 kV</t>
        </is>
      </c>
      <c r="J2400" s="9" t="inlineStr">
        <is>
          <t>MV-105 5 kV 3/C Cu, EPR 133%, tape shield, gnd, PVC jacket</t>
        </is>
      </c>
      <c r="K2400" s="9" t="inlineStr">
        <is>
          <t>MV5|3/C|2</t>
        </is>
      </c>
      <c r="L2400" s="9" t="inlineStr">
        <is>
          <t>3/C</t>
        </is>
      </c>
      <c r="M2400" s="9" t="inlineStr">
        <is>
          <t>2</t>
        </is>
      </c>
      <c r="N2400" s="9" t="n">
        <v>1</v>
      </c>
      <c r="O2400" s="9" t="n">
        <v>1</v>
      </c>
      <c r="P2400" s="9" t="n">
        <v>4160</v>
      </c>
      <c r="Q2400" s="9" t="n">
        <v>450</v>
      </c>
      <c r="R2400" s="9" t="n">
        <v>69</v>
      </c>
      <c r="S2400" s="9" t="inlineStr">
        <is>
          <t>Tray</t>
        </is>
      </c>
      <c r="T2400" s="10" t="n">
        <v>0</v>
      </c>
      <c r="U2400" s="10" t="n">
        <v>70</v>
      </c>
      <c r="V2400" s="10">
        <f>ROUNDUP((T2400+U2400+2*'Read Me'!$B$13)*(1+'Read Me'!$B$12),-1)</f>
        <v/>
      </c>
      <c r="W2400" s="10">
        <f>V2400*N2400*O2400</f>
        <v/>
      </c>
      <c r="X2400" s="9">
        <f>IF(LEFT(I2400,2)="MV",2*N2400*IF(L2400="1/C",O2400,1),0)</f>
        <v/>
      </c>
      <c r="Y2400" s="9">
        <f>IF(OR(LEFT(K2400,4)="LVAX",LEFT(K2400,6)="MV15AX",LEFT(K2400,4)="CTAX",LEFT(K2400,2)="W|"),2*N2400*O2400,0)</f>
        <v/>
      </c>
      <c r="Z2400" s="9" t="inlineStr"/>
    </row>
    <row r="2401">
      <c r="A2401" s="9" t="inlineStr">
        <is>
          <t>J-MV-0004</t>
        </is>
      </c>
      <c r="B2401" s="9" t="inlineStr">
        <is>
          <t>J</t>
        </is>
      </c>
      <c r="C2401" s="9" t="inlineStr">
        <is>
          <t>GT inlet chilling</t>
        </is>
      </c>
      <c r="D2401" s="9" t="inlineStr">
        <is>
          <t>Inlet-chilling CW pump 3</t>
        </is>
      </c>
      <c r="E2401" s="9" t="inlineStr"/>
      <c r="F2401" s="9" t="inlineStr">
        <is>
          <t>Inlet-chilling e-house / transformer</t>
        </is>
      </c>
      <c r="G2401" s="9" t="inlineStr"/>
      <c r="H2401" s="9" t="inlineStr">
        <is>
          <t>CW pumps (inlet chilling)</t>
        </is>
      </c>
      <c r="I2401" s="9" t="inlineStr">
        <is>
          <t>MV 5 kV</t>
        </is>
      </c>
      <c r="J2401" s="9" t="inlineStr">
        <is>
          <t>MV-105 5 kV 3/C Cu, EPR 133%, tape shield, gnd, PVC jacket</t>
        </is>
      </c>
      <c r="K2401" s="9" t="inlineStr">
        <is>
          <t>MV5|3/C|2</t>
        </is>
      </c>
      <c r="L2401" s="9" t="inlineStr">
        <is>
          <t>3/C</t>
        </is>
      </c>
      <c r="M2401" s="9" t="inlineStr">
        <is>
          <t>2</t>
        </is>
      </c>
      <c r="N2401" s="9" t="n">
        <v>1</v>
      </c>
      <c r="O2401" s="9" t="n">
        <v>1</v>
      </c>
      <c r="P2401" s="9" t="n">
        <v>4160</v>
      </c>
      <c r="Q2401" s="9" t="n">
        <v>450</v>
      </c>
      <c r="R2401" s="9" t="n">
        <v>69</v>
      </c>
      <c r="S2401" s="9" t="inlineStr">
        <is>
          <t>Tray</t>
        </is>
      </c>
      <c r="T2401" s="10" t="n">
        <v>0</v>
      </c>
      <c r="U2401" s="10" t="n">
        <v>70</v>
      </c>
      <c r="V2401" s="10">
        <f>ROUNDUP((T2401+U2401+2*'Read Me'!$B$13)*(1+'Read Me'!$B$12),-1)</f>
        <v/>
      </c>
      <c r="W2401" s="10">
        <f>V2401*N2401*O2401</f>
        <v/>
      </c>
      <c r="X2401" s="9">
        <f>IF(LEFT(I2401,2)="MV",2*N2401*IF(L2401="1/C",O2401,1),0)</f>
        <v/>
      </c>
      <c r="Y2401" s="9">
        <f>IF(OR(LEFT(K2401,4)="LVAX",LEFT(K2401,6)="MV15AX",LEFT(K2401,4)="CTAX",LEFT(K2401,2)="W|"),2*N2401*O2401,0)</f>
        <v/>
      </c>
      <c r="Z2401" s="9" t="inlineStr"/>
    </row>
    <row r="2402">
      <c r="A2402" s="9" t="inlineStr">
        <is>
          <t>J-MV-0005</t>
        </is>
      </c>
      <c r="B2402" s="9" t="inlineStr">
        <is>
          <t>J</t>
        </is>
      </c>
      <c r="C2402" s="9" t="inlineStr">
        <is>
          <t>GT inlet chilling</t>
        </is>
      </c>
      <c r="D2402" s="9" t="inlineStr">
        <is>
          <t>Inlet-chilling CW pump 4</t>
        </is>
      </c>
      <c r="E2402" s="9" t="inlineStr"/>
      <c r="F2402" s="9" t="inlineStr">
        <is>
          <t>Inlet-chilling e-house / transformer</t>
        </is>
      </c>
      <c r="G2402" s="9" t="inlineStr"/>
      <c r="H2402" s="9" t="inlineStr">
        <is>
          <t>CW pumps (inlet chilling)</t>
        </is>
      </c>
      <c r="I2402" s="9" t="inlineStr">
        <is>
          <t>MV 5 kV</t>
        </is>
      </c>
      <c r="J2402" s="9" t="inlineStr">
        <is>
          <t>MV-105 5 kV 3/C Cu, EPR 133%, tape shield, gnd, PVC jacket</t>
        </is>
      </c>
      <c r="K2402" s="9" t="inlineStr">
        <is>
          <t>MV5|3/C|2</t>
        </is>
      </c>
      <c r="L2402" s="9" t="inlineStr">
        <is>
          <t>3/C</t>
        </is>
      </c>
      <c r="M2402" s="9" t="inlineStr">
        <is>
          <t>2</t>
        </is>
      </c>
      <c r="N2402" s="9" t="n">
        <v>1</v>
      </c>
      <c r="O2402" s="9" t="n">
        <v>1</v>
      </c>
      <c r="P2402" s="9" t="n">
        <v>4160</v>
      </c>
      <c r="Q2402" s="9" t="n">
        <v>450</v>
      </c>
      <c r="R2402" s="9" t="n">
        <v>69</v>
      </c>
      <c r="S2402" s="9" t="inlineStr">
        <is>
          <t>Tray</t>
        </is>
      </c>
      <c r="T2402" s="10" t="n">
        <v>0</v>
      </c>
      <c r="U2402" s="10" t="n">
        <v>70</v>
      </c>
      <c r="V2402" s="10">
        <f>ROUNDUP((T2402+U2402+2*'Read Me'!$B$13)*(1+'Read Me'!$B$12),-1)</f>
        <v/>
      </c>
      <c r="W2402" s="10">
        <f>V2402*N2402*O2402</f>
        <v/>
      </c>
      <c r="X2402" s="9">
        <f>IF(LEFT(I2402,2)="MV",2*N2402*IF(L2402="1/C",O2402,1),0)</f>
        <v/>
      </c>
      <c r="Y2402" s="9">
        <f>IF(OR(LEFT(K2402,4)="LVAX",LEFT(K2402,6)="MV15AX",LEFT(K2402,4)="CTAX",LEFT(K2402,2)="W|"),2*N2402*O2402,0)</f>
        <v/>
      </c>
      <c r="Z2402" s="9" t="inlineStr"/>
    </row>
    <row r="2403">
      <c r="A2403" s="9" t="inlineStr">
        <is>
          <t>J-MV-0006</t>
        </is>
      </c>
      <c r="B2403" s="9" t="inlineStr">
        <is>
          <t>J</t>
        </is>
      </c>
      <c r="C2403" s="9" t="inlineStr">
        <is>
          <t>GT inlet chilling</t>
        </is>
      </c>
      <c r="D2403" s="9" t="inlineStr">
        <is>
          <t>Water-cooled chiller CH-1</t>
        </is>
      </c>
      <c r="E2403" s="9" t="inlineStr"/>
      <c r="F2403" s="9" t="inlineStr">
        <is>
          <t>Inlet-chilling e-house / transformer</t>
        </is>
      </c>
      <c r="G2403" s="9" t="inlineStr"/>
      <c r="H2403" s="9" t="inlineStr">
        <is>
          <t>Chillers x6 (water-cooled)</t>
        </is>
      </c>
      <c r="I2403" s="9" t="inlineStr">
        <is>
          <t>MV 5 kV</t>
        </is>
      </c>
      <c r="J2403" s="9" t="inlineStr">
        <is>
          <t>MV-105 5 kV 3/C Cu, EPR 133%, tape shield, gnd, PVC jacket</t>
        </is>
      </c>
      <c r="K2403" s="9" t="inlineStr">
        <is>
          <t>MV5|3/C|250</t>
        </is>
      </c>
      <c r="L2403" s="9" t="inlineStr">
        <is>
          <t>3/C</t>
        </is>
      </c>
      <c r="M2403" s="9" t="inlineStr">
        <is>
          <t>250 kcmil</t>
        </is>
      </c>
      <c r="N2403" s="9" t="n">
        <v>1</v>
      </c>
      <c r="O2403" s="9" t="n">
        <v>1</v>
      </c>
      <c r="P2403" s="9" t="n">
        <v>4160</v>
      </c>
      <c r="Q2403" s="9" t="n">
        <v>1500</v>
      </c>
      <c r="R2403" s="9" t="n">
        <v>231</v>
      </c>
      <c r="S2403" s="9" t="inlineStr">
        <is>
          <t>Duct bank</t>
        </is>
      </c>
      <c r="T2403" s="10" t="n">
        <v>10</v>
      </c>
      <c r="U2403" s="10" t="n">
        <v>32</v>
      </c>
      <c r="V2403" s="10">
        <f>ROUNDUP((T2403+U2403+2*'Read Me'!$B$13)*(1+'Read Me'!$B$12),-1)</f>
        <v/>
      </c>
      <c r="W2403" s="10">
        <f>V2403*N2403*O2403</f>
        <v/>
      </c>
      <c r="X2403" s="9">
        <f>IF(LEFT(I2403,2)="MV",2*N2403*IF(L2403="1/C",O2403,1),0)</f>
        <v/>
      </c>
      <c r="Y2403" s="9">
        <f>IF(OR(LEFT(K2403,4)="LVAX",LEFT(K2403,6)="MV15AX",LEFT(K2403,4)="CTAX",LEFT(K2403,2)="W|"),2*N2403*O2403,0)</f>
        <v/>
      </c>
      <c r="Z2403" s="9" t="inlineStr"/>
    </row>
    <row r="2404">
      <c r="A2404" s="9" t="inlineStr">
        <is>
          <t>J-MV-0007</t>
        </is>
      </c>
      <c r="B2404" s="9" t="inlineStr">
        <is>
          <t>J</t>
        </is>
      </c>
      <c r="C2404" s="9" t="inlineStr">
        <is>
          <t>GT inlet chilling</t>
        </is>
      </c>
      <c r="D2404" s="9" t="inlineStr">
        <is>
          <t>Water-cooled chiller CH-2</t>
        </is>
      </c>
      <c r="E2404" s="9" t="inlineStr"/>
      <c r="F2404" s="9" t="inlineStr">
        <is>
          <t>Inlet-chilling e-house / transformer</t>
        </is>
      </c>
      <c r="G2404" s="9" t="inlineStr"/>
      <c r="H2404" s="9" t="inlineStr">
        <is>
          <t>Chillers x6 (water-cooled)</t>
        </is>
      </c>
      <c r="I2404" s="9" t="inlineStr">
        <is>
          <t>MV 5 kV</t>
        </is>
      </c>
      <c r="J2404" s="9" t="inlineStr">
        <is>
          <t>MV-105 5 kV 3/C Cu, EPR 133%, tape shield, gnd, PVC jacket</t>
        </is>
      </c>
      <c r="K2404" s="9" t="inlineStr">
        <is>
          <t>MV5|3/C|250</t>
        </is>
      </c>
      <c r="L2404" s="9" t="inlineStr">
        <is>
          <t>3/C</t>
        </is>
      </c>
      <c r="M2404" s="9" t="inlineStr">
        <is>
          <t>250 kcmil</t>
        </is>
      </c>
      <c r="N2404" s="9" t="n">
        <v>1</v>
      </c>
      <c r="O2404" s="9" t="n">
        <v>1</v>
      </c>
      <c r="P2404" s="9" t="n">
        <v>4160</v>
      </c>
      <c r="Q2404" s="9" t="n">
        <v>1500</v>
      </c>
      <c r="R2404" s="9" t="n">
        <v>231</v>
      </c>
      <c r="S2404" s="9" t="inlineStr">
        <is>
          <t>Duct bank</t>
        </is>
      </c>
      <c r="T2404" s="10" t="n">
        <v>10</v>
      </c>
      <c r="U2404" s="10" t="n">
        <v>32</v>
      </c>
      <c r="V2404" s="10">
        <f>ROUNDUP((T2404+U2404+2*'Read Me'!$B$13)*(1+'Read Me'!$B$12),-1)</f>
        <v/>
      </c>
      <c r="W2404" s="10">
        <f>V2404*N2404*O2404</f>
        <v/>
      </c>
      <c r="X2404" s="9">
        <f>IF(LEFT(I2404,2)="MV",2*N2404*IF(L2404="1/C",O2404,1),0)</f>
        <v/>
      </c>
      <c r="Y2404" s="9">
        <f>IF(OR(LEFT(K2404,4)="LVAX",LEFT(K2404,6)="MV15AX",LEFT(K2404,4)="CTAX",LEFT(K2404,2)="W|"),2*N2404*O2404,0)</f>
        <v/>
      </c>
      <c r="Z2404" s="9" t="inlineStr"/>
    </row>
    <row r="2405">
      <c r="A2405" s="9" t="inlineStr">
        <is>
          <t>J-MV-0008</t>
        </is>
      </c>
      <c r="B2405" s="9" t="inlineStr">
        <is>
          <t>J</t>
        </is>
      </c>
      <c r="C2405" s="9" t="inlineStr">
        <is>
          <t>GT inlet chilling</t>
        </is>
      </c>
      <c r="D2405" s="9" t="inlineStr">
        <is>
          <t>Water-cooled chiller CH-3</t>
        </is>
      </c>
      <c r="E2405" s="9" t="inlineStr"/>
      <c r="F2405" s="9" t="inlineStr">
        <is>
          <t>Inlet-chilling e-house / transformer</t>
        </is>
      </c>
      <c r="G2405" s="9" t="inlineStr"/>
      <c r="H2405" s="9" t="inlineStr">
        <is>
          <t>Chillers x6 (water-cooled)</t>
        </is>
      </c>
      <c r="I2405" s="9" t="inlineStr">
        <is>
          <t>MV 5 kV</t>
        </is>
      </c>
      <c r="J2405" s="9" t="inlineStr">
        <is>
          <t>MV-105 5 kV 3/C Cu, EPR 133%, tape shield, gnd, PVC jacket</t>
        </is>
      </c>
      <c r="K2405" s="9" t="inlineStr">
        <is>
          <t>MV5|3/C|250</t>
        </is>
      </c>
      <c r="L2405" s="9" t="inlineStr">
        <is>
          <t>3/C</t>
        </is>
      </c>
      <c r="M2405" s="9" t="inlineStr">
        <is>
          <t>250 kcmil</t>
        </is>
      </c>
      <c r="N2405" s="9" t="n">
        <v>1</v>
      </c>
      <c r="O2405" s="9" t="n">
        <v>1</v>
      </c>
      <c r="P2405" s="9" t="n">
        <v>4160</v>
      </c>
      <c r="Q2405" s="9" t="n">
        <v>1500</v>
      </c>
      <c r="R2405" s="9" t="n">
        <v>231</v>
      </c>
      <c r="S2405" s="9" t="inlineStr">
        <is>
          <t>Duct bank</t>
        </is>
      </c>
      <c r="T2405" s="10" t="n">
        <v>10</v>
      </c>
      <c r="U2405" s="10" t="n">
        <v>32</v>
      </c>
      <c r="V2405" s="10">
        <f>ROUNDUP((T2405+U2405+2*'Read Me'!$B$13)*(1+'Read Me'!$B$12),-1)</f>
        <v/>
      </c>
      <c r="W2405" s="10">
        <f>V2405*N2405*O2405</f>
        <v/>
      </c>
      <c r="X2405" s="9">
        <f>IF(LEFT(I2405,2)="MV",2*N2405*IF(L2405="1/C",O2405,1),0)</f>
        <v/>
      </c>
      <c r="Y2405" s="9">
        <f>IF(OR(LEFT(K2405,4)="LVAX",LEFT(K2405,6)="MV15AX",LEFT(K2405,4)="CTAX",LEFT(K2405,2)="W|"),2*N2405*O2405,0)</f>
        <v/>
      </c>
      <c r="Z2405" s="9" t="inlineStr"/>
    </row>
    <row r="2406">
      <c r="A2406" s="9" t="inlineStr">
        <is>
          <t>J-MV-0009</t>
        </is>
      </c>
      <c r="B2406" s="9" t="inlineStr">
        <is>
          <t>J</t>
        </is>
      </c>
      <c r="C2406" s="9" t="inlineStr">
        <is>
          <t>GT inlet chilling</t>
        </is>
      </c>
      <c r="D2406" s="9" t="inlineStr">
        <is>
          <t>Water-cooled chiller CH-4</t>
        </is>
      </c>
      <c r="E2406" s="9" t="inlineStr"/>
      <c r="F2406" s="9" t="inlineStr">
        <is>
          <t>Inlet-chilling e-house / transformer</t>
        </is>
      </c>
      <c r="G2406" s="9" t="inlineStr"/>
      <c r="H2406" s="9" t="inlineStr">
        <is>
          <t>Chillers x6 (water-cooled)</t>
        </is>
      </c>
      <c r="I2406" s="9" t="inlineStr">
        <is>
          <t>MV 5 kV</t>
        </is>
      </c>
      <c r="J2406" s="9" t="inlineStr">
        <is>
          <t>MV-105 5 kV 3/C Cu, EPR 133%, tape shield, gnd, PVC jacket</t>
        </is>
      </c>
      <c r="K2406" s="9" t="inlineStr">
        <is>
          <t>MV5|3/C|250</t>
        </is>
      </c>
      <c r="L2406" s="9" t="inlineStr">
        <is>
          <t>3/C</t>
        </is>
      </c>
      <c r="M2406" s="9" t="inlineStr">
        <is>
          <t>250 kcmil</t>
        </is>
      </c>
      <c r="N2406" s="9" t="n">
        <v>1</v>
      </c>
      <c r="O2406" s="9" t="n">
        <v>1</v>
      </c>
      <c r="P2406" s="9" t="n">
        <v>4160</v>
      </c>
      <c r="Q2406" s="9" t="n">
        <v>1500</v>
      </c>
      <c r="R2406" s="9" t="n">
        <v>231</v>
      </c>
      <c r="S2406" s="9" t="inlineStr">
        <is>
          <t>Duct bank</t>
        </is>
      </c>
      <c r="T2406" s="10" t="n">
        <v>10</v>
      </c>
      <c r="U2406" s="10" t="n">
        <v>32</v>
      </c>
      <c r="V2406" s="10">
        <f>ROUNDUP((T2406+U2406+2*'Read Me'!$B$13)*(1+'Read Me'!$B$12),-1)</f>
        <v/>
      </c>
      <c r="W2406" s="10">
        <f>V2406*N2406*O2406</f>
        <v/>
      </c>
      <c r="X2406" s="9">
        <f>IF(LEFT(I2406,2)="MV",2*N2406*IF(L2406="1/C",O2406,1),0)</f>
        <v/>
      </c>
      <c r="Y2406" s="9">
        <f>IF(OR(LEFT(K2406,4)="LVAX",LEFT(K2406,6)="MV15AX",LEFT(K2406,4)="CTAX",LEFT(K2406,2)="W|"),2*N2406*O2406,0)</f>
        <v/>
      </c>
      <c r="Z2406" s="9" t="inlineStr"/>
    </row>
    <row r="2407">
      <c r="A2407" s="9" t="inlineStr">
        <is>
          <t>J-MV-0010</t>
        </is>
      </c>
      <c r="B2407" s="9" t="inlineStr">
        <is>
          <t>J</t>
        </is>
      </c>
      <c r="C2407" s="9" t="inlineStr">
        <is>
          <t>GT inlet chilling</t>
        </is>
      </c>
      <c r="D2407" s="9" t="inlineStr">
        <is>
          <t>Water-cooled chiller CH-5</t>
        </is>
      </c>
      <c r="E2407" s="9" t="inlineStr"/>
      <c r="F2407" s="9" t="inlineStr">
        <is>
          <t>Inlet-chilling e-house / transformer</t>
        </is>
      </c>
      <c r="G2407" s="9" t="inlineStr"/>
      <c r="H2407" s="9" t="inlineStr">
        <is>
          <t>Chillers x6 (water-cooled)</t>
        </is>
      </c>
      <c r="I2407" s="9" t="inlineStr">
        <is>
          <t>MV 5 kV</t>
        </is>
      </c>
      <c r="J2407" s="9" t="inlineStr">
        <is>
          <t>MV-105 5 kV 3/C Cu, EPR 133%, tape shield, gnd, PVC jacket</t>
        </is>
      </c>
      <c r="K2407" s="9" t="inlineStr">
        <is>
          <t>MV5|3/C|250</t>
        </is>
      </c>
      <c r="L2407" s="9" t="inlineStr">
        <is>
          <t>3/C</t>
        </is>
      </c>
      <c r="M2407" s="9" t="inlineStr">
        <is>
          <t>250 kcmil</t>
        </is>
      </c>
      <c r="N2407" s="9" t="n">
        <v>1</v>
      </c>
      <c r="O2407" s="9" t="n">
        <v>1</v>
      </c>
      <c r="P2407" s="9" t="n">
        <v>4160</v>
      </c>
      <c r="Q2407" s="9" t="n">
        <v>1500</v>
      </c>
      <c r="R2407" s="9" t="n">
        <v>231</v>
      </c>
      <c r="S2407" s="9" t="inlineStr">
        <is>
          <t>Duct bank</t>
        </is>
      </c>
      <c r="T2407" s="10" t="n">
        <v>10</v>
      </c>
      <c r="U2407" s="10" t="n">
        <v>32</v>
      </c>
      <c r="V2407" s="10">
        <f>ROUNDUP((T2407+U2407+2*'Read Me'!$B$13)*(1+'Read Me'!$B$12),-1)</f>
        <v/>
      </c>
      <c r="W2407" s="10">
        <f>V2407*N2407*O2407</f>
        <v/>
      </c>
      <c r="X2407" s="9">
        <f>IF(LEFT(I2407,2)="MV",2*N2407*IF(L2407="1/C",O2407,1),0)</f>
        <v/>
      </c>
      <c r="Y2407" s="9">
        <f>IF(OR(LEFT(K2407,4)="LVAX",LEFT(K2407,6)="MV15AX",LEFT(K2407,4)="CTAX",LEFT(K2407,2)="W|"),2*N2407*O2407,0)</f>
        <v/>
      </c>
      <c r="Z2407" s="9" t="inlineStr"/>
    </row>
    <row r="2408">
      <c r="A2408" s="9" t="inlineStr">
        <is>
          <t>J-MV-0011</t>
        </is>
      </c>
      <c r="B2408" s="9" t="inlineStr">
        <is>
          <t>J</t>
        </is>
      </c>
      <c r="C2408" s="9" t="inlineStr">
        <is>
          <t>GT inlet chilling</t>
        </is>
      </c>
      <c r="D2408" s="9" t="inlineStr">
        <is>
          <t>Water-cooled chiller CH-6</t>
        </is>
      </c>
      <c r="E2408" s="9" t="inlineStr"/>
      <c r="F2408" s="9" t="inlineStr">
        <is>
          <t>Inlet-chilling e-house / transformer</t>
        </is>
      </c>
      <c r="G2408" s="9" t="inlineStr"/>
      <c r="H2408" s="9" t="inlineStr">
        <is>
          <t>Chillers x6 (water-cooled)</t>
        </is>
      </c>
      <c r="I2408" s="9" t="inlineStr">
        <is>
          <t>MV 5 kV</t>
        </is>
      </c>
      <c r="J2408" s="9" t="inlineStr">
        <is>
          <t>MV-105 5 kV 3/C Cu, EPR 133%, tape shield, gnd, PVC jacket</t>
        </is>
      </c>
      <c r="K2408" s="9" t="inlineStr">
        <is>
          <t>MV5|3/C|250</t>
        </is>
      </c>
      <c r="L2408" s="9" t="inlineStr">
        <is>
          <t>3/C</t>
        </is>
      </c>
      <c r="M2408" s="9" t="inlineStr">
        <is>
          <t>250 kcmil</t>
        </is>
      </c>
      <c r="N2408" s="9" t="n">
        <v>1</v>
      </c>
      <c r="O2408" s="9" t="n">
        <v>1</v>
      </c>
      <c r="P2408" s="9" t="n">
        <v>4160</v>
      </c>
      <c r="Q2408" s="9" t="n">
        <v>1500</v>
      </c>
      <c r="R2408" s="9" t="n">
        <v>231</v>
      </c>
      <c r="S2408" s="9" t="inlineStr">
        <is>
          <t>Duct bank</t>
        </is>
      </c>
      <c r="T2408" s="10" t="n">
        <v>10</v>
      </c>
      <c r="U2408" s="10" t="n">
        <v>32</v>
      </c>
      <c r="V2408" s="10">
        <f>ROUNDUP((T2408+U2408+2*'Read Me'!$B$13)*(1+'Read Me'!$B$12),-1)</f>
        <v/>
      </c>
      <c r="W2408" s="10">
        <f>V2408*N2408*O2408</f>
        <v/>
      </c>
      <c r="X2408" s="9">
        <f>IF(LEFT(I2408,2)="MV",2*N2408*IF(L2408="1/C",O2408,1),0)</f>
        <v/>
      </c>
      <c r="Y2408" s="9">
        <f>IF(OR(LEFT(K2408,4)="LVAX",LEFT(K2408,6)="MV15AX",LEFT(K2408,4)="CTAX",LEFT(K2408,2)="W|"),2*N2408*O2408,0)</f>
        <v/>
      </c>
      <c r="Z2408" s="9" t="inlineStr"/>
    </row>
    <row r="2409">
      <c r="A2409" s="9" t="inlineStr">
        <is>
          <t>K-L-0001</t>
        </is>
      </c>
      <c r="B2409" s="9" t="inlineStr">
        <is>
          <t>K</t>
        </is>
      </c>
      <c r="C2409" s="9" t="inlineStr">
        <is>
          <t>Fuel supply (adjacent market)</t>
        </is>
      </c>
      <c r="D2409" s="9" t="inlineStr">
        <is>
          <t>Lighting, receptacles and small power branch circuits (allowance)</t>
        </is>
      </c>
      <c r="E2409" s="9" t="inlineStr"/>
      <c r="F2409" s="9" t="inlineStr">
        <is>
          <t>H2 20: 13.8 kV e-house</t>
        </is>
      </c>
      <c r="G2409" s="9" t="inlineStr"/>
      <c r="H2409" s="9" t="inlineStr">
        <is>
          <t>H2 20: 13.8 kV e-house</t>
        </is>
      </c>
      <c r="I2409" s="9" t="inlineStr">
        <is>
          <t>Building wire</t>
        </is>
      </c>
      <c r="J2409" s="9" t="inlineStr">
        <is>
          <t>SIMpull THHN/THWN-2 600 V 1/C Cu (lighting, receptacles, small power)</t>
        </is>
      </c>
      <c r="K2409" s="9" t="inlineStr">
        <is>
          <t>THHN|1/C|12</t>
        </is>
      </c>
      <c r="L2409" s="9" t="inlineStr">
        <is>
          <t>1/C</t>
        </is>
      </c>
      <c r="M2409" s="9" t="inlineStr">
        <is>
          <t>12</t>
        </is>
      </c>
      <c r="N2409" s="9" t="n">
        <v>1</v>
      </c>
      <c r="O2409" s="9" t="n">
        <v>1</v>
      </c>
      <c r="P2409" s="9" t="n">
        <v>277</v>
      </c>
      <c r="Q2409" s="9" t="n"/>
      <c r="R2409" s="9" t="n"/>
      <c r="S2409" s="9" t="inlineStr">
        <is>
          <t>Conduit</t>
        </is>
      </c>
      <c r="T2409" s="10" t="n">
        <v>1536</v>
      </c>
      <c r="U2409" s="10" t="n">
        <v>0</v>
      </c>
      <c r="V2409" s="10">
        <f>ROUNDUP((T2409+U2409+2*'Read Me'!$B$13)*(1+'Read Me'!$B$12),-1)</f>
        <v/>
      </c>
      <c r="W2409" s="10">
        <f>V2409*N2409*O2409</f>
        <v/>
      </c>
      <c r="X2409" s="9">
        <f>IF(LEFT(I2409,2)="MV",2*N2409*IF(L2409="1/C",O2409,1),0)</f>
        <v/>
      </c>
      <c r="Y2409" s="9">
        <f>IF(OR(LEFT(K2409,4)="LVAX",LEFT(K2409,6)="MV15AX",LEFT(K2409,4)="CTAX",LEFT(K2409,2)="W|"),2*N2409*O2409,0)</f>
        <v/>
      </c>
      <c r="Z2409" s="9" t="inlineStr">
        <is>
          <t>allowance: 1.6 ft of conductor per ft2 of floor</t>
        </is>
      </c>
    </row>
    <row r="2410">
      <c r="A2410" s="9" t="inlineStr">
        <is>
          <t>K-L-0002</t>
        </is>
      </c>
      <c r="B2410" s="9" t="inlineStr">
        <is>
          <t>K</t>
        </is>
      </c>
      <c r="C2410" s="9" t="inlineStr">
        <is>
          <t>Fuel supply (adjacent market)</t>
        </is>
      </c>
      <c r="D2410" s="9" t="inlineStr">
        <is>
          <t>Lighting, receptacles and small power branch circuits (allowance)</t>
        </is>
      </c>
      <c r="E2410" s="9" t="inlineStr"/>
      <c r="F2410" s="9" t="inlineStr">
        <is>
          <t>LNG 17: LNG e-house (13.8 kV / 480 V)</t>
        </is>
      </c>
      <c r="G2410" s="9" t="inlineStr"/>
      <c r="H2410" s="9" t="inlineStr">
        <is>
          <t>LNG 17: LNG e-house (13.8 kV / 480 V)</t>
        </is>
      </c>
      <c r="I2410" s="9" t="inlineStr">
        <is>
          <t>Building wire</t>
        </is>
      </c>
      <c r="J2410" s="9" t="inlineStr">
        <is>
          <t>SIMpull THHN/THWN-2 600 V 1/C Cu (lighting, receptacles, small power)</t>
        </is>
      </c>
      <c r="K2410" s="9" t="inlineStr">
        <is>
          <t>THHN|1/C|12</t>
        </is>
      </c>
      <c r="L2410" s="9" t="inlineStr">
        <is>
          <t>1/C</t>
        </is>
      </c>
      <c r="M2410" s="9" t="inlineStr">
        <is>
          <t>12</t>
        </is>
      </c>
      <c r="N2410" s="9" t="n">
        <v>1</v>
      </c>
      <c r="O2410" s="9" t="n">
        <v>1</v>
      </c>
      <c r="P2410" s="9" t="n">
        <v>277</v>
      </c>
      <c r="Q2410" s="9" t="n"/>
      <c r="R2410" s="9" t="n"/>
      <c r="S2410" s="9" t="inlineStr">
        <is>
          <t>Conduit</t>
        </is>
      </c>
      <c r="T2410" s="10" t="n">
        <v>896</v>
      </c>
      <c r="U2410" s="10" t="n">
        <v>0</v>
      </c>
      <c r="V2410" s="10">
        <f>ROUNDUP((T2410+U2410+2*'Read Me'!$B$13)*(1+'Read Me'!$B$12),-1)</f>
        <v/>
      </c>
      <c r="W2410" s="10">
        <f>V2410*N2410*O2410</f>
        <v/>
      </c>
      <c r="X2410" s="9">
        <f>IF(LEFT(I2410,2)="MV",2*N2410*IF(L2410="1/C",O2410,1),0)</f>
        <v/>
      </c>
      <c r="Y2410" s="9">
        <f>IF(OR(LEFT(K2410,4)="LVAX",LEFT(K2410,6)="MV15AX",LEFT(K2410,4)="CTAX",LEFT(K2410,2)="W|"),2*N2410*O2410,0)</f>
        <v/>
      </c>
      <c r="Z2410" s="9" t="inlineStr">
        <is>
          <t>allowance: 1.6 ft of conductor per ft2 of floor</t>
        </is>
      </c>
    </row>
    <row r="2411">
      <c r="A2411" s="9" t="inlineStr">
        <is>
          <t>K-L-0003</t>
        </is>
      </c>
      <c r="B2411" s="9" t="inlineStr">
        <is>
          <t>K</t>
        </is>
      </c>
      <c r="C2411" s="9" t="inlineStr">
        <is>
          <t>Fuel supply (adjacent market)</t>
        </is>
      </c>
      <c r="D2411" s="9" t="inlineStr">
        <is>
          <t>Lighting, receptacles and small power branch circuits (allowance)</t>
        </is>
      </c>
      <c r="E2411" s="9" t="inlineStr"/>
      <c r="F2411" s="9" t="inlineStr">
        <is>
          <t>M&amp;R 6: regulation / flow control building</t>
        </is>
      </c>
      <c r="G2411" s="9" t="inlineStr"/>
      <c r="H2411" s="9" t="inlineStr">
        <is>
          <t>M&amp;R 6: regulation / flow control building</t>
        </is>
      </c>
      <c r="I2411" s="9" t="inlineStr">
        <is>
          <t>Building wire</t>
        </is>
      </c>
      <c r="J2411" s="9" t="inlineStr">
        <is>
          <t>SIMpull THHN/THWN-2 600 V 1/C Cu (lighting, receptacles, small power)</t>
        </is>
      </c>
      <c r="K2411" s="9" t="inlineStr">
        <is>
          <t>THHN|1/C|12</t>
        </is>
      </c>
      <c r="L2411" s="9" t="inlineStr">
        <is>
          <t>1/C</t>
        </is>
      </c>
      <c r="M2411" s="9" t="inlineStr">
        <is>
          <t>12</t>
        </is>
      </c>
      <c r="N2411" s="9" t="n">
        <v>1</v>
      </c>
      <c r="O2411" s="9" t="n">
        <v>1</v>
      </c>
      <c r="P2411" s="9" t="n">
        <v>277</v>
      </c>
      <c r="Q2411" s="9" t="n"/>
      <c r="R2411" s="9" t="n"/>
      <c r="S2411" s="9" t="inlineStr">
        <is>
          <t>Conduit</t>
        </is>
      </c>
      <c r="T2411" s="10" t="n">
        <v>1440</v>
      </c>
      <c r="U2411" s="10" t="n">
        <v>0</v>
      </c>
      <c r="V2411" s="10">
        <f>ROUNDUP((T2411+U2411+2*'Read Me'!$B$13)*(1+'Read Me'!$B$12),-1)</f>
        <v/>
      </c>
      <c r="W2411" s="10">
        <f>V2411*N2411*O2411</f>
        <v/>
      </c>
      <c r="X2411" s="9">
        <f>IF(LEFT(I2411,2)="MV",2*N2411*IF(L2411="1/C",O2411,1),0)</f>
        <v/>
      </c>
      <c r="Y2411" s="9">
        <f>IF(OR(LEFT(K2411,4)="LVAX",LEFT(K2411,6)="MV15AX",LEFT(K2411,4)="CTAX",LEFT(K2411,2)="W|"),2*N2411*O2411,0)</f>
        <v/>
      </c>
      <c r="Z2411" s="9" t="inlineStr">
        <is>
          <t>allowance: 1.6 ft of conductor per ft2 of floor</t>
        </is>
      </c>
    </row>
    <row r="2412">
      <c r="A2412" s="9" t="inlineStr">
        <is>
          <t>K-L-0004</t>
        </is>
      </c>
      <c r="B2412" s="9" t="inlineStr">
        <is>
          <t>K</t>
        </is>
      </c>
      <c r="C2412" s="9" t="inlineStr">
        <is>
          <t>Fuel supply (adjacent market)</t>
        </is>
      </c>
      <c r="D2412" s="9" t="inlineStr">
        <is>
          <t>Lighting, receptacles and small power branch circuits (allowance)</t>
        </is>
      </c>
      <c r="E2412" s="9" t="inlineStr"/>
      <c r="F2412" s="9" t="inlineStr">
        <is>
          <t>M&amp;R 7: gas quality + measurement building</t>
        </is>
      </c>
      <c r="G2412" s="9" t="inlineStr"/>
      <c r="H2412" s="9" t="inlineStr">
        <is>
          <t>M&amp;R 7: gas quality + measurement building</t>
        </is>
      </c>
      <c r="I2412" s="9" t="inlineStr">
        <is>
          <t>Building wire</t>
        </is>
      </c>
      <c r="J2412" s="9" t="inlineStr">
        <is>
          <t>SIMpull THHN/THWN-2 600 V 1/C Cu (lighting, receptacles, small power)</t>
        </is>
      </c>
      <c r="K2412" s="9" t="inlineStr">
        <is>
          <t>THHN|1/C|12</t>
        </is>
      </c>
      <c r="L2412" s="9" t="inlineStr">
        <is>
          <t>1/C</t>
        </is>
      </c>
      <c r="M2412" s="9" t="inlineStr">
        <is>
          <t>12</t>
        </is>
      </c>
      <c r="N2412" s="9" t="n">
        <v>1</v>
      </c>
      <c r="O2412" s="9" t="n">
        <v>1</v>
      </c>
      <c r="P2412" s="9" t="n">
        <v>277</v>
      </c>
      <c r="Q2412" s="9" t="n"/>
      <c r="R2412" s="9" t="n"/>
      <c r="S2412" s="9" t="inlineStr">
        <is>
          <t>Conduit</t>
        </is>
      </c>
      <c r="T2412" s="10" t="n">
        <v>205</v>
      </c>
      <c r="U2412" s="10" t="n">
        <v>0</v>
      </c>
      <c r="V2412" s="10">
        <f>ROUNDUP((T2412+U2412+2*'Read Me'!$B$13)*(1+'Read Me'!$B$12),-1)</f>
        <v/>
      </c>
      <c r="W2412" s="10">
        <f>V2412*N2412*O2412</f>
        <v/>
      </c>
      <c r="X2412" s="9">
        <f>IF(LEFT(I2412,2)="MV",2*N2412*IF(L2412="1/C",O2412,1),0)</f>
        <v/>
      </c>
      <c r="Y2412" s="9">
        <f>IF(OR(LEFT(K2412,4)="LVAX",LEFT(K2412,6)="MV15AX",LEFT(K2412,4)="CTAX",LEFT(K2412,2)="W|"),2*N2412*O2412,0)</f>
        <v/>
      </c>
      <c r="Z2412" s="9" t="inlineStr">
        <is>
          <t>allowance: 1.6 ft of conductor per ft2 of floor</t>
        </is>
      </c>
    </row>
    <row r="2413">
      <c r="A2413" s="9" t="inlineStr">
        <is>
          <t>K-C-0001</t>
        </is>
      </c>
      <c r="B2413" s="9" t="inlineStr">
        <is>
          <t>K</t>
        </is>
      </c>
      <c r="C2413" s="9" t="inlineStr">
        <is>
          <t>Fuel supply (adjacent market)</t>
        </is>
      </c>
      <c r="D2413" s="9" t="inlineStr">
        <is>
          <t>Control</t>
        </is>
      </c>
      <c r="E2413" s="9" t="inlineStr"/>
      <c r="F2413" s="9" t="inlineStr">
        <is>
          <t>H2 20: 13.8 kV e-house</t>
        </is>
      </c>
      <c r="G2413" s="9" t="inlineStr">
        <is>
          <t>T-H2</t>
        </is>
      </c>
      <c r="H2413" s="9" t="inlineStr">
        <is>
          <t>H2 19: T-H2 230/13.8 kV (about 40 MVA)</t>
        </is>
      </c>
      <c r="I2413" s="9" t="inlineStr">
        <is>
          <t>Control</t>
        </is>
      </c>
      <c r="J2413" s="9" t="inlineStr">
        <is>
          <t>ARMOR-X MC-HL 600 V control, Cu #14 AWG (Class I Div 2)</t>
        </is>
      </c>
      <c r="K2413" s="9" t="inlineStr">
        <is>
          <t>CTAX|7/C|14</t>
        </is>
      </c>
      <c r="L2413" s="9" t="inlineStr">
        <is>
          <t>7/C</t>
        </is>
      </c>
      <c r="M2413" s="9" t="inlineStr">
        <is>
          <t>14</t>
        </is>
      </c>
      <c r="N2413" s="9" t="n">
        <v>1</v>
      </c>
      <c r="O2413" s="9" t="n">
        <v>1</v>
      </c>
      <c r="P2413" s="9" t="n"/>
      <c r="Q2413" s="9" t="n"/>
      <c r="R2413" s="9" t="n"/>
      <c r="S2413" s="9" t="inlineStr">
        <is>
          <t>Conduit link</t>
        </is>
      </c>
      <c r="T2413" s="10" t="n">
        <v>30</v>
      </c>
      <c r="U2413" s="10" t="n">
        <v>32</v>
      </c>
      <c r="V2413" s="10">
        <f>ROUNDUP((T2413+U2413+2*'Read Me'!$B$13)*(1+'Read Me'!$B$12),-1)</f>
        <v/>
      </c>
      <c r="W2413" s="10">
        <f>V2413*N2413*O2413</f>
        <v/>
      </c>
      <c r="X2413" s="9">
        <f>IF(LEFT(I2413,2)="MV",2*N2413*IF(L2413="1/C",O2413,1),0)</f>
        <v/>
      </c>
      <c r="Y2413" s="9">
        <f>IF(OR(LEFT(K2413,4)="LVAX",LEFT(K2413,6)="MV15AX",LEFT(K2413,4)="CTAX",LEFT(K2413,2)="W|"),2*N2413*O2413,0)</f>
        <v/>
      </c>
      <c r="Z2413" s="9" t="inlineStr"/>
    </row>
    <row r="2414">
      <c r="A2414" s="9" t="inlineStr">
        <is>
          <t>K-C-0002</t>
        </is>
      </c>
      <c r="B2414" s="9" t="inlineStr">
        <is>
          <t>K</t>
        </is>
      </c>
      <c r="C2414" s="9" t="inlineStr">
        <is>
          <t>Fuel supply (adjacent market)</t>
        </is>
      </c>
      <c r="D2414" s="9" t="inlineStr">
        <is>
          <t>Control</t>
        </is>
      </c>
      <c r="E2414" s="9" t="inlineStr"/>
      <c r="F2414" s="9" t="inlineStr">
        <is>
          <t>H2 20: 13.8 kV e-house</t>
        </is>
      </c>
      <c r="G2414" s="9" t="inlineStr">
        <is>
          <t>T-H2</t>
        </is>
      </c>
      <c r="H2414" s="9" t="inlineStr">
        <is>
          <t>H2 19: T-H2 230/13.8 kV (about 40 MVA)</t>
        </is>
      </c>
      <c r="I2414" s="9" t="inlineStr">
        <is>
          <t>Control</t>
        </is>
      </c>
      <c r="J2414" s="9" t="inlineStr">
        <is>
          <t>ARMOR-X MC-HL 600 V control, Cu #14 AWG (Class I Div 2)</t>
        </is>
      </c>
      <c r="K2414" s="9" t="inlineStr">
        <is>
          <t>CTAX|12/C|14</t>
        </is>
      </c>
      <c r="L2414" s="9" t="inlineStr">
        <is>
          <t>12/C</t>
        </is>
      </c>
      <c r="M2414" s="9" t="inlineStr">
        <is>
          <t>14</t>
        </is>
      </c>
      <c r="N2414" s="9" t="n">
        <v>1</v>
      </c>
      <c r="O2414" s="9" t="n">
        <v>1</v>
      </c>
      <c r="P2414" s="9" t="n"/>
      <c r="Q2414" s="9" t="n"/>
      <c r="R2414" s="9" t="n"/>
      <c r="S2414" s="9" t="inlineStr">
        <is>
          <t>Conduit link</t>
        </is>
      </c>
      <c r="T2414" s="10" t="n">
        <v>30</v>
      </c>
      <c r="U2414" s="10" t="n">
        <v>32</v>
      </c>
      <c r="V2414" s="10">
        <f>ROUNDUP((T2414+U2414+2*'Read Me'!$B$13)*(1+'Read Me'!$B$12),-1)</f>
        <v/>
      </c>
      <c r="W2414" s="10">
        <f>V2414*N2414*O2414</f>
        <v/>
      </c>
      <c r="X2414" s="9">
        <f>IF(LEFT(I2414,2)="MV",2*N2414*IF(L2414="1/C",O2414,1),0)</f>
        <v/>
      </c>
      <c r="Y2414" s="9">
        <f>IF(OR(LEFT(K2414,4)="LVAX",LEFT(K2414,6)="MV15AX",LEFT(K2414,4)="CTAX",LEFT(K2414,2)="W|"),2*N2414*O2414,0)</f>
        <v/>
      </c>
      <c r="Z2414" s="9" t="inlineStr"/>
    </row>
    <row r="2415">
      <c r="A2415" s="9" t="inlineStr">
        <is>
          <t>K-C-0003</t>
        </is>
      </c>
      <c r="B2415" s="9" t="inlineStr">
        <is>
          <t>K</t>
        </is>
      </c>
      <c r="C2415" s="9" t="inlineStr">
        <is>
          <t>Fuel supply (adjacent market)</t>
        </is>
      </c>
      <c r="D2415" s="9" t="inlineStr">
        <is>
          <t>CT / VT</t>
        </is>
      </c>
      <c r="E2415" s="9" t="inlineStr"/>
      <c r="F2415" s="9" t="inlineStr">
        <is>
          <t>H2 20: 13.8 kV e-house</t>
        </is>
      </c>
      <c r="G2415" s="9" t="inlineStr">
        <is>
          <t>T-H2</t>
        </is>
      </c>
      <c r="H2415" s="9" t="inlineStr">
        <is>
          <t>H2 19: T-H2 230/13.8 kV (about 40 MVA)</t>
        </is>
      </c>
      <c r="I2415" s="9" t="inlineStr">
        <is>
          <t>Control</t>
        </is>
      </c>
      <c r="J2415" s="9" t="inlineStr">
        <is>
          <t>Control cable 600 V Type TC-ER, Cu #10 AWG (CT / VT circuits)</t>
        </is>
      </c>
      <c r="K2415" s="9" t="inlineStr">
        <is>
          <t>CTCT|4/C|10</t>
        </is>
      </c>
      <c r="L2415" s="9" t="inlineStr">
        <is>
          <t>4/C</t>
        </is>
      </c>
      <c r="M2415" s="9" t="inlineStr">
        <is>
          <t>10</t>
        </is>
      </c>
      <c r="N2415" s="9" t="n">
        <v>1</v>
      </c>
      <c r="O2415" s="9" t="n">
        <v>1</v>
      </c>
      <c r="P2415" s="9" t="n"/>
      <c r="Q2415" s="9" t="n"/>
      <c r="R2415" s="9" t="n"/>
      <c r="S2415" s="9" t="inlineStr">
        <is>
          <t>Conduit link</t>
        </is>
      </c>
      <c r="T2415" s="10" t="n">
        <v>30</v>
      </c>
      <c r="U2415" s="10" t="n">
        <v>32</v>
      </c>
      <c r="V2415" s="10">
        <f>ROUNDUP((T2415+U2415+2*'Read Me'!$B$13)*(1+'Read Me'!$B$12),-1)</f>
        <v/>
      </c>
      <c r="W2415" s="10">
        <f>V2415*N2415*O2415</f>
        <v/>
      </c>
      <c r="X2415" s="9">
        <f>IF(LEFT(I2415,2)="MV",2*N2415*IF(L2415="1/C",O2415,1),0)</f>
        <v/>
      </c>
      <c r="Y2415" s="9">
        <f>IF(OR(LEFT(K2415,4)="LVAX",LEFT(K2415,6)="MV15AX",LEFT(K2415,4)="CTAX",LEFT(K2415,2)="W|"),2*N2415*O2415,0)</f>
        <v/>
      </c>
      <c r="Z2415" s="9" t="inlineStr"/>
    </row>
    <row r="2416">
      <c r="A2416" s="9" t="inlineStr">
        <is>
          <t>K-C-0004</t>
        </is>
      </c>
      <c r="B2416" s="9" t="inlineStr">
        <is>
          <t>K</t>
        </is>
      </c>
      <c r="C2416" s="9" t="inlineStr">
        <is>
          <t>Fuel supply (adjacent market)</t>
        </is>
      </c>
      <c r="D2416" s="9" t="inlineStr">
        <is>
          <t>CT / VT</t>
        </is>
      </c>
      <c r="E2416" s="9" t="inlineStr"/>
      <c r="F2416" s="9" t="inlineStr">
        <is>
          <t>H2 20: 13.8 kV e-house</t>
        </is>
      </c>
      <c r="G2416" s="9" t="inlineStr">
        <is>
          <t>T-H2</t>
        </is>
      </c>
      <c r="H2416" s="9" t="inlineStr">
        <is>
          <t>H2 19: T-H2 230/13.8 kV (about 40 MVA)</t>
        </is>
      </c>
      <c r="I2416" s="9" t="inlineStr">
        <is>
          <t>Control</t>
        </is>
      </c>
      <c r="J2416" s="9" t="inlineStr">
        <is>
          <t>Control cable 600 V Type TC-ER, Cu #10 AWG (CT / VT circuits)</t>
        </is>
      </c>
      <c r="K2416" s="9" t="inlineStr">
        <is>
          <t>CTCT|4/C|10</t>
        </is>
      </c>
      <c r="L2416" s="9" t="inlineStr">
        <is>
          <t>4/C</t>
        </is>
      </c>
      <c r="M2416" s="9" t="inlineStr">
        <is>
          <t>10</t>
        </is>
      </c>
      <c r="N2416" s="9" t="n">
        <v>1</v>
      </c>
      <c r="O2416" s="9" t="n">
        <v>1</v>
      </c>
      <c r="P2416" s="9" t="n"/>
      <c r="Q2416" s="9" t="n"/>
      <c r="R2416" s="9" t="n"/>
      <c r="S2416" s="9" t="inlineStr">
        <is>
          <t>Conduit link</t>
        </is>
      </c>
      <c r="T2416" s="10" t="n">
        <v>30</v>
      </c>
      <c r="U2416" s="10" t="n">
        <v>32</v>
      </c>
      <c r="V2416" s="10">
        <f>ROUNDUP((T2416+U2416+2*'Read Me'!$B$13)*(1+'Read Me'!$B$12),-1)</f>
        <v/>
      </c>
      <c r="W2416" s="10">
        <f>V2416*N2416*O2416</f>
        <v/>
      </c>
      <c r="X2416" s="9">
        <f>IF(LEFT(I2416,2)="MV",2*N2416*IF(L2416="1/C",O2416,1),0)</f>
        <v/>
      </c>
      <c r="Y2416" s="9">
        <f>IF(OR(LEFT(K2416,4)="LVAX",LEFT(K2416,6)="MV15AX",LEFT(K2416,4)="CTAX",LEFT(K2416,2)="W|"),2*N2416*O2416,0)</f>
        <v/>
      </c>
      <c r="Z2416" s="9" t="inlineStr"/>
    </row>
    <row r="2417">
      <c r="A2417" s="9" t="inlineStr">
        <is>
          <t>K-C-0005</t>
        </is>
      </c>
      <c r="B2417" s="9" t="inlineStr">
        <is>
          <t>K</t>
        </is>
      </c>
      <c r="C2417" s="9" t="inlineStr">
        <is>
          <t>Fuel supply (adjacent market)</t>
        </is>
      </c>
      <c r="D2417" s="9" t="inlineStr">
        <is>
          <t>Control</t>
        </is>
      </c>
      <c r="E2417" s="9" t="inlineStr"/>
      <c r="F2417" s="9" t="inlineStr">
        <is>
          <t>H2 20: 13.8 kV e-house</t>
        </is>
      </c>
      <c r="G2417" s="9" t="inlineStr"/>
      <c r="H2417" s="9" t="inlineStr">
        <is>
          <t>H2 20: 13.8 kV e-house</t>
        </is>
      </c>
      <c r="I2417" s="9" t="inlineStr">
        <is>
          <t>Control</t>
        </is>
      </c>
      <c r="J2417" s="9" t="inlineStr">
        <is>
          <t>ARMOR-X MC-HL 600 V control, Cu #14 AWG (Class I Div 2)</t>
        </is>
      </c>
      <c r="K2417" s="9" t="inlineStr">
        <is>
          <t>CTAX|7/C|14</t>
        </is>
      </c>
      <c r="L2417" s="9" t="inlineStr">
        <is>
          <t>7/C</t>
        </is>
      </c>
      <c r="M2417" s="9" t="inlineStr">
        <is>
          <t>14</t>
        </is>
      </c>
      <c r="N2417" s="9" t="n">
        <v>1</v>
      </c>
      <c r="O2417" s="9" t="n">
        <v>1</v>
      </c>
      <c r="P2417" s="9" t="n"/>
      <c r="Q2417" s="9" t="n"/>
      <c r="R2417" s="9" t="n"/>
      <c r="S2417" s="9" t="inlineStr">
        <is>
          <t>Tray</t>
        </is>
      </c>
      <c r="T2417" s="10" t="n">
        <v>0</v>
      </c>
      <c r="U2417" s="10" t="n">
        <v>32</v>
      </c>
      <c r="V2417" s="10">
        <f>ROUNDUP((T2417+U2417+2*'Read Me'!$B$13)*(1+'Read Me'!$B$12),-1)</f>
        <v/>
      </c>
      <c r="W2417" s="10">
        <f>V2417*N2417*O2417</f>
        <v/>
      </c>
      <c r="X2417" s="9">
        <f>IF(LEFT(I2417,2)="MV",2*N2417*IF(L2417="1/C",O2417,1),0)</f>
        <v/>
      </c>
      <c r="Y2417" s="9">
        <f>IF(OR(LEFT(K2417,4)="LVAX",LEFT(K2417,6)="MV15AX",LEFT(K2417,4)="CTAX",LEFT(K2417,2)="W|"),2*N2417*O2417,0)</f>
        <v/>
      </c>
      <c r="Z2417" s="9" t="inlineStr"/>
    </row>
    <row r="2418">
      <c r="A2418" s="9" t="inlineStr">
        <is>
          <t>K-C-0006</t>
        </is>
      </c>
      <c r="B2418" s="9" t="inlineStr">
        <is>
          <t>K</t>
        </is>
      </c>
      <c r="C2418" s="9" t="inlineStr">
        <is>
          <t>Fuel supply (adjacent market)</t>
        </is>
      </c>
      <c r="D2418" s="9" t="inlineStr">
        <is>
          <t>Control</t>
        </is>
      </c>
      <c r="E2418" s="9" t="inlineStr"/>
      <c r="F2418" s="9" t="inlineStr">
        <is>
          <t>H2 20: 13.8 kV e-house</t>
        </is>
      </c>
      <c r="G2418" s="9" t="inlineStr"/>
      <c r="H2418" s="9" t="inlineStr">
        <is>
          <t>H2 21: rectifier transformer 1 (7 MVA)</t>
        </is>
      </c>
      <c r="I2418" s="9" t="inlineStr">
        <is>
          <t>Control</t>
        </is>
      </c>
      <c r="J2418" s="9" t="inlineStr">
        <is>
          <t>ARMOR-X MC-HL 600 V control, Cu #14 AWG (Class I Div 2)</t>
        </is>
      </c>
      <c r="K2418" s="9" t="inlineStr">
        <is>
          <t>CTAX|7/C|14</t>
        </is>
      </c>
      <c r="L2418" s="9" t="inlineStr">
        <is>
          <t>7/C</t>
        </is>
      </c>
      <c r="M2418" s="9" t="inlineStr">
        <is>
          <t>14</t>
        </is>
      </c>
      <c r="N2418" s="9" t="n">
        <v>1</v>
      </c>
      <c r="O2418" s="9" t="n">
        <v>1</v>
      </c>
      <c r="P2418" s="9" t="n"/>
      <c r="Q2418" s="9" t="n"/>
      <c r="R2418" s="9" t="n"/>
      <c r="S2418" s="9" t="inlineStr">
        <is>
          <t>Duct bank</t>
        </is>
      </c>
      <c r="T2418" s="10" t="n">
        <v>367</v>
      </c>
      <c r="U2418" s="10" t="n">
        <v>48</v>
      </c>
      <c r="V2418" s="10">
        <f>ROUNDUP((T2418+U2418+2*'Read Me'!$B$13)*(1+'Read Me'!$B$12),-1)</f>
        <v/>
      </c>
      <c r="W2418" s="10">
        <f>V2418*N2418*O2418</f>
        <v/>
      </c>
      <c r="X2418" s="9">
        <f>IF(LEFT(I2418,2)="MV",2*N2418*IF(L2418="1/C",O2418,1),0)</f>
        <v/>
      </c>
      <c r="Y2418" s="9">
        <f>IF(OR(LEFT(K2418,4)="LVAX",LEFT(K2418,6)="MV15AX",LEFT(K2418,4)="CTAX",LEFT(K2418,2)="W|"),2*N2418*O2418,0)</f>
        <v/>
      </c>
      <c r="Z2418" s="9" t="inlineStr"/>
    </row>
    <row r="2419">
      <c r="A2419" s="9" t="inlineStr">
        <is>
          <t>K-C-0007</t>
        </is>
      </c>
      <c r="B2419" s="9" t="inlineStr">
        <is>
          <t>K</t>
        </is>
      </c>
      <c r="C2419" s="9" t="inlineStr">
        <is>
          <t>Fuel supply (adjacent market)</t>
        </is>
      </c>
      <c r="D2419" s="9" t="inlineStr">
        <is>
          <t>Control</t>
        </is>
      </c>
      <c r="E2419" s="9" t="inlineStr"/>
      <c r="F2419" s="9" t="inlineStr">
        <is>
          <t>H2 20: 13.8 kV e-house</t>
        </is>
      </c>
      <c r="G2419" s="9" t="inlineStr"/>
      <c r="H2419" s="9" t="inlineStr">
        <is>
          <t>H2 21: rectifier transformer 1 (7 MVA)</t>
        </is>
      </c>
      <c r="I2419" s="9" t="inlineStr">
        <is>
          <t>Control</t>
        </is>
      </c>
      <c r="J2419" s="9" t="inlineStr">
        <is>
          <t>ARMOR-X MC-HL 600 V control, Cu #14 AWG (Class I Div 2)</t>
        </is>
      </c>
      <c r="K2419" s="9" t="inlineStr">
        <is>
          <t>CTAX|12/C|14</t>
        </is>
      </c>
      <c r="L2419" s="9" t="inlineStr">
        <is>
          <t>12/C</t>
        </is>
      </c>
      <c r="M2419" s="9" t="inlineStr">
        <is>
          <t>14</t>
        </is>
      </c>
      <c r="N2419" s="9" t="n">
        <v>1</v>
      </c>
      <c r="O2419" s="9" t="n">
        <v>1</v>
      </c>
      <c r="P2419" s="9" t="n"/>
      <c r="Q2419" s="9" t="n"/>
      <c r="R2419" s="9" t="n"/>
      <c r="S2419" s="9" t="inlineStr">
        <is>
          <t>Duct bank</t>
        </is>
      </c>
      <c r="T2419" s="10" t="n">
        <v>367</v>
      </c>
      <c r="U2419" s="10" t="n">
        <v>48</v>
      </c>
      <c r="V2419" s="10">
        <f>ROUNDUP((T2419+U2419+2*'Read Me'!$B$13)*(1+'Read Me'!$B$12),-1)</f>
        <v/>
      </c>
      <c r="W2419" s="10">
        <f>V2419*N2419*O2419</f>
        <v/>
      </c>
      <c r="X2419" s="9">
        <f>IF(LEFT(I2419,2)="MV",2*N2419*IF(L2419="1/C",O2419,1),0)</f>
        <v/>
      </c>
      <c r="Y2419" s="9">
        <f>IF(OR(LEFT(K2419,4)="LVAX",LEFT(K2419,6)="MV15AX",LEFT(K2419,4)="CTAX",LEFT(K2419,2)="W|"),2*N2419*O2419,0)</f>
        <v/>
      </c>
      <c r="Z2419" s="9" t="inlineStr"/>
    </row>
    <row r="2420">
      <c r="A2420" s="9" t="inlineStr">
        <is>
          <t>K-C-0008</t>
        </is>
      </c>
      <c r="B2420" s="9" t="inlineStr">
        <is>
          <t>K</t>
        </is>
      </c>
      <c r="C2420" s="9" t="inlineStr">
        <is>
          <t>Fuel supply (adjacent market)</t>
        </is>
      </c>
      <c r="D2420" s="9" t="inlineStr">
        <is>
          <t>CT / VT</t>
        </is>
      </c>
      <c r="E2420" s="9" t="inlineStr"/>
      <c r="F2420" s="9" t="inlineStr">
        <is>
          <t>H2 20: 13.8 kV e-house</t>
        </is>
      </c>
      <c r="G2420" s="9" t="inlineStr"/>
      <c r="H2420" s="9" t="inlineStr">
        <is>
          <t>H2 21: rectifier transformer 1 (7 MVA)</t>
        </is>
      </c>
      <c r="I2420" s="9" t="inlineStr">
        <is>
          <t>Control</t>
        </is>
      </c>
      <c r="J2420" s="9" t="inlineStr">
        <is>
          <t>Control cable 600 V Type TC-ER, Cu #10 AWG (CT / VT circuits)</t>
        </is>
      </c>
      <c r="K2420" s="9" t="inlineStr">
        <is>
          <t>CTCT|4/C|10</t>
        </is>
      </c>
      <c r="L2420" s="9" t="inlineStr">
        <is>
          <t>4/C</t>
        </is>
      </c>
      <c r="M2420" s="9" t="inlineStr">
        <is>
          <t>10</t>
        </is>
      </c>
      <c r="N2420" s="9" t="n">
        <v>1</v>
      </c>
      <c r="O2420" s="9" t="n">
        <v>1</v>
      </c>
      <c r="P2420" s="9" t="n"/>
      <c r="Q2420" s="9" t="n"/>
      <c r="R2420" s="9" t="n"/>
      <c r="S2420" s="9" t="inlineStr">
        <is>
          <t>Duct bank</t>
        </is>
      </c>
      <c r="T2420" s="10" t="n">
        <v>367</v>
      </c>
      <c r="U2420" s="10" t="n">
        <v>48</v>
      </c>
      <c r="V2420" s="10">
        <f>ROUNDUP((T2420+U2420+2*'Read Me'!$B$13)*(1+'Read Me'!$B$12),-1)</f>
        <v/>
      </c>
      <c r="W2420" s="10">
        <f>V2420*N2420*O2420</f>
        <v/>
      </c>
      <c r="X2420" s="9">
        <f>IF(LEFT(I2420,2)="MV",2*N2420*IF(L2420="1/C",O2420,1),0)</f>
        <v/>
      </c>
      <c r="Y2420" s="9">
        <f>IF(OR(LEFT(K2420,4)="LVAX",LEFT(K2420,6)="MV15AX",LEFT(K2420,4)="CTAX",LEFT(K2420,2)="W|"),2*N2420*O2420,0)</f>
        <v/>
      </c>
      <c r="Z2420" s="9" t="inlineStr"/>
    </row>
    <row r="2421">
      <c r="A2421" s="9" t="inlineStr">
        <is>
          <t>K-C-0009</t>
        </is>
      </c>
      <c r="B2421" s="9" t="inlineStr">
        <is>
          <t>K</t>
        </is>
      </c>
      <c r="C2421" s="9" t="inlineStr">
        <is>
          <t>Fuel supply (adjacent market)</t>
        </is>
      </c>
      <c r="D2421" s="9" t="inlineStr">
        <is>
          <t>CT / VT</t>
        </is>
      </c>
      <c r="E2421" s="9" t="inlineStr"/>
      <c r="F2421" s="9" t="inlineStr">
        <is>
          <t>H2 20: 13.8 kV e-house</t>
        </is>
      </c>
      <c r="G2421" s="9" t="inlineStr"/>
      <c r="H2421" s="9" t="inlineStr">
        <is>
          <t>H2 21: rectifier transformer 1 (7 MVA)</t>
        </is>
      </c>
      <c r="I2421" s="9" t="inlineStr">
        <is>
          <t>Control</t>
        </is>
      </c>
      <c r="J2421" s="9" t="inlineStr">
        <is>
          <t>Control cable 600 V Type TC-ER, Cu #10 AWG (CT / VT circuits)</t>
        </is>
      </c>
      <c r="K2421" s="9" t="inlineStr">
        <is>
          <t>CTCT|4/C|10</t>
        </is>
      </c>
      <c r="L2421" s="9" t="inlineStr">
        <is>
          <t>4/C</t>
        </is>
      </c>
      <c r="M2421" s="9" t="inlineStr">
        <is>
          <t>10</t>
        </is>
      </c>
      <c r="N2421" s="9" t="n">
        <v>1</v>
      </c>
      <c r="O2421" s="9" t="n">
        <v>1</v>
      </c>
      <c r="P2421" s="9" t="n"/>
      <c r="Q2421" s="9" t="n"/>
      <c r="R2421" s="9" t="n"/>
      <c r="S2421" s="9" t="inlineStr">
        <is>
          <t>Duct bank</t>
        </is>
      </c>
      <c r="T2421" s="10" t="n">
        <v>367</v>
      </c>
      <c r="U2421" s="10" t="n">
        <v>48</v>
      </c>
      <c r="V2421" s="10">
        <f>ROUNDUP((T2421+U2421+2*'Read Me'!$B$13)*(1+'Read Me'!$B$12),-1)</f>
        <v/>
      </c>
      <c r="W2421" s="10">
        <f>V2421*N2421*O2421</f>
        <v/>
      </c>
      <c r="X2421" s="9">
        <f>IF(LEFT(I2421,2)="MV",2*N2421*IF(L2421="1/C",O2421,1),0)</f>
        <v/>
      </c>
      <c r="Y2421" s="9">
        <f>IF(OR(LEFT(K2421,4)="LVAX",LEFT(K2421,6)="MV15AX",LEFT(K2421,4)="CTAX",LEFT(K2421,2)="W|"),2*N2421*O2421,0)</f>
        <v/>
      </c>
      <c r="Z2421" s="9" t="inlineStr"/>
    </row>
    <row r="2422">
      <c r="A2422" s="9" t="inlineStr">
        <is>
          <t>K-C-0010</t>
        </is>
      </c>
      <c r="B2422" s="9" t="inlineStr">
        <is>
          <t>K</t>
        </is>
      </c>
      <c r="C2422" s="9" t="inlineStr">
        <is>
          <t>Fuel supply (adjacent market)</t>
        </is>
      </c>
      <c r="D2422" s="9" t="inlineStr">
        <is>
          <t>Control</t>
        </is>
      </c>
      <c r="E2422" s="9" t="inlineStr"/>
      <c r="F2422" s="9" t="inlineStr">
        <is>
          <t>H2 20: 13.8 kV e-house</t>
        </is>
      </c>
      <c r="G2422" s="9" t="inlineStr"/>
      <c r="H2422" s="9" t="inlineStr">
        <is>
          <t>H2 21: rectifier transformer 2 (7 MVA)</t>
        </is>
      </c>
      <c r="I2422" s="9" t="inlineStr">
        <is>
          <t>Control</t>
        </is>
      </c>
      <c r="J2422" s="9" t="inlineStr">
        <is>
          <t>ARMOR-X MC-HL 600 V control, Cu #14 AWG (Class I Div 2)</t>
        </is>
      </c>
      <c r="K2422" s="9" t="inlineStr">
        <is>
          <t>CTAX|7/C|14</t>
        </is>
      </c>
      <c r="L2422" s="9" t="inlineStr">
        <is>
          <t>7/C</t>
        </is>
      </c>
      <c r="M2422" s="9" t="inlineStr">
        <is>
          <t>14</t>
        </is>
      </c>
      <c r="N2422" s="9" t="n">
        <v>1</v>
      </c>
      <c r="O2422" s="9" t="n">
        <v>1</v>
      </c>
      <c r="P2422" s="9" t="n"/>
      <c r="Q2422" s="9" t="n"/>
      <c r="R2422" s="9" t="n"/>
      <c r="S2422" s="9" t="inlineStr">
        <is>
          <t>Duct bank</t>
        </is>
      </c>
      <c r="T2422" s="10" t="n">
        <v>367</v>
      </c>
      <c r="U2422" s="10" t="n">
        <v>32</v>
      </c>
      <c r="V2422" s="10">
        <f>ROUNDUP((T2422+U2422+2*'Read Me'!$B$13)*(1+'Read Me'!$B$12),-1)</f>
        <v/>
      </c>
      <c r="W2422" s="10">
        <f>V2422*N2422*O2422</f>
        <v/>
      </c>
      <c r="X2422" s="9">
        <f>IF(LEFT(I2422,2)="MV",2*N2422*IF(L2422="1/C",O2422,1),0)</f>
        <v/>
      </c>
      <c r="Y2422" s="9">
        <f>IF(OR(LEFT(K2422,4)="LVAX",LEFT(K2422,6)="MV15AX",LEFT(K2422,4)="CTAX",LEFT(K2422,2)="W|"),2*N2422*O2422,0)</f>
        <v/>
      </c>
      <c r="Z2422" s="9" t="inlineStr"/>
    </row>
    <row r="2423">
      <c r="A2423" s="9" t="inlineStr">
        <is>
          <t>K-C-0011</t>
        </is>
      </c>
      <c r="B2423" s="9" t="inlineStr">
        <is>
          <t>K</t>
        </is>
      </c>
      <c r="C2423" s="9" t="inlineStr">
        <is>
          <t>Fuel supply (adjacent market)</t>
        </is>
      </c>
      <c r="D2423" s="9" t="inlineStr">
        <is>
          <t>Control</t>
        </is>
      </c>
      <c r="E2423" s="9" t="inlineStr"/>
      <c r="F2423" s="9" t="inlineStr">
        <is>
          <t>H2 20: 13.8 kV e-house</t>
        </is>
      </c>
      <c r="G2423" s="9" t="inlineStr"/>
      <c r="H2423" s="9" t="inlineStr">
        <is>
          <t>H2 21: rectifier transformer 2 (7 MVA)</t>
        </is>
      </c>
      <c r="I2423" s="9" t="inlineStr">
        <is>
          <t>Control</t>
        </is>
      </c>
      <c r="J2423" s="9" t="inlineStr">
        <is>
          <t>ARMOR-X MC-HL 600 V control, Cu #14 AWG (Class I Div 2)</t>
        </is>
      </c>
      <c r="K2423" s="9" t="inlineStr">
        <is>
          <t>CTAX|12/C|14</t>
        </is>
      </c>
      <c r="L2423" s="9" t="inlineStr">
        <is>
          <t>12/C</t>
        </is>
      </c>
      <c r="M2423" s="9" t="inlineStr">
        <is>
          <t>14</t>
        </is>
      </c>
      <c r="N2423" s="9" t="n">
        <v>1</v>
      </c>
      <c r="O2423" s="9" t="n">
        <v>1</v>
      </c>
      <c r="P2423" s="9" t="n"/>
      <c r="Q2423" s="9" t="n"/>
      <c r="R2423" s="9" t="n"/>
      <c r="S2423" s="9" t="inlineStr">
        <is>
          <t>Duct bank</t>
        </is>
      </c>
      <c r="T2423" s="10" t="n">
        <v>367</v>
      </c>
      <c r="U2423" s="10" t="n">
        <v>32</v>
      </c>
      <c r="V2423" s="10">
        <f>ROUNDUP((T2423+U2423+2*'Read Me'!$B$13)*(1+'Read Me'!$B$12),-1)</f>
        <v/>
      </c>
      <c r="W2423" s="10">
        <f>V2423*N2423*O2423</f>
        <v/>
      </c>
      <c r="X2423" s="9">
        <f>IF(LEFT(I2423,2)="MV",2*N2423*IF(L2423="1/C",O2423,1),0)</f>
        <v/>
      </c>
      <c r="Y2423" s="9">
        <f>IF(OR(LEFT(K2423,4)="LVAX",LEFT(K2423,6)="MV15AX",LEFT(K2423,4)="CTAX",LEFT(K2423,2)="W|"),2*N2423*O2423,0)</f>
        <v/>
      </c>
      <c r="Z2423" s="9" t="inlineStr"/>
    </row>
    <row r="2424">
      <c r="A2424" s="9" t="inlineStr">
        <is>
          <t>K-C-0012</t>
        </is>
      </c>
      <c r="B2424" s="9" t="inlineStr">
        <is>
          <t>K</t>
        </is>
      </c>
      <c r="C2424" s="9" t="inlineStr">
        <is>
          <t>Fuel supply (adjacent market)</t>
        </is>
      </c>
      <c r="D2424" s="9" t="inlineStr">
        <is>
          <t>CT / VT</t>
        </is>
      </c>
      <c r="E2424" s="9" t="inlineStr"/>
      <c r="F2424" s="9" t="inlineStr">
        <is>
          <t>H2 20: 13.8 kV e-house</t>
        </is>
      </c>
      <c r="G2424" s="9" t="inlineStr"/>
      <c r="H2424" s="9" t="inlineStr">
        <is>
          <t>H2 21: rectifier transformer 2 (7 MVA)</t>
        </is>
      </c>
      <c r="I2424" s="9" t="inlineStr">
        <is>
          <t>Control</t>
        </is>
      </c>
      <c r="J2424" s="9" t="inlineStr">
        <is>
          <t>Control cable 600 V Type TC-ER, Cu #10 AWG (CT / VT circuits)</t>
        </is>
      </c>
      <c r="K2424" s="9" t="inlineStr">
        <is>
          <t>CTCT|4/C|10</t>
        </is>
      </c>
      <c r="L2424" s="9" t="inlineStr">
        <is>
          <t>4/C</t>
        </is>
      </c>
      <c r="M2424" s="9" t="inlineStr">
        <is>
          <t>10</t>
        </is>
      </c>
      <c r="N2424" s="9" t="n">
        <v>1</v>
      </c>
      <c r="O2424" s="9" t="n">
        <v>1</v>
      </c>
      <c r="P2424" s="9" t="n"/>
      <c r="Q2424" s="9" t="n"/>
      <c r="R2424" s="9" t="n"/>
      <c r="S2424" s="9" t="inlineStr">
        <is>
          <t>Duct bank</t>
        </is>
      </c>
      <c r="T2424" s="10" t="n">
        <v>367</v>
      </c>
      <c r="U2424" s="10" t="n">
        <v>32</v>
      </c>
      <c r="V2424" s="10">
        <f>ROUNDUP((T2424+U2424+2*'Read Me'!$B$13)*(1+'Read Me'!$B$12),-1)</f>
        <v/>
      </c>
      <c r="W2424" s="10">
        <f>V2424*N2424*O2424</f>
        <v/>
      </c>
      <c r="X2424" s="9">
        <f>IF(LEFT(I2424,2)="MV",2*N2424*IF(L2424="1/C",O2424,1),0)</f>
        <v/>
      </c>
      <c r="Y2424" s="9">
        <f>IF(OR(LEFT(K2424,4)="LVAX",LEFT(K2424,6)="MV15AX",LEFT(K2424,4)="CTAX",LEFT(K2424,2)="W|"),2*N2424*O2424,0)</f>
        <v/>
      </c>
      <c r="Z2424" s="9" t="inlineStr"/>
    </row>
    <row r="2425">
      <c r="A2425" s="9" t="inlineStr">
        <is>
          <t>K-C-0013</t>
        </is>
      </c>
      <c r="B2425" s="9" t="inlineStr">
        <is>
          <t>K</t>
        </is>
      </c>
      <c r="C2425" s="9" t="inlineStr">
        <is>
          <t>Fuel supply (adjacent market)</t>
        </is>
      </c>
      <c r="D2425" s="9" t="inlineStr">
        <is>
          <t>CT / VT</t>
        </is>
      </c>
      <c r="E2425" s="9" t="inlineStr"/>
      <c r="F2425" s="9" t="inlineStr">
        <is>
          <t>H2 20: 13.8 kV e-house</t>
        </is>
      </c>
      <c r="G2425" s="9" t="inlineStr"/>
      <c r="H2425" s="9" t="inlineStr">
        <is>
          <t>H2 21: rectifier transformer 2 (7 MVA)</t>
        </is>
      </c>
      <c r="I2425" s="9" t="inlineStr">
        <is>
          <t>Control</t>
        </is>
      </c>
      <c r="J2425" s="9" t="inlineStr">
        <is>
          <t>Control cable 600 V Type TC-ER, Cu #10 AWG (CT / VT circuits)</t>
        </is>
      </c>
      <c r="K2425" s="9" t="inlineStr">
        <is>
          <t>CTCT|4/C|10</t>
        </is>
      </c>
      <c r="L2425" s="9" t="inlineStr">
        <is>
          <t>4/C</t>
        </is>
      </c>
      <c r="M2425" s="9" t="inlineStr">
        <is>
          <t>10</t>
        </is>
      </c>
      <c r="N2425" s="9" t="n">
        <v>1</v>
      </c>
      <c r="O2425" s="9" t="n">
        <v>1</v>
      </c>
      <c r="P2425" s="9" t="n"/>
      <c r="Q2425" s="9" t="n"/>
      <c r="R2425" s="9" t="n"/>
      <c r="S2425" s="9" t="inlineStr">
        <is>
          <t>Duct bank</t>
        </is>
      </c>
      <c r="T2425" s="10" t="n">
        <v>367</v>
      </c>
      <c r="U2425" s="10" t="n">
        <v>32</v>
      </c>
      <c r="V2425" s="10">
        <f>ROUNDUP((T2425+U2425+2*'Read Me'!$B$13)*(1+'Read Me'!$B$12),-1)</f>
        <v/>
      </c>
      <c r="W2425" s="10">
        <f>V2425*N2425*O2425</f>
        <v/>
      </c>
      <c r="X2425" s="9">
        <f>IF(LEFT(I2425,2)="MV",2*N2425*IF(L2425="1/C",O2425,1),0)</f>
        <v/>
      </c>
      <c r="Y2425" s="9">
        <f>IF(OR(LEFT(K2425,4)="LVAX",LEFT(K2425,6)="MV15AX",LEFT(K2425,4)="CTAX",LEFT(K2425,2)="W|"),2*N2425*O2425,0)</f>
        <v/>
      </c>
      <c r="Z2425" s="9" t="inlineStr"/>
    </row>
    <row r="2426">
      <c r="A2426" s="9" t="inlineStr">
        <is>
          <t>K-C-0014</t>
        </is>
      </c>
      <c r="B2426" s="9" t="inlineStr">
        <is>
          <t>K</t>
        </is>
      </c>
      <c r="C2426" s="9" t="inlineStr">
        <is>
          <t>Fuel supply (adjacent market)</t>
        </is>
      </c>
      <c r="D2426" s="9" t="inlineStr">
        <is>
          <t>Control</t>
        </is>
      </c>
      <c r="E2426" s="9" t="inlineStr"/>
      <c r="F2426" s="9" t="inlineStr">
        <is>
          <t>H2 20: 13.8 kV e-house</t>
        </is>
      </c>
      <c r="G2426" s="9" t="inlineStr"/>
      <c r="H2426" s="9" t="inlineStr">
        <is>
          <t>H2 21: rectifier transformer 3 (7 MVA)</t>
        </is>
      </c>
      <c r="I2426" s="9" t="inlineStr">
        <is>
          <t>Control</t>
        </is>
      </c>
      <c r="J2426" s="9" t="inlineStr">
        <is>
          <t>ARMOR-X MC-HL 600 V control, Cu #14 AWG (Class I Div 2)</t>
        </is>
      </c>
      <c r="K2426" s="9" t="inlineStr">
        <is>
          <t>CTAX|7/C|14</t>
        </is>
      </c>
      <c r="L2426" s="9" t="inlineStr">
        <is>
          <t>7/C</t>
        </is>
      </c>
      <c r="M2426" s="9" t="inlineStr">
        <is>
          <t>14</t>
        </is>
      </c>
      <c r="N2426" s="9" t="n">
        <v>1</v>
      </c>
      <c r="O2426" s="9" t="n">
        <v>1</v>
      </c>
      <c r="P2426" s="9" t="n"/>
      <c r="Q2426" s="9" t="n"/>
      <c r="R2426" s="9" t="n"/>
      <c r="S2426" s="9" t="inlineStr">
        <is>
          <t>Duct bank</t>
        </is>
      </c>
      <c r="T2426" s="10" t="n">
        <v>321</v>
      </c>
      <c r="U2426" s="10" t="n">
        <v>32</v>
      </c>
      <c r="V2426" s="10">
        <f>ROUNDUP((T2426+U2426+2*'Read Me'!$B$13)*(1+'Read Me'!$B$12),-1)</f>
        <v/>
      </c>
      <c r="W2426" s="10">
        <f>V2426*N2426*O2426</f>
        <v/>
      </c>
      <c r="X2426" s="9">
        <f>IF(LEFT(I2426,2)="MV",2*N2426*IF(L2426="1/C",O2426,1),0)</f>
        <v/>
      </c>
      <c r="Y2426" s="9">
        <f>IF(OR(LEFT(K2426,4)="LVAX",LEFT(K2426,6)="MV15AX",LEFT(K2426,4)="CTAX",LEFT(K2426,2)="W|"),2*N2426*O2426,0)</f>
        <v/>
      </c>
      <c r="Z2426" s="9" t="inlineStr"/>
    </row>
    <row r="2427">
      <c r="A2427" s="9" t="inlineStr">
        <is>
          <t>K-C-0015</t>
        </is>
      </c>
      <c r="B2427" s="9" t="inlineStr">
        <is>
          <t>K</t>
        </is>
      </c>
      <c r="C2427" s="9" t="inlineStr">
        <is>
          <t>Fuel supply (adjacent market)</t>
        </is>
      </c>
      <c r="D2427" s="9" t="inlineStr">
        <is>
          <t>Control</t>
        </is>
      </c>
      <c r="E2427" s="9" t="inlineStr"/>
      <c r="F2427" s="9" t="inlineStr">
        <is>
          <t>H2 20: 13.8 kV e-house</t>
        </is>
      </c>
      <c r="G2427" s="9" t="inlineStr"/>
      <c r="H2427" s="9" t="inlineStr">
        <is>
          <t>H2 21: rectifier transformer 3 (7 MVA)</t>
        </is>
      </c>
      <c r="I2427" s="9" t="inlineStr">
        <is>
          <t>Control</t>
        </is>
      </c>
      <c r="J2427" s="9" t="inlineStr">
        <is>
          <t>ARMOR-X MC-HL 600 V control, Cu #14 AWG (Class I Div 2)</t>
        </is>
      </c>
      <c r="K2427" s="9" t="inlineStr">
        <is>
          <t>CTAX|12/C|14</t>
        </is>
      </c>
      <c r="L2427" s="9" t="inlineStr">
        <is>
          <t>12/C</t>
        </is>
      </c>
      <c r="M2427" s="9" t="inlineStr">
        <is>
          <t>14</t>
        </is>
      </c>
      <c r="N2427" s="9" t="n">
        <v>1</v>
      </c>
      <c r="O2427" s="9" t="n">
        <v>1</v>
      </c>
      <c r="P2427" s="9" t="n"/>
      <c r="Q2427" s="9" t="n"/>
      <c r="R2427" s="9" t="n"/>
      <c r="S2427" s="9" t="inlineStr">
        <is>
          <t>Duct bank</t>
        </is>
      </c>
      <c r="T2427" s="10" t="n">
        <v>321</v>
      </c>
      <c r="U2427" s="10" t="n">
        <v>32</v>
      </c>
      <c r="V2427" s="10">
        <f>ROUNDUP((T2427+U2427+2*'Read Me'!$B$13)*(1+'Read Me'!$B$12),-1)</f>
        <v/>
      </c>
      <c r="W2427" s="10">
        <f>V2427*N2427*O2427</f>
        <v/>
      </c>
      <c r="X2427" s="9">
        <f>IF(LEFT(I2427,2)="MV",2*N2427*IF(L2427="1/C",O2427,1),0)</f>
        <v/>
      </c>
      <c r="Y2427" s="9">
        <f>IF(OR(LEFT(K2427,4)="LVAX",LEFT(K2427,6)="MV15AX",LEFT(K2427,4)="CTAX",LEFT(K2427,2)="W|"),2*N2427*O2427,0)</f>
        <v/>
      </c>
      <c r="Z2427" s="9" t="inlineStr"/>
    </row>
    <row r="2428">
      <c r="A2428" s="9" t="inlineStr">
        <is>
          <t>K-C-0016</t>
        </is>
      </c>
      <c r="B2428" s="9" t="inlineStr">
        <is>
          <t>K</t>
        </is>
      </c>
      <c r="C2428" s="9" t="inlineStr">
        <is>
          <t>Fuel supply (adjacent market)</t>
        </is>
      </c>
      <c r="D2428" s="9" t="inlineStr">
        <is>
          <t>CT / VT</t>
        </is>
      </c>
      <c r="E2428" s="9" t="inlineStr"/>
      <c r="F2428" s="9" t="inlineStr">
        <is>
          <t>H2 20: 13.8 kV e-house</t>
        </is>
      </c>
      <c r="G2428" s="9" t="inlineStr"/>
      <c r="H2428" s="9" t="inlineStr">
        <is>
          <t>H2 21: rectifier transformer 3 (7 MVA)</t>
        </is>
      </c>
      <c r="I2428" s="9" t="inlineStr">
        <is>
          <t>Control</t>
        </is>
      </c>
      <c r="J2428" s="9" t="inlineStr">
        <is>
          <t>Control cable 600 V Type TC-ER, Cu #10 AWG (CT / VT circuits)</t>
        </is>
      </c>
      <c r="K2428" s="9" t="inlineStr">
        <is>
          <t>CTCT|4/C|10</t>
        </is>
      </c>
      <c r="L2428" s="9" t="inlineStr">
        <is>
          <t>4/C</t>
        </is>
      </c>
      <c r="M2428" s="9" t="inlineStr">
        <is>
          <t>10</t>
        </is>
      </c>
      <c r="N2428" s="9" t="n">
        <v>1</v>
      </c>
      <c r="O2428" s="9" t="n">
        <v>1</v>
      </c>
      <c r="P2428" s="9" t="n"/>
      <c r="Q2428" s="9" t="n"/>
      <c r="R2428" s="9" t="n"/>
      <c r="S2428" s="9" t="inlineStr">
        <is>
          <t>Duct bank</t>
        </is>
      </c>
      <c r="T2428" s="10" t="n">
        <v>321</v>
      </c>
      <c r="U2428" s="10" t="n">
        <v>32</v>
      </c>
      <c r="V2428" s="10">
        <f>ROUNDUP((T2428+U2428+2*'Read Me'!$B$13)*(1+'Read Me'!$B$12),-1)</f>
        <v/>
      </c>
      <c r="W2428" s="10">
        <f>V2428*N2428*O2428</f>
        <v/>
      </c>
      <c r="X2428" s="9">
        <f>IF(LEFT(I2428,2)="MV",2*N2428*IF(L2428="1/C",O2428,1),0)</f>
        <v/>
      </c>
      <c r="Y2428" s="9">
        <f>IF(OR(LEFT(K2428,4)="LVAX",LEFT(K2428,6)="MV15AX",LEFT(K2428,4)="CTAX",LEFT(K2428,2)="W|"),2*N2428*O2428,0)</f>
        <v/>
      </c>
      <c r="Z2428" s="9" t="inlineStr"/>
    </row>
    <row r="2429">
      <c r="A2429" s="9" t="inlineStr">
        <is>
          <t>K-C-0017</t>
        </is>
      </c>
      <c r="B2429" s="9" t="inlineStr">
        <is>
          <t>K</t>
        </is>
      </c>
      <c r="C2429" s="9" t="inlineStr">
        <is>
          <t>Fuel supply (adjacent market)</t>
        </is>
      </c>
      <c r="D2429" s="9" t="inlineStr">
        <is>
          <t>CT / VT</t>
        </is>
      </c>
      <c r="E2429" s="9" t="inlineStr"/>
      <c r="F2429" s="9" t="inlineStr">
        <is>
          <t>H2 20: 13.8 kV e-house</t>
        </is>
      </c>
      <c r="G2429" s="9" t="inlineStr"/>
      <c r="H2429" s="9" t="inlineStr">
        <is>
          <t>H2 21: rectifier transformer 3 (7 MVA)</t>
        </is>
      </c>
      <c r="I2429" s="9" t="inlineStr">
        <is>
          <t>Control</t>
        </is>
      </c>
      <c r="J2429" s="9" t="inlineStr">
        <is>
          <t>Control cable 600 V Type TC-ER, Cu #10 AWG (CT / VT circuits)</t>
        </is>
      </c>
      <c r="K2429" s="9" t="inlineStr">
        <is>
          <t>CTCT|4/C|10</t>
        </is>
      </c>
      <c r="L2429" s="9" t="inlineStr">
        <is>
          <t>4/C</t>
        </is>
      </c>
      <c r="M2429" s="9" t="inlineStr">
        <is>
          <t>10</t>
        </is>
      </c>
      <c r="N2429" s="9" t="n">
        <v>1</v>
      </c>
      <c r="O2429" s="9" t="n">
        <v>1</v>
      </c>
      <c r="P2429" s="9" t="n"/>
      <c r="Q2429" s="9" t="n"/>
      <c r="R2429" s="9" t="n"/>
      <c r="S2429" s="9" t="inlineStr">
        <is>
          <t>Duct bank</t>
        </is>
      </c>
      <c r="T2429" s="10" t="n">
        <v>321</v>
      </c>
      <c r="U2429" s="10" t="n">
        <v>32</v>
      </c>
      <c r="V2429" s="10">
        <f>ROUNDUP((T2429+U2429+2*'Read Me'!$B$13)*(1+'Read Me'!$B$12),-1)</f>
        <v/>
      </c>
      <c r="W2429" s="10">
        <f>V2429*N2429*O2429</f>
        <v/>
      </c>
      <c r="X2429" s="9">
        <f>IF(LEFT(I2429,2)="MV",2*N2429*IF(L2429="1/C",O2429,1),0)</f>
        <v/>
      </c>
      <c r="Y2429" s="9">
        <f>IF(OR(LEFT(K2429,4)="LVAX",LEFT(K2429,6)="MV15AX",LEFT(K2429,4)="CTAX",LEFT(K2429,2)="W|"),2*N2429*O2429,0)</f>
        <v/>
      </c>
      <c r="Z2429" s="9" t="inlineStr"/>
    </row>
    <row r="2430">
      <c r="A2430" s="9" t="inlineStr">
        <is>
          <t>K-C-0018</t>
        </is>
      </c>
      <c r="B2430" s="9" t="inlineStr">
        <is>
          <t>K</t>
        </is>
      </c>
      <c r="C2430" s="9" t="inlineStr">
        <is>
          <t>Fuel supply (adjacent market)</t>
        </is>
      </c>
      <c r="D2430" s="9" t="inlineStr">
        <is>
          <t>Control</t>
        </is>
      </c>
      <c r="E2430" s="9" t="inlineStr"/>
      <c r="F2430" s="9" t="inlineStr">
        <is>
          <t>H2 20: 13.8 kV e-house</t>
        </is>
      </c>
      <c r="G2430" s="9" t="inlineStr"/>
      <c r="H2430" s="9" t="inlineStr">
        <is>
          <t>H2 21: rectifier transformer 4 (7 MVA)</t>
        </is>
      </c>
      <c r="I2430" s="9" t="inlineStr">
        <is>
          <t>Control</t>
        </is>
      </c>
      <c r="J2430" s="9" t="inlineStr">
        <is>
          <t>ARMOR-X MC-HL 600 V control, Cu #14 AWG (Class I Div 2)</t>
        </is>
      </c>
      <c r="K2430" s="9" t="inlineStr">
        <is>
          <t>CTAX|7/C|14</t>
        </is>
      </c>
      <c r="L2430" s="9" t="inlineStr">
        <is>
          <t>7/C</t>
        </is>
      </c>
      <c r="M2430" s="9" t="inlineStr">
        <is>
          <t>14</t>
        </is>
      </c>
      <c r="N2430" s="9" t="n">
        <v>1</v>
      </c>
      <c r="O2430" s="9" t="n">
        <v>1</v>
      </c>
      <c r="P2430" s="9" t="n"/>
      <c r="Q2430" s="9" t="n"/>
      <c r="R2430" s="9" t="n"/>
      <c r="S2430" s="9" t="inlineStr">
        <is>
          <t>Duct bank</t>
        </is>
      </c>
      <c r="T2430" s="10" t="n">
        <v>295</v>
      </c>
      <c r="U2430" s="10" t="n">
        <v>32</v>
      </c>
      <c r="V2430" s="10">
        <f>ROUNDUP((T2430+U2430+2*'Read Me'!$B$13)*(1+'Read Me'!$B$12),-1)</f>
        <v/>
      </c>
      <c r="W2430" s="10">
        <f>V2430*N2430*O2430</f>
        <v/>
      </c>
      <c r="X2430" s="9">
        <f>IF(LEFT(I2430,2)="MV",2*N2430*IF(L2430="1/C",O2430,1),0)</f>
        <v/>
      </c>
      <c r="Y2430" s="9">
        <f>IF(OR(LEFT(K2430,4)="LVAX",LEFT(K2430,6)="MV15AX",LEFT(K2430,4)="CTAX",LEFT(K2430,2)="W|"),2*N2430*O2430,0)</f>
        <v/>
      </c>
      <c r="Z2430" s="9" t="inlineStr"/>
    </row>
    <row r="2431">
      <c r="A2431" s="9" t="inlineStr">
        <is>
          <t>K-C-0019</t>
        </is>
      </c>
      <c r="B2431" s="9" t="inlineStr">
        <is>
          <t>K</t>
        </is>
      </c>
      <c r="C2431" s="9" t="inlineStr">
        <is>
          <t>Fuel supply (adjacent market)</t>
        </is>
      </c>
      <c r="D2431" s="9" t="inlineStr">
        <is>
          <t>Control</t>
        </is>
      </c>
      <c r="E2431" s="9" t="inlineStr"/>
      <c r="F2431" s="9" t="inlineStr">
        <is>
          <t>H2 20: 13.8 kV e-house</t>
        </is>
      </c>
      <c r="G2431" s="9" t="inlineStr"/>
      <c r="H2431" s="9" t="inlineStr">
        <is>
          <t>H2 21: rectifier transformer 4 (7 MVA)</t>
        </is>
      </c>
      <c r="I2431" s="9" t="inlineStr">
        <is>
          <t>Control</t>
        </is>
      </c>
      <c r="J2431" s="9" t="inlineStr">
        <is>
          <t>ARMOR-X MC-HL 600 V control, Cu #14 AWG (Class I Div 2)</t>
        </is>
      </c>
      <c r="K2431" s="9" t="inlineStr">
        <is>
          <t>CTAX|12/C|14</t>
        </is>
      </c>
      <c r="L2431" s="9" t="inlineStr">
        <is>
          <t>12/C</t>
        </is>
      </c>
      <c r="M2431" s="9" t="inlineStr">
        <is>
          <t>14</t>
        </is>
      </c>
      <c r="N2431" s="9" t="n">
        <v>1</v>
      </c>
      <c r="O2431" s="9" t="n">
        <v>1</v>
      </c>
      <c r="P2431" s="9" t="n"/>
      <c r="Q2431" s="9" t="n"/>
      <c r="R2431" s="9" t="n"/>
      <c r="S2431" s="9" t="inlineStr">
        <is>
          <t>Duct bank</t>
        </is>
      </c>
      <c r="T2431" s="10" t="n">
        <v>295</v>
      </c>
      <c r="U2431" s="10" t="n">
        <v>32</v>
      </c>
      <c r="V2431" s="10">
        <f>ROUNDUP((T2431+U2431+2*'Read Me'!$B$13)*(1+'Read Me'!$B$12),-1)</f>
        <v/>
      </c>
      <c r="W2431" s="10">
        <f>V2431*N2431*O2431</f>
        <v/>
      </c>
      <c r="X2431" s="9">
        <f>IF(LEFT(I2431,2)="MV",2*N2431*IF(L2431="1/C",O2431,1),0)</f>
        <v/>
      </c>
      <c r="Y2431" s="9">
        <f>IF(OR(LEFT(K2431,4)="LVAX",LEFT(K2431,6)="MV15AX",LEFT(K2431,4)="CTAX",LEFT(K2431,2)="W|"),2*N2431*O2431,0)</f>
        <v/>
      </c>
      <c r="Z2431" s="9" t="inlineStr"/>
    </row>
    <row r="2432">
      <c r="A2432" s="9" t="inlineStr">
        <is>
          <t>K-C-0020</t>
        </is>
      </c>
      <c r="B2432" s="9" t="inlineStr">
        <is>
          <t>K</t>
        </is>
      </c>
      <c r="C2432" s="9" t="inlineStr">
        <is>
          <t>Fuel supply (adjacent market)</t>
        </is>
      </c>
      <c r="D2432" s="9" t="inlineStr">
        <is>
          <t>CT / VT</t>
        </is>
      </c>
      <c r="E2432" s="9" t="inlineStr"/>
      <c r="F2432" s="9" t="inlineStr">
        <is>
          <t>H2 20: 13.8 kV e-house</t>
        </is>
      </c>
      <c r="G2432" s="9" t="inlineStr"/>
      <c r="H2432" s="9" t="inlineStr">
        <is>
          <t>H2 21: rectifier transformer 4 (7 MVA)</t>
        </is>
      </c>
      <c r="I2432" s="9" t="inlineStr">
        <is>
          <t>Control</t>
        </is>
      </c>
      <c r="J2432" s="9" t="inlineStr">
        <is>
          <t>Control cable 600 V Type TC-ER, Cu #10 AWG (CT / VT circuits)</t>
        </is>
      </c>
      <c r="K2432" s="9" t="inlineStr">
        <is>
          <t>CTCT|4/C|10</t>
        </is>
      </c>
      <c r="L2432" s="9" t="inlineStr">
        <is>
          <t>4/C</t>
        </is>
      </c>
      <c r="M2432" s="9" t="inlineStr">
        <is>
          <t>10</t>
        </is>
      </c>
      <c r="N2432" s="9" t="n">
        <v>1</v>
      </c>
      <c r="O2432" s="9" t="n">
        <v>1</v>
      </c>
      <c r="P2432" s="9" t="n"/>
      <c r="Q2432" s="9" t="n"/>
      <c r="R2432" s="9" t="n"/>
      <c r="S2432" s="9" t="inlineStr">
        <is>
          <t>Duct bank</t>
        </is>
      </c>
      <c r="T2432" s="10" t="n">
        <v>295</v>
      </c>
      <c r="U2432" s="10" t="n">
        <v>32</v>
      </c>
      <c r="V2432" s="10">
        <f>ROUNDUP((T2432+U2432+2*'Read Me'!$B$13)*(1+'Read Me'!$B$12),-1)</f>
        <v/>
      </c>
      <c r="W2432" s="10">
        <f>V2432*N2432*O2432</f>
        <v/>
      </c>
      <c r="X2432" s="9">
        <f>IF(LEFT(I2432,2)="MV",2*N2432*IF(L2432="1/C",O2432,1),0)</f>
        <v/>
      </c>
      <c r="Y2432" s="9">
        <f>IF(OR(LEFT(K2432,4)="LVAX",LEFT(K2432,6)="MV15AX",LEFT(K2432,4)="CTAX",LEFT(K2432,2)="W|"),2*N2432*O2432,0)</f>
        <v/>
      </c>
      <c r="Z2432" s="9" t="inlineStr"/>
    </row>
    <row r="2433">
      <c r="A2433" s="9" t="inlineStr">
        <is>
          <t>K-C-0021</t>
        </is>
      </c>
      <c r="B2433" s="9" t="inlineStr">
        <is>
          <t>K</t>
        </is>
      </c>
      <c r="C2433" s="9" t="inlineStr">
        <is>
          <t>Fuel supply (adjacent market)</t>
        </is>
      </c>
      <c r="D2433" s="9" t="inlineStr">
        <is>
          <t>CT / VT</t>
        </is>
      </c>
      <c r="E2433" s="9" t="inlineStr"/>
      <c r="F2433" s="9" t="inlineStr">
        <is>
          <t>H2 20: 13.8 kV e-house</t>
        </is>
      </c>
      <c r="G2433" s="9" t="inlineStr"/>
      <c r="H2433" s="9" t="inlineStr">
        <is>
          <t>H2 21: rectifier transformer 4 (7 MVA)</t>
        </is>
      </c>
      <c r="I2433" s="9" t="inlineStr">
        <is>
          <t>Control</t>
        </is>
      </c>
      <c r="J2433" s="9" t="inlineStr">
        <is>
          <t>Control cable 600 V Type TC-ER, Cu #10 AWG (CT / VT circuits)</t>
        </is>
      </c>
      <c r="K2433" s="9" t="inlineStr">
        <is>
          <t>CTCT|4/C|10</t>
        </is>
      </c>
      <c r="L2433" s="9" t="inlineStr">
        <is>
          <t>4/C</t>
        </is>
      </c>
      <c r="M2433" s="9" t="inlineStr">
        <is>
          <t>10</t>
        </is>
      </c>
      <c r="N2433" s="9" t="n">
        <v>1</v>
      </c>
      <c r="O2433" s="9" t="n">
        <v>1</v>
      </c>
      <c r="P2433" s="9" t="n"/>
      <c r="Q2433" s="9" t="n"/>
      <c r="R2433" s="9" t="n"/>
      <c r="S2433" s="9" t="inlineStr">
        <is>
          <t>Duct bank</t>
        </is>
      </c>
      <c r="T2433" s="10" t="n">
        <v>295</v>
      </c>
      <c r="U2433" s="10" t="n">
        <v>32</v>
      </c>
      <c r="V2433" s="10">
        <f>ROUNDUP((T2433+U2433+2*'Read Me'!$B$13)*(1+'Read Me'!$B$12),-1)</f>
        <v/>
      </c>
      <c r="W2433" s="10">
        <f>V2433*N2433*O2433</f>
        <v/>
      </c>
      <c r="X2433" s="9">
        <f>IF(LEFT(I2433,2)="MV",2*N2433*IF(L2433="1/C",O2433,1),0)</f>
        <v/>
      </c>
      <c r="Y2433" s="9">
        <f>IF(OR(LEFT(K2433,4)="LVAX",LEFT(K2433,6)="MV15AX",LEFT(K2433,4)="CTAX",LEFT(K2433,2)="W|"),2*N2433*O2433,0)</f>
        <v/>
      </c>
      <c r="Z2433" s="9" t="inlineStr"/>
    </row>
    <row r="2434">
      <c r="A2434" s="9" t="inlineStr">
        <is>
          <t>K-C-0022</t>
        </is>
      </c>
      <c r="B2434" s="9" t="inlineStr">
        <is>
          <t>K</t>
        </is>
      </c>
      <c r="C2434" s="9" t="inlineStr">
        <is>
          <t>Fuel supply (adjacent market)</t>
        </is>
      </c>
      <c r="D2434" s="9" t="inlineStr">
        <is>
          <t>Control</t>
        </is>
      </c>
      <c r="E2434" s="9" t="inlineStr"/>
      <c r="F2434" s="9" t="inlineStr">
        <is>
          <t>H2 20: 13.8 kV e-house</t>
        </is>
      </c>
      <c r="G2434" s="9" t="inlineStr"/>
      <c r="H2434" s="9" t="inlineStr">
        <is>
          <t>H2 21: rectifier transformer 5 (7 MVA)</t>
        </is>
      </c>
      <c r="I2434" s="9" t="inlineStr">
        <is>
          <t>Control</t>
        </is>
      </c>
      <c r="J2434" s="9" t="inlineStr">
        <is>
          <t>ARMOR-X MC-HL 600 V control, Cu #14 AWG (Class I Div 2)</t>
        </is>
      </c>
      <c r="K2434" s="9" t="inlineStr">
        <is>
          <t>CTAX|7/C|14</t>
        </is>
      </c>
      <c r="L2434" s="9" t="inlineStr">
        <is>
          <t>7/C</t>
        </is>
      </c>
      <c r="M2434" s="9" t="inlineStr">
        <is>
          <t>14</t>
        </is>
      </c>
      <c r="N2434" s="9" t="n">
        <v>1</v>
      </c>
      <c r="O2434" s="9" t="n">
        <v>1</v>
      </c>
      <c r="P2434" s="9" t="n"/>
      <c r="Q2434" s="9" t="n"/>
      <c r="R2434" s="9" t="n"/>
      <c r="S2434" s="9" t="inlineStr">
        <is>
          <t>Duct bank</t>
        </is>
      </c>
      <c r="T2434" s="10" t="n">
        <v>254</v>
      </c>
      <c r="U2434" s="10" t="n">
        <v>32</v>
      </c>
      <c r="V2434" s="10">
        <f>ROUNDUP((T2434+U2434+2*'Read Me'!$B$13)*(1+'Read Me'!$B$12),-1)</f>
        <v/>
      </c>
      <c r="W2434" s="10">
        <f>V2434*N2434*O2434</f>
        <v/>
      </c>
      <c r="X2434" s="9">
        <f>IF(LEFT(I2434,2)="MV",2*N2434*IF(L2434="1/C",O2434,1),0)</f>
        <v/>
      </c>
      <c r="Y2434" s="9">
        <f>IF(OR(LEFT(K2434,4)="LVAX",LEFT(K2434,6)="MV15AX",LEFT(K2434,4)="CTAX",LEFT(K2434,2)="W|"),2*N2434*O2434,0)</f>
        <v/>
      </c>
      <c r="Z2434" s="9" t="inlineStr"/>
    </row>
    <row r="2435">
      <c r="A2435" s="9" t="inlineStr">
        <is>
          <t>K-C-0023</t>
        </is>
      </c>
      <c r="B2435" s="9" t="inlineStr">
        <is>
          <t>K</t>
        </is>
      </c>
      <c r="C2435" s="9" t="inlineStr">
        <is>
          <t>Fuel supply (adjacent market)</t>
        </is>
      </c>
      <c r="D2435" s="9" t="inlineStr">
        <is>
          <t>Control</t>
        </is>
      </c>
      <c r="E2435" s="9" t="inlineStr"/>
      <c r="F2435" s="9" t="inlineStr">
        <is>
          <t>H2 20: 13.8 kV e-house</t>
        </is>
      </c>
      <c r="G2435" s="9" t="inlineStr"/>
      <c r="H2435" s="9" t="inlineStr">
        <is>
          <t>H2 21: rectifier transformer 5 (7 MVA)</t>
        </is>
      </c>
      <c r="I2435" s="9" t="inlineStr">
        <is>
          <t>Control</t>
        </is>
      </c>
      <c r="J2435" s="9" t="inlineStr">
        <is>
          <t>ARMOR-X MC-HL 600 V control, Cu #14 AWG (Class I Div 2)</t>
        </is>
      </c>
      <c r="K2435" s="9" t="inlineStr">
        <is>
          <t>CTAX|12/C|14</t>
        </is>
      </c>
      <c r="L2435" s="9" t="inlineStr">
        <is>
          <t>12/C</t>
        </is>
      </c>
      <c r="M2435" s="9" t="inlineStr">
        <is>
          <t>14</t>
        </is>
      </c>
      <c r="N2435" s="9" t="n">
        <v>1</v>
      </c>
      <c r="O2435" s="9" t="n">
        <v>1</v>
      </c>
      <c r="P2435" s="9" t="n"/>
      <c r="Q2435" s="9" t="n"/>
      <c r="R2435" s="9" t="n"/>
      <c r="S2435" s="9" t="inlineStr">
        <is>
          <t>Duct bank</t>
        </is>
      </c>
      <c r="T2435" s="10" t="n">
        <v>254</v>
      </c>
      <c r="U2435" s="10" t="n">
        <v>32</v>
      </c>
      <c r="V2435" s="10">
        <f>ROUNDUP((T2435+U2435+2*'Read Me'!$B$13)*(1+'Read Me'!$B$12),-1)</f>
        <v/>
      </c>
      <c r="W2435" s="10">
        <f>V2435*N2435*O2435</f>
        <v/>
      </c>
      <c r="X2435" s="9">
        <f>IF(LEFT(I2435,2)="MV",2*N2435*IF(L2435="1/C",O2435,1),0)</f>
        <v/>
      </c>
      <c r="Y2435" s="9">
        <f>IF(OR(LEFT(K2435,4)="LVAX",LEFT(K2435,6)="MV15AX",LEFT(K2435,4)="CTAX",LEFT(K2435,2)="W|"),2*N2435*O2435,0)</f>
        <v/>
      </c>
      <c r="Z2435" s="9" t="inlineStr"/>
    </row>
    <row r="2436">
      <c r="A2436" s="9" t="inlineStr">
        <is>
          <t>K-C-0024</t>
        </is>
      </c>
      <c r="B2436" s="9" t="inlineStr">
        <is>
          <t>K</t>
        </is>
      </c>
      <c r="C2436" s="9" t="inlineStr">
        <is>
          <t>Fuel supply (adjacent market)</t>
        </is>
      </c>
      <c r="D2436" s="9" t="inlineStr">
        <is>
          <t>CT / VT</t>
        </is>
      </c>
      <c r="E2436" s="9" t="inlineStr"/>
      <c r="F2436" s="9" t="inlineStr">
        <is>
          <t>H2 20: 13.8 kV e-house</t>
        </is>
      </c>
      <c r="G2436" s="9" t="inlineStr"/>
      <c r="H2436" s="9" t="inlineStr">
        <is>
          <t>H2 21: rectifier transformer 5 (7 MVA)</t>
        </is>
      </c>
      <c r="I2436" s="9" t="inlineStr">
        <is>
          <t>Control</t>
        </is>
      </c>
      <c r="J2436" s="9" t="inlineStr">
        <is>
          <t>Control cable 600 V Type TC-ER, Cu #10 AWG (CT / VT circuits)</t>
        </is>
      </c>
      <c r="K2436" s="9" t="inlineStr">
        <is>
          <t>CTCT|4/C|10</t>
        </is>
      </c>
      <c r="L2436" s="9" t="inlineStr">
        <is>
          <t>4/C</t>
        </is>
      </c>
      <c r="M2436" s="9" t="inlineStr">
        <is>
          <t>10</t>
        </is>
      </c>
      <c r="N2436" s="9" t="n">
        <v>1</v>
      </c>
      <c r="O2436" s="9" t="n">
        <v>1</v>
      </c>
      <c r="P2436" s="9" t="n"/>
      <c r="Q2436" s="9" t="n"/>
      <c r="R2436" s="9" t="n"/>
      <c r="S2436" s="9" t="inlineStr">
        <is>
          <t>Duct bank</t>
        </is>
      </c>
      <c r="T2436" s="10" t="n">
        <v>254</v>
      </c>
      <c r="U2436" s="10" t="n">
        <v>32</v>
      </c>
      <c r="V2436" s="10">
        <f>ROUNDUP((T2436+U2436+2*'Read Me'!$B$13)*(1+'Read Me'!$B$12),-1)</f>
        <v/>
      </c>
      <c r="W2436" s="10">
        <f>V2436*N2436*O2436</f>
        <v/>
      </c>
      <c r="X2436" s="9">
        <f>IF(LEFT(I2436,2)="MV",2*N2436*IF(L2436="1/C",O2436,1),0)</f>
        <v/>
      </c>
      <c r="Y2436" s="9">
        <f>IF(OR(LEFT(K2436,4)="LVAX",LEFT(K2436,6)="MV15AX",LEFT(K2436,4)="CTAX",LEFT(K2436,2)="W|"),2*N2436*O2436,0)</f>
        <v/>
      </c>
      <c r="Z2436" s="9" t="inlineStr"/>
    </row>
    <row r="2437">
      <c r="A2437" s="9" t="inlineStr">
        <is>
          <t>K-C-0025</t>
        </is>
      </c>
      <c r="B2437" s="9" t="inlineStr">
        <is>
          <t>K</t>
        </is>
      </c>
      <c r="C2437" s="9" t="inlineStr">
        <is>
          <t>Fuel supply (adjacent market)</t>
        </is>
      </c>
      <c r="D2437" s="9" t="inlineStr">
        <is>
          <t>CT / VT</t>
        </is>
      </c>
      <c r="E2437" s="9" t="inlineStr"/>
      <c r="F2437" s="9" t="inlineStr">
        <is>
          <t>H2 20: 13.8 kV e-house</t>
        </is>
      </c>
      <c r="G2437" s="9" t="inlineStr"/>
      <c r="H2437" s="9" t="inlineStr">
        <is>
          <t>H2 21: rectifier transformer 5 (7 MVA)</t>
        </is>
      </c>
      <c r="I2437" s="9" t="inlineStr">
        <is>
          <t>Control</t>
        </is>
      </c>
      <c r="J2437" s="9" t="inlineStr">
        <is>
          <t>Control cable 600 V Type TC-ER, Cu #10 AWG (CT / VT circuits)</t>
        </is>
      </c>
      <c r="K2437" s="9" t="inlineStr">
        <is>
          <t>CTCT|4/C|10</t>
        </is>
      </c>
      <c r="L2437" s="9" t="inlineStr">
        <is>
          <t>4/C</t>
        </is>
      </c>
      <c r="M2437" s="9" t="inlineStr">
        <is>
          <t>10</t>
        </is>
      </c>
      <c r="N2437" s="9" t="n">
        <v>1</v>
      </c>
      <c r="O2437" s="9" t="n">
        <v>1</v>
      </c>
      <c r="P2437" s="9" t="n"/>
      <c r="Q2437" s="9" t="n"/>
      <c r="R2437" s="9" t="n"/>
      <c r="S2437" s="9" t="inlineStr">
        <is>
          <t>Duct bank</t>
        </is>
      </c>
      <c r="T2437" s="10" t="n">
        <v>254</v>
      </c>
      <c r="U2437" s="10" t="n">
        <v>32</v>
      </c>
      <c r="V2437" s="10">
        <f>ROUNDUP((T2437+U2437+2*'Read Me'!$B$13)*(1+'Read Me'!$B$12),-1)</f>
        <v/>
      </c>
      <c r="W2437" s="10">
        <f>V2437*N2437*O2437</f>
        <v/>
      </c>
      <c r="X2437" s="9">
        <f>IF(LEFT(I2437,2)="MV",2*N2437*IF(L2437="1/C",O2437,1),0)</f>
        <v/>
      </c>
      <c r="Y2437" s="9">
        <f>IF(OR(LEFT(K2437,4)="LVAX",LEFT(K2437,6)="MV15AX",LEFT(K2437,4)="CTAX",LEFT(K2437,2)="W|"),2*N2437*O2437,0)</f>
        <v/>
      </c>
      <c r="Z2437" s="9" t="inlineStr"/>
    </row>
    <row r="2438">
      <c r="A2438" s="9" t="inlineStr">
        <is>
          <t>K-C-0026</t>
        </is>
      </c>
      <c r="B2438" s="9" t="inlineStr">
        <is>
          <t>K</t>
        </is>
      </c>
      <c r="C2438" s="9" t="inlineStr">
        <is>
          <t>Fuel supply (adjacent market)</t>
        </is>
      </c>
      <c r="D2438" s="9" t="inlineStr">
        <is>
          <t>Control</t>
        </is>
      </c>
      <c r="E2438" s="9" t="inlineStr"/>
      <c r="F2438" s="9" t="inlineStr">
        <is>
          <t>H2 20: 13.8 kV e-house</t>
        </is>
      </c>
      <c r="G2438" s="9" t="inlineStr">
        <is>
          <t>H2-EL</t>
        </is>
      </c>
      <c r="H2438" s="9" t="inlineStr">
        <is>
          <t>H2 22: electrolyzer building (5 x HyLYZER-1000 + 5 rectifiers)</t>
        </is>
      </c>
      <c r="I2438" s="9" t="inlineStr">
        <is>
          <t>Control</t>
        </is>
      </c>
      <c r="J2438" s="9" t="inlineStr">
        <is>
          <t>ARMOR-X MC-HL 600 V control, Cu #14 AWG (Class I Div 2)</t>
        </is>
      </c>
      <c r="K2438" s="9" t="inlineStr">
        <is>
          <t>CTAX|7/C|14</t>
        </is>
      </c>
      <c r="L2438" s="9" t="inlineStr">
        <is>
          <t>7/C</t>
        </is>
      </c>
      <c r="M2438" s="9" t="inlineStr">
        <is>
          <t>14</t>
        </is>
      </c>
      <c r="N2438" s="9" t="n">
        <v>1</v>
      </c>
      <c r="O2438" s="9" t="n">
        <v>1</v>
      </c>
      <c r="P2438" s="9" t="n"/>
      <c r="Q2438" s="9" t="n"/>
      <c r="R2438" s="9" t="n"/>
      <c r="S2438" s="9" t="inlineStr">
        <is>
          <t>Duct bank</t>
        </is>
      </c>
      <c r="T2438" s="10" t="n">
        <v>395</v>
      </c>
      <c r="U2438" s="10" t="n">
        <v>32</v>
      </c>
      <c r="V2438" s="10">
        <f>ROUNDUP((T2438+U2438+2*'Read Me'!$B$13)*(1+'Read Me'!$B$12),-1)</f>
        <v/>
      </c>
      <c r="W2438" s="10">
        <f>V2438*N2438*O2438</f>
        <v/>
      </c>
      <c r="X2438" s="9">
        <f>IF(LEFT(I2438,2)="MV",2*N2438*IF(L2438="1/C",O2438,1),0)</f>
        <v/>
      </c>
      <c r="Y2438" s="9">
        <f>IF(OR(LEFT(K2438,4)="LVAX",LEFT(K2438,6)="MV15AX",LEFT(K2438,4)="CTAX",LEFT(K2438,2)="W|"),2*N2438*O2438,0)</f>
        <v/>
      </c>
      <c r="Z2438" s="9" t="inlineStr"/>
    </row>
    <row r="2439">
      <c r="A2439" s="9" t="inlineStr">
        <is>
          <t>K-C-0027</t>
        </is>
      </c>
      <c r="B2439" s="9" t="inlineStr">
        <is>
          <t>K</t>
        </is>
      </c>
      <c r="C2439" s="9" t="inlineStr">
        <is>
          <t>Fuel supply (adjacent market)</t>
        </is>
      </c>
      <c r="D2439" s="9" t="inlineStr">
        <is>
          <t>Control</t>
        </is>
      </c>
      <c r="E2439" s="9" t="inlineStr"/>
      <c r="F2439" s="9" t="inlineStr">
        <is>
          <t>H2 20: 13.8 kV e-house</t>
        </is>
      </c>
      <c r="G2439" s="9" t="inlineStr"/>
      <c r="H2439" s="9" t="inlineStr">
        <is>
          <t>H2 23: dry coolers</t>
        </is>
      </c>
      <c r="I2439" s="9" t="inlineStr">
        <is>
          <t>Control</t>
        </is>
      </c>
      <c r="J2439" s="9" t="inlineStr">
        <is>
          <t>ARMOR-X MC-HL 600 V control, Cu #14 AWG (Class I Div 2)</t>
        </is>
      </c>
      <c r="K2439" s="9" t="inlineStr">
        <is>
          <t>CTAX|7/C|14</t>
        </is>
      </c>
      <c r="L2439" s="9" t="inlineStr">
        <is>
          <t>7/C</t>
        </is>
      </c>
      <c r="M2439" s="9" t="inlineStr">
        <is>
          <t>14</t>
        </is>
      </c>
      <c r="N2439" s="9" t="n">
        <v>1</v>
      </c>
      <c r="O2439" s="9" t="n">
        <v>1</v>
      </c>
      <c r="P2439" s="9" t="n"/>
      <c r="Q2439" s="9" t="n"/>
      <c r="R2439" s="9" t="n"/>
      <c r="S2439" s="9" t="inlineStr">
        <is>
          <t>Duct bank</t>
        </is>
      </c>
      <c r="T2439" s="10" t="n">
        <v>53</v>
      </c>
      <c r="U2439" s="10" t="n">
        <v>77</v>
      </c>
      <c r="V2439" s="10">
        <f>ROUNDUP((T2439+U2439+2*'Read Me'!$B$13)*(1+'Read Me'!$B$12),-1)</f>
        <v/>
      </c>
      <c r="W2439" s="10">
        <f>V2439*N2439*O2439</f>
        <v/>
      </c>
      <c r="X2439" s="9">
        <f>IF(LEFT(I2439,2)="MV",2*N2439*IF(L2439="1/C",O2439,1),0)</f>
        <v/>
      </c>
      <c r="Y2439" s="9">
        <f>IF(OR(LEFT(K2439,4)="LVAX",LEFT(K2439,6)="MV15AX",LEFT(K2439,4)="CTAX",LEFT(K2439,2)="W|"),2*N2439*O2439,0)</f>
        <v/>
      </c>
      <c r="Z2439" s="9" t="inlineStr"/>
    </row>
    <row r="2440">
      <c r="A2440" s="9" t="inlineStr">
        <is>
          <t>K-C-0028</t>
        </is>
      </c>
      <c r="B2440" s="9" t="inlineStr">
        <is>
          <t>K</t>
        </is>
      </c>
      <c r="C2440" s="9" t="inlineStr">
        <is>
          <t>Fuel supply (adjacent market)</t>
        </is>
      </c>
      <c r="D2440" s="9" t="inlineStr">
        <is>
          <t>Control</t>
        </is>
      </c>
      <c r="E2440" s="9" t="inlineStr"/>
      <c r="F2440" s="9" t="inlineStr">
        <is>
          <t>H2 20: 13.8 kV e-house</t>
        </is>
      </c>
      <c r="G2440" s="9" t="inlineStr"/>
      <c r="H2440" s="9" t="inlineStr">
        <is>
          <t>H2 24: water purification (RO / EDI)</t>
        </is>
      </c>
      <c r="I2440" s="9" t="inlineStr">
        <is>
          <t>Control</t>
        </is>
      </c>
      <c r="J2440" s="9" t="inlineStr">
        <is>
          <t>ARMOR-X MC-HL 600 V control, Cu #14 AWG (Class I Div 2)</t>
        </is>
      </c>
      <c r="K2440" s="9" t="inlineStr">
        <is>
          <t>CTAX|7/C|14</t>
        </is>
      </c>
      <c r="L2440" s="9" t="inlineStr">
        <is>
          <t>7/C</t>
        </is>
      </c>
      <c r="M2440" s="9" t="inlineStr">
        <is>
          <t>14</t>
        </is>
      </c>
      <c r="N2440" s="9" t="n">
        <v>1</v>
      </c>
      <c r="O2440" s="9" t="n">
        <v>1</v>
      </c>
      <c r="P2440" s="9" t="n"/>
      <c r="Q2440" s="9" t="n"/>
      <c r="R2440" s="9" t="n"/>
      <c r="S2440" s="9" t="inlineStr">
        <is>
          <t>Duct bank</t>
        </is>
      </c>
      <c r="T2440" s="10" t="n">
        <v>146</v>
      </c>
      <c r="U2440" s="10" t="n">
        <v>32</v>
      </c>
      <c r="V2440" s="10">
        <f>ROUNDUP((T2440+U2440+2*'Read Me'!$B$13)*(1+'Read Me'!$B$12),-1)</f>
        <v/>
      </c>
      <c r="W2440" s="10">
        <f>V2440*N2440*O2440</f>
        <v/>
      </c>
      <c r="X2440" s="9">
        <f>IF(LEFT(I2440,2)="MV",2*N2440*IF(L2440="1/C",O2440,1),0)</f>
        <v/>
      </c>
      <c r="Y2440" s="9">
        <f>IF(OR(LEFT(K2440,4)="LVAX",LEFT(K2440,6)="MV15AX",LEFT(K2440,4)="CTAX",LEFT(K2440,2)="W|"),2*N2440*O2440,0)</f>
        <v/>
      </c>
      <c r="Z2440" s="9" t="inlineStr"/>
    </row>
    <row r="2441">
      <c r="A2441" s="9" t="inlineStr">
        <is>
          <t>K-C-0029</t>
        </is>
      </c>
      <c r="B2441" s="9" t="inlineStr">
        <is>
          <t>K</t>
        </is>
      </c>
      <c r="C2441" s="9" t="inlineStr">
        <is>
          <t>Fuel supply (adjacent market)</t>
        </is>
      </c>
      <c r="D2441" s="9" t="inlineStr">
        <is>
          <t>Control</t>
        </is>
      </c>
      <c r="E2441" s="9" t="inlineStr"/>
      <c r="F2441" s="9" t="inlineStr">
        <is>
          <t>H2 20: 13.8 kV e-house</t>
        </is>
      </c>
      <c r="G2441" s="9" t="inlineStr"/>
      <c r="H2441" s="9" t="inlineStr">
        <is>
          <t>H2 25: H2 dryer / purification</t>
        </is>
      </c>
      <c r="I2441" s="9" t="inlineStr">
        <is>
          <t>Control</t>
        </is>
      </c>
      <c r="J2441" s="9" t="inlineStr">
        <is>
          <t>ARMOR-X MC-HL 600 V control, Cu #14 AWG (Class I Div 2)</t>
        </is>
      </c>
      <c r="K2441" s="9" t="inlineStr">
        <is>
          <t>CTAX|7/C|14</t>
        </is>
      </c>
      <c r="L2441" s="9" t="inlineStr">
        <is>
          <t>7/C</t>
        </is>
      </c>
      <c r="M2441" s="9" t="inlineStr">
        <is>
          <t>14</t>
        </is>
      </c>
      <c r="N2441" s="9" t="n">
        <v>1</v>
      </c>
      <c r="O2441" s="9" t="n">
        <v>1</v>
      </c>
      <c r="P2441" s="9" t="n"/>
      <c r="Q2441" s="9" t="n"/>
      <c r="R2441" s="9" t="n"/>
      <c r="S2441" s="9" t="inlineStr">
        <is>
          <t>Conduit link</t>
        </is>
      </c>
      <c r="T2441" s="10" t="n">
        <v>0</v>
      </c>
      <c r="U2441" s="10" t="n">
        <v>49</v>
      </c>
      <c r="V2441" s="10">
        <f>ROUNDUP((T2441+U2441+2*'Read Me'!$B$13)*(1+'Read Me'!$B$12),-1)</f>
        <v/>
      </c>
      <c r="W2441" s="10">
        <f>V2441*N2441*O2441</f>
        <v/>
      </c>
      <c r="X2441" s="9">
        <f>IF(LEFT(I2441,2)="MV",2*N2441*IF(L2441="1/C",O2441,1),0)</f>
        <v/>
      </c>
      <c r="Y2441" s="9">
        <f>IF(OR(LEFT(K2441,4)="LVAX",LEFT(K2441,6)="MV15AX",LEFT(K2441,4)="CTAX",LEFT(K2441,2)="W|"),2*N2441*O2441,0)</f>
        <v/>
      </c>
      <c r="Z2441" s="9" t="inlineStr"/>
    </row>
    <row r="2442">
      <c r="A2442" s="9" t="inlineStr">
        <is>
          <t>K-C-0030</t>
        </is>
      </c>
      <c r="B2442" s="9" t="inlineStr">
        <is>
          <t>K</t>
        </is>
      </c>
      <c r="C2442" s="9" t="inlineStr">
        <is>
          <t>Fuel supply (adjacent market)</t>
        </is>
      </c>
      <c r="D2442" s="9" t="inlineStr">
        <is>
          <t>Control</t>
        </is>
      </c>
      <c r="E2442" s="9" t="inlineStr"/>
      <c r="F2442" s="9" t="inlineStr">
        <is>
          <t>H2 20: 13.8 kV e-house</t>
        </is>
      </c>
      <c r="G2442" s="9" t="inlineStr"/>
      <c r="H2442" s="9" t="inlineStr">
        <is>
          <t>H2 26: H2 compressor 1 (40 ft ISO)</t>
        </is>
      </c>
      <c r="I2442" s="9" t="inlineStr">
        <is>
          <t>Control</t>
        </is>
      </c>
      <c r="J2442" s="9" t="inlineStr">
        <is>
          <t>ARMOR-X MC-HL 600 V control, Cu #14 AWG (Class I Div 2)</t>
        </is>
      </c>
      <c r="K2442" s="9" t="inlineStr">
        <is>
          <t>CTAX|7/C|14</t>
        </is>
      </c>
      <c r="L2442" s="9" t="inlineStr">
        <is>
          <t>7/C</t>
        </is>
      </c>
      <c r="M2442" s="9" t="inlineStr">
        <is>
          <t>14</t>
        </is>
      </c>
      <c r="N2442" s="9" t="n">
        <v>1</v>
      </c>
      <c r="O2442" s="9" t="n">
        <v>1</v>
      </c>
      <c r="P2442" s="9" t="n"/>
      <c r="Q2442" s="9" t="n"/>
      <c r="R2442" s="9" t="n"/>
      <c r="S2442" s="9" t="inlineStr">
        <is>
          <t>Conduit link</t>
        </is>
      </c>
      <c r="T2442" s="10" t="n">
        <v>44</v>
      </c>
      <c r="U2442" s="10" t="n">
        <v>32</v>
      </c>
      <c r="V2442" s="10">
        <f>ROUNDUP((T2442+U2442+2*'Read Me'!$B$13)*(1+'Read Me'!$B$12),-1)</f>
        <v/>
      </c>
      <c r="W2442" s="10">
        <f>V2442*N2442*O2442</f>
        <v/>
      </c>
      <c r="X2442" s="9">
        <f>IF(LEFT(I2442,2)="MV",2*N2442*IF(L2442="1/C",O2442,1),0)</f>
        <v/>
      </c>
      <c r="Y2442" s="9">
        <f>IF(OR(LEFT(K2442,4)="LVAX",LEFT(K2442,6)="MV15AX",LEFT(K2442,4)="CTAX",LEFT(K2442,2)="W|"),2*N2442*O2442,0)</f>
        <v/>
      </c>
      <c r="Z2442" s="9" t="inlineStr"/>
    </row>
    <row r="2443">
      <c r="A2443" s="9" t="inlineStr">
        <is>
          <t>K-C-0031</t>
        </is>
      </c>
      <c r="B2443" s="9" t="inlineStr">
        <is>
          <t>K</t>
        </is>
      </c>
      <c r="C2443" s="9" t="inlineStr">
        <is>
          <t>Fuel supply (adjacent market)</t>
        </is>
      </c>
      <c r="D2443" s="9" t="inlineStr">
        <is>
          <t>Control</t>
        </is>
      </c>
      <c r="E2443" s="9" t="inlineStr"/>
      <c r="F2443" s="9" t="inlineStr">
        <is>
          <t>H2 20: 13.8 kV e-house</t>
        </is>
      </c>
      <c r="G2443" s="9" t="inlineStr"/>
      <c r="H2443" s="9" t="inlineStr">
        <is>
          <t>H2 26: H2 compressor 2 (40 ft ISO)</t>
        </is>
      </c>
      <c r="I2443" s="9" t="inlineStr">
        <is>
          <t>Control</t>
        </is>
      </c>
      <c r="J2443" s="9" t="inlineStr">
        <is>
          <t>ARMOR-X MC-HL 600 V control, Cu #14 AWG (Class I Div 2)</t>
        </is>
      </c>
      <c r="K2443" s="9" t="inlineStr">
        <is>
          <t>CTAX|7/C|14</t>
        </is>
      </c>
      <c r="L2443" s="9" t="inlineStr">
        <is>
          <t>7/C</t>
        </is>
      </c>
      <c r="M2443" s="9" t="inlineStr">
        <is>
          <t>14</t>
        </is>
      </c>
      <c r="N2443" s="9" t="n">
        <v>1</v>
      </c>
      <c r="O2443" s="9" t="n">
        <v>1</v>
      </c>
      <c r="P2443" s="9" t="n"/>
      <c r="Q2443" s="9" t="n"/>
      <c r="R2443" s="9" t="n"/>
      <c r="S2443" s="9" t="inlineStr">
        <is>
          <t>Conduit link</t>
        </is>
      </c>
      <c r="T2443" s="10" t="n">
        <v>44</v>
      </c>
      <c r="U2443" s="10" t="n">
        <v>47</v>
      </c>
      <c r="V2443" s="10">
        <f>ROUNDUP((T2443+U2443+2*'Read Me'!$B$13)*(1+'Read Me'!$B$12),-1)</f>
        <v/>
      </c>
      <c r="W2443" s="10">
        <f>V2443*N2443*O2443</f>
        <v/>
      </c>
      <c r="X2443" s="9">
        <f>IF(LEFT(I2443,2)="MV",2*N2443*IF(L2443="1/C",O2443,1),0)</f>
        <v/>
      </c>
      <c r="Y2443" s="9">
        <f>IF(OR(LEFT(K2443,4)="LVAX",LEFT(K2443,6)="MV15AX",LEFT(K2443,4)="CTAX",LEFT(K2443,2)="W|"),2*N2443*O2443,0)</f>
        <v/>
      </c>
      <c r="Z2443" s="9" t="inlineStr"/>
    </row>
    <row r="2444">
      <c r="A2444" s="9" t="inlineStr">
        <is>
          <t>K-C-0032</t>
        </is>
      </c>
      <c r="B2444" s="9" t="inlineStr">
        <is>
          <t>K</t>
        </is>
      </c>
      <c r="C2444" s="9" t="inlineStr">
        <is>
          <t>Fuel supply (adjacent market)</t>
        </is>
      </c>
      <c r="D2444" s="9" t="inlineStr">
        <is>
          <t>Control</t>
        </is>
      </c>
      <c r="E2444" s="9" t="inlineStr"/>
      <c r="F2444" s="9" t="inlineStr">
        <is>
          <t>H2 20: 13.8 kV e-house</t>
        </is>
      </c>
      <c r="G2444" s="9" t="inlineStr"/>
      <c r="H2444" s="9" t="inlineStr">
        <is>
          <t>H2 28: N2 purge supply</t>
        </is>
      </c>
      <c r="I2444" s="9" t="inlineStr">
        <is>
          <t>Control</t>
        </is>
      </c>
      <c r="J2444" s="9" t="inlineStr">
        <is>
          <t>ARMOR-X MC-HL 600 V control, Cu #14 AWG (Class I Div 2)</t>
        </is>
      </c>
      <c r="K2444" s="9" t="inlineStr">
        <is>
          <t>CTAX|7/C|14</t>
        </is>
      </c>
      <c r="L2444" s="9" t="inlineStr">
        <is>
          <t>7/C</t>
        </is>
      </c>
      <c r="M2444" s="9" t="inlineStr">
        <is>
          <t>14</t>
        </is>
      </c>
      <c r="N2444" s="9" t="n">
        <v>1</v>
      </c>
      <c r="O2444" s="9" t="n">
        <v>1</v>
      </c>
      <c r="P2444" s="9" t="n"/>
      <c r="Q2444" s="9" t="n"/>
      <c r="R2444" s="9" t="n"/>
      <c r="S2444" s="9" t="inlineStr">
        <is>
          <t>Duct bank</t>
        </is>
      </c>
      <c r="T2444" s="10" t="n">
        <v>53</v>
      </c>
      <c r="U2444" s="10" t="n">
        <v>36</v>
      </c>
      <c r="V2444" s="10">
        <f>ROUNDUP((T2444+U2444+2*'Read Me'!$B$13)*(1+'Read Me'!$B$12),-1)</f>
        <v/>
      </c>
      <c r="W2444" s="10">
        <f>V2444*N2444*O2444</f>
        <v/>
      </c>
      <c r="X2444" s="9">
        <f>IF(LEFT(I2444,2)="MV",2*N2444*IF(L2444="1/C",O2444,1),0)</f>
        <v/>
      </c>
      <c r="Y2444" s="9">
        <f>IF(OR(LEFT(K2444,4)="LVAX",LEFT(K2444,6)="MV15AX",LEFT(K2444,4)="CTAX",LEFT(K2444,2)="W|"),2*N2444*O2444,0)</f>
        <v/>
      </c>
      <c r="Z2444" s="9" t="inlineStr"/>
    </row>
    <row r="2445">
      <c r="A2445" s="9" t="inlineStr">
        <is>
          <t>K-C-0033</t>
        </is>
      </c>
      <c r="B2445" s="9" t="inlineStr">
        <is>
          <t>K</t>
        </is>
      </c>
      <c r="C2445" s="9" t="inlineStr">
        <is>
          <t>Fuel supply (adjacent market)</t>
        </is>
      </c>
      <c r="D2445" s="9" t="inlineStr">
        <is>
          <t>Control</t>
        </is>
      </c>
      <c r="E2445" s="9" t="inlineStr"/>
      <c r="F2445" s="9" t="inlineStr">
        <is>
          <t>LNG 17: LNG e-house (13.8 kV / 480 V)</t>
        </is>
      </c>
      <c r="G2445" s="9" t="inlineStr"/>
      <c r="H2445" s="9" t="inlineStr">
        <is>
          <t>H2 30: H2 / gas blending skid (plant gas yard)</t>
        </is>
      </c>
      <c r="I2445" s="9" t="inlineStr">
        <is>
          <t>Control</t>
        </is>
      </c>
      <c r="J2445" s="9" t="inlineStr">
        <is>
          <t>ARMOR-X MC-HL 600 V control, Cu #14 AWG (Class I Div 2)</t>
        </is>
      </c>
      <c r="K2445" s="9" t="inlineStr">
        <is>
          <t>CTAX|7/C|14</t>
        </is>
      </c>
      <c r="L2445" s="9" t="inlineStr">
        <is>
          <t>7/C</t>
        </is>
      </c>
      <c r="M2445" s="9" t="inlineStr">
        <is>
          <t>14</t>
        </is>
      </c>
      <c r="N2445" s="9" t="n">
        <v>1</v>
      </c>
      <c r="O2445" s="9" t="n">
        <v>1</v>
      </c>
      <c r="P2445" s="9" t="n"/>
      <c r="Q2445" s="9" t="n"/>
      <c r="R2445" s="9" t="n"/>
      <c r="S2445" s="9" t="inlineStr">
        <is>
          <t>Estimated</t>
        </is>
      </c>
      <c r="T2445" s="10" t="n">
        <v>522</v>
      </c>
      <c r="U2445" s="10" t="n">
        <v>40</v>
      </c>
      <c r="V2445" s="10">
        <f>ROUNDUP((T2445+U2445+2*'Read Me'!$B$13)*(1+'Read Me'!$B$12),-1)</f>
        <v/>
      </c>
      <c r="W2445" s="10">
        <f>V2445*N2445*O2445</f>
        <v/>
      </c>
      <c r="X2445" s="9">
        <f>IF(LEFT(I2445,2)="MV",2*N2445*IF(L2445="1/C",O2445,1),0)</f>
        <v/>
      </c>
      <c r="Y2445" s="9">
        <f>IF(OR(LEFT(K2445,4)="LVAX",LEFT(K2445,6)="MV15AX",LEFT(K2445,4)="CTAX",LEFT(K2445,2)="W|"),2*N2445*O2445,0)</f>
        <v/>
      </c>
      <c r="Z2445" s="9" t="inlineStr"/>
    </row>
    <row r="2446">
      <c r="A2446" s="9" t="inlineStr">
        <is>
          <t>K-C-0034</t>
        </is>
      </c>
      <c r="B2446" s="9" t="inlineStr">
        <is>
          <t>K</t>
        </is>
      </c>
      <c r="C2446" s="9" t="inlineStr">
        <is>
          <t>Fuel supply (adjacent market)</t>
        </is>
      </c>
      <c r="D2446" s="9" t="inlineStr">
        <is>
          <t>Control</t>
        </is>
      </c>
      <c r="E2446" s="9" t="inlineStr"/>
      <c r="F2446" s="9" t="inlineStr">
        <is>
          <t>H2 20: 13.8 kV e-house</t>
        </is>
      </c>
      <c r="G2446" s="9" t="inlineStr">
        <is>
          <t>H2-ST</t>
        </is>
      </c>
      <c r="H2446" s="9" t="inlineStr">
        <is>
          <t>H2 storage tube banks x4</t>
        </is>
      </c>
      <c r="I2446" s="9" t="inlineStr">
        <is>
          <t>Control</t>
        </is>
      </c>
      <c r="J2446" s="9" t="inlineStr">
        <is>
          <t>ARMOR-X MC-HL 600 V control, Cu #14 AWG (Class I Div 2)</t>
        </is>
      </c>
      <c r="K2446" s="9" t="inlineStr">
        <is>
          <t>CTAX|7/C|14</t>
        </is>
      </c>
      <c r="L2446" s="9" t="inlineStr">
        <is>
          <t>7/C</t>
        </is>
      </c>
      <c r="M2446" s="9" t="inlineStr">
        <is>
          <t>14</t>
        </is>
      </c>
      <c r="N2446" s="9" t="n">
        <v>1</v>
      </c>
      <c r="O2446" s="9" t="n">
        <v>1</v>
      </c>
      <c r="P2446" s="9" t="n"/>
      <c r="Q2446" s="9" t="n"/>
      <c r="R2446" s="9" t="n"/>
      <c r="S2446" s="9" t="inlineStr">
        <is>
          <t>Conduit link</t>
        </is>
      </c>
      <c r="T2446" s="10" t="n">
        <v>44</v>
      </c>
      <c r="U2446" s="10" t="n">
        <v>92</v>
      </c>
      <c r="V2446" s="10">
        <f>ROUNDUP((T2446+U2446+2*'Read Me'!$B$13)*(1+'Read Me'!$B$12),-1)</f>
        <v/>
      </c>
      <c r="W2446" s="10">
        <f>V2446*N2446*O2446</f>
        <v/>
      </c>
      <c r="X2446" s="9">
        <f>IF(LEFT(I2446,2)="MV",2*N2446*IF(L2446="1/C",O2446,1),0)</f>
        <v/>
      </c>
      <c r="Y2446" s="9">
        <f>IF(OR(LEFT(K2446,4)="LVAX",LEFT(K2446,6)="MV15AX",LEFT(K2446,4)="CTAX",LEFT(K2446,2)="W|"),2*N2446*O2446,0)</f>
        <v/>
      </c>
      <c r="Z2446" s="9" t="inlineStr"/>
    </row>
    <row r="2447">
      <c r="A2447" s="9" t="inlineStr">
        <is>
          <t>K-C-0035</t>
        </is>
      </c>
      <c r="B2447" s="9" t="inlineStr">
        <is>
          <t>K</t>
        </is>
      </c>
      <c r="C2447" s="9" t="inlineStr">
        <is>
          <t>Fuel supply (adjacent market)</t>
        </is>
      </c>
      <c r="D2447" s="9" t="inlineStr">
        <is>
          <t>Control</t>
        </is>
      </c>
      <c r="E2447" s="9" t="inlineStr"/>
      <c r="F2447" s="9" t="inlineStr">
        <is>
          <t>LNG 17: LNG e-house (13.8 kV / 480 V)</t>
        </is>
      </c>
      <c r="G2447" s="9" t="inlineStr"/>
      <c r="H2447" s="9" t="inlineStr">
        <is>
          <t>LNG 10: unloading skid</t>
        </is>
      </c>
      <c r="I2447" s="9" t="inlineStr">
        <is>
          <t>Control</t>
        </is>
      </c>
      <c r="J2447" s="9" t="inlineStr">
        <is>
          <t>ARMOR-X MC-HL 600 V control, Cu #14 AWG (Class I Div 2)</t>
        </is>
      </c>
      <c r="K2447" s="9" t="inlineStr">
        <is>
          <t>CTAX|7/C|14</t>
        </is>
      </c>
      <c r="L2447" s="9" t="inlineStr">
        <is>
          <t>7/C</t>
        </is>
      </c>
      <c r="M2447" s="9" t="inlineStr">
        <is>
          <t>14</t>
        </is>
      </c>
      <c r="N2447" s="9" t="n">
        <v>1</v>
      </c>
      <c r="O2447" s="9" t="n">
        <v>1</v>
      </c>
      <c r="P2447" s="9" t="n"/>
      <c r="Q2447" s="9" t="n"/>
      <c r="R2447" s="9" t="n"/>
      <c r="S2447" s="9" t="inlineStr">
        <is>
          <t>Duct bank</t>
        </is>
      </c>
      <c r="T2447" s="10" t="n">
        <v>237</v>
      </c>
      <c r="U2447" s="10" t="n">
        <v>32</v>
      </c>
      <c r="V2447" s="10">
        <f>ROUNDUP((T2447+U2447+2*'Read Me'!$B$13)*(1+'Read Me'!$B$12),-1)</f>
        <v/>
      </c>
      <c r="W2447" s="10">
        <f>V2447*N2447*O2447</f>
        <v/>
      </c>
      <c r="X2447" s="9">
        <f>IF(LEFT(I2447,2)="MV",2*N2447*IF(L2447="1/C",O2447,1),0)</f>
        <v/>
      </c>
      <c r="Y2447" s="9">
        <f>IF(OR(LEFT(K2447,4)="LVAX",LEFT(K2447,6)="MV15AX",LEFT(K2447,4)="CTAX",LEFT(K2447,2)="W|"),2*N2447*O2447,0)</f>
        <v/>
      </c>
      <c r="Z2447" s="9" t="inlineStr"/>
    </row>
    <row r="2448">
      <c r="A2448" s="9" t="inlineStr">
        <is>
          <t>K-C-0036</t>
        </is>
      </c>
      <c r="B2448" s="9" t="inlineStr">
        <is>
          <t>K</t>
        </is>
      </c>
      <c r="C2448" s="9" t="inlineStr">
        <is>
          <t>Fuel supply (adjacent market)</t>
        </is>
      </c>
      <c r="D2448" s="9" t="inlineStr">
        <is>
          <t>Control</t>
        </is>
      </c>
      <c r="E2448" s="9" t="inlineStr"/>
      <c r="F2448" s="9" t="inlineStr">
        <is>
          <t>LNG 17: LNG e-house (13.8 kV / 480 V)</t>
        </is>
      </c>
      <c r="G2448" s="9" t="inlineStr"/>
      <c r="H2448" s="9" t="inlineStr">
        <is>
          <t>LNG 13: send-out pumps 2 x 100%</t>
        </is>
      </c>
      <c r="I2448" s="9" t="inlineStr">
        <is>
          <t>Control</t>
        </is>
      </c>
      <c r="J2448" s="9" t="inlineStr">
        <is>
          <t>ARMOR-X MC-HL 600 V control, Cu #14 AWG (Class I Div 2)</t>
        </is>
      </c>
      <c r="K2448" s="9" t="inlineStr">
        <is>
          <t>CTAX|7/C|14</t>
        </is>
      </c>
      <c r="L2448" s="9" t="inlineStr">
        <is>
          <t>7/C</t>
        </is>
      </c>
      <c r="M2448" s="9" t="inlineStr">
        <is>
          <t>14</t>
        </is>
      </c>
      <c r="N2448" s="9" t="n">
        <v>1</v>
      </c>
      <c r="O2448" s="9" t="n">
        <v>1</v>
      </c>
      <c r="P2448" s="9" t="n"/>
      <c r="Q2448" s="9" t="n"/>
      <c r="R2448" s="9" t="n"/>
      <c r="S2448" s="9" t="inlineStr">
        <is>
          <t>Duct bank</t>
        </is>
      </c>
      <c r="T2448" s="10" t="n">
        <v>110</v>
      </c>
      <c r="U2448" s="10" t="n">
        <v>32</v>
      </c>
      <c r="V2448" s="10">
        <f>ROUNDUP((T2448+U2448+2*'Read Me'!$B$13)*(1+'Read Me'!$B$12),-1)</f>
        <v/>
      </c>
      <c r="W2448" s="10">
        <f>V2448*N2448*O2448</f>
        <v/>
      </c>
      <c r="X2448" s="9">
        <f>IF(LEFT(I2448,2)="MV",2*N2448*IF(L2448="1/C",O2448,1),0)</f>
        <v/>
      </c>
      <c r="Y2448" s="9">
        <f>IF(OR(LEFT(K2448,4)="LVAX",LEFT(K2448,6)="MV15AX",LEFT(K2448,4)="CTAX",LEFT(K2448,2)="W|"),2*N2448*O2448,0)</f>
        <v/>
      </c>
      <c r="Z2448" s="9" t="inlineStr"/>
    </row>
    <row r="2449">
      <c r="A2449" s="9" t="inlineStr">
        <is>
          <t>K-C-0037</t>
        </is>
      </c>
      <c r="B2449" s="9" t="inlineStr">
        <is>
          <t>K</t>
        </is>
      </c>
      <c r="C2449" s="9" t="inlineStr">
        <is>
          <t>Fuel supply (adjacent market)</t>
        </is>
      </c>
      <c r="D2449" s="9" t="inlineStr">
        <is>
          <t>Control</t>
        </is>
      </c>
      <c r="E2449" s="9" t="inlineStr"/>
      <c r="F2449" s="9" t="inlineStr">
        <is>
          <t>LNG 17: LNG e-house (13.8 kV / 480 V)</t>
        </is>
      </c>
      <c r="G2449" s="9" t="inlineStr"/>
      <c r="H2449" s="9" t="inlineStr">
        <is>
          <t>LNG 14: vaporizers + glycol heater</t>
        </is>
      </c>
      <c r="I2449" s="9" t="inlineStr">
        <is>
          <t>Control</t>
        </is>
      </c>
      <c r="J2449" s="9" t="inlineStr">
        <is>
          <t>ARMOR-X MC-HL 600 V control, Cu #14 AWG (Class I Div 2)</t>
        </is>
      </c>
      <c r="K2449" s="9" t="inlineStr">
        <is>
          <t>CTAX|7/C|14</t>
        </is>
      </c>
      <c r="L2449" s="9" t="inlineStr">
        <is>
          <t>7/C</t>
        </is>
      </c>
      <c r="M2449" s="9" t="inlineStr">
        <is>
          <t>14</t>
        </is>
      </c>
      <c r="N2449" s="9" t="n">
        <v>1</v>
      </c>
      <c r="O2449" s="9" t="n">
        <v>1</v>
      </c>
      <c r="P2449" s="9" t="n"/>
      <c r="Q2449" s="9" t="n"/>
      <c r="R2449" s="9" t="n"/>
      <c r="S2449" s="9" t="inlineStr">
        <is>
          <t>Duct bank</t>
        </is>
      </c>
      <c r="T2449" s="10" t="n">
        <v>259</v>
      </c>
      <c r="U2449" s="10" t="n">
        <v>32</v>
      </c>
      <c r="V2449" s="10">
        <f>ROUNDUP((T2449+U2449+2*'Read Me'!$B$13)*(1+'Read Me'!$B$12),-1)</f>
        <v/>
      </c>
      <c r="W2449" s="10">
        <f>V2449*N2449*O2449</f>
        <v/>
      </c>
      <c r="X2449" s="9">
        <f>IF(LEFT(I2449,2)="MV",2*N2449*IF(L2449="1/C",O2449,1),0)</f>
        <v/>
      </c>
      <c r="Y2449" s="9">
        <f>IF(OR(LEFT(K2449,4)="LVAX",LEFT(K2449,6)="MV15AX",LEFT(K2449,4)="CTAX",LEFT(K2449,2)="W|"),2*N2449*O2449,0)</f>
        <v/>
      </c>
      <c r="Z2449" s="9" t="inlineStr"/>
    </row>
    <row r="2450">
      <c r="A2450" s="9" t="inlineStr">
        <is>
          <t>K-C-0038</t>
        </is>
      </c>
      <c r="B2450" s="9" t="inlineStr">
        <is>
          <t>K</t>
        </is>
      </c>
      <c r="C2450" s="9" t="inlineStr">
        <is>
          <t>Fuel supply (adjacent market)</t>
        </is>
      </c>
      <c r="D2450" s="9" t="inlineStr">
        <is>
          <t>Control</t>
        </is>
      </c>
      <c r="E2450" s="9" t="inlineStr"/>
      <c r="F2450" s="9" t="inlineStr">
        <is>
          <t>LNG 17: LNG e-house (13.8 kV / 480 V)</t>
        </is>
      </c>
      <c r="G2450" s="9" t="inlineStr"/>
      <c r="H2450" s="9" t="inlineStr">
        <is>
          <t>LNG 15: boil-off gas compressor</t>
        </is>
      </c>
      <c r="I2450" s="9" t="inlineStr">
        <is>
          <t>Control</t>
        </is>
      </c>
      <c r="J2450" s="9" t="inlineStr">
        <is>
          <t>ARMOR-X MC-HL 600 V control, Cu #14 AWG (Class I Div 2)</t>
        </is>
      </c>
      <c r="K2450" s="9" t="inlineStr">
        <is>
          <t>CTAX|7/C|14</t>
        </is>
      </c>
      <c r="L2450" s="9" t="inlineStr">
        <is>
          <t>7/C</t>
        </is>
      </c>
      <c r="M2450" s="9" t="inlineStr">
        <is>
          <t>14</t>
        </is>
      </c>
      <c r="N2450" s="9" t="n">
        <v>1</v>
      </c>
      <c r="O2450" s="9" t="n">
        <v>1</v>
      </c>
      <c r="P2450" s="9" t="n"/>
      <c r="Q2450" s="9" t="n"/>
      <c r="R2450" s="9" t="n"/>
      <c r="S2450" s="9" t="inlineStr">
        <is>
          <t>Duct bank</t>
        </is>
      </c>
      <c r="T2450" s="10" t="n">
        <v>25</v>
      </c>
      <c r="U2450" s="10" t="n">
        <v>54</v>
      </c>
      <c r="V2450" s="10">
        <f>ROUNDUP((T2450+U2450+2*'Read Me'!$B$13)*(1+'Read Me'!$B$12),-1)</f>
        <v/>
      </c>
      <c r="W2450" s="10">
        <f>V2450*N2450*O2450</f>
        <v/>
      </c>
      <c r="X2450" s="9">
        <f>IF(LEFT(I2450,2)="MV",2*N2450*IF(L2450="1/C",O2450,1),0)</f>
        <v/>
      </c>
      <c r="Y2450" s="9">
        <f>IF(OR(LEFT(K2450,4)="LVAX",LEFT(K2450,6)="MV15AX",LEFT(K2450,4)="CTAX",LEFT(K2450,2)="W|"),2*N2450*O2450,0)</f>
        <v/>
      </c>
      <c r="Z2450" s="9" t="inlineStr"/>
    </row>
    <row r="2451">
      <c r="A2451" s="9" t="inlineStr">
        <is>
          <t>K-C-0039</t>
        </is>
      </c>
      <c r="B2451" s="9" t="inlineStr">
        <is>
          <t>K</t>
        </is>
      </c>
      <c r="C2451" s="9" t="inlineStr">
        <is>
          <t>Fuel supply (adjacent market)</t>
        </is>
      </c>
      <c r="D2451" s="9" t="inlineStr">
        <is>
          <t>Control</t>
        </is>
      </c>
      <c r="E2451" s="9" t="inlineStr"/>
      <c r="F2451" s="9" t="inlineStr">
        <is>
          <t>LNG 17: LNG e-house (13.8 kV / 480 V)</t>
        </is>
      </c>
      <c r="G2451" s="9" t="inlineStr"/>
      <c r="H2451" s="9" t="inlineStr">
        <is>
          <t>LNG 17: LNG e-house (13.8 kV / 480 V)</t>
        </is>
      </c>
      <c r="I2451" s="9" t="inlineStr">
        <is>
          <t>Control</t>
        </is>
      </c>
      <c r="J2451" s="9" t="inlineStr">
        <is>
          <t>ARMOR-X MC-HL 600 V control, Cu #14 AWG (Class I Div 2)</t>
        </is>
      </c>
      <c r="K2451" s="9" t="inlineStr">
        <is>
          <t>CTAX|7/C|14</t>
        </is>
      </c>
      <c r="L2451" s="9" t="inlineStr">
        <is>
          <t>7/C</t>
        </is>
      </c>
      <c r="M2451" s="9" t="inlineStr">
        <is>
          <t>14</t>
        </is>
      </c>
      <c r="N2451" s="9" t="n">
        <v>1</v>
      </c>
      <c r="O2451" s="9" t="n">
        <v>1</v>
      </c>
      <c r="P2451" s="9" t="n"/>
      <c r="Q2451" s="9" t="n"/>
      <c r="R2451" s="9" t="n"/>
      <c r="S2451" s="9" t="inlineStr">
        <is>
          <t>Tray</t>
        </is>
      </c>
      <c r="T2451" s="10" t="n">
        <v>0</v>
      </c>
      <c r="U2451" s="10" t="n">
        <v>32</v>
      </c>
      <c r="V2451" s="10">
        <f>ROUNDUP((T2451+U2451+2*'Read Me'!$B$13)*(1+'Read Me'!$B$12),-1)</f>
        <v/>
      </c>
      <c r="W2451" s="10">
        <f>V2451*N2451*O2451</f>
        <v/>
      </c>
      <c r="X2451" s="9">
        <f>IF(LEFT(I2451,2)="MV",2*N2451*IF(L2451="1/C",O2451,1),0)</f>
        <v/>
      </c>
      <c r="Y2451" s="9">
        <f>IF(OR(LEFT(K2451,4)="LVAX",LEFT(K2451,6)="MV15AX",LEFT(K2451,4)="CTAX",LEFT(K2451,2)="W|"),2*N2451*O2451,0)</f>
        <v/>
      </c>
      <c r="Z2451" s="9" t="inlineStr"/>
    </row>
    <row r="2452">
      <c r="A2452" s="9" t="inlineStr">
        <is>
          <t>K-C-0040</t>
        </is>
      </c>
      <c r="B2452" s="9" t="inlineStr">
        <is>
          <t>K</t>
        </is>
      </c>
      <c r="C2452" s="9" t="inlineStr">
        <is>
          <t>Fuel supply (adjacent market)</t>
        </is>
      </c>
      <c r="D2452" s="9" t="inlineStr">
        <is>
          <t>Control</t>
        </is>
      </c>
      <c r="E2452" s="9" t="inlineStr"/>
      <c r="F2452" s="9" t="inlineStr">
        <is>
          <t>LNG 17: LNG e-house (13.8 kV / 480 V)</t>
        </is>
      </c>
      <c r="G2452" s="9" t="inlineStr"/>
      <c r="H2452" s="9" t="inlineStr">
        <is>
          <t>M&amp;R 2: insulating joint + ESD valve</t>
        </is>
      </c>
      <c r="I2452" s="9" t="inlineStr">
        <is>
          <t>Control</t>
        </is>
      </c>
      <c r="J2452" s="9" t="inlineStr">
        <is>
          <t>ARMOR-X MC-HL 600 V control, Cu #14 AWG (Class I Div 2)</t>
        </is>
      </c>
      <c r="K2452" s="9" t="inlineStr">
        <is>
          <t>CTAX|7/C|14</t>
        </is>
      </c>
      <c r="L2452" s="9" t="inlineStr">
        <is>
          <t>7/C</t>
        </is>
      </c>
      <c r="M2452" s="9" t="inlineStr">
        <is>
          <t>14</t>
        </is>
      </c>
      <c r="N2452" s="9" t="n">
        <v>1</v>
      </c>
      <c r="O2452" s="9" t="n">
        <v>1</v>
      </c>
      <c r="P2452" s="9" t="n"/>
      <c r="Q2452" s="9" t="n"/>
      <c r="R2452" s="9" t="n"/>
      <c r="S2452" s="9" t="inlineStr">
        <is>
          <t>Estimated</t>
        </is>
      </c>
      <c r="T2452" s="10" t="n">
        <v>387</v>
      </c>
      <c r="U2452" s="10" t="n">
        <v>40</v>
      </c>
      <c r="V2452" s="10">
        <f>ROUNDUP((T2452+U2452+2*'Read Me'!$B$13)*(1+'Read Me'!$B$12),-1)</f>
        <v/>
      </c>
      <c r="W2452" s="10">
        <f>V2452*N2452*O2452</f>
        <v/>
      </c>
      <c r="X2452" s="9">
        <f>IF(LEFT(I2452,2)="MV",2*N2452*IF(L2452="1/C",O2452,1),0)</f>
        <v/>
      </c>
      <c r="Y2452" s="9">
        <f>IF(OR(LEFT(K2452,4)="LVAX",LEFT(K2452,6)="MV15AX",LEFT(K2452,4)="CTAX",LEFT(K2452,2)="W|"),2*N2452*O2452,0)</f>
        <v/>
      </c>
      <c r="Z2452" s="9" t="inlineStr"/>
    </row>
    <row r="2453">
      <c r="A2453" s="9" t="inlineStr">
        <is>
          <t>K-C-0041</t>
        </is>
      </c>
      <c r="B2453" s="9" t="inlineStr">
        <is>
          <t>K</t>
        </is>
      </c>
      <c r="C2453" s="9" t="inlineStr">
        <is>
          <t>Fuel supply (adjacent market)</t>
        </is>
      </c>
      <c r="D2453" s="9" t="inlineStr">
        <is>
          <t>Control</t>
        </is>
      </c>
      <c r="E2453" s="9" t="inlineStr"/>
      <c r="F2453" s="9" t="inlineStr">
        <is>
          <t>LNG 17: LNG e-house (13.8 kV / 480 V)</t>
        </is>
      </c>
      <c r="G2453" s="9" t="inlineStr"/>
      <c r="H2453" s="9" t="inlineStr">
        <is>
          <t>M&amp;R 4: line heater 1 (water bath)</t>
        </is>
      </c>
      <c r="I2453" s="9" t="inlineStr">
        <is>
          <t>Control</t>
        </is>
      </c>
      <c r="J2453" s="9" t="inlineStr">
        <is>
          <t>ARMOR-X MC-HL 600 V control, Cu #14 AWG (Class I Div 2)</t>
        </is>
      </c>
      <c r="K2453" s="9" t="inlineStr">
        <is>
          <t>CTAX|7/C|14</t>
        </is>
      </c>
      <c r="L2453" s="9" t="inlineStr">
        <is>
          <t>7/C</t>
        </is>
      </c>
      <c r="M2453" s="9" t="inlineStr">
        <is>
          <t>14</t>
        </is>
      </c>
      <c r="N2453" s="9" t="n">
        <v>1</v>
      </c>
      <c r="O2453" s="9" t="n">
        <v>1</v>
      </c>
      <c r="P2453" s="9" t="n"/>
      <c r="Q2453" s="9" t="n"/>
      <c r="R2453" s="9" t="n"/>
      <c r="S2453" s="9" t="inlineStr">
        <is>
          <t>Estimated</t>
        </is>
      </c>
      <c r="T2453" s="10" t="n">
        <v>297</v>
      </c>
      <c r="U2453" s="10" t="n">
        <v>40</v>
      </c>
      <c r="V2453" s="10">
        <f>ROUNDUP((T2453+U2453+2*'Read Me'!$B$13)*(1+'Read Me'!$B$12),-1)</f>
        <v/>
      </c>
      <c r="W2453" s="10">
        <f>V2453*N2453*O2453</f>
        <v/>
      </c>
      <c r="X2453" s="9">
        <f>IF(LEFT(I2453,2)="MV",2*N2453*IF(L2453="1/C",O2453,1),0)</f>
        <v/>
      </c>
      <c r="Y2453" s="9">
        <f>IF(OR(LEFT(K2453,4)="LVAX",LEFT(K2453,6)="MV15AX",LEFT(K2453,4)="CTAX",LEFT(K2453,2)="W|"),2*N2453*O2453,0)</f>
        <v/>
      </c>
      <c r="Z2453" s="9" t="inlineStr"/>
    </row>
    <row r="2454">
      <c r="A2454" s="9" t="inlineStr">
        <is>
          <t>K-C-0042</t>
        </is>
      </c>
      <c r="B2454" s="9" t="inlineStr">
        <is>
          <t>K</t>
        </is>
      </c>
      <c r="C2454" s="9" t="inlineStr">
        <is>
          <t>Fuel supply (adjacent market)</t>
        </is>
      </c>
      <c r="D2454" s="9" t="inlineStr">
        <is>
          <t>Control</t>
        </is>
      </c>
      <c r="E2454" s="9" t="inlineStr"/>
      <c r="F2454" s="9" t="inlineStr">
        <is>
          <t>LNG 17: LNG e-house (13.8 kV / 480 V)</t>
        </is>
      </c>
      <c r="G2454" s="9" t="inlineStr"/>
      <c r="H2454" s="9" t="inlineStr">
        <is>
          <t>M&amp;R 4: line heater 2 (water bath)</t>
        </is>
      </c>
      <c r="I2454" s="9" t="inlineStr">
        <is>
          <t>Control</t>
        </is>
      </c>
      <c r="J2454" s="9" t="inlineStr">
        <is>
          <t>ARMOR-X MC-HL 600 V control, Cu #14 AWG (Class I Div 2)</t>
        </is>
      </c>
      <c r="K2454" s="9" t="inlineStr">
        <is>
          <t>CTAX|7/C|14</t>
        </is>
      </c>
      <c r="L2454" s="9" t="inlineStr">
        <is>
          <t>7/C</t>
        </is>
      </c>
      <c r="M2454" s="9" t="inlineStr">
        <is>
          <t>14</t>
        </is>
      </c>
      <c r="N2454" s="9" t="n">
        <v>1</v>
      </c>
      <c r="O2454" s="9" t="n">
        <v>1</v>
      </c>
      <c r="P2454" s="9" t="n"/>
      <c r="Q2454" s="9" t="n"/>
      <c r="R2454" s="9" t="n"/>
      <c r="S2454" s="9" t="inlineStr">
        <is>
          <t>Estimated</t>
        </is>
      </c>
      <c r="T2454" s="10" t="n">
        <v>279</v>
      </c>
      <c r="U2454" s="10" t="n">
        <v>40</v>
      </c>
      <c r="V2454" s="10">
        <f>ROUNDUP((T2454+U2454+2*'Read Me'!$B$13)*(1+'Read Me'!$B$12),-1)</f>
        <v/>
      </c>
      <c r="W2454" s="10">
        <f>V2454*N2454*O2454</f>
        <v/>
      </c>
      <c r="X2454" s="9">
        <f>IF(LEFT(I2454,2)="MV",2*N2454*IF(L2454="1/C",O2454,1),0)</f>
        <v/>
      </c>
      <c r="Y2454" s="9">
        <f>IF(OR(LEFT(K2454,4)="LVAX",LEFT(K2454,6)="MV15AX",LEFT(K2454,4)="CTAX",LEFT(K2454,2)="W|"),2*N2454*O2454,0)</f>
        <v/>
      </c>
      <c r="Z2454" s="9" t="inlineStr"/>
    </row>
    <row r="2455">
      <c r="A2455" s="9" t="inlineStr">
        <is>
          <t>K-C-0043</t>
        </is>
      </c>
      <c r="B2455" s="9" t="inlineStr">
        <is>
          <t>K</t>
        </is>
      </c>
      <c r="C2455" s="9" t="inlineStr">
        <is>
          <t>Fuel supply (adjacent market)</t>
        </is>
      </c>
      <c r="D2455" s="9" t="inlineStr">
        <is>
          <t>Control</t>
        </is>
      </c>
      <c r="E2455" s="9" t="inlineStr"/>
      <c r="F2455" s="9" t="inlineStr">
        <is>
          <t>LNG 17: LNG e-house (13.8 kV / 480 V)</t>
        </is>
      </c>
      <c r="G2455" s="9" t="inlineStr"/>
      <c r="H2455" s="9" t="inlineStr">
        <is>
          <t>M&amp;R 4: line heater 3 (water bath)</t>
        </is>
      </c>
      <c r="I2455" s="9" t="inlineStr">
        <is>
          <t>Control</t>
        </is>
      </c>
      <c r="J2455" s="9" t="inlineStr">
        <is>
          <t>ARMOR-X MC-HL 600 V control, Cu #14 AWG (Class I Div 2)</t>
        </is>
      </c>
      <c r="K2455" s="9" t="inlineStr">
        <is>
          <t>CTAX|7/C|14</t>
        </is>
      </c>
      <c r="L2455" s="9" t="inlineStr">
        <is>
          <t>7/C</t>
        </is>
      </c>
      <c r="M2455" s="9" t="inlineStr">
        <is>
          <t>14</t>
        </is>
      </c>
      <c r="N2455" s="9" t="n">
        <v>1</v>
      </c>
      <c r="O2455" s="9" t="n">
        <v>1</v>
      </c>
      <c r="P2455" s="9" t="n"/>
      <c r="Q2455" s="9" t="n"/>
      <c r="R2455" s="9" t="n"/>
      <c r="S2455" s="9" t="inlineStr">
        <is>
          <t>Estimated</t>
        </is>
      </c>
      <c r="T2455" s="10" t="n">
        <v>269</v>
      </c>
      <c r="U2455" s="10" t="n">
        <v>40</v>
      </c>
      <c r="V2455" s="10">
        <f>ROUNDUP((T2455+U2455+2*'Read Me'!$B$13)*(1+'Read Me'!$B$12),-1)</f>
        <v/>
      </c>
      <c r="W2455" s="10">
        <f>V2455*N2455*O2455</f>
        <v/>
      </c>
      <c r="X2455" s="9">
        <f>IF(LEFT(I2455,2)="MV",2*N2455*IF(L2455="1/C",O2455,1),0)</f>
        <v/>
      </c>
      <c r="Y2455" s="9">
        <f>IF(OR(LEFT(K2455,4)="LVAX",LEFT(K2455,6)="MV15AX",LEFT(K2455,4)="CTAX",LEFT(K2455,2)="W|"),2*N2455*O2455,0)</f>
        <v/>
      </c>
      <c r="Z2455" s="9" t="inlineStr"/>
    </row>
    <row r="2456">
      <c r="A2456" s="9" t="inlineStr">
        <is>
          <t>K-C-0044</t>
        </is>
      </c>
      <c r="B2456" s="9" t="inlineStr">
        <is>
          <t>K</t>
        </is>
      </c>
      <c r="C2456" s="9" t="inlineStr">
        <is>
          <t>Fuel supply (adjacent market)</t>
        </is>
      </c>
      <c r="D2456" s="9" t="inlineStr">
        <is>
          <t>Control</t>
        </is>
      </c>
      <c r="E2456" s="9" t="inlineStr"/>
      <c r="F2456" s="9" t="inlineStr">
        <is>
          <t>LNG 17: LNG e-house (13.8 kV / 480 V)</t>
        </is>
      </c>
      <c r="G2456" s="9" t="inlineStr"/>
      <c r="H2456" s="9" t="inlineStr">
        <is>
          <t>M&amp;R 6: regulation / flow control building</t>
        </is>
      </c>
      <c r="I2456" s="9" t="inlineStr">
        <is>
          <t>Control</t>
        </is>
      </c>
      <c r="J2456" s="9" t="inlineStr">
        <is>
          <t>ARMOR-X MC-HL 600 V control, Cu #14 AWG (Class I Div 2)</t>
        </is>
      </c>
      <c r="K2456" s="9" t="inlineStr">
        <is>
          <t>CTAX|7/C|14</t>
        </is>
      </c>
      <c r="L2456" s="9" t="inlineStr">
        <is>
          <t>7/C</t>
        </is>
      </c>
      <c r="M2456" s="9" t="inlineStr">
        <is>
          <t>14</t>
        </is>
      </c>
      <c r="N2456" s="9" t="n">
        <v>1</v>
      </c>
      <c r="O2456" s="9" t="n">
        <v>1</v>
      </c>
      <c r="P2456" s="9" t="n"/>
      <c r="Q2456" s="9" t="n"/>
      <c r="R2456" s="9" t="n"/>
      <c r="S2456" s="9" t="inlineStr">
        <is>
          <t>Estimated</t>
        </is>
      </c>
      <c r="T2456" s="10" t="n">
        <v>337</v>
      </c>
      <c r="U2456" s="10" t="n">
        <v>40</v>
      </c>
      <c r="V2456" s="10">
        <f>ROUNDUP((T2456+U2456+2*'Read Me'!$B$13)*(1+'Read Me'!$B$12),-1)</f>
        <v/>
      </c>
      <c r="W2456" s="10">
        <f>V2456*N2456*O2456</f>
        <v/>
      </c>
      <c r="X2456" s="9">
        <f>IF(LEFT(I2456,2)="MV",2*N2456*IF(L2456="1/C",O2456,1),0)</f>
        <v/>
      </c>
      <c r="Y2456" s="9">
        <f>IF(OR(LEFT(K2456,4)="LVAX",LEFT(K2456,6)="MV15AX",LEFT(K2456,4)="CTAX",LEFT(K2456,2)="W|"),2*N2456*O2456,0)</f>
        <v/>
      </c>
      <c r="Z2456" s="9" t="inlineStr"/>
    </row>
    <row r="2457">
      <c r="A2457" s="9" t="inlineStr">
        <is>
          <t>K-C-0045</t>
        </is>
      </c>
      <c r="B2457" s="9" t="inlineStr">
        <is>
          <t>K</t>
        </is>
      </c>
      <c r="C2457" s="9" t="inlineStr">
        <is>
          <t>Fuel supply (adjacent market)</t>
        </is>
      </c>
      <c r="D2457" s="9" t="inlineStr">
        <is>
          <t>Control</t>
        </is>
      </c>
      <c r="E2457" s="9" t="inlineStr"/>
      <c r="F2457" s="9" t="inlineStr">
        <is>
          <t>LNG 17: LNG e-house (13.8 kV / 480 V)</t>
        </is>
      </c>
      <c r="G2457" s="9" t="inlineStr"/>
      <c r="H2457" s="9" t="inlineStr">
        <is>
          <t>M&amp;R 9: service panel + UPS, SCADA RTU, CP</t>
        </is>
      </c>
      <c r="I2457" s="9" t="inlineStr">
        <is>
          <t>Control</t>
        </is>
      </c>
      <c r="J2457" s="9" t="inlineStr">
        <is>
          <t>ARMOR-X MC-HL 600 V control, Cu #14 AWG (Class I Div 2)</t>
        </is>
      </c>
      <c r="K2457" s="9" t="inlineStr">
        <is>
          <t>CTAX|7/C|14</t>
        </is>
      </c>
      <c r="L2457" s="9" t="inlineStr">
        <is>
          <t>7/C</t>
        </is>
      </c>
      <c r="M2457" s="9" t="inlineStr">
        <is>
          <t>14</t>
        </is>
      </c>
      <c r="N2457" s="9" t="n">
        <v>1</v>
      </c>
      <c r="O2457" s="9" t="n">
        <v>1</v>
      </c>
      <c r="P2457" s="9" t="n"/>
      <c r="Q2457" s="9" t="n"/>
      <c r="R2457" s="9" t="n"/>
      <c r="S2457" s="9" t="inlineStr">
        <is>
          <t>Estimated</t>
        </is>
      </c>
      <c r="T2457" s="10" t="n">
        <v>345</v>
      </c>
      <c r="U2457" s="10" t="n">
        <v>40</v>
      </c>
      <c r="V2457" s="10">
        <f>ROUNDUP((T2457+U2457+2*'Read Me'!$B$13)*(1+'Read Me'!$B$12),-1)</f>
        <v/>
      </c>
      <c r="W2457" s="10">
        <f>V2457*N2457*O2457</f>
        <v/>
      </c>
      <c r="X2457" s="9">
        <f>IF(LEFT(I2457,2)="MV",2*N2457*IF(L2457="1/C",O2457,1),0)</f>
        <v/>
      </c>
      <c r="Y2457" s="9">
        <f>IF(OR(LEFT(K2457,4)="LVAX",LEFT(K2457,6)="MV15AX",LEFT(K2457,4)="CTAX",LEFT(K2457,2)="W|"),2*N2457*O2457,0)</f>
        <v/>
      </c>
      <c r="Z2457" s="9" t="inlineStr"/>
    </row>
    <row r="2458">
      <c r="A2458" s="9" t="inlineStr">
        <is>
          <t>K-C-0046</t>
        </is>
      </c>
      <c r="B2458" s="9" t="inlineStr">
        <is>
          <t>K</t>
        </is>
      </c>
      <c r="C2458" s="9" t="inlineStr">
        <is>
          <t>Fuel supply (adjacent market)</t>
        </is>
      </c>
      <c r="D2458" s="9" t="inlineStr">
        <is>
          <t>Control</t>
        </is>
      </c>
      <c r="E2458" s="9" t="inlineStr"/>
      <c r="F2458" s="9" t="inlineStr">
        <is>
          <t>LNG 17: LNG e-house (13.8 kV / 480 V)</t>
        </is>
      </c>
      <c r="G2458" s="9" t="inlineStr"/>
      <c r="H2458" s="9" t="inlineStr">
        <is>
          <t>M&amp;R CP test station (as drawn)</t>
        </is>
      </c>
      <c r="I2458" s="9" t="inlineStr">
        <is>
          <t>Control</t>
        </is>
      </c>
      <c r="J2458" s="9" t="inlineStr">
        <is>
          <t>ARMOR-X MC-HL 600 V control, Cu #14 AWG (Class I Div 2)</t>
        </is>
      </c>
      <c r="K2458" s="9" t="inlineStr">
        <is>
          <t>CTAX|7/C|14</t>
        </is>
      </c>
      <c r="L2458" s="9" t="inlineStr">
        <is>
          <t>7/C</t>
        </is>
      </c>
      <c r="M2458" s="9" t="inlineStr">
        <is>
          <t>14</t>
        </is>
      </c>
      <c r="N2458" s="9" t="n">
        <v>1</v>
      </c>
      <c r="O2458" s="9" t="n">
        <v>1</v>
      </c>
      <c r="P2458" s="9" t="n"/>
      <c r="Q2458" s="9" t="n"/>
      <c r="R2458" s="9" t="n"/>
      <c r="S2458" s="9" t="inlineStr">
        <is>
          <t>Estimated</t>
        </is>
      </c>
      <c r="T2458" s="10" t="n">
        <v>328</v>
      </c>
      <c r="U2458" s="10" t="n">
        <v>40</v>
      </c>
      <c r="V2458" s="10">
        <f>ROUNDUP((T2458+U2458+2*'Read Me'!$B$13)*(1+'Read Me'!$B$12),-1)</f>
        <v/>
      </c>
      <c r="W2458" s="10">
        <f>V2458*N2458*O2458</f>
        <v/>
      </c>
      <c r="X2458" s="9">
        <f>IF(LEFT(I2458,2)="MV",2*N2458*IF(L2458="1/C",O2458,1),0)</f>
        <v/>
      </c>
      <c r="Y2458" s="9">
        <f>IF(OR(LEFT(K2458,4)="LVAX",LEFT(K2458,6)="MV15AX",LEFT(K2458,4)="CTAX",LEFT(K2458,2)="W|"),2*N2458*O2458,0)</f>
        <v/>
      </c>
      <c r="Z2458" s="9" t="inlineStr"/>
    </row>
    <row r="2459">
      <c r="A2459" s="9" t="inlineStr">
        <is>
          <t>K-C-0047</t>
        </is>
      </c>
      <c r="B2459" s="9" t="inlineStr">
        <is>
          <t>K</t>
        </is>
      </c>
      <c r="C2459" s="9" t="inlineStr">
        <is>
          <t>Fuel supply (adjacent market)</t>
        </is>
      </c>
      <c r="D2459" s="9" t="inlineStr">
        <is>
          <t>Control</t>
        </is>
      </c>
      <c r="E2459" s="9" t="inlineStr"/>
      <c r="F2459" s="9" t="inlineStr">
        <is>
          <t>LNG 17: LNG e-house (13.8 kV / 480 V)</t>
        </is>
      </c>
      <c r="G2459" s="9" t="inlineStr"/>
      <c r="H2459" s="9" t="inlineStr">
        <is>
          <t>M&amp;R SCADA antenna mast base (as drawn)</t>
        </is>
      </c>
      <c r="I2459" s="9" t="inlineStr">
        <is>
          <t>Control</t>
        </is>
      </c>
      <c r="J2459" s="9" t="inlineStr">
        <is>
          <t>ARMOR-X MC-HL 600 V control, Cu #14 AWG (Class I Div 2)</t>
        </is>
      </c>
      <c r="K2459" s="9" t="inlineStr">
        <is>
          <t>CTAX|7/C|14</t>
        </is>
      </c>
      <c r="L2459" s="9" t="inlineStr">
        <is>
          <t>7/C</t>
        </is>
      </c>
      <c r="M2459" s="9" t="inlineStr">
        <is>
          <t>14</t>
        </is>
      </c>
      <c r="N2459" s="9" t="n">
        <v>1</v>
      </c>
      <c r="O2459" s="9" t="n">
        <v>1</v>
      </c>
      <c r="P2459" s="9" t="n"/>
      <c r="Q2459" s="9" t="n"/>
      <c r="R2459" s="9" t="n"/>
      <c r="S2459" s="9" t="inlineStr">
        <is>
          <t>Estimated</t>
        </is>
      </c>
      <c r="T2459" s="10" t="n">
        <v>304</v>
      </c>
      <c r="U2459" s="10" t="n">
        <v>40</v>
      </c>
      <c r="V2459" s="10">
        <f>ROUNDUP((T2459+U2459+2*'Read Me'!$B$13)*(1+'Read Me'!$B$12),-1)</f>
        <v/>
      </c>
      <c r="W2459" s="10">
        <f>V2459*N2459*O2459</f>
        <v/>
      </c>
      <c r="X2459" s="9">
        <f>IF(LEFT(I2459,2)="MV",2*N2459*IF(L2459="1/C",O2459,1),0)</f>
        <v/>
      </c>
      <c r="Y2459" s="9">
        <f>IF(OR(LEFT(K2459,4)="LVAX",LEFT(K2459,6)="MV15AX",LEFT(K2459,4)="CTAX",LEFT(K2459,2)="W|"),2*N2459*O2459,0)</f>
        <v/>
      </c>
      <c r="Z2459" s="9" t="inlineStr"/>
    </row>
    <row r="2460">
      <c r="A2460" s="9" t="inlineStr">
        <is>
          <t>K-C-0048</t>
        </is>
      </c>
      <c r="B2460" s="9" t="inlineStr">
        <is>
          <t>K</t>
        </is>
      </c>
      <c r="C2460" s="9" t="inlineStr">
        <is>
          <t>Fuel supply (adjacent market)</t>
        </is>
      </c>
      <c r="D2460" s="9" t="inlineStr">
        <is>
          <t>Control</t>
        </is>
      </c>
      <c r="E2460" s="9" t="inlineStr"/>
      <c r="F2460" s="9" t="inlineStr">
        <is>
          <t>H2 20: 13.8 kV e-house</t>
        </is>
      </c>
      <c r="G2460" s="9" t="inlineStr"/>
      <c r="H2460" s="9" t="inlineStr">
        <is>
          <t>PEM electrolyzer 1 (HyLYZER-1000)</t>
        </is>
      </c>
      <c r="I2460" s="9" t="inlineStr">
        <is>
          <t>Control</t>
        </is>
      </c>
      <c r="J2460" s="9" t="inlineStr">
        <is>
          <t>ARMOR-X MC-HL 600 V control, Cu #14 AWG (Class I Div 2)</t>
        </is>
      </c>
      <c r="K2460" s="9" t="inlineStr">
        <is>
          <t>CTAX|7/C|14</t>
        </is>
      </c>
      <c r="L2460" s="9" t="inlineStr">
        <is>
          <t>7/C</t>
        </is>
      </c>
      <c r="M2460" s="9" t="inlineStr">
        <is>
          <t>14</t>
        </is>
      </c>
      <c r="N2460" s="9" t="n">
        <v>1</v>
      </c>
      <c r="O2460" s="9" t="n">
        <v>1</v>
      </c>
      <c r="P2460" s="9" t="n"/>
      <c r="Q2460" s="9" t="n"/>
      <c r="R2460" s="9" t="n"/>
      <c r="S2460" s="9" t="inlineStr">
        <is>
          <t>Duct bank</t>
        </is>
      </c>
      <c r="T2460" s="10" t="n">
        <v>426</v>
      </c>
      <c r="U2460" s="10" t="n">
        <v>33</v>
      </c>
      <c r="V2460" s="10">
        <f>ROUNDUP((T2460+U2460+2*'Read Me'!$B$13)*(1+'Read Me'!$B$12),-1)</f>
        <v/>
      </c>
      <c r="W2460" s="10">
        <f>V2460*N2460*O2460</f>
        <v/>
      </c>
      <c r="X2460" s="9">
        <f>IF(LEFT(I2460,2)="MV",2*N2460*IF(L2460="1/C",O2460,1),0)</f>
        <v/>
      </c>
      <c r="Y2460" s="9">
        <f>IF(OR(LEFT(K2460,4)="LVAX",LEFT(K2460,6)="MV15AX",LEFT(K2460,4)="CTAX",LEFT(K2460,2)="W|"),2*N2460*O2460,0)</f>
        <v/>
      </c>
      <c r="Z2460" s="9" t="inlineStr"/>
    </row>
    <row r="2461">
      <c r="A2461" s="9" t="inlineStr">
        <is>
          <t>K-C-0049</t>
        </is>
      </c>
      <c r="B2461" s="9" t="inlineStr">
        <is>
          <t>K</t>
        </is>
      </c>
      <c r="C2461" s="9" t="inlineStr">
        <is>
          <t>Fuel supply (adjacent market)</t>
        </is>
      </c>
      <c r="D2461" s="9" t="inlineStr">
        <is>
          <t>Control</t>
        </is>
      </c>
      <c r="E2461" s="9" t="inlineStr"/>
      <c r="F2461" s="9" t="inlineStr">
        <is>
          <t>H2 20: 13.8 kV e-house</t>
        </is>
      </c>
      <c r="G2461" s="9" t="inlineStr"/>
      <c r="H2461" s="9" t="inlineStr">
        <is>
          <t>PEM electrolyzer 2 (HyLYZER-1000)</t>
        </is>
      </c>
      <c r="I2461" s="9" t="inlineStr">
        <is>
          <t>Control</t>
        </is>
      </c>
      <c r="J2461" s="9" t="inlineStr">
        <is>
          <t>ARMOR-X MC-HL 600 V control, Cu #14 AWG (Class I Div 2)</t>
        </is>
      </c>
      <c r="K2461" s="9" t="inlineStr">
        <is>
          <t>CTAX|7/C|14</t>
        </is>
      </c>
      <c r="L2461" s="9" t="inlineStr">
        <is>
          <t>7/C</t>
        </is>
      </c>
      <c r="M2461" s="9" t="inlineStr">
        <is>
          <t>14</t>
        </is>
      </c>
      <c r="N2461" s="9" t="n">
        <v>1</v>
      </c>
      <c r="O2461" s="9" t="n">
        <v>1</v>
      </c>
      <c r="P2461" s="9" t="n"/>
      <c r="Q2461" s="9" t="n"/>
      <c r="R2461" s="9" t="n"/>
      <c r="S2461" s="9" t="inlineStr">
        <is>
          <t>Duct bank</t>
        </is>
      </c>
      <c r="T2461" s="10" t="n">
        <v>379</v>
      </c>
      <c r="U2461" s="10" t="n">
        <v>49</v>
      </c>
      <c r="V2461" s="10">
        <f>ROUNDUP((T2461+U2461+2*'Read Me'!$B$13)*(1+'Read Me'!$B$12),-1)</f>
        <v/>
      </c>
      <c r="W2461" s="10">
        <f>V2461*N2461*O2461</f>
        <v/>
      </c>
      <c r="X2461" s="9">
        <f>IF(LEFT(I2461,2)="MV",2*N2461*IF(L2461="1/C",O2461,1),0)</f>
        <v/>
      </c>
      <c r="Y2461" s="9">
        <f>IF(OR(LEFT(K2461,4)="LVAX",LEFT(K2461,6)="MV15AX",LEFT(K2461,4)="CTAX",LEFT(K2461,2)="W|"),2*N2461*O2461,0)</f>
        <v/>
      </c>
      <c r="Z2461" s="9" t="inlineStr"/>
    </row>
    <row r="2462">
      <c r="A2462" s="9" t="inlineStr">
        <is>
          <t>K-C-0050</t>
        </is>
      </c>
      <c r="B2462" s="9" t="inlineStr">
        <is>
          <t>K</t>
        </is>
      </c>
      <c r="C2462" s="9" t="inlineStr">
        <is>
          <t>Fuel supply (adjacent market)</t>
        </is>
      </c>
      <c r="D2462" s="9" t="inlineStr">
        <is>
          <t>Control</t>
        </is>
      </c>
      <c r="E2462" s="9" t="inlineStr"/>
      <c r="F2462" s="9" t="inlineStr">
        <is>
          <t>H2 20: 13.8 kV e-house</t>
        </is>
      </c>
      <c r="G2462" s="9" t="inlineStr"/>
      <c r="H2462" s="9" t="inlineStr">
        <is>
          <t>PEM electrolyzer 3 (HyLYZER-1000)</t>
        </is>
      </c>
      <c r="I2462" s="9" t="inlineStr">
        <is>
          <t>Control</t>
        </is>
      </c>
      <c r="J2462" s="9" t="inlineStr">
        <is>
          <t>ARMOR-X MC-HL 600 V control, Cu #14 AWG (Class I Div 2)</t>
        </is>
      </c>
      <c r="K2462" s="9" t="inlineStr">
        <is>
          <t>CTAX|7/C|14</t>
        </is>
      </c>
      <c r="L2462" s="9" t="inlineStr">
        <is>
          <t>7/C</t>
        </is>
      </c>
      <c r="M2462" s="9" t="inlineStr">
        <is>
          <t>14</t>
        </is>
      </c>
      <c r="N2462" s="9" t="n">
        <v>1</v>
      </c>
      <c r="O2462" s="9" t="n">
        <v>1</v>
      </c>
      <c r="P2462" s="9" t="n"/>
      <c r="Q2462" s="9" t="n"/>
      <c r="R2462" s="9" t="n"/>
      <c r="S2462" s="9" t="inlineStr">
        <is>
          <t>Duct bank</t>
        </is>
      </c>
      <c r="T2462" s="10" t="n">
        <v>356</v>
      </c>
      <c r="U2462" s="10" t="n">
        <v>49</v>
      </c>
      <c r="V2462" s="10">
        <f>ROUNDUP((T2462+U2462+2*'Read Me'!$B$13)*(1+'Read Me'!$B$12),-1)</f>
        <v/>
      </c>
      <c r="W2462" s="10">
        <f>V2462*N2462*O2462</f>
        <v/>
      </c>
      <c r="X2462" s="9">
        <f>IF(LEFT(I2462,2)="MV",2*N2462*IF(L2462="1/C",O2462,1),0)</f>
        <v/>
      </c>
      <c r="Y2462" s="9">
        <f>IF(OR(LEFT(K2462,4)="LVAX",LEFT(K2462,6)="MV15AX",LEFT(K2462,4)="CTAX",LEFT(K2462,2)="W|"),2*N2462*O2462,0)</f>
        <v/>
      </c>
      <c r="Z2462" s="9" t="inlineStr"/>
    </row>
    <row r="2463">
      <c r="A2463" s="9" t="inlineStr">
        <is>
          <t>K-C-0051</t>
        </is>
      </c>
      <c r="B2463" s="9" t="inlineStr">
        <is>
          <t>K</t>
        </is>
      </c>
      <c r="C2463" s="9" t="inlineStr">
        <is>
          <t>Fuel supply (adjacent market)</t>
        </is>
      </c>
      <c r="D2463" s="9" t="inlineStr">
        <is>
          <t>Control</t>
        </is>
      </c>
      <c r="E2463" s="9" t="inlineStr"/>
      <c r="F2463" s="9" t="inlineStr">
        <is>
          <t>H2 20: 13.8 kV e-house</t>
        </is>
      </c>
      <c r="G2463" s="9" t="inlineStr"/>
      <c r="H2463" s="9" t="inlineStr">
        <is>
          <t>PEM electrolyzer 4 (HyLYZER-1000)</t>
        </is>
      </c>
      <c r="I2463" s="9" t="inlineStr">
        <is>
          <t>Control</t>
        </is>
      </c>
      <c r="J2463" s="9" t="inlineStr">
        <is>
          <t>ARMOR-X MC-HL 600 V control, Cu #14 AWG (Class I Div 2)</t>
        </is>
      </c>
      <c r="K2463" s="9" t="inlineStr">
        <is>
          <t>CTAX|7/C|14</t>
        </is>
      </c>
      <c r="L2463" s="9" t="inlineStr">
        <is>
          <t>7/C</t>
        </is>
      </c>
      <c r="M2463" s="9" t="inlineStr">
        <is>
          <t>14</t>
        </is>
      </c>
      <c r="N2463" s="9" t="n">
        <v>1</v>
      </c>
      <c r="O2463" s="9" t="n">
        <v>1</v>
      </c>
      <c r="P2463" s="9" t="n"/>
      <c r="Q2463" s="9" t="n"/>
      <c r="R2463" s="9" t="n"/>
      <c r="S2463" s="9" t="inlineStr">
        <is>
          <t>Duct bank</t>
        </is>
      </c>
      <c r="T2463" s="10" t="n">
        <v>333</v>
      </c>
      <c r="U2463" s="10" t="n">
        <v>49</v>
      </c>
      <c r="V2463" s="10">
        <f>ROUNDUP((T2463+U2463+2*'Read Me'!$B$13)*(1+'Read Me'!$B$12),-1)</f>
        <v/>
      </c>
      <c r="W2463" s="10">
        <f>V2463*N2463*O2463</f>
        <v/>
      </c>
      <c r="X2463" s="9">
        <f>IF(LEFT(I2463,2)="MV",2*N2463*IF(L2463="1/C",O2463,1),0)</f>
        <v/>
      </c>
      <c r="Y2463" s="9">
        <f>IF(OR(LEFT(K2463,4)="LVAX",LEFT(K2463,6)="MV15AX",LEFT(K2463,4)="CTAX",LEFT(K2463,2)="W|"),2*N2463*O2463,0)</f>
        <v/>
      </c>
      <c r="Z2463" s="9" t="inlineStr"/>
    </row>
    <row r="2464">
      <c r="A2464" s="9" t="inlineStr">
        <is>
          <t>K-C-0052</t>
        </is>
      </c>
      <c r="B2464" s="9" t="inlineStr">
        <is>
          <t>K</t>
        </is>
      </c>
      <c r="C2464" s="9" t="inlineStr">
        <is>
          <t>Fuel supply (adjacent market)</t>
        </is>
      </c>
      <c r="D2464" s="9" t="inlineStr">
        <is>
          <t>Control</t>
        </is>
      </c>
      <c r="E2464" s="9" t="inlineStr"/>
      <c r="F2464" s="9" t="inlineStr">
        <is>
          <t>H2 20: 13.8 kV e-house</t>
        </is>
      </c>
      <c r="G2464" s="9" t="inlineStr"/>
      <c r="H2464" s="9" t="inlineStr">
        <is>
          <t>PEM electrolyzer 5 (HyLYZER-1000)</t>
        </is>
      </c>
      <c r="I2464" s="9" t="inlineStr">
        <is>
          <t>Control</t>
        </is>
      </c>
      <c r="J2464" s="9" t="inlineStr">
        <is>
          <t>ARMOR-X MC-HL 600 V control, Cu #14 AWG (Class I Div 2)</t>
        </is>
      </c>
      <c r="K2464" s="9" t="inlineStr">
        <is>
          <t>CTAX|7/C|14</t>
        </is>
      </c>
      <c r="L2464" s="9" t="inlineStr">
        <is>
          <t>7/C</t>
        </is>
      </c>
      <c r="M2464" s="9" t="inlineStr">
        <is>
          <t>14</t>
        </is>
      </c>
      <c r="N2464" s="9" t="n">
        <v>1</v>
      </c>
      <c r="O2464" s="9" t="n">
        <v>1</v>
      </c>
      <c r="P2464" s="9" t="n"/>
      <c r="Q2464" s="9" t="n"/>
      <c r="R2464" s="9" t="n"/>
      <c r="S2464" s="9" t="inlineStr">
        <is>
          <t>Duct bank</t>
        </is>
      </c>
      <c r="T2464" s="10" t="n">
        <v>303</v>
      </c>
      <c r="U2464" s="10" t="n">
        <v>59</v>
      </c>
      <c r="V2464" s="10">
        <f>ROUNDUP((T2464+U2464+2*'Read Me'!$B$13)*(1+'Read Me'!$B$12),-1)</f>
        <v/>
      </c>
      <c r="W2464" s="10">
        <f>V2464*N2464*O2464</f>
        <v/>
      </c>
      <c r="X2464" s="9">
        <f>IF(LEFT(I2464,2)="MV",2*N2464*IF(L2464="1/C",O2464,1),0)</f>
        <v/>
      </c>
      <c r="Y2464" s="9">
        <f>IF(OR(LEFT(K2464,4)="LVAX",LEFT(K2464,6)="MV15AX",LEFT(K2464,4)="CTAX",LEFT(K2464,2)="W|"),2*N2464*O2464,0)</f>
        <v/>
      </c>
      <c r="Z2464" s="9" t="inlineStr"/>
    </row>
    <row r="2465">
      <c r="A2465" s="9" t="inlineStr">
        <is>
          <t>K-C-0053</t>
        </is>
      </c>
      <c r="B2465" s="9" t="inlineStr">
        <is>
          <t>K</t>
        </is>
      </c>
      <c r="C2465" s="9" t="inlineStr">
        <is>
          <t>Fuel supply (adjacent market)</t>
        </is>
      </c>
      <c r="D2465" s="9" t="inlineStr">
        <is>
          <t>Control</t>
        </is>
      </c>
      <c r="E2465" s="9" t="inlineStr"/>
      <c r="F2465" s="9" t="inlineStr">
        <is>
          <t>H2 20: 13.8 kV e-house</t>
        </is>
      </c>
      <c r="G2465" s="9" t="inlineStr"/>
      <c r="H2465" s="9" t="inlineStr">
        <is>
          <t>Rectifier 1 (7 MVA)</t>
        </is>
      </c>
      <c r="I2465" s="9" t="inlineStr">
        <is>
          <t>Control</t>
        </is>
      </c>
      <c r="J2465" s="9" t="inlineStr">
        <is>
          <t>Control cable 600 V Type TC-ER, Cu #14 AWG, PVC jacket</t>
        </is>
      </c>
      <c r="K2465" s="9" t="inlineStr">
        <is>
          <t>CT|7/C|14</t>
        </is>
      </c>
      <c r="L2465" s="9" t="inlineStr">
        <is>
          <t>7/C</t>
        </is>
      </c>
      <c r="M2465" s="9" t="inlineStr">
        <is>
          <t>14</t>
        </is>
      </c>
      <c r="N2465" s="9" t="n">
        <v>1</v>
      </c>
      <c r="O2465" s="9" t="n">
        <v>1</v>
      </c>
      <c r="P2465" s="9" t="n"/>
      <c r="Q2465" s="9" t="n"/>
      <c r="R2465" s="9" t="n"/>
      <c r="S2465" s="9" t="inlineStr">
        <is>
          <t>Duct bank</t>
        </is>
      </c>
      <c r="T2465" s="10" t="n">
        <v>393</v>
      </c>
      <c r="U2465" s="10" t="n">
        <v>32</v>
      </c>
      <c r="V2465" s="10">
        <f>ROUNDUP((T2465+U2465+2*'Read Me'!$B$13)*(1+'Read Me'!$B$12),-1)</f>
        <v/>
      </c>
      <c r="W2465" s="10">
        <f>V2465*N2465*O2465</f>
        <v/>
      </c>
      <c r="X2465" s="9">
        <f>IF(LEFT(I2465,2)="MV",2*N2465*IF(L2465="1/C",O2465,1),0)</f>
        <v/>
      </c>
      <c r="Y2465" s="9">
        <f>IF(OR(LEFT(K2465,4)="LVAX",LEFT(K2465,6)="MV15AX",LEFT(K2465,4)="CTAX",LEFT(K2465,2)="W|"),2*N2465*O2465,0)</f>
        <v/>
      </c>
      <c r="Z2465" s="9" t="inlineStr"/>
    </row>
    <row r="2466">
      <c r="A2466" s="9" t="inlineStr">
        <is>
          <t>K-C-0054</t>
        </is>
      </c>
      <c r="B2466" s="9" t="inlineStr">
        <is>
          <t>K</t>
        </is>
      </c>
      <c r="C2466" s="9" t="inlineStr">
        <is>
          <t>Fuel supply (adjacent market)</t>
        </is>
      </c>
      <c r="D2466" s="9" t="inlineStr">
        <is>
          <t>Control</t>
        </is>
      </c>
      <c r="E2466" s="9" t="inlineStr"/>
      <c r="F2466" s="9" t="inlineStr">
        <is>
          <t>H2 20: 13.8 kV e-house</t>
        </is>
      </c>
      <c r="G2466" s="9" t="inlineStr"/>
      <c r="H2466" s="9" t="inlineStr">
        <is>
          <t>Rectifier 2 (7 MVA)</t>
        </is>
      </c>
      <c r="I2466" s="9" t="inlineStr">
        <is>
          <t>Control</t>
        </is>
      </c>
      <c r="J2466" s="9" t="inlineStr">
        <is>
          <t>Control cable 600 V Type TC-ER, Cu #14 AWG, PVC jacket</t>
        </is>
      </c>
      <c r="K2466" s="9" t="inlineStr">
        <is>
          <t>CT|7/C|14</t>
        </is>
      </c>
      <c r="L2466" s="9" t="inlineStr">
        <is>
          <t>7/C</t>
        </is>
      </c>
      <c r="M2466" s="9" t="inlineStr">
        <is>
          <t>14</t>
        </is>
      </c>
      <c r="N2466" s="9" t="n">
        <v>1</v>
      </c>
      <c r="O2466" s="9" t="n">
        <v>1</v>
      </c>
      <c r="P2466" s="9" t="n"/>
      <c r="Q2466" s="9" t="n"/>
      <c r="R2466" s="9" t="n"/>
      <c r="S2466" s="9" t="inlineStr">
        <is>
          <t>Duct bank</t>
        </is>
      </c>
      <c r="T2466" s="10" t="n">
        <v>372</v>
      </c>
      <c r="U2466" s="10" t="n">
        <v>32</v>
      </c>
      <c r="V2466" s="10">
        <f>ROUNDUP((T2466+U2466+2*'Read Me'!$B$13)*(1+'Read Me'!$B$12),-1)</f>
        <v/>
      </c>
      <c r="W2466" s="10">
        <f>V2466*N2466*O2466</f>
        <v/>
      </c>
      <c r="X2466" s="9">
        <f>IF(LEFT(I2466,2)="MV",2*N2466*IF(L2466="1/C",O2466,1),0)</f>
        <v/>
      </c>
      <c r="Y2466" s="9">
        <f>IF(OR(LEFT(K2466,4)="LVAX",LEFT(K2466,6)="MV15AX",LEFT(K2466,4)="CTAX",LEFT(K2466,2)="W|"),2*N2466*O2466,0)</f>
        <v/>
      </c>
      <c r="Z2466" s="9" t="inlineStr"/>
    </row>
    <row r="2467">
      <c r="A2467" s="9" t="inlineStr">
        <is>
          <t>K-C-0055</t>
        </is>
      </c>
      <c r="B2467" s="9" t="inlineStr">
        <is>
          <t>K</t>
        </is>
      </c>
      <c r="C2467" s="9" t="inlineStr">
        <is>
          <t>Fuel supply (adjacent market)</t>
        </is>
      </c>
      <c r="D2467" s="9" t="inlineStr">
        <is>
          <t>Control</t>
        </is>
      </c>
      <c r="E2467" s="9" t="inlineStr"/>
      <c r="F2467" s="9" t="inlineStr">
        <is>
          <t>H2 20: 13.8 kV e-house</t>
        </is>
      </c>
      <c r="G2467" s="9" t="inlineStr"/>
      <c r="H2467" s="9" t="inlineStr">
        <is>
          <t>Rectifier 3 (7 MVA)</t>
        </is>
      </c>
      <c r="I2467" s="9" t="inlineStr">
        <is>
          <t>Control</t>
        </is>
      </c>
      <c r="J2467" s="9" t="inlineStr">
        <is>
          <t>Control cable 600 V Type TC-ER, Cu #14 AWG, PVC jacket</t>
        </is>
      </c>
      <c r="K2467" s="9" t="inlineStr">
        <is>
          <t>CT|7/C|14</t>
        </is>
      </c>
      <c r="L2467" s="9" t="inlineStr">
        <is>
          <t>7/C</t>
        </is>
      </c>
      <c r="M2467" s="9" t="inlineStr">
        <is>
          <t>14</t>
        </is>
      </c>
      <c r="N2467" s="9" t="n">
        <v>1</v>
      </c>
      <c r="O2467" s="9" t="n">
        <v>1</v>
      </c>
      <c r="P2467" s="9" t="n"/>
      <c r="Q2467" s="9" t="n"/>
      <c r="R2467" s="9" t="n"/>
      <c r="S2467" s="9" t="inlineStr">
        <is>
          <t>Duct bank</t>
        </is>
      </c>
      <c r="T2467" s="10" t="n">
        <v>349</v>
      </c>
      <c r="U2467" s="10" t="n">
        <v>32</v>
      </c>
      <c r="V2467" s="10">
        <f>ROUNDUP((T2467+U2467+2*'Read Me'!$B$13)*(1+'Read Me'!$B$12),-1)</f>
        <v/>
      </c>
      <c r="W2467" s="10">
        <f>V2467*N2467*O2467</f>
        <v/>
      </c>
      <c r="X2467" s="9">
        <f>IF(LEFT(I2467,2)="MV",2*N2467*IF(L2467="1/C",O2467,1),0)</f>
        <v/>
      </c>
      <c r="Y2467" s="9">
        <f>IF(OR(LEFT(K2467,4)="LVAX",LEFT(K2467,6)="MV15AX",LEFT(K2467,4)="CTAX",LEFT(K2467,2)="W|"),2*N2467*O2467,0)</f>
        <v/>
      </c>
      <c r="Z2467" s="9" t="inlineStr"/>
    </row>
    <row r="2468">
      <c r="A2468" s="9" t="inlineStr">
        <is>
          <t>K-C-0056</t>
        </is>
      </c>
      <c r="B2468" s="9" t="inlineStr">
        <is>
          <t>K</t>
        </is>
      </c>
      <c r="C2468" s="9" t="inlineStr">
        <is>
          <t>Fuel supply (adjacent market)</t>
        </is>
      </c>
      <c r="D2468" s="9" t="inlineStr">
        <is>
          <t>Control</t>
        </is>
      </c>
      <c r="E2468" s="9" t="inlineStr"/>
      <c r="F2468" s="9" t="inlineStr">
        <is>
          <t>H2 20: 13.8 kV e-house</t>
        </is>
      </c>
      <c r="G2468" s="9" t="inlineStr"/>
      <c r="H2468" s="9" t="inlineStr">
        <is>
          <t>Rectifier 4 (7 MVA)</t>
        </is>
      </c>
      <c r="I2468" s="9" t="inlineStr">
        <is>
          <t>Control</t>
        </is>
      </c>
      <c r="J2468" s="9" t="inlineStr">
        <is>
          <t>Control cable 600 V Type TC-ER, Cu #14 AWG, PVC jacket</t>
        </is>
      </c>
      <c r="K2468" s="9" t="inlineStr">
        <is>
          <t>CT|7/C|14</t>
        </is>
      </c>
      <c r="L2468" s="9" t="inlineStr">
        <is>
          <t>7/C</t>
        </is>
      </c>
      <c r="M2468" s="9" t="inlineStr">
        <is>
          <t>14</t>
        </is>
      </c>
      <c r="N2468" s="9" t="n">
        <v>1</v>
      </c>
      <c r="O2468" s="9" t="n">
        <v>1</v>
      </c>
      <c r="P2468" s="9" t="n"/>
      <c r="Q2468" s="9" t="n"/>
      <c r="R2468" s="9" t="n"/>
      <c r="S2468" s="9" t="inlineStr">
        <is>
          <t>Duct bank</t>
        </is>
      </c>
      <c r="T2468" s="10" t="n">
        <v>326</v>
      </c>
      <c r="U2468" s="10" t="n">
        <v>32</v>
      </c>
      <c r="V2468" s="10">
        <f>ROUNDUP((T2468+U2468+2*'Read Me'!$B$13)*(1+'Read Me'!$B$12),-1)</f>
        <v/>
      </c>
      <c r="W2468" s="10">
        <f>V2468*N2468*O2468</f>
        <v/>
      </c>
      <c r="X2468" s="9">
        <f>IF(LEFT(I2468,2)="MV",2*N2468*IF(L2468="1/C",O2468,1),0)</f>
        <v/>
      </c>
      <c r="Y2468" s="9">
        <f>IF(OR(LEFT(K2468,4)="LVAX",LEFT(K2468,6)="MV15AX",LEFT(K2468,4)="CTAX",LEFT(K2468,2)="W|"),2*N2468*O2468,0)</f>
        <v/>
      </c>
      <c r="Z2468" s="9" t="inlineStr"/>
    </row>
    <row r="2469">
      <c r="A2469" s="9" t="inlineStr">
        <is>
          <t>K-C-0057</t>
        </is>
      </c>
      <c r="B2469" s="9" t="inlineStr">
        <is>
          <t>K</t>
        </is>
      </c>
      <c r="C2469" s="9" t="inlineStr">
        <is>
          <t>Fuel supply (adjacent market)</t>
        </is>
      </c>
      <c r="D2469" s="9" t="inlineStr">
        <is>
          <t>Control</t>
        </is>
      </c>
      <c r="E2469" s="9" t="inlineStr"/>
      <c r="F2469" s="9" t="inlineStr">
        <is>
          <t>H2 20: 13.8 kV e-house</t>
        </is>
      </c>
      <c r="G2469" s="9" t="inlineStr"/>
      <c r="H2469" s="9" t="inlineStr">
        <is>
          <t>Rectifier 5 (7 MVA)</t>
        </is>
      </c>
      <c r="I2469" s="9" t="inlineStr">
        <is>
          <t>Control</t>
        </is>
      </c>
      <c r="J2469" s="9" t="inlineStr">
        <is>
          <t>Control cable 600 V Type TC-ER, Cu #14 AWG, PVC jacket</t>
        </is>
      </c>
      <c r="K2469" s="9" t="inlineStr">
        <is>
          <t>CT|7/C|14</t>
        </is>
      </c>
      <c r="L2469" s="9" t="inlineStr">
        <is>
          <t>7/C</t>
        </is>
      </c>
      <c r="M2469" s="9" t="inlineStr">
        <is>
          <t>14</t>
        </is>
      </c>
      <c r="N2469" s="9" t="n">
        <v>1</v>
      </c>
      <c r="O2469" s="9" t="n">
        <v>1</v>
      </c>
      <c r="P2469" s="9" t="n"/>
      <c r="Q2469" s="9" t="n"/>
      <c r="R2469" s="9" t="n"/>
      <c r="S2469" s="9" t="inlineStr">
        <is>
          <t>Duct bank</t>
        </is>
      </c>
      <c r="T2469" s="10" t="n">
        <v>303</v>
      </c>
      <c r="U2469" s="10" t="n">
        <v>32</v>
      </c>
      <c r="V2469" s="10">
        <f>ROUNDUP((T2469+U2469+2*'Read Me'!$B$13)*(1+'Read Me'!$B$12),-1)</f>
        <v/>
      </c>
      <c r="W2469" s="10">
        <f>V2469*N2469*O2469</f>
        <v/>
      </c>
      <c r="X2469" s="9">
        <f>IF(LEFT(I2469,2)="MV",2*N2469*IF(L2469="1/C",O2469,1),0)</f>
        <v/>
      </c>
      <c r="Y2469" s="9">
        <f>IF(OR(LEFT(K2469,4)="LVAX",LEFT(K2469,6)="MV15AX",LEFT(K2469,4)="CTAX",LEFT(K2469,2)="W|"),2*N2469*O2469,0)</f>
        <v/>
      </c>
      <c r="Z2469" s="9" t="inlineStr"/>
    </row>
    <row r="2470">
      <c r="A2470" s="9" t="inlineStr">
        <is>
          <t>K-F-0001</t>
        </is>
      </c>
      <c r="B2470" s="9" t="inlineStr">
        <is>
          <t>K</t>
        </is>
      </c>
      <c r="C2470" s="9" t="inlineStr">
        <is>
          <t>Fuel supply (adjacent market)</t>
        </is>
      </c>
      <c r="D2470" s="9" t="inlineStr">
        <is>
          <t>Plant network / DCS fibre</t>
        </is>
      </c>
      <c r="E2470" s="9" t="inlineStr">
        <is>
          <t>CR</t>
        </is>
      </c>
      <c r="F2470" s="9" t="inlineStr">
        <is>
          <t>Control / admin building (main control room)</t>
        </is>
      </c>
      <c r="G2470" s="9" t="inlineStr"/>
      <c r="H2470" s="9" t="inlineStr">
        <is>
          <t>H2 20: 13.8 kV e-house</t>
        </is>
      </c>
      <c r="I2470" s="9" t="inlineStr">
        <is>
          <t>Fibre / data</t>
        </is>
      </c>
      <c r="J2470" s="9" t="inlineStr">
        <is>
          <t>Fibre optic, single-mode, 12-fibre, armored, orange jacket</t>
        </is>
      </c>
      <c r="K2470" s="9" t="inlineStr">
        <is>
          <t>FO|12 SM|-</t>
        </is>
      </c>
      <c r="L2470" s="9" t="inlineStr">
        <is>
          <t>12 SM</t>
        </is>
      </c>
      <c r="M2470" s="9" t="inlineStr">
        <is>
          <t>-</t>
        </is>
      </c>
      <c r="N2470" s="9" t="n">
        <v>1</v>
      </c>
      <c r="O2470" s="9" t="n">
        <v>1</v>
      </c>
      <c r="P2470" s="9" t="n"/>
      <c r="Q2470" s="9" t="n"/>
      <c r="R2470" s="9" t="n"/>
      <c r="S2470" s="9" t="inlineStr">
        <is>
          <t>Trench</t>
        </is>
      </c>
      <c r="T2470" s="10" t="n">
        <v>4266</v>
      </c>
      <c r="U2470" s="10" t="n">
        <v>32</v>
      </c>
      <c r="V2470" s="10">
        <f>ROUNDUP((T2470+U2470+2*'Read Me'!$B$13)*(1+'Read Me'!$B$12),-1)</f>
        <v/>
      </c>
      <c r="W2470" s="10">
        <f>V2470*N2470*O2470</f>
        <v/>
      </c>
      <c r="X2470" s="9">
        <f>IF(LEFT(I2470,2)="MV",2*N2470*IF(L2470="1/C",O2470,1),0)</f>
        <v/>
      </c>
      <c r="Y2470" s="9">
        <f>IF(OR(LEFT(K2470,4)="LVAX",LEFT(K2470,6)="MV15AX",LEFT(K2470,4)="CTAX",LEFT(K2470,2)="W|"),2*N2470*O2470,0)</f>
        <v/>
      </c>
      <c r="Z2470" s="9" t="inlineStr"/>
    </row>
    <row r="2471">
      <c r="A2471" s="9" t="inlineStr">
        <is>
          <t>K-F-0002</t>
        </is>
      </c>
      <c r="B2471" s="9" t="inlineStr">
        <is>
          <t>K</t>
        </is>
      </c>
      <c r="C2471" s="9" t="inlineStr">
        <is>
          <t>Fuel supply (adjacent market)</t>
        </is>
      </c>
      <c r="D2471" s="9" t="inlineStr">
        <is>
          <t>Plant network / DCS fibre</t>
        </is>
      </c>
      <c r="E2471" s="9" t="inlineStr">
        <is>
          <t>CR</t>
        </is>
      </c>
      <c r="F2471" s="9" t="inlineStr">
        <is>
          <t>Control / admin building (main control room)</t>
        </is>
      </c>
      <c r="G2471" s="9" t="inlineStr"/>
      <c r="H2471" s="9" t="inlineStr">
        <is>
          <t>LNG 17: LNG e-house (13.8 kV / 480 V)</t>
        </is>
      </c>
      <c r="I2471" s="9" t="inlineStr">
        <is>
          <t>Fibre / data</t>
        </is>
      </c>
      <c r="J2471" s="9" t="inlineStr">
        <is>
          <t>Fibre optic, single-mode, 12-fibre, armored, orange jacket</t>
        </is>
      </c>
      <c r="K2471" s="9" t="inlineStr">
        <is>
          <t>FO|12 SM|-</t>
        </is>
      </c>
      <c r="L2471" s="9" t="inlineStr">
        <is>
          <t>12 SM</t>
        </is>
      </c>
      <c r="M2471" s="9" t="inlineStr">
        <is>
          <t>-</t>
        </is>
      </c>
      <c r="N2471" s="9" t="n">
        <v>1</v>
      </c>
      <c r="O2471" s="9" t="n">
        <v>1</v>
      </c>
      <c r="P2471" s="9" t="n"/>
      <c r="Q2471" s="9" t="n"/>
      <c r="R2471" s="9" t="n"/>
      <c r="S2471" s="9" t="inlineStr">
        <is>
          <t>Estimated</t>
        </is>
      </c>
      <c r="T2471" s="10" t="n">
        <v>3255</v>
      </c>
      <c r="U2471" s="10" t="n">
        <v>40</v>
      </c>
      <c r="V2471" s="10">
        <f>ROUNDUP((T2471+U2471+2*'Read Me'!$B$13)*(1+'Read Me'!$B$12),-1)</f>
        <v/>
      </c>
      <c r="W2471" s="10">
        <f>V2471*N2471*O2471</f>
        <v/>
      </c>
      <c r="X2471" s="9">
        <f>IF(LEFT(I2471,2)="MV",2*N2471*IF(L2471="1/C",O2471,1),0)</f>
        <v/>
      </c>
      <c r="Y2471" s="9">
        <f>IF(OR(LEFT(K2471,4)="LVAX",LEFT(K2471,6)="MV15AX",LEFT(K2471,4)="CTAX",LEFT(K2471,2)="W|"),2*N2471*O2471,0)</f>
        <v/>
      </c>
      <c r="Z2471" s="9" t="inlineStr"/>
    </row>
    <row r="2472">
      <c r="A2472" s="9" t="inlineStr">
        <is>
          <t>K-F-0003</t>
        </is>
      </c>
      <c r="B2472" s="9" t="inlineStr">
        <is>
          <t>K</t>
        </is>
      </c>
      <c r="C2472" s="9" t="inlineStr">
        <is>
          <t>Fuel supply (adjacent market)</t>
        </is>
      </c>
      <c r="D2472" s="9" t="inlineStr">
        <is>
          <t>Plant network / DCS fibre</t>
        </is>
      </c>
      <c r="E2472" s="9" t="inlineStr">
        <is>
          <t>CR</t>
        </is>
      </c>
      <c r="F2472" s="9" t="inlineStr">
        <is>
          <t>Control / admin building (main control room)</t>
        </is>
      </c>
      <c r="G2472" s="9" t="inlineStr"/>
      <c r="H2472" s="9" t="inlineStr">
        <is>
          <t>M&amp;R 6: regulation / flow control building</t>
        </is>
      </c>
      <c r="I2472" s="9" t="inlineStr">
        <is>
          <t>Fibre / data</t>
        </is>
      </c>
      <c r="J2472" s="9" t="inlineStr">
        <is>
          <t>Fibre optic, single-mode, 12-fibre, armored, orange jacket</t>
        </is>
      </c>
      <c r="K2472" s="9" t="inlineStr">
        <is>
          <t>FO|12 SM|-</t>
        </is>
      </c>
      <c r="L2472" s="9" t="inlineStr">
        <is>
          <t>12 SM</t>
        </is>
      </c>
      <c r="M2472" s="9" t="inlineStr">
        <is>
          <t>-</t>
        </is>
      </c>
      <c r="N2472" s="9" t="n">
        <v>1</v>
      </c>
      <c r="O2472" s="9" t="n">
        <v>1</v>
      </c>
      <c r="P2472" s="9" t="n"/>
      <c r="Q2472" s="9" t="n"/>
      <c r="R2472" s="9" t="n"/>
      <c r="S2472" s="9" t="inlineStr">
        <is>
          <t>Duct bank</t>
        </is>
      </c>
      <c r="T2472" s="10" t="n">
        <v>3647</v>
      </c>
      <c r="U2472" s="10" t="n">
        <v>176</v>
      </c>
      <c r="V2472" s="10">
        <f>ROUNDUP((T2472+U2472+2*'Read Me'!$B$13)*(1+'Read Me'!$B$12),-1)</f>
        <v/>
      </c>
      <c r="W2472" s="10">
        <f>V2472*N2472*O2472</f>
        <v/>
      </c>
      <c r="X2472" s="9">
        <f>IF(LEFT(I2472,2)="MV",2*N2472*IF(L2472="1/C",O2472,1),0)</f>
        <v/>
      </c>
      <c r="Y2472" s="9">
        <f>IF(OR(LEFT(K2472,4)="LVAX",LEFT(K2472,6)="MV15AX",LEFT(K2472,4)="CTAX",LEFT(K2472,2)="W|"),2*N2472*O2472,0)</f>
        <v/>
      </c>
      <c r="Z2472" s="9" t="inlineStr"/>
    </row>
    <row r="2473">
      <c r="A2473" s="9" t="inlineStr">
        <is>
          <t>K-F-0004</t>
        </is>
      </c>
      <c r="B2473" s="9" t="inlineStr">
        <is>
          <t>K</t>
        </is>
      </c>
      <c r="C2473" s="9" t="inlineStr">
        <is>
          <t>Fuel supply (adjacent market)</t>
        </is>
      </c>
      <c r="D2473" s="9" t="inlineStr">
        <is>
          <t>Plant network / DCS fibre</t>
        </is>
      </c>
      <c r="E2473" s="9" t="inlineStr">
        <is>
          <t>CR</t>
        </is>
      </c>
      <c r="F2473" s="9" t="inlineStr">
        <is>
          <t>Control / admin building (main control room)</t>
        </is>
      </c>
      <c r="G2473" s="9" t="inlineStr"/>
      <c r="H2473" s="9" t="inlineStr">
        <is>
          <t>M&amp;R 7: gas quality + measurement building</t>
        </is>
      </c>
      <c r="I2473" s="9" t="inlineStr">
        <is>
          <t>Fibre / data</t>
        </is>
      </c>
      <c r="J2473" s="9" t="inlineStr">
        <is>
          <t>Fibre optic, single-mode, 12-fibre, armored, orange jacket</t>
        </is>
      </c>
      <c r="K2473" s="9" t="inlineStr">
        <is>
          <t>FO|12 SM|-</t>
        </is>
      </c>
      <c r="L2473" s="9" t="inlineStr">
        <is>
          <t>12 SM</t>
        </is>
      </c>
      <c r="M2473" s="9" t="inlineStr">
        <is>
          <t>-</t>
        </is>
      </c>
      <c r="N2473" s="9" t="n">
        <v>1</v>
      </c>
      <c r="O2473" s="9" t="n">
        <v>1</v>
      </c>
      <c r="P2473" s="9" t="n"/>
      <c r="Q2473" s="9" t="n"/>
      <c r="R2473" s="9" t="n"/>
      <c r="S2473" s="9" t="inlineStr">
        <is>
          <t>Duct bank</t>
        </is>
      </c>
      <c r="T2473" s="10" t="n">
        <v>3473</v>
      </c>
      <c r="U2473" s="10" t="n">
        <v>172</v>
      </c>
      <c r="V2473" s="10">
        <f>ROUNDUP((T2473+U2473+2*'Read Me'!$B$13)*(1+'Read Me'!$B$12),-1)</f>
        <v/>
      </c>
      <c r="W2473" s="10">
        <f>V2473*N2473*O2473</f>
        <v/>
      </c>
      <c r="X2473" s="9">
        <f>IF(LEFT(I2473,2)="MV",2*N2473*IF(L2473="1/C",O2473,1),0)</f>
        <v/>
      </c>
      <c r="Y2473" s="9">
        <f>IF(OR(LEFT(K2473,4)="LVAX",LEFT(K2473,6)="MV15AX",LEFT(K2473,4)="CTAX",LEFT(K2473,2)="W|"),2*N2473*O2473,0)</f>
        <v/>
      </c>
      <c r="Z2473" s="9" t="inlineStr"/>
    </row>
    <row r="2474">
      <c r="A2474" s="9" t="inlineStr">
        <is>
          <t>K-FA-0001</t>
        </is>
      </c>
      <c r="B2474" s="9" t="inlineStr">
        <is>
          <t>K</t>
        </is>
      </c>
      <c r="C2474" s="9" t="inlineStr">
        <is>
          <t>Fuel supply (adjacent market)</t>
        </is>
      </c>
      <c r="D2474" s="9" t="inlineStr">
        <is>
          <t>Fire alarm / F&amp;G loop (to the local FACP / F&amp;G node)</t>
        </is>
      </c>
      <c r="E2474" s="9" t="inlineStr"/>
      <c r="F2474" s="9" t="inlineStr">
        <is>
          <t>H2 20: 13.8 kV e-house</t>
        </is>
      </c>
      <c r="G2474" s="9" t="inlineStr"/>
      <c r="H2474" s="9" t="inlineStr">
        <is>
          <t>H2 20: 13.8 kV e-house</t>
        </is>
      </c>
      <c r="I2474" s="9" t="inlineStr">
        <is>
          <t>Fire alarm</t>
        </is>
      </c>
      <c r="J2474" s="9" t="inlineStr">
        <is>
          <t>Fire alarm FPLR 2/C #14 shielded, red jacket (NEC 760)</t>
        </is>
      </c>
      <c r="K2474" s="9" t="inlineStr">
        <is>
          <t>FA|2/C|14</t>
        </is>
      </c>
      <c r="L2474" s="9" t="inlineStr">
        <is>
          <t>2/C</t>
        </is>
      </c>
      <c r="M2474" s="9" t="inlineStr">
        <is>
          <t>14</t>
        </is>
      </c>
      <c r="N2474" s="9" t="n">
        <v>1</v>
      </c>
      <c r="O2474" s="9" t="n">
        <v>1</v>
      </c>
      <c r="P2474" s="9" t="n"/>
      <c r="Q2474" s="9" t="n"/>
      <c r="R2474" s="9" t="n"/>
      <c r="S2474" s="9" t="inlineStr">
        <is>
          <t>Tray</t>
        </is>
      </c>
      <c r="T2474" s="10" t="n">
        <v>0</v>
      </c>
      <c r="U2474" s="10" t="n">
        <v>32</v>
      </c>
      <c r="V2474" s="10">
        <f>ROUNDUP((T2474+U2474+2*'Read Me'!$B$13)*(1+'Read Me'!$B$12),-1)</f>
        <v/>
      </c>
      <c r="W2474" s="10">
        <f>V2474*N2474*O2474</f>
        <v/>
      </c>
      <c r="X2474" s="9">
        <f>IF(LEFT(I2474,2)="MV",2*N2474*IF(L2474="1/C",O2474,1),0)</f>
        <v/>
      </c>
      <c r="Y2474" s="9">
        <f>IF(OR(LEFT(K2474,4)="LVAX",LEFT(K2474,6)="MV15AX",LEFT(K2474,4)="CTAX",LEFT(K2474,2)="W|"),2*N2474*O2474,0)</f>
        <v/>
      </c>
      <c r="Z2474" s="9" t="inlineStr"/>
    </row>
    <row r="2475">
      <c r="A2475" s="9" t="inlineStr">
        <is>
          <t>K-FA-0002</t>
        </is>
      </c>
      <c r="B2475" s="9" t="inlineStr">
        <is>
          <t>K</t>
        </is>
      </c>
      <c r="C2475" s="9" t="inlineStr">
        <is>
          <t>Fuel supply (adjacent market)</t>
        </is>
      </c>
      <c r="D2475" s="9" t="inlineStr">
        <is>
          <t>Fire alarm / F&amp;G loop (to the local FACP / F&amp;G node)</t>
        </is>
      </c>
      <c r="E2475" s="9" t="inlineStr"/>
      <c r="F2475" s="9" t="inlineStr">
        <is>
          <t>LNG 17: LNG e-house (13.8 kV / 480 V)</t>
        </is>
      </c>
      <c r="G2475" s="9" t="inlineStr"/>
      <c r="H2475" s="9" t="inlineStr">
        <is>
          <t>LNG 17: LNG e-house (13.8 kV / 480 V)</t>
        </is>
      </c>
      <c r="I2475" s="9" t="inlineStr">
        <is>
          <t>Fire alarm</t>
        </is>
      </c>
      <c r="J2475" s="9" t="inlineStr">
        <is>
          <t>Fire alarm FPLR 2/C #14 shielded, red jacket (NEC 760)</t>
        </is>
      </c>
      <c r="K2475" s="9" t="inlineStr">
        <is>
          <t>FA|2/C|14</t>
        </is>
      </c>
      <c r="L2475" s="9" t="inlineStr">
        <is>
          <t>2/C</t>
        </is>
      </c>
      <c r="M2475" s="9" t="inlineStr">
        <is>
          <t>14</t>
        </is>
      </c>
      <c r="N2475" s="9" t="n">
        <v>1</v>
      </c>
      <c r="O2475" s="9" t="n">
        <v>1</v>
      </c>
      <c r="P2475" s="9" t="n"/>
      <c r="Q2475" s="9" t="n"/>
      <c r="R2475" s="9" t="n"/>
      <c r="S2475" s="9" t="inlineStr">
        <is>
          <t>Tray</t>
        </is>
      </c>
      <c r="T2475" s="10" t="n">
        <v>0</v>
      </c>
      <c r="U2475" s="10" t="n">
        <v>32</v>
      </c>
      <c r="V2475" s="10">
        <f>ROUNDUP((T2475+U2475+2*'Read Me'!$B$13)*(1+'Read Me'!$B$12),-1)</f>
        <v/>
      </c>
      <c r="W2475" s="10">
        <f>V2475*N2475*O2475</f>
        <v/>
      </c>
      <c r="X2475" s="9">
        <f>IF(LEFT(I2475,2)="MV",2*N2475*IF(L2475="1/C",O2475,1),0)</f>
        <v/>
      </c>
      <c r="Y2475" s="9">
        <f>IF(OR(LEFT(K2475,4)="LVAX",LEFT(K2475,6)="MV15AX",LEFT(K2475,4)="CTAX",LEFT(K2475,2)="W|"),2*N2475*O2475,0)</f>
        <v/>
      </c>
      <c r="Z2475" s="9" t="inlineStr"/>
    </row>
    <row r="2476">
      <c r="A2476" s="9" t="inlineStr">
        <is>
          <t>K-FA-0003</t>
        </is>
      </c>
      <c r="B2476" s="9" t="inlineStr">
        <is>
          <t>K</t>
        </is>
      </c>
      <c r="C2476" s="9" t="inlineStr">
        <is>
          <t>Fuel supply (adjacent market)</t>
        </is>
      </c>
      <c r="D2476" s="9" t="inlineStr">
        <is>
          <t>Fire alarm / F&amp;G loop (to the local FACP / F&amp;G node)</t>
        </is>
      </c>
      <c r="E2476" s="9" t="inlineStr"/>
      <c r="F2476" s="9" t="inlineStr">
        <is>
          <t>LNG 17: LNG e-house (13.8 kV / 480 V)</t>
        </is>
      </c>
      <c r="G2476" s="9" t="inlineStr"/>
      <c r="H2476" s="9" t="inlineStr">
        <is>
          <t>M&amp;R 6: regulation / flow control building</t>
        </is>
      </c>
      <c r="I2476" s="9" t="inlineStr">
        <is>
          <t>Fire alarm</t>
        </is>
      </c>
      <c r="J2476" s="9" t="inlineStr">
        <is>
          <t>Fire alarm FPLR 2/C #14 shielded, red jacket (NEC 760)</t>
        </is>
      </c>
      <c r="K2476" s="9" t="inlineStr">
        <is>
          <t>FA|2/C|14</t>
        </is>
      </c>
      <c r="L2476" s="9" t="inlineStr">
        <is>
          <t>2/C</t>
        </is>
      </c>
      <c r="M2476" s="9" t="inlineStr">
        <is>
          <t>14</t>
        </is>
      </c>
      <c r="N2476" s="9" t="n">
        <v>1</v>
      </c>
      <c r="O2476" s="9" t="n">
        <v>1</v>
      </c>
      <c r="P2476" s="9" t="n"/>
      <c r="Q2476" s="9" t="n"/>
      <c r="R2476" s="9" t="n"/>
      <c r="S2476" s="9" t="inlineStr">
        <is>
          <t>Estimated</t>
        </is>
      </c>
      <c r="T2476" s="10" t="n">
        <v>337</v>
      </c>
      <c r="U2476" s="10" t="n">
        <v>40</v>
      </c>
      <c r="V2476" s="10">
        <f>ROUNDUP((T2476+U2476+2*'Read Me'!$B$13)*(1+'Read Me'!$B$12),-1)</f>
        <v/>
      </c>
      <c r="W2476" s="10">
        <f>V2476*N2476*O2476</f>
        <v/>
      </c>
      <c r="X2476" s="9">
        <f>IF(LEFT(I2476,2)="MV",2*N2476*IF(L2476="1/C",O2476,1),0)</f>
        <v/>
      </c>
      <c r="Y2476" s="9">
        <f>IF(OR(LEFT(K2476,4)="LVAX",LEFT(K2476,6)="MV15AX",LEFT(K2476,4)="CTAX",LEFT(K2476,2)="W|"),2*N2476*O2476,0)</f>
        <v/>
      </c>
      <c r="Z2476" s="9" t="inlineStr"/>
    </row>
    <row r="2477">
      <c r="A2477" s="9" t="inlineStr">
        <is>
          <t>K-FA-0004</t>
        </is>
      </c>
      <c r="B2477" s="9" t="inlineStr">
        <is>
          <t>K</t>
        </is>
      </c>
      <c r="C2477" s="9" t="inlineStr">
        <is>
          <t>Fuel supply (adjacent market)</t>
        </is>
      </c>
      <c r="D2477" s="9" t="inlineStr">
        <is>
          <t>Fire alarm / F&amp;G loop (to the local FACP / F&amp;G node)</t>
        </is>
      </c>
      <c r="E2477" s="9" t="inlineStr"/>
      <c r="F2477" s="9" t="inlineStr">
        <is>
          <t>LNG 17: LNG e-house (13.8 kV / 480 V)</t>
        </is>
      </c>
      <c r="G2477" s="9" t="inlineStr"/>
      <c r="H2477" s="9" t="inlineStr">
        <is>
          <t>M&amp;R 9: service panel + UPS, SCADA RTU, CP</t>
        </is>
      </c>
      <c r="I2477" s="9" t="inlineStr">
        <is>
          <t>Fire alarm</t>
        </is>
      </c>
      <c r="J2477" s="9" t="inlineStr">
        <is>
          <t>Fire alarm FPLR 2/C #14 shielded, red jacket (NEC 760)</t>
        </is>
      </c>
      <c r="K2477" s="9" t="inlineStr">
        <is>
          <t>FA|2/C|14</t>
        </is>
      </c>
      <c r="L2477" s="9" t="inlineStr">
        <is>
          <t>2/C</t>
        </is>
      </c>
      <c r="M2477" s="9" t="inlineStr">
        <is>
          <t>14</t>
        </is>
      </c>
      <c r="N2477" s="9" t="n">
        <v>1</v>
      </c>
      <c r="O2477" s="9" t="n">
        <v>1</v>
      </c>
      <c r="P2477" s="9" t="n"/>
      <c r="Q2477" s="9" t="n"/>
      <c r="R2477" s="9" t="n"/>
      <c r="S2477" s="9" t="inlineStr">
        <is>
          <t>Estimated</t>
        </is>
      </c>
      <c r="T2477" s="10" t="n">
        <v>345</v>
      </c>
      <c r="U2477" s="10" t="n">
        <v>40</v>
      </c>
      <c r="V2477" s="10">
        <f>ROUNDUP((T2477+U2477+2*'Read Me'!$B$13)*(1+'Read Me'!$B$12),-1)</f>
        <v/>
      </c>
      <c r="W2477" s="10">
        <f>V2477*N2477*O2477</f>
        <v/>
      </c>
      <c r="X2477" s="9">
        <f>IF(LEFT(I2477,2)="MV",2*N2477*IF(L2477="1/C",O2477,1),0)</f>
        <v/>
      </c>
      <c r="Y2477" s="9">
        <f>IF(OR(LEFT(K2477,4)="LVAX",LEFT(K2477,6)="MV15AX",LEFT(K2477,4)="CTAX",LEFT(K2477,2)="W|"),2*N2477*O2477,0)</f>
        <v/>
      </c>
      <c r="Z2477" s="9" t="inlineStr"/>
    </row>
    <row r="2478">
      <c r="A2478" s="9" t="inlineStr">
        <is>
          <t>K-FA-0005</t>
        </is>
      </c>
      <c r="B2478" s="9" t="inlineStr">
        <is>
          <t>K</t>
        </is>
      </c>
      <c r="C2478" s="9" t="inlineStr">
        <is>
          <t>Fuel supply (adjacent market)</t>
        </is>
      </c>
      <c r="D2478" s="9" t="inlineStr">
        <is>
          <t>Fire alarm / F&amp;G loop (to the local FACP / F&amp;G node)</t>
        </is>
      </c>
      <c r="E2478" s="9" t="inlineStr"/>
      <c r="F2478" s="9" t="inlineStr">
        <is>
          <t>LNG 17: LNG e-house (13.8 kV / 480 V)</t>
        </is>
      </c>
      <c r="G2478" s="9" t="inlineStr"/>
      <c r="H2478" s="9" t="inlineStr">
        <is>
          <t>M&amp;R SCADA antenna mast base (as drawn)</t>
        </is>
      </c>
      <c r="I2478" s="9" t="inlineStr">
        <is>
          <t>Fire alarm</t>
        </is>
      </c>
      <c r="J2478" s="9" t="inlineStr">
        <is>
          <t>Fire alarm FPLR 2/C #14 shielded, red jacket (NEC 760)</t>
        </is>
      </c>
      <c r="K2478" s="9" t="inlineStr">
        <is>
          <t>FA|2/C|14</t>
        </is>
      </c>
      <c r="L2478" s="9" t="inlineStr">
        <is>
          <t>2/C</t>
        </is>
      </c>
      <c r="M2478" s="9" t="inlineStr">
        <is>
          <t>14</t>
        </is>
      </c>
      <c r="N2478" s="9" t="n">
        <v>1</v>
      </c>
      <c r="O2478" s="9" t="n">
        <v>1</v>
      </c>
      <c r="P2478" s="9" t="n"/>
      <c r="Q2478" s="9" t="n"/>
      <c r="R2478" s="9" t="n"/>
      <c r="S2478" s="9" t="inlineStr">
        <is>
          <t>Estimated</t>
        </is>
      </c>
      <c r="T2478" s="10" t="n">
        <v>304</v>
      </c>
      <c r="U2478" s="10" t="n">
        <v>40</v>
      </c>
      <c r="V2478" s="10">
        <f>ROUNDUP((T2478+U2478+2*'Read Me'!$B$13)*(1+'Read Me'!$B$12),-1)</f>
        <v/>
      </c>
      <c r="W2478" s="10">
        <f>V2478*N2478*O2478</f>
        <v/>
      </c>
      <c r="X2478" s="9">
        <f>IF(LEFT(I2478,2)="MV",2*N2478*IF(L2478="1/C",O2478,1),0)</f>
        <v/>
      </c>
      <c r="Y2478" s="9">
        <f>IF(OR(LEFT(K2478,4)="LVAX",LEFT(K2478,6)="MV15AX",LEFT(K2478,4)="CTAX",LEFT(K2478,2)="W|"),2*N2478*O2478,0)</f>
        <v/>
      </c>
      <c r="Z2478" s="9" t="inlineStr"/>
    </row>
    <row r="2479">
      <c r="A2479" s="9" t="inlineStr">
        <is>
          <t>K-I-0001</t>
        </is>
      </c>
      <c r="B2479" s="9" t="inlineStr">
        <is>
          <t>K</t>
        </is>
      </c>
      <c r="C2479" s="9" t="inlineStr">
        <is>
          <t>Fuel supply (adjacent market)</t>
        </is>
      </c>
      <c r="D2479" s="9" t="inlineStr">
        <is>
          <t>Instrumentation</t>
        </is>
      </c>
      <c r="E2479" s="9" t="inlineStr"/>
      <c r="F2479" s="9" t="inlineStr">
        <is>
          <t>H2 20: 13.8 kV e-house</t>
        </is>
      </c>
      <c r="G2479" s="9" t="inlineStr">
        <is>
          <t>T-H2</t>
        </is>
      </c>
      <c r="H2479" s="9" t="inlineStr">
        <is>
          <t>H2 19: T-H2 230/13.8 kV (about 40 MVA)</t>
        </is>
      </c>
      <c r="I2479" s="9" t="inlineStr">
        <is>
          <t>Instrumentation</t>
        </is>
      </c>
      <c r="J2479" s="9" t="inlineStr">
        <is>
          <t>Instrumentation ITC / PLTC, IS, #18 shielded pairs, blue jacket</t>
        </is>
      </c>
      <c r="K2479" s="9" t="inlineStr">
        <is>
          <t>ITC|4 pr|18</t>
        </is>
      </c>
      <c r="L2479" s="9" t="inlineStr">
        <is>
          <t>4 pr</t>
        </is>
      </c>
      <c r="M2479" s="9" t="inlineStr">
        <is>
          <t>18</t>
        </is>
      </c>
      <c r="N2479" s="9" t="n">
        <v>1</v>
      </c>
      <c r="O2479" s="9" t="n">
        <v>1</v>
      </c>
      <c r="P2479" s="9" t="n"/>
      <c r="Q2479" s="9" t="n"/>
      <c r="R2479" s="9" t="n"/>
      <c r="S2479" s="9" t="inlineStr">
        <is>
          <t>Conduit link</t>
        </is>
      </c>
      <c r="T2479" s="10" t="n">
        <v>30</v>
      </c>
      <c r="U2479" s="10" t="n">
        <v>32</v>
      </c>
      <c r="V2479" s="10">
        <f>ROUNDUP((T2479+U2479+2*'Read Me'!$B$13)*(1+'Read Me'!$B$12),-1)</f>
        <v/>
      </c>
      <c r="W2479" s="10">
        <f>V2479*N2479*O2479</f>
        <v/>
      </c>
      <c r="X2479" s="9">
        <f>IF(LEFT(I2479,2)="MV",2*N2479*IF(L2479="1/C",O2479,1),0)</f>
        <v/>
      </c>
      <c r="Y2479" s="9">
        <f>IF(OR(LEFT(K2479,4)="LVAX",LEFT(K2479,6)="MV15AX",LEFT(K2479,4)="CTAX",LEFT(K2479,2)="W|"),2*N2479*O2479,0)</f>
        <v/>
      </c>
      <c r="Z2479" s="9" t="inlineStr"/>
    </row>
    <row r="2480">
      <c r="A2480" s="9" t="inlineStr">
        <is>
          <t>K-I-0002</t>
        </is>
      </c>
      <c r="B2480" s="9" t="inlineStr">
        <is>
          <t>K</t>
        </is>
      </c>
      <c r="C2480" s="9" t="inlineStr">
        <is>
          <t>Fuel supply (adjacent market)</t>
        </is>
      </c>
      <c r="D2480" s="9" t="inlineStr">
        <is>
          <t>Instrumentation</t>
        </is>
      </c>
      <c r="E2480" s="9" t="inlineStr"/>
      <c r="F2480" s="9" t="inlineStr">
        <is>
          <t>H2 20: 13.8 kV e-house</t>
        </is>
      </c>
      <c r="G2480" s="9" t="inlineStr"/>
      <c r="H2480" s="9" t="inlineStr">
        <is>
          <t>H2 21: rectifier transformer 1 (7 MVA)</t>
        </is>
      </c>
      <c r="I2480" s="9" t="inlineStr">
        <is>
          <t>Instrumentation</t>
        </is>
      </c>
      <c r="J2480" s="9" t="inlineStr">
        <is>
          <t>Instrumentation ITC / PLTC, IS, #18 shielded pairs, blue jacket</t>
        </is>
      </c>
      <c r="K2480" s="9" t="inlineStr">
        <is>
          <t>ITC|4 pr|18</t>
        </is>
      </c>
      <c r="L2480" s="9" t="inlineStr">
        <is>
          <t>4 pr</t>
        </is>
      </c>
      <c r="M2480" s="9" t="inlineStr">
        <is>
          <t>18</t>
        </is>
      </c>
      <c r="N2480" s="9" t="n">
        <v>1</v>
      </c>
      <c r="O2480" s="9" t="n">
        <v>1</v>
      </c>
      <c r="P2480" s="9" t="n"/>
      <c r="Q2480" s="9" t="n"/>
      <c r="R2480" s="9" t="n"/>
      <c r="S2480" s="9" t="inlineStr">
        <is>
          <t>Duct bank</t>
        </is>
      </c>
      <c r="T2480" s="10" t="n">
        <v>367</v>
      </c>
      <c r="U2480" s="10" t="n">
        <v>48</v>
      </c>
      <c r="V2480" s="10">
        <f>ROUNDUP((T2480+U2480+2*'Read Me'!$B$13)*(1+'Read Me'!$B$12),-1)</f>
        <v/>
      </c>
      <c r="W2480" s="10">
        <f>V2480*N2480*O2480</f>
        <v/>
      </c>
      <c r="X2480" s="9">
        <f>IF(LEFT(I2480,2)="MV",2*N2480*IF(L2480="1/C",O2480,1),0)</f>
        <v/>
      </c>
      <c r="Y2480" s="9">
        <f>IF(OR(LEFT(K2480,4)="LVAX",LEFT(K2480,6)="MV15AX",LEFT(K2480,4)="CTAX",LEFT(K2480,2)="W|"),2*N2480*O2480,0)</f>
        <v/>
      </c>
      <c r="Z2480" s="9" t="inlineStr"/>
    </row>
    <row r="2481">
      <c r="A2481" s="9" t="inlineStr">
        <is>
          <t>K-I-0003</t>
        </is>
      </c>
      <c r="B2481" s="9" t="inlineStr">
        <is>
          <t>K</t>
        </is>
      </c>
      <c r="C2481" s="9" t="inlineStr">
        <is>
          <t>Fuel supply (adjacent market)</t>
        </is>
      </c>
      <c r="D2481" s="9" t="inlineStr">
        <is>
          <t>Instrumentation</t>
        </is>
      </c>
      <c r="E2481" s="9" t="inlineStr"/>
      <c r="F2481" s="9" t="inlineStr">
        <is>
          <t>H2 20: 13.8 kV e-house</t>
        </is>
      </c>
      <c r="G2481" s="9" t="inlineStr"/>
      <c r="H2481" s="9" t="inlineStr">
        <is>
          <t>H2 21: rectifier transformer 2 (7 MVA)</t>
        </is>
      </c>
      <c r="I2481" s="9" t="inlineStr">
        <is>
          <t>Instrumentation</t>
        </is>
      </c>
      <c r="J2481" s="9" t="inlineStr">
        <is>
          <t>Instrumentation ITC / PLTC, IS, #18 shielded pairs, blue jacket</t>
        </is>
      </c>
      <c r="K2481" s="9" t="inlineStr">
        <is>
          <t>ITC|4 pr|18</t>
        </is>
      </c>
      <c r="L2481" s="9" t="inlineStr">
        <is>
          <t>4 pr</t>
        </is>
      </c>
      <c r="M2481" s="9" t="inlineStr">
        <is>
          <t>18</t>
        </is>
      </c>
      <c r="N2481" s="9" t="n">
        <v>1</v>
      </c>
      <c r="O2481" s="9" t="n">
        <v>1</v>
      </c>
      <c r="P2481" s="9" t="n"/>
      <c r="Q2481" s="9" t="n"/>
      <c r="R2481" s="9" t="n"/>
      <c r="S2481" s="9" t="inlineStr">
        <is>
          <t>Duct bank</t>
        </is>
      </c>
      <c r="T2481" s="10" t="n">
        <v>367</v>
      </c>
      <c r="U2481" s="10" t="n">
        <v>32</v>
      </c>
      <c r="V2481" s="10">
        <f>ROUNDUP((T2481+U2481+2*'Read Me'!$B$13)*(1+'Read Me'!$B$12),-1)</f>
        <v/>
      </c>
      <c r="W2481" s="10">
        <f>V2481*N2481*O2481</f>
        <v/>
      </c>
      <c r="X2481" s="9">
        <f>IF(LEFT(I2481,2)="MV",2*N2481*IF(L2481="1/C",O2481,1),0)</f>
        <v/>
      </c>
      <c r="Y2481" s="9">
        <f>IF(OR(LEFT(K2481,4)="LVAX",LEFT(K2481,6)="MV15AX",LEFT(K2481,4)="CTAX",LEFT(K2481,2)="W|"),2*N2481*O2481,0)</f>
        <v/>
      </c>
      <c r="Z2481" s="9" t="inlineStr"/>
    </row>
    <row r="2482">
      <c r="A2482" s="9" t="inlineStr">
        <is>
          <t>K-I-0004</t>
        </is>
      </c>
      <c r="B2482" s="9" t="inlineStr">
        <is>
          <t>K</t>
        </is>
      </c>
      <c r="C2482" s="9" t="inlineStr">
        <is>
          <t>Fuel supply (adjacent market)</t>
        </is>
      </c>
      <c r="D2482" s="9" t="inlineStr">
        <is>
          <t>Instrumentation</t>
        </is>
      </c>
      <c r="E2482" s="9" t="inlineStr"/>
      <c r="F2482" s="9" t="inlineStr">
        <is>
          <t>H2 20: 13.8 kV e-house</t>
        </is>
      </c>
      <c r="G2482" s="9" t="inlineStr"/>
      <c r="H2482" s="9" t="inlineStr">
        <is>
          <t>H2 21: rectifier transformer 3 (7 MVA)</t>
        </is>
      </c>
      <c r="I2482" s="9" t="inlineStr">
        <is>
          <t>Instrumentation</t>
        </is>
      </c>
      <c r="J2482" s="9" t="inlineStr">
        <is>
          <t>Instrumentation ITC / PLTC, IS, #18 shielded pairs, blue jacket</t>
        </is>
      </c>
      <c r="K2482" s="9" t="inlineStr">
        <is>
          <t>ITC|4 pr|18</t>
        </is>
      </c>
      <c r="L2482" s="9" t="inlineStr">
        <is>
          <t>4 pr</t>
        </is>
      </c>
      <c r="M2482" s="9" t="inlineStr">
        <is>
          <t>18</t>
        </is>
      </c>
      <c r="N2482" s="9" t="n">
        <v>1</v>
      </c>
      <c r="O2482" s="9" t="n">
        <v>1</v>
      </c>
      <c r="P2482" s="9" t="n"/>
      <c r="Q2482" s="9" t="n"/>
      <c r="R2482" s="9" t="n"/>
      <c r="S2482" s="9" t="inlineStr">
        <is>
          <t>Duct bank</t>
        </is>
      </c>
      <c r="T2482" s="10" t="n">
        <v>321</v>
      </c>
      <c r="U2482" s="10" t="n">
        <v>32</v>
      </c>
      <c r="V2482" s="10">
        <f>ROUNDUP((T2482+U2482+2*'Read Me'!$B$13)*(1+'Read Me'!$B$12),-1)</f>
        <v/>
      </c>
      <c r="W2482" s="10">
        <f>V2482*N2482*O2482</f>
        <v/>
      </c>
      <c r="X2482" s="9">
        <f>IF(LEFT(I2482,2)="MV",2*N2482*IF(L2482="1/C",O2482,1),0)</f>
        <v/>
      </c>
      <c r="Y2482" s="9">
        <f>IF(OR(LEFT(K2482,4)="LVAX",LEFT(K2482,6)="MV15AX",LEFT(K2482,4)="CTAX",LEFT(K2482,2)="W|"),2*N2482*O2482,0)</f>
        <v/>
      </c>
      <c r="Z2482" s="9" t="inlineStr"/>
    </row>
    <row r="2483">
      <c r="A2483" s="9" t="inlineStr">
        <is>
          <t>K-I-0005</t>
        </is>
      </c>
      <c r="B2483" s="9" t="inlineStr">
        <is>
          <t>K</t>
        </is>
      </c>
      <c r="C2483" s="9" t="inlineStr">
        <is>
          <t>Fuel supply (adjacent market)</t>
        </is>
      </c>
      <c r="D2483" s="9" t="inlineStr">
        <is>
          <t>Instrumentation</t>
        </is>
      </c>
      <c r="E2483" s="9" t="inlineStr"/>
      <c r="F2483" s="9" t="inlineStr">
        <is>
          <t>H2 20: 13.8 kV e-house</t>
        </is>
      </c>
      <c r="G2483" s="9" t="inlineStr"/>
      <c r="H2483" s="9" t="inlineStr">
        <is>
          <t>H2 21: rectifier transformer 4 (7 MVA)</t>
        </is>
      </c>
      <c r="I2483" s="9" t="inlineStr">
        <is>
          <t>Instrumentation</t>
        </is>
      </c>
      <c r="J2483" s="9" t="inlineStr">
        <is>
          <t>Instrumentation ITC / PLTC, IS, #18 shielded pairs, blue jacket</t>
        </is>
      </c>
      <c r="K2483" s="9" t="inlineStr">
        <is>
          <t>ITC|4 pr|18</t>
        </is>
      </c>
      <c r="L2483" s="9" t="inlineStr">
        <is>
          <t>4 pr</t>
        </is>
      </c>
      <c r="M2483" s="9" t="inlineStr">
        <is>
          <t>18</t>
        </is>
      </c>
      <c r="N2483" s="9" t="n">
        <v>1</v>
      </c>
      <c r="O2483" s="9" t="n">
        <v>1</v>
      </c>
      <c r="P2483" s="9" t="n"/>
      <c r="Q2483" s="9" t="n"/>
      <c r="R2483" s="9" t="n"/>
      <c r="S2483" s="9" t="inlineStr">
        <is>
          <t>Duct bank</t>
        </is>
      </c>
      <c r="T2483" s="10" t="n">
        <v>295</v>
      </c>
      <c r="U2483" s="10" t="n">
        <v>32</v>
      </c>
      <c r="V2483" s="10">
        <f>ROUNDUP((T2483+U2483+2*'Read Me'!$B$13)*(1+'Read Me'!$B$12),-1)</f>
        <v/>
      </c>
      <c r="W2483" s="10">
        <f>V2483*N2483*O2483</f>
        <v/>
      </c>
      <c r="X2483" s="9">
        <f>IF(LEFT(I2483,2)="MV",2*N2483*IF(L2483="1/C",O2483,1),0)</f>
        <v/>
      </c>
      <c r="Y2483" s="9">
        <f>IF(OR(LEFT(K2483,4)="LVAX",LEFT(K2483,6)="MV15AX",LEFT(K2483,4)="CTAX",LEFT(K2483,2)="W|"),2*N2483*O2483,0)</f>
        <v/>
      </c>
      <c r="Z2483" s="9" t="inlineStr"/>
    </row>
    <row r="2484">
      <c r="A2484" s="9" t="inlineStr">
        <is>
          <t>K-I-0006</t>
        </is>
      </c>
      <c r="B2484" s="9" t="inlineStr">
        <is>
          <t>K</t>
        </is>
      </c>
      <c r="C2484" s="9" t="inlineStr">
        <is>
          <t>Fuel supply (adjacent market)</t>
        </is>
      </c>
      <c r="D2484" s="9" t="inlineStr">
        <is>
          <t>Instrumentation</t>
        </is>
      </c>
      <c r="E2484" s="9" t="inlineStr"/>
      <c r="F2484" s="9" t="inlineStr">
        <is>
          <t>H2 20: 13.8 kV e-house</t>
        </is>
      </c>
      <c r="G2484" s="9" t="inlineStr"/>
      <c r="H2484" s="9" t="inlineStr">
        <is>
          <t>H2 21: rectifier transformer 5 (7 MVA)</t>
        </is>
      </c>
      <c r="I2484" s="9" t="inlineStr">
        <is>
          <t>Instrumentation</t>
        </is>
      </c>
      <c r="J2484" s="9" t="inlineStr">
        <is>
          <t>Instrumentation ITC / PLTC, IS, #18 shielded pairs, blue jacket</t>
        </is>
      </c>
      <c r="K2484" s="9" t="inlineStr">
        <is>
          <t>ITC|4 pr|18</t>
        </is>
      </c>
      <c r="L2484" s="9" t="inlineStr">
        <is>
          <t>4 pr</t>
        </is>
      </c>
      <c r="M2484" s="9" t="inlineStr">
        <is>
          <t>18</t>
        </is>
      </c>
      <c r="N2484" s="9" t="n">
        <v>1</v>
      </c>
      <c r="O2484" s="9" t="n">
        <v>1</v>
      </c>
      <c r="P2484" s="9" t="n"/>
      <c r="Q2484" s="9" t="n"/>
      <c r="R2484" s="9" t="n"/>
      <c r="S2484" s="9" t="inlineStr">
        <is>
          <t>Duct bank</t>
        </is>
      </c>
      <c r="T2484" s="10" t="n">
        <v>254</v>
      </c>
      <c r="U2484" s="10" t="n">
        <v>32</v>
      </c>
      <c r="V2484" s="10">
        <f>ROUNDUP((T2484+U2484+2*'Read Me'!$B$13)*(1+'Read Me'!$B$12),-1)</f>
        <v/>
      </c>
      <c r="W2484" s="10">
        <f>V2484*N2484*O2484</f>
        <v/>
      </c>
      <c r="X2484" s="9">
        <f>IF(LEFT(I2484,2)="MV",2*N2484*IF(L2484="1/C",O2484,1),0)</f>
        <v/>
      </c>
      <c r="Y2484" s="9">
        <f>IF(OR(LEFT(K2484,4)="LVAX",LEFT(K2484,6)="MV15AX",LEFT(K2484,4)="CTAX",LEFT(K2484,2)="W|"),2*N2484*O2484,0)</f>
        <v/>
      </c>
      <c r="Z2484" s="9" t="inlineStr"/>
    </row>
    <row r="2485">
      <c r="A2485" s="9" t="inlineStr">
        <is>
          <t>K-I-0007</t>
        </is>
      </c>
      <c r="B2485" s="9" t="inlineStr">
        <is>
          <t>K</t>
        </is>
      </c>
      <c r="C2485" s="9" t="inlineStr">
        <is>
          <t>Fuel supply (adjacent market)</t>
        </is>
      </c>
      <c r="D2485" s="9" t="inlineStr">
        <is>
          <t>Instrumentation</t>
        </is>
      </c>
      <c r="E2485" s="9" t="inlineStr"/>
      <c r="F2485" s="9" t="inlineStr">
        <is>
          <t>H2 20: 13.8 kV e-house</t>
        </is>
      </c>
      <c r="G2485" s="9" t="inlineStr">
        <is>
          <t>H2-EL</t>
        </is>
      </c>
      <c r="H2485" s="9" t="inlineStr">
        <is>
          <t>H2 22: electrolyzer building (5 x HyLYZER-1000 + 5 rectifiers)</t>
        </is>
      </c>
      <c r="I2485" s="9" t="inlineStr">
        <is>
          <t>Instrumentation</t>
        </is>
      </c>
      <c r="J2485" s="9" t="inlineStr">
        <is>
          <t>Instrumentation ITC / PLTC, IS, #18 shielded pairs, blue jacket</t>
        </is>
      </c>
      <c r="K2485" s="9" t="inlineStr">
        <is>
          <t>ITC|4 pr|18</t>
        </is>
      </c>
      <c r="L2485" s="9" t="inlineStr">
        <is>
          <t>4 pr</t>
        </is>
      </c>
      <c r="M2485" s="9" t="inlineStr">
        <is>
          <t>18</t>
        </is>
      </c>
      <c r="N2485" s="9" t="n">
        <v>1</v>
      </c>
      <c r="O2485" s="9" t="n">
        <v>1</v>
      </c>
      <c r="P2485" s="9" t="n"/>
      <c r="Q2485" s="9" t="n"/>
      <c r="R2485" s="9" t="n"/>
      <c r="S2485" s="9" t="inlineStr">
        <is>
          <t>Duct bank</t>
        </is>
      </c>
      <c r="T2485" s="10" t="n">
        <v>395</v>
      </c>
      <c r="U2485" s="10" t="n">
        <v>32</v>
      </c>
      <c r="V2485" s="10">
        <f>ROUNDUP((T2485+U2485+2*'Read Me'!$B$13)*(1+'Read Me'!$B$12),-1)</f>
        <v/>
      </c>
      <c r="W2485" s="10">
        <f>V2485*N2485*O2485</f>
        <v/>
      </c>
      <c r="X2485" s="9">
        <f>IF(LEFT(I2485,2)="MV",2*N2485*IF(L2485="1/C",O2485,1),0)</f>
        <v/>
      </c>
      <c r="Y2485" s="9">
        <f>IF(OR(LEFT(K2485,4)="LVAX",LEFT(K2485,6)="MV15AX",LEFT(K2485,4)="CTAX",LEFT(K2485,2)="W|"),2*N2485*O2485,0)</f>
        <v/>
      </c>
      <c r="Z2485" s="9" t="inlineStr"/>
    </row>
    <row r="2486">
      <c r="A2486" s="9" t="inlineStr">
        <is>
          <t>K-I-0008</t>
        </is>
      </c>
      <c r="B2486" s="9" t="inlineStr">
        <is>
          <t>K</t>
        </is>
      </c>
      <c r="C2486" s="9" t="inlineStr">
        <is>
          <t>Fuel supply (adjacent market)</t>
        </is>
      </c>
      <c r="D2486" s="9" t="inlineStr">
        <is>
          <t>Instrumentation</t>
        </is>
      </c>
      <c r="E2486" s="9" t="inlineStr"/>
      <c r="F2486" s="9" t="inlineStr">
        <is>
          <t>H2 20: 13.8 kV e-house</t>
        </is>
      </c>
      <c r="G2486" s="9" t="inlineStr"/>
      <c r="H2486" s="9" t="inlineStr">
        <is>
          <t>H2 23: dry coolers</t>
        </is>
      </c>
      <c r="I2486" s="9" t="inlineStr">
        <is>
          <t>Instrumentation</t>
        </is>
      </c>
      <c r="J2486" s="9" t="inlineStr">
        <is>
          <t>Instrumentation ITC / PLTC, IS, #18 shielded pairs, blue jacket</t>
        </is>
      </c>
      <c r="K2486" s="9" t="inlineStr">
        <is>
          <t>ITC|4 pr|18</t>
        </is>
      </c>
      <c r="L2486" s="9" t="inlineStr">
        <is>
          <t>4 pr</t>
        </is>
      </c>
      <c r="M2486" s="9" t="inlineStr">
        <is>
          <t>18</t>
        </is>
      </c>
      <c r="N2486" s="9" t="n">
        <v>1</v>
      </c>
      <c r="O2486" s="9" t="n">
        <v>1</v>
      </c>
      <c r="P2486" s="9" t="n"/>
      <c r="Q2486" s="9" t="n"/>
      <c r="R2486" s="9" t="n"/>
      <c r="S2486" s="9" t="inlineStr">
        <is>
          <t>Duct bank</t>
        </is>
      </c>
      <c r="T2486" s="10" t="n">
        <v>53</v>
      </c>
      <c r="U2486" s="10" t="n">
        <v>77</v>
      </c>
      <c r="V2486" s="10">
        <f>ROUNDUP((T2486+U2486+2*'Read Me'!$B$13)*(1+'Read Me'!$B$12),-1)</f>
        <v/>
      </c>
      <c r="W2486" s="10">
        <f>V2486*N2486*O2486</f>
        <v/>
      </c>
      <c r="X2486" s="9">
        <f>IF(LEFT(I2486,2)="MV",2*N2486*IF(L2486="1/C",O2486,1),0)</f>
        <v/>
      </c>
      <c r="Y2486" s="9">
        <f>IF(OR(LEFT(K2486,4)="LVAX",LEFT(K2486,6)="MV15AX",LEFT(K2486,4)="CTAX",LEFT(K2486,2)="W|"),2*N2486*O2486,0)</f>
        <v/>
      </c>
      <c r="Z2486" s="9" t="inlineStr"/>
    </row>
    <row r="2487">
      <c r="A2487" s="9" t="inlineStr">
        <is>
          <t>K-I-0009</t>
        </is>
      </c>
      <c r="B2487" s="9" t="inlineStr">
        <is>
          <t>K</t>
        </is>
      </c>
      <c r="C2487" s="9" t="inlineStr">
        <is>
          <t>Fuel supply (adjacent market)</t>
        </is>
      </c>
      <c r="D2487" s="9" t="inlineStr">
        <is>
          <t>Instrumentation</t>
        </is>
      </c>
      <c r="E2487" s="9" t="inlineStr"/>
      <c r="F2487" s="9" t="inlineStr">
        <is>
          <t>H2 20: 13.8 kV e-house</t>
        </is>
      </c>
      <c r="G2487" s="9" t="inlineStr"/>
      <c r="H2487" s="9" t="inlineStr">
        <is>
          <t>H2 24: water purification (RO / EDI)</t>
        </is>
      </c>
      <c r="I2487" s="9" t="inlineStr">
        <is>
          <t>Instrumentation</t>
        </is>
      </c>
      <c r="J2487" s="9" t="inlineStr">
        <is>
          <t>Instrumentation ITC / PLTC, IS, #18 shielded pairs, blue jacket</t>
        </is>
      </c>
      <c r="K2487" s="9" t="inlineStr">
        <is>
          <t>ITC|4 pr|18</t>
        </is>
      </c>
      <c r="L2487" s="9" t="inlineStr">
        <is>
          <t>4 pr</t>
        </is>
      </c>
      <c r="M2487" s="9" t="inlineStr">
        <is>
          <t>18</t>
        </is>
      </c>
      <c r="N2487" s="9" t="n">
        <v>1</v>
      </c>
      <c r="O2487" s="9" t="n">
        <v>1</v>
      </c>
      <c r="P2487" s="9" t="n"/>
      <c r="Q2487" s="9" t="n"/>
      <c r="R2487" s="9" t="n"/>
      <c r="S2487" s="9" t="inlineStr">
        <is>
          <t>Duct bank</t>
        </is>
      </c>
      <c r="T2487" s="10" t="n">
        <v>146</v>
      </c>
      <c r="U2487" s="10" t="n">
        <v>32</v>
      </c>
      <c r="V2487" s="10">
        <f>ROUNDUP((T2487+U2487+2*'Read Me'!$B$13)*(1+'Read Me'!$B$12),-1)</f>
        <v/>
      </c>
      <c r="W2487" s="10">
        <f>V2487*N2487*O2487</f>
        <v/>
      </c>
      <c r="X2487" s="9">
        <f>IF(LEFT(I2487,2)="MV",2*N2487*IF(L2487="1/C",O2487,1),0)</f>
        <v/>
      </c>
      <c r="Y2487" s="9">
        <f>IF(OR(LEFT(K2487,4)="LVAX",LEFT(K2487,6)="MV15AX",LEFT(K2487,4)="CTAX",LEFT(K2487,2)="W|"),2*N2487*O2487,0)</f>
        <v/>
      </c>
      <c r="Z2487" s="9" t="inlineStr"/>
    </row>
    <row r="2488">
      <c r="A2488" s="9" t="inlineStr">
        <is>
          <t>K-I-0010</t>
        </is>
      </c>
      <c r="B2488" s="9" t="inlineStr">
        <is>
          <t>K</t>
        </is>
      </c>
      <c r="C2488" s="9" t="inlineStr">
        <is>
          <t>Fuel supply (adjacent market)</t>
        </is>
      </c>
      <c r="D2488" s="9" t="inlineStr">
        <is>
          <t>Instrumentation</t>
        </is>
      </c>
      <c r="E2488" s="9" t="inlineStr"/>
      <c r="F2488" s="9" t="inlineStr">
        <is>
          <t>H2 20: 13.8 kV e-house</t>
        </is>
      </c>
      <c r="G2488" s="9" t="inlineStr"/>
      <c r="H2488" s="9" t="inlineStr">
        <is>
          <t>H2 25: H2 dryer / purification</t>
        </is>
      </c>
      <c r="I2488" s="9" t="inlineStr">
        <is>
          <t>Instrumentation</t>
        </is>
      </c>
      <c r="J2488" s="9" t="inlineStr">
        <is>
          <t>Instrumentation ITC / PLTC, IS, #18 shielded pairs, blue jacket</t>
        </is>
      </c>
      <c r="K2488" s="9" t="inlineStr">
        <is>
          <t>ITC|4 pr|18</t>
        </is>
      </c>
      <c r="L2488" s="9" t="inlineStr">
        <is>
          <t>4 pr</t>
        </is>
      </c>
      <c r="M2488" s="9" t="inlineStr">
        <is>
          <t>18</t>
        </is>
      </c>
      <c r="N2488" s="9" t="n">
        <v>1</v>
      </c>
      <c r="O2488" s="9" t="n">
        <v>1</v>
      </c>
      <c r="P2488" s="9" t="n"/>
      <c r="Q2488" s="9" t="n"/>
      <c r="R2488" s="9" t="n"/>
      <c r="S2488" s="9" t="inlineStr">
        <is>
          <t>Conduit link</t>
        </is>
      </c>
      <c r="T2488" s="10" t="n">
        <v>0</v>
      </c>
      <c r="U2488" s="10" t="n">
        <v>49</v>
      </c>
      <c r="V2488" s="10">
        <f>ROUNDUP((T2488+U2488+2*'Read Me'!$B$13)*(1+'Read Me'!$B$12),-1)</f>
        <v/>
      </c>
      <c r="W2488" s="10">
        <f>V2488*N2488*O2488</f>
        <v/>
      </c>
      <c r="X2488" s="9">
        <f>IF(LEFT(I2488,2)="MV",2*N2488*IF(L2488="1/C",O2488,1),0)</f>
        <v/>
      </c>
      <c r="Y2488" s="9">
        <f>IF(OR(LEFT(K2488,4)="LVAX",LEFT(K2488,6)="MV15AX",LEFT(K2488,4)="CTAX",LEFT(K2488,2)="W|"),2*N2488*O2488,0)</f>
        <v/>
      </c>
      <c r="Z2488" s="9" t="inlineStr"/>
    </row>
    <row r="2489">
      <c r="A2489" s="9" t="inlineStr">
        <is>
          <t>K-I-0011</t>
        </is>
      </c>
      <c r="B2489" s="9" t="inlineStr">
        <is>
          <t>K</t>
        </is>
      </c>
      <c r="C2489" s="9" t="inlineStr">
        <is>
          <t>Fuel supply (adjacent market)</t>
        </is>
      </c>
      <c r="D2489" s="9" t="inlineStr">
        <is>
          <t>Instrumentation</t>
        </is>
      </c>
      <c r="E2489" s="9" t="inlineStr"/>
      <c r="F2489" s="9" t="inlineStr">
        <is>
          <t>H2 20: 13.8 kV e-house</t>
        </is>
      </c>
      <c r="G2489" s="9" t="inlineStr"/>
      <c r="H2489" s="9" t="inlineStr">
        <is>
          <t>H2 26: H2 compressor 1 (40 ft ISO)</t>
        </is>
      </c>
      <c r="I2489" s="9" t="inlineStr">
        <is>
          <t>Instrumentation</t>
        </is>
      </c>
      <c r="J2489" s="9" t="inlineStr">
        <is>
          <t>Instrumentation ITC / PLTC, IS, #18 shielded pairs, blue jacket</t>
        </is>
      </c>
      <c r="K2489" s="9" t="inlineStr">
        <is>
          <t>ITC|4 pr|18</t>
        </is>
      </c>
      <c r="L2489" s="9" t="inlineStr">
        <is>
          <t>4 pr</t>
        </is>
      </c>
      <c r="M2489" s="9" t="inlineStr">
        <is>
          <t>18</t>
        </is>
      </c>
      <c r="N2489" s="9" t="n">
        <v>1</v>
      </c>
      <c r="O2489" s="9" t="n">
        <v>1</v>
      </c>
      <c r="P2489" s="9" t="n"/>
      <c r="Q2489" s="9" t="n"/>
      <c r="R2489" s="9" t="n"/>
      <c r="S2489" s="9" t="inlineStr">
        <is>
          <t>Conduit link</t>
        </is>
      </c>
      <c r="T2489" s="10" t="n">
        <v>44</v>
      </c>
      <c r="U2489" s="10" t="n">
        <v>32</v>
      </c>
      <c r="V2489" s="10">
        <f>ROUNDUP((T2489+U2489+2*'Read Me'!$B$13)*(1+'Read Me'!$B$12),-1)</f>
        <v/>
      </c>
      <c r="W2489" s="10">
        <f>V2489*N2489*O2489</f>
        <v/>
      </c>
      <c r="X2489" s="9">
        <f>IF(LEFT(I2489,2)="MV",2*N2489*IF(L2489="1/C",O2489,1),0)</f>
        <v/>
      </c>
      <c r="Y2489" s="9">
        <f>IF(OR(LEFT(K2489,4)="LVAX",LEFT(K2489,6)="MV15AX",LEFT(K2489,4)="CTAX",LEFT(K2489,2)="W|"),2*N2489*O2489,0)</f>
        <v/>
      </c>
      <c r="Z2489" s="9" t="inlineStr"/>
    </row>
    <row r="2490">
      <c r="A2490" s="9" t="inlineStr">
        <is>
          <t>K-I-0012</t>
        </is>
      </c>
      <c r="B2490" s="9" t="inlineStr">
        <is>
          <t>K</t>
        </is>
      </c>
      <c r="C2490" s="9" t="inlineStr">
        <is>
          <t>Fuel supply (adjacent market)</t>
        </is>
      </c>
      <c r="D2490" s="9" t="inlineStr">
        <is>
          <t>Instrumentation</t>
        </is>
      </c>
      <c r="E2490" s="9" t="inlineStr"/>
      <c r="F2490" s="9" t="inlineStr">
        <is>
          <t>H2 20: 13.8 kV e-house</t>
        </is>
      </c>
      <c r="G2490" s="9" t="inlineStr"/>
      <c r="H2490" s="9" t="inlineStr">
        <is>
          <t>H2 26: H2 compressor 1 (40 ft ISO)</t>
        </is>
      </c>
      <c r="I2490" s="9" t="inlineStr">
        <is>
          <t>Instrumentation</t>
        </is>
      </c>
      <c r="J2490" s="9" t="inlineStr">
        <is>
          <t>Instrumentation ITC / PLTC, IS, #18 shielded pairs, blue jacket</t>
        </is>
      </c>
      <c r="K2490" s="9" t="inlineStr">
        <is>
          <t>ITC|12 pr|18</t>
        </is>
      </c>
      <c r="L2490" s="9" t="inlineStr">
        <is>
          <t>12 pr</t>
        </is>
      </c>
      <c r="M2490" s="9" t="inlineStr">
        <is>
          <t>18</t>
        </is>
      </c>
      <c r="N2490" s="9" t="n">
        <v>1</v>
      </c>
      <c r="O2490" s="9" t="n">
        <v>1</v>
      </c>
      <c r="P2490" s="9" t="n"/>
      <c r="Q2490" s="9" t="n"/>
      <c r="R2490" s="9" t="n"/>
      <c r="S2490" s="9" t="inlineStr">
        <is>
          <t>Conduit link</t>
        </is>
      </c>
      <c r="T2490" s="10" t="n">
        <v>44</v>
      </c>
      <c r="U2490" s="10" t="n">
        <v>32</v>
      </c>
      <c r="V2490" s="10">
        <f>ROUNDUP((T2490+U2490+2*'Read Me'!$B$13)*(1+'Read Me'!$B$12),-1)</f>
        <v/>
      </c>
      <c r="W2490" s="10">
        <f>V2490*N2490*O2490</f>
        <v/>
      </c>
      <c r="X2490" s="9">
        <f>IF(LEFT(I2490,2)="MV",2*N2490*IF(L2490="1/C",O2490,1),0)</f>
        <v/>
      </c>
      <c r="Y2490" s="9">
        <f>IF(OR(LEFT(K2490,4)="LVAX",LEFT(K2490,6)="MV15AX",LEFT(K2490,4)="CTAX",LEFT(K2490,2)="W|"),2*N2490*O2490,0)</f>
        <v/>
      </c>
      <c r="Z2490" s="9" t="inlineStr"/>
    </row>
    <row r="2491">
      <c r="A2491" s="9" t="inlineStr">
        <is>
          <t>K-I-0013</t>
        </is>
      </c>
      <c r="B2491" s="9" t="inlineStr">
        <is>
          <t>K</t>
        </is>
      </c>
      <c r="C2491" s="9" t="inlineStr">
        <is>
          <t>Fuel supply (adjacent market)</t>
        </is>
      </c>
      <c r="D2491" s="9" t="inlineStr">
        <is>
          <t>Instrumentation</t>
        </is>
      </c>
      <c r="E2491" s="9" t="inlineStr"/>
      <c r="F2491" s="9" t="inlineStr">
        <is>
          <t>H2 20: 13.8 kV e-house</t>
        </is>
      </c>
      <c r="G2491" s="9" t="inlineStr"/>
      <c r="H2491" s="9" t="inlineStr">
        <is>
          <t>H2 26: H2 compressor 2 (40 ft ISO)</t>
        </is>
      </c>
      <c r="I2491" s="9" t="inlineStr">
        <is>
          <t>Instrumentation</t>
        </is>
      </c>
      <c r="J2491" s="9" t="inlineStr">
        <is>
          <t>Instrumentation ITC / PLTC, IS, #18 shielded pairs, blue jacket</t>
        </is>
      </c>
      <c r="K2491" s="9" t="inlineStr">
        <is>
          <t>ITC|4 pr|18</t>
        </is>
      </c>
      <c r="L2491" s="9" t="inlineStr">
        <is>
          <t>4 pr</t>
        </is>
      </c>
      <c r="M2491" s="9" t="inlineStr">
        <is>
          <t>18</t>
        </is>
      </c>
      <c r="N2491" s="9" t="n">
        <v>1</v>
      </c>
      <c r="O2491" s="9" t="n">
        <v>1</v>
      </c>
      <c r="P2491" s="9" t="n"/>
      <c r="Q2491" s="9" t="n"/>
      <c r="R2491" s="9" t="n"/>
      <c r="S2491" s="9" t="inlineStr">
        <is>
          <t>Conduit link</t>
        </is>
      </c>
      <c r="T2491" s="10" t="n">
        <v>44</v>
      </c>
      <c r="U2491" s="10" t="n">
        <v>47</v>
      </c>
      <c r="V2491" s="10">
        <f>ROUNDUP((T2491+U2491+2*'Read Me'!$B$13)*(1+'Read Me'!$B$12),-1)</f>
        <v/>
      </c>
      <c r="W2491" s="10">
        <f>V2491*N2491*O2491</f>
        <v/>
      </c>
      <c r="X2491" s="9">
        <f>IF(LEFT(I2491,2)="MV",2*N2491*IF(L2491="1/C",O2491,1),0)</f>
        <v/>
      </c>
      <c r="Y2491" s="9">
        <f>IF(OR(LEFT(K2491,4)="LVAX",LEFT(K2491,6)="MV15AX",LEFT(K2491,4)="CTAX",LEFT(K2491,2)="W|"),2*N2491*O2491,0)</f>
        <v/>
      </c>
      <c r="Z2491" s="9" t="inlineStr"/>
    </row>
    <row r="2492">
      <c r="A2492" s="9" t="inlineStr">
        <is>
          <t>K-I-0014</t>
        </is>
      </c>
      <c r="B2492" s="9" t="inlineStr">
        <is>
          <t>K</t>
        </is>
      </c>
      <c r="C2492" s="9" t="inlineStr">
        <is>
          <t>Fuel supply (adjacent market)</t>
        </is>
      </c>
      <c r="D2492" s="9" t="inlineStr">
        <is>
          <t>Instrumentation</t>
        </is>
      </c>
      <c r="E2492" s="9" t="inlineStr"/>
      <c r="F2492" s="9" t="inlineStr">
        <is>
          <t>H2 20: 13.8 kV e-house</t>
        </is>
      </c>
      <c r="G2492" s="9" t="inlineStr"/>
      <c r="H2492" s="9" t="inlineStr">
        <is>
          <t>H2 26: H2 compressor 2 (40 ft ISO)</t>
        </is>
      </c>
      <c r="I2492" s="9" t="inlineStr">
        <is>
          <t>Instrumentation</t>
        </is>
      </c>
      <c r="J2492" s="9" t="inlineStr">
        <is>
          <t>Instrumentation ITC / PLTC, IS, #18 shielded pairs, blue jacket</t>
        </is>
      </c>
      <c r="K2492" s="9" t="inlineStr">
        <is>
          <t>ITC|12 pr|18</t>
        </is>
      </c>
      <c r="L2492" s="9" t="inlineStr">
        <is>
          <t>12 pr</t>
        </is>
      </c>
      <c r="M2492" s="9" t="inlineStr">
        <is>
          <t>18</t>
        </is>
      </c>
      <c r="N2492" s="9" t="n">
        <v>1</v>
      </c>
      <c r="O2492" s="9" t="n">
        <v>1</v>
      </c>
      <c r="P2492" s="9" t="n"/>
      <c r="Q2492" s="9" t="n"/>
      <c r="R2492" s="9" t="n"/>
      <c r="S2492" s="9" t="inlineStr">
        <is>
          <t>Conduit link</t>
        </is>
      </c>
      <c r="T2492" s="10" t="n">
        <v>44</v>
      </c>
      <c r="U2492" s="10" t="n">
        <v>47</v>
      </c>
      <c r="V2492" s="10">
        <f>ROUNDUP((T2492+U2492+2*'Read Me'!$B$13)*(1+'Read Me'!$B$12),-1)</f>
        <v/>
      </c>
      <c r="W2492" s="10">
        <f>V2492*N2492*O2492</f>
        <v/>
      </c>
      <c r="X2492" s="9">
        <f>IF(LEFT(I2492,2)="MV",2*N2492*IF(L2492="1/C",O2492,1),0)</f>
        <v/>
      </c>
      <c r="Y2492" s="9">
        <f>IF(OR(LEFT(K2492,4)="LVAX",LEFT(K2492,6)="MV15AX",LEFT(K2492,4)="CTAX",LEFT(K2492,2)="W|"),2*N2492*O2492,0)</f>
        <v/>
      </c>
      <c r="Z2492" s="9" t="inlineStr"/>
    </row>
    <row r="2493">
      <c r="A2493" s="9" t="inlineStr">
        <is>
          <t>K-I-0015</t>
        </is>
      </c>
      <c r="B2493" s="9" t="inlineStr">
        <is>
          <t>K</t>
        </is>
      </c>
      <c r="C2493" s="9" t="inlineStr">
        <is>
          <t>Fuel supply (adjacent market)</t>
        </is>
      </c>
      <c r="D2493" s="9" t="inlineStr">
        <is>
          <t>Instrumentation</t>
        </is>
      </c>
      <c r="E2493" s="9" t="inlineStr"/>
      <c r="F2493" s="9" t="inlineStr">
        <is>
          <t>H2 20: 13.8 kV e-house</t>
        </is>
      </c>
      <c r="G2493" s="9" t="inlineStr"/>
      <c r="H2493" s="9" t="inlineStr">
        <is>
          <t>H2 28: N2 purge supply</t>
        </is>
      </c>
      <c r="I2493" s="9" t="inlineStr">
        <is>
          <t>Instrumentation</t>
        </is>
      </c>
      <c r="J2493" s="9" t="inlineStr">
        <is>
          <t>Instrumentation ITC / PLTC, IS, #18 shielded pairs, blue jacket</t>
        </is>
      </c>
      <c r="K2493" s="9" t="inlineStr">
        <is>
          <t>ITC|4 pr|18</t>
        </is>
      </c>
      <c r="L2493" s="9" t="inlineStr">
        <is>
          <t>4 pr</t>
        </is>
      </c>
      <c r="M2493" s="9" t="inlineStr">
        <is>
          <t>18</t>
        </is>
      </c>
      <c r="N2493" s="9" t="n">
        <v>1</v>
      </c>
      <c r="O2493" s="9" t="n">
        <v>1</v>
      </c>
      <c r="P2493" s="9" t="n"/>
      <c r="Q2493" s="9" t="n"/>
      <c r="R2493" s="9" t="n"/>
      <c r="S2493" s="9" t="inlineStr">
        <is>
          <t>Duct bank</t>
        </is>
      </c>
      <c r="T2493" s="10" t="n">
        <v>53</v>
      </c>
      <c r="U2493" s="10" t="n">
        <v>36</v>
      </c>
      <c r="V2493" s="10">
        <f>ROUNDUP((T2493+U2493+2*'Read Me'!$B$13)*(1+'Read Me'!$B$12),-1)</f>
        <v/>
      </c>
      <c r="W2493" s="10">
        <f>V2493*N2493*O2493</f>
        <v/>
      </c>
      <c r="X2493" s="9">
        <f>IF(LEFT(I2493,2)="MV",2*N2493*IF(L2493="1/C",O2493,1),0)</f>
        <v/>
      </c>
      <c r="Y2493" s="9">
        <f>IF(OR(LEFT(K2493,4)="LVAX",LEFT(K2493,6)="MV15AX",LEFT(K2493,4)="CTAX",LEFT(K2493,2)="W|"),2*N2493*O2493,0)</f>
        <v/>
      </c>
      <c r="Z2493" s="9" t="inlineStr"/>
    </row>
    <row r="2494">
      <c r="A2494" s="9" t="inlineStr">
        <is>
          <t>K-I-0016</t>
        </is>
      </c>
      <c r="B2494" s="9" t="inlineStr">
        <is>
          <t>K</t>
        </is>
      </c>
      <c r="C2494" s="9" t="inlineStr">
        <is>
          <t>Fuel supply (adjacent market)</t>
        </is>
      </c>
      <c r="D2494" s="9" t="inlineStr">
        <is>
          <t>Instrumentation</t>
        </is>
      </c>
      <c r="E2494" s="9" t="inlineStr"/>
      <c r="F2494" s="9" t="inlineStr">
        <is>
          <t>LNG 17: LNG e-house (13.8 kV / 480 V)</t>
        </is>
      </c>
      <c r="G2494" s="9" t="inlineStr"/>
      <c r="H2494" s="9" t="inlineStr">
        <is>
          <t>H2 30: H2 / gas blending skid (plant gas yard)</t>
        </is>
      </c>
      <c r="I2494" s="9" t="inlineStr">
        <is>
          <t>Instrumentation</t>
        </is>
      </c>
      <c r="J2494" s="9" t="inlineStr">
        <is>
          <t>Instrumentation ITC / PLTC, IS, #18 shielded pairs, blue jacket</t>
        </is>
      </c>
      <c r="K2494" s="9" t="inlineStr">
        <is>
          <t>ITC|4 pr|18</t>
        </is>
      </c>
      <c r="L2494" s="9" t="inlineStr">
        <is>
          <t>4 pr</t>
        </is>
      </c>
      <c r="M2494" s="9" t="inlineStr">
        <is>
          <t>18</t>
        </is>
      </c>
      <c r="N2494" s="9" t="n">
        <v>1</v>
      </c>
      <c r="O2494" s="9" t="n">
        <v>1</v>
      </c>
      <c r="P2494" s="9" t="n"/>
      <c r="Q2494" s="9" t="n"/>
      <c r="R2494" s="9" t="n"/>
      <c r="S2494" s="9" t="inlineStr">
        <is>
          <t>Estimated</t>
        </is>
      </c>
      <c r="T2494" s="10" t="n">
        <v>522</v>
      </c>
      <c r="U2494" s="10" t="n">
        <v>40</v>
      </c>
      <c r="V2494" s="10">
        <f>ROUNDUP((T2494+U2494+2*'Read Me'!$B$13)*(1+'Read Me'!$B$12),-1)</f>
        <v/>
      </c>
      <c r="W2494" s="10">
        <f>V2494*N2494*O2494</f>
        <v/>
      </c>
      <c r="X2494" s="9">
        <f>IF(LEFT(I2494,2)="MV",2*N2494*IF(L2494="1/C",O2494,1),0)</f>
        <v/>
      </c>
      <c r="Y2494" s="9">
        <f>IF(OR(LEFT(K2494,4)="LVAX",LEFT(K2494,6)="MV15AX",LEFT(K2494,4)="CTAX",LEFT(K2494,2)="W|"),2*N2494*O2494,0)</f>
        <v/>
      </c>
      <c r="Z2494" s="9" t="inlineStr"/>
    </row>
    <row r="2495">
      <c r="A2495" s="9" t="inlineStr">
        <is>
          <t>K-I-0017</t>
        </is>
      </c>
      <c r="B2495" s="9" t="inlineStr">
        <is>
          <t>K</t>
        </is>
      </c>
      <c r="C2495" s="9" t="inlineStr">
        <is>
          <t>Fuel supply (adjacent market)</t>
        </is>
      </c>
      <c r="D2495" s="9" t="inlineStr">
        <is>
          <t>Instrumentation</t>
        </is>
      </c>
      <c r="E2495" s="9" t="inlineStr"/>
      <c r="F2495" s="9" t="inlineStr">
        <is>
          <t>LNG 17: LNG e-house (13.8 kV / 480 V)</t>
        </is>
      </c>
      <c r="G2495" s="9" t="inlineStr"/>
      <c r="H2495" s="9" t="inlineStr">
        <is>
          <t>H2 30: H2 / gas blending skid (plant gas yard)</t>
        </is>
      </c>
      <c r="I2495" s="9" t="inlineStr">
        <is>
          <t>Instrumentation</t>
        </is>
      </c>
      <c r="J2495" s="9" t="inlineStr">
        <is>
          <t>Instrumentation ITC / PLTC, IS, #18 shielded pairs, blue jacket</t>
        </is>
      </c>
      <c r="K2495" s="9" t="inlineStr">
        <is>
          <t>ITC|12 pr|18</t>
        </is>
      </c>
      <c r="L2495" s="9" t="inlineStr">
        <is>
          <t>12 pr</t>
        </is>
      </c>
      <c r="M2495" s="9" t="inlineStr">
        <is>
          <t>18</t>
        </is>
      </c>
      <c r="N2495" s="9" t="n">
        <v>1</v>
      </c>
      <c r="O2495" s="9" t="n">
        <v>1</v>
      </c>
      <c r="P2495" s="9" t="n"/>
      <c r="Q2495" s="9" t="n"/>
      <c r="R2495" s="9" t="n"/>
      <c r="S2495" s="9" t="inlineStr">
        <is>
          <t>Estimated</t>
        </is>
      </c>
      <c r="T2495" s="10" t="n">
        <v>522</v>
      </c>
      <c r="U2495" s="10" t="n">
        <v>40</v>
      </c>
      <c r="V2495" s="10">
        <f>ROUNDUP((T2495+U2495+2*'Read Me'!$B$13)*(1+'Read Me'!$B$12),-1)</f>
        <v/>
      </c>
      <c r="W2495" s="10">
        <f>V2495*N2495*O2495</f>
        <v/>
      </c>
      <c r="X2495" s="9">
        <f>IF(LEFT(I2495,2)="MV",2*N2495*IF(L2495="1/C",O2495,1),0)</f>
        <v/>
      </c>
      <c r="Y2495" s="9">
        <f>IF(OR(LEFT(K2495,4)="LVAX",LEFT(K2495,6)="MV15AX",LEFT(K2495,4)="CTAX",LEFT(K2495,2)="W|"),2*N2495*O2495,0)</f>
        <v/>
      </c>
      <c r="Z2495" s="9" t="inlineStr"/>
    </row>
    <row r="2496">
      <c r="A2496" s="9" t="inlineStr">
        <is>
          <t>K-I-0018</t>
        </is>
      </c>
      <c r="B2496" s="9" t="inlineStr">
        <is>
          <t>K</t>
        </is>
      </c>
      <c r="C2496" s="9" t="inlineStr">
        <is>
          <t>Fuel supply (adjacent market)</t>
        </is>
      </c>
      <c r="D2496" s="9" t="inlineStr">
        <is>
          <t>Instrumentation</t>
        </is>
      </c>
      <c r="E2496" s="9" t="inlineStr"/>
      <c r="F2496" s="9" t="inlineStr">
        <is>
          <t>H2 20: 13.8 kV e-house</t>
        </is>
      </c>
      <c r="G2496" s="9" t="inlineStr">
        <is>
          <t>H2-ST</t>
        </is>
      </c>
      <c r="H2496" s="9" t="inlineStr">
        <is>
          <t>H2 storage tube banks x4</t>
        </is>
      </c>
      <c r="I2496" s="9" t="inlineStr">
        <is>
          <t>Instrumentation</t>
        </is>
      </c>
      <c r="J2496" s="9" t="inlineStr">
        <is>
          <t>Instrumentation ITC / PLTC, IS, #18 shielded pairs, blue jacket</t>
        </is>
      </c>
      <c r="K2496" s="9" t="inlineStr">
        <is>
          <t>ITC|4 pr|18</t>
        </is>
      </c>
      <c r="L2496" s="9" t="inlineStr">
        <is>
          <t>4 pr</t>
        </is>
      </c>
      <c r="M2496" s="9" t="inlineStr">
        <is>
          <t>18</t>
        </is>
      </c>
      <c r="N2496" s="9" t="n">
        <v>1</v>
      </c>
      <c r="O2496" s="9" t="n">
        <v>1</v>
      </c>
      <c r="P2496" s="9" t="n"/>
      <c r="Q2496" s="9" t="n"/>
      <c r="R2496" s="9" t="n"/>
      <c r="S2496" s="9" t="inlineStr">
        <is>
          <t>Conduit link</t>
        </is>
      </c>
      <c r="T2496" s="10" t="n">
        <v>44</v>
      </c>
      <c r="U2496" s="10" t="n">
        <v>92</v>
      </c>
      <c r="V2496" s="10">
        <f>ROUNDUP((T2496+U2496+2*'Read Me'!$B$13)*(1+'Read Me'!$B$12),-1)</f>
        <v/>
      </c>
      <c r="W2496" s="10">
        <f>V2496*N2496*O2496</f>
        <v/>
      </c>
      <c r="X2496" s="9">
        <f>IF(LEFT(I2496,2)="MV",2*N2496*IF(L2496="1/C",O2496,1),0)</f>
        <v/>
      </c>
      <c r="Y2496" s="9">
        <f>IF(OR(LEFT(K2496,4)="LVAX",LEFT(K2496,6)="MV15AX",LEFT(K2496,4)="CTAX",LEFT(K2496,2)="W|"),2*N2496*O2496,0)</f>
        <v/>
      </c>
      <c r="Z2496" s="9" t="inlineStr"/>
    </row>
    <row r="2497">
      <c r="A2497" s="9" t="inlineStr">
        <is>
          <t>K-I-0019</t>
        </is>
      </c>
      <c r="B2497" s="9" t="inlineStr">
        <is>
          <t>K</t>
        </is>
      </c>
      <c r="C2497" s="9" t="inlineStr">
        <is>
          <t>Fuel supply (adjacent market)</t>
        </is>
      </c>
      <c r="D2497" s="9" t="inlineStr">
        <is>
          <t>Instrumentation</t>
        </is>
      </c>
      <c r="E2497" s="9" t="inlineStr"/>
      <c r="F2497" s="9" t="inlineStr">
        <is>
          <t>LNG 17: LNG e-house (13.8 kV / 480 V)</t>
        </is>
      </c>
      <c r="G2497" s="9" t="inlineStr"/>
      <c r="H2497" s="9" t="inlineStr">
        <is>
          <t>LNG 10: unloading skid</t>
        </is>
      </c>
      <c r="I2497" s="9" t="inlineStr">
        <is>
          <t>Instrumentation</t>
        </is>
      </c>
      <c r="J2497" s="9" t="inlineStr">
        <is>
          <t>Instrumentation ITC / PLTC, IS, #18 shielded pairs, blue jacket</t>
        </is>
      </c>
      <c r="K2497" s="9" t="inlineStr">
        <is>
          <t>ITC|4 pr|18</t>
        </is>
      </c>
      <c r="L2497" s="9" t="inlineStr">
        <is>
          <t>4 pr</t>
        </is>
      </c>
      <c r="M2497" s="9" t="inlineStr">
        <is>
          <t>18</t>
        </is>
      </c>
      <c r="N2497" s="9" t="n">
        <v>1</v>
      </c>
      <c r="O2497" s="9" t="n">
        <v>1</v>
      </c>
      <c r="P2497" s="9" t="n"/>
      <c r="Q2497" s="9" t="n"/>
      <c r="R2497" s="9" t="n"/>
      <c r="S2497" s="9" t="inlineStr">
        <is>
          <t>Duct bank</t>
        </is>
      </c>
      <c r="T2497" s="10" t="n">
        <v>237</v>
      </c>
      <c r="U2497" s="10" t="n">
        <v>32</v>
      </c>
      <c r="V2497" s="10">
        <f>ROUNDUP((T2497+U2497+2*'Read Me'!$B$13)*(1+'Read Me'!$B$12),-1)</f>
        <v/>
      </c>
      <c r="W2497" s="10">
        <f>V2497*N2497*O2497</f>
        <v/>
      </c>
      <c r="X2497" s="9">
        <f>IF(LEFT(I2497,2)="MV",2*N2497*IF(L2497="1/C",O2497,1),0)</f>
        <v/>
      </c>
      <c r="Y2497" s="9">
        <f>IF(OR(LEFT(K2497,4)="LVAX",LEFT(K2497,6)="MV15AX",LEFT(K2497,4)="CTAX",LEFT(K2497,2)="W|"),2*N2497*O2497,0)</f>
        <v/>
      </c>
      <c r="Z2497" s="9" t="inlineStr"/>
    </row>
    <row r="2498">
      <c r="A2498" s="9" t="inlineStr">
        <is>
          <t>K-I-0020</t>
        </is>
      </c>
      <c r="B2498" s="9" t="inlineStr">
        <is>
          <t>K</t>
        </is>
      </c>
      <c r="C2498" s="9" t="inlineStr">
        <is>
          <t>Fuel supply (adjacent market)</t>
        </is>
      </c>
      <c r="D2498" s="9" t="inlineStr">
        <is>
          <t>Instrumentation</t>
        </is>
      </c>
      <c r="E2498" s="9" t="inlineStr"/>
      <c r="F2498" s="9" t="inlineStr">
        <is>
          <t>LNG 17: LNG e-house (13.8 kV / 480 V)</t>
        </is>
      </c>
      <c r="G2498" s="9" t="inlineStr"/>
      <c r="H2498" s="9" t="inlineStr">
        <is>
          <t>LNG 10: unloading skid</t>
        </is>
      </c>
      <c r="I2498" s="9" t="inlineStr">
        <is>
          <t>Instrumentation</t>
        </is>
      </c>
      <c r="J2498" s="9" t="inlineStr">
        <is>
          <t>Instrumentation ITC / PLTC, IS, #18 shielded pairs, blue jacket</t>
        </is>
      </c>
      <c r="K2498" s="9" t="inlineStr">
        <is>
          <t>ITC|12 pr|18</t>
        </is>
      </c>
      <c r="L2498" s="9" t="inlineStr">
        <is>
          <t>12 pr</t>
        </is>
      </c>
      <c r="M2498" s="9" t="inlineStr">
        <is>
          <t>18</t>
        </is>
      </c>
      <c r="N2498" s="9" t="n">
        <v>1</v>
      </c>
      <c r="O2498" s="9" t="n">
        <v>1</v>
      </c>
      <c r="P2498" s="9" t="n"/>
      <c r="Q2498" s="9" t="n"/>
      <c r="R2498" s="9" t="n"/>
      <c r="S2498" s="9" t="inlineStr">
        <is>
          <t>Duct bank</t>
        </is>
      </c>
      <c r="T2498" s="10" t="n">
        <v>237</v>
      </c>
      <c r="U2498" s="10" t="n">
        <v>32</v>
      </c>
      <c r="V2498" s="10">
        <f>ROUNDUP((T2498+U2498+2*'Read Me'!$B$13)*(1+'Read Me'!$B$12),-1)</f>
        <v/>
      </c>
      <c r="W2498" s="10">
        <f>V2498*N2498*O2498</f>
        <v/>
      </c>
      <c r="X2498" s="9">
        <f>IF(LEFT(I2498,2)="MV",2*N2498*IF(L2498="1/C",O2498,1),0)</f>
        <v/>
      </c>
      <c r="Y2498" s="9">
        <f>IF(OR(LEFT(K2498,4)="LVAX",LEFT(K2498,6)="MV15AX",LEFT(K2498,4)="CTAX",LEFT(K2498,2)="W|"),2*N2498*O2498,0)</f>
        <v/>
      </c>
      <c r="Z2498" s="9" t="inlineStr"/>
    </row>
    <row r="2499">
      <c r="A2499" s="9" t="inlineStr">
        <is>
          <t>K-I-0021</t>
        </is>
      </c>
      <c r="B2499" s="9" t="inlineStr">
        <is>
          <t>K</t>
        </is>
      </c>
      <c r="C2499" s="9" t="inlineStr">
        <is>
          <t>Fuel supply (adjacent market)</t>
        </is>
      </c>
      <c r="D2499" s="9" t="inlineStr">
        <is>
          <t>Instrumentation</t>
        </is>
      </c>
      <c r="E2499" s="9" t="inlineStr"/>
      <c r="F2499" s="9" t="inlineStr">
        <is>
          <t>LNG 17: LNG e-house (13.8 kV / 480 V)</t>
        </is>
      </c>
      <c r="G2499" s="9" t="inlineStr">
        <is>
          <t>LNG-T1</t>
        </is>
      </c>
      <c r="H2499" s="9" t="inlineStr">
        <is>
          <t>LNG 11: tank 1, Chart HS 50000 (51,780 gal)</t>
        </is>
      </c>
      <c r="I2499" s="9" t="inlineStr">
        <is>
          <t>Instrumentation</t>
        </is>
      </c>
      <c r="J2499" s="9" t="inlineStr">
        <is>
          <t>Instrumentation ITC / PLTC, IS, #18 shielded pairs, blue jacket</t>
        </is>
      </c>
      <c r="K2499" s="9" t="inlineStr">
        <is>
          <t>ITC|4 pr|18</t>
        </is>
      </c>
      <c r="L2499" s="9" t="inlineStr">
        <is>
          <t>4 pr</t>
        </is>
      </c>
      <c r="M2499" s="9" t="inlineStr">
        <is>
          <t>18</t>
        </is>
      </c>
      <c r="N2499" s="9" t="n">
        <v>1</v>
      </c>
      <c r="O2499" s="9" t="n">
        <v>1</v>
      </c>
      <c r="P2499" s="9" t="n"/>
      <c r="Q2499" s="9" t="n"/>
      <c r="R2499" s="9" t="n"/>
      <c r="S2499" s="9" t="inlineStr">
        <is>
          <t>Duct bank</t>
        </is>
      </c>
      <c r="T2499" s="10" t="n">
        <v>210</v>
      </c>
      <c r="U2499" s="10" t="n">
        <v>32</v>
      </c>
      <c r="V2499" s="10">
        <f>ROUNDUP((T2499+U2499+2*'Read Me'!$B$13)*(1+'Read Me'!$B$12),-1)</f>
        <v/>
      </c>
      <c r="W2499" s="10">
        <f>V2499*N2499*O2499</f>
        <v/>
      </c>
      <c r="X2499" s="9">
        <f>IF(LEFT(I2499,2)="MV",2*N2499*IF(L2499="1/C",O2499,1),0)</f>
        <v/>
      </c>
      <c r="Y2499" s="9">
        <f>IF(OR(LEFT(K2499,4)="LVAX",LEFT(K2499,6)="MV15AX",LEFT(K2499,4)="CTAX",LEFT(K2499,2)="W|"),2*N2499*O2499,0)</f>
        <v/>
      </c>
      <c r="Z2499" s="9" t="inlineStr"/>
    </row>
    <row r="2500">
      <c r="A2500" s="9" t="inlineStr">
        <is>
          <t>K-I-0022</t>
        </is>
      </c>
      <c r="B2500" s="9" t="inlineStr">
        <is>
          <t>K</t>
        </is>
      </c>
      <c r="C2500" s="9" t="inlineStr">
        <is>
          <t>Fuel supply (adjacent market)</t>
        </is>
      </c>
      <c r="D2500" s="9" t="inlineStr">
        <is>
          <t>Instrumentation</t>
        </is>
      </c>
      <c r="E2500" s="9" t="inlineStr"/>
      <c r="F2500" s="9" t="inlineStr">
        <is>
          <t>LNG 17: LNG e-house (13.8 kV / 480 V)</t>
        </is>
      </c>
      <c r="G2500" s="9" t="inlineStr">
        <is>
          <t>LNG-T1</t>
        </is>
      </c>
      <c r="H2500" s="9" t="inlineStr">
        <is>
          <t>LNG 11: tank 1, Chart HS 50000 (51,780 gal)</t>
        </is>
      </c>
      <c r="I2500" s="9" t="inlineStr">
        <is>
          <t>Instrumentation</t>
        </is>
      </c>
      <c r="J2500" s="9" t="inlineStr">
        <is>
          <t>Instrumentation ITC / PLTC, IS, #18 shielded pairs, blue jacket</t>
        </is>
      </c>
      <c r="K2500" s="9" t="inlineStr">
        <is>
          <t>ITC|12 pr|18</t>
        </is>
      </c>
      <c r="L2500" s="9" t="inlineStr">
        <is>
          <t>12 pr</t>
        </is>
      </c>
      <c r="M2500" s="9" t="inlineStr">
        <is>
          <t>18</t>
        </is>
      </c>
      <c r="N2500" s="9" t="n">
        <v>1</v>
      </c>
      <c r="O2500" s="9" t="n">
        <v>1</v>
      </c>
      <c r="P2500" s="9" t="n"/>
      <c r="Q2500" s="9" t="n"/>
      <c r="R2500" s="9" t="n"/>
      <c r="S2500" s="9" t="inlineStr">
        <is>
          <t>Duct bank</t>
        </is>
      </c>
      <c r="T2500" s="10" t="n">
        <v>210</v>
      </c>
      <c r="U2500" s="10" t="n">
        <v>32</v>
      </c>
      <c r="V2500" s="10">
        <f>ROUNDUP((T2500+U2500+2*'Read Me'!$B$13)*(1+'Read Me'!$B$12),-1)</f>
        <v/>
      </c>
      <c r="W2500" s="10">
        <f>V2500*N2500*O2500</f>
        <v/>
      </c>
      <c r="X2500" s="9">
        <f>IF(LEFT(I2500,2)="MV",2*N2500*IF(L2500="1/C",O2500,1),0)</f>
        <v/>
      </c>
      <c r="Y2500" s="9">
        <f>IF(OR(LEFT(K2500,4)="LVAX",LEFT(K2500,6)="MV15AX",LEFT(K2500,4)="CTAX",LEFT(K2500,2)="W|"),2*N2500*O2500,0)</f>
        <v/>
      </c>
      <c r="Z2500" s="9" t="inlineStr"/>
    </row>
    <row r="2501">
      <c r="A2501" s="9" t="inlineStr">
        <is>
          <t>K-I-0023</t>
        </is>
      </c>
      <c r="B2501" s="9" t="inlineStr">
        <is>
          <t>K</t>
        </is>
      </c>
      <c r="C2501" s="9" t="inlineStr">
        <is>
          <t>Fuel supply (adjacent market)</t>
        </is>
      </c>
      <c r="D2501" s="9" t="inlineStr">
        <is>
          <t>Instrumentation</t>
        </is>
      </c>
      <c r="E2501" s="9" t="inlineStr"/>
      <c r="F2501" s="9" t="inlineStr">
        <is>
          <t>LNG 17: LNG e-house (13.8 kV / 480 V)</t>
        </is>
      </c>
      <c r="G2501" s="9" t="inlineStr">
        <is>
          <t>LNG-T2</t>
        </is>
      </c>
      <c r="H2501" s="9" t="inlineStr">
        <is>
          <t>LNG 11: tank 2, Chart HS 50000 (51,780 gal)</t>
        </is>
      </c>
      <c r="I2501" s="9" t="inlineStr">
        <is>
          <t>Instrumentation</t>
        </is>
      </c>
      <c r="J2501" s="9" t="inlineStr">
        <is>
          <t>Instrumentation ITC / PLTC, IS, #18 shielded pairs, blue jacket</t>
        </is>
      </c>
      <c r="K2501" s="9" t="inlineStr">
        <is>
          <t>ITC|4 pr|18</t>
        </is>
      </c>
      <c r="L2501" s="9" t="inlineStr">
        <is>
          <t>4 pr</t>
        </is>
      </c>
      <c r="M2501" s="9" t="inlineStr">
        <is>
          <t>18</t>
        </is>
      </c>
      <c r="N2501" s="9" t="n">
        <v>1</v>
      </c>
      <c r="O2501" s="9" t="n">
        <v>1</v>
      </c>
      <c r="P2501" s="9" t="n"/>
      <c r="Q2501" s="9" t="n"/>
      <c r="R2501" s="9" t="n"/>
      <c r="S2501" s="9" t="inlineStr">
        <is>
          <t>Duct bank</t>
        </is>
      </c>
      <c r="T2501" s="10" t="n">
        <v>230</v>
      </c>
      <c r="U2501" s="10" t="n">
        <v>32</v>
      </c>
      <c r="V2501" s="10">
        <f>ROUNDUP((T2501+U2501+2*'Read Me'!$B$13)*(1+'Read Me'!$B$12),-1)</f>
        <v/>
      </c>
      <c r="W2501" s="10">
        <f>V2501*N2501*O2501</f>
        <v/>
      </c>
      <c r="X2501" s="9">
        <f>IF(LEFT(I2501,2)="MV",2*N2501*IF(L2501="1/C",O2501,1),0)</f>
        <v/>
      </c>
      <c r="Y2501" s="9">
        <f>IF(OR(LEFT(K2501,4)="LVAX",LEFT(K2501,6)="MV15AX",LEFT(K2501,4)="CTAX",LEFT(K2501,2)="W|"),2*N2501*O2501,0)</f>
        <v/>
      </c>
      <c r="Z2501" s="9" t="inlineStr"/>
    </row>
    <row r="2502">
      <c r="A2502" s="9" t="inlineStr">
        <is>
          <t>K-I-0024</t>
        </is>
      </c>
      <c r="B2502" s="9" t="inlineStr">
        <is>
          <t>K</t>
        </is>
      </c>
      <c r="C2502" s="9" t="inlineStr">
        <is>
          <t>Fuel supply (adjacent market)</t>
        </is>
      </c>
      <c r="D2502" s="9" t="inlineStr">
        <is>
          <t>Instrumentation</t>
        </is>
      </c>
      <c r="E2502" s="9" t="inlineStr"/>
      <c r="F2502" s="9" t="inlineStr">
        <is>
          <t>LNG 17: LNG e-house (13.8 kV / 480 V)</t>
        </is>
      </c>
      <c r="G2502" s="9" t="inlineStr">
        <is>
          <t>LNG-T2</t>
        </is>
      </c>
      <c r="H2502" s="9" t="inlineStr">
        <is>
          <t>LNG 11: tank 2, Chart HS 50000 (51,780 gal)</t>
        </is>
      </c>
      <c r="I2502" s="9" t="inlineStr">
        <is>
          <t>Instrumentation</t>
        </is>
      </c>
      <c r="J2502" s="9" t="inlineStr">
        <is>
          <t>Instrumentation ITC / PLTC, IS, #18 shielded pairs, blue jacket</t>
        </is>
      </c>
      <c r="K2502" s="9" t="inlineStr">
        <is>
          <t>ITC|12 pr|18</t>
        </is>
      </c>
      <c r="L2502" s="9" t="inlineStr">
        <is>
          <t>12 pr</t>
        </is>
      </c>
      <c r="M2502" s="9" t="inlineStr">
        <is>
          <t>18</t>
        </is>
      </c>
      <c r="N2502" s="9" t="n">
        <v>1</v>
      </c>
      <c r="O2502" s="9" t="n">
        <v>1</v>
      </c>
      <c r="P2502" s="9" t="n"/>
      <c r="Q2502" s="9" t="n"/>
      <c r="R2502" s="9" t="n"/>
      <c r="S2502" s="9" t="inlineStr">
        <is>
          <t>Duct bank</t>
        </is>
      </c>
      <c r="T2502" s="10" t="n">
        <v>230</v>
      </c>
      <c r="U2502" s="10" t="n">
        <v>32</v>
      </c>
      <c r="V2502" s="10">
        <f>ROUNDUP((T2502+U2502+2*'Read Me'!$B$13)*(1+'Read Me'!$B$12),-1)</f>
        <v/>
      </c>
      <c r="W2502" s="10">
        <f>V2502*N2502*O2502</f>
        <v/>
      </c>
      <c r="X2502" s="9">
        <f>IF(LEFT(I2502,2)="MV",2*N2502*IF(L2502="1/C",O2502,1),0)</f>
        <v/>
      </c>
      <c r="Y2502" s="9">
        <f>IF(OR(LEFT(K2502,4)="LVAX",LEFT(K2502,6)="MV15AX",LEFT(K2502,4)="CTAX",LEFT(K2502,2)="W|"),2*N2502*O2502,0)</f>
        <v/>
      </c>
      <c r="Z2502" s="9" t="inlineStr"/>
    </row>
    <row r="2503">
      <c r="A2503" s="9" t="inlineStr">
        <is>
          <t>K-I-0025</t>
        </is>
      </c>
      <c r="B2503" s="9" t="inlineStr">
        <is>
          <t>K</t>
        </is>
      </c>
      <c r="C2503" s="9" t="inlineStr">
        <is>
          <t>Fuel supply (adjacent market)</t>
        </is>
      </c>
      <c r="D2503" s="9" t="inlineStr">
        <is>
          <t>Instrumentation</t>
        </is>
      </c>
      <c r="E2503" s="9" t="inlineStr"/>
      <c r="F2503" s="9" t="inlineStr">
        <is>
          <t>LNG 17: LNG e-house (13.8 kV / 480 V)</t>
        </is>
      </c>
      <c r="G2503" s="9" t="inlineStr">
        <is>
          <t>LNG-T3</t>
        </is>
      </c>
      <c r="H2503" s="9" t="inlineStr">
        <is>
          <t>LNG 11: tank 3, Chart HS 50000 (51,780 gal)</t>
        </is>
      </c>
      <c r="I2503" s="9" t="inlineStr">
        <is>
          <t>Instrumentation</t>
        </is>
      </c>
      <c r="J2503" s="9" t="inlineStr">
        <is>
          <t>Instrumentation ITC / PLTC, IS, #18 shielded pairs, blue jacket</t>
        </is>
      </c>
      <c r="K2503" s="9" t="inlineStr">
        <is>
          <t>ITC|4 pr|18</t>
        </is>
      </c>
      <c r="L2503" s="9" t="inlineStr">
        <is>
          <t>4 pr</t>
        </is>
      </c>
      <c r="M2503" s="9" t="inlineStr">
        <is>
          <t>18</t>
        </is>
      </c>
      <c r="N2503" s="9" t="n">
        <v>1</v>
      </c>
      <c r="O2503" s="9" t="n">
        <v>1</v>
      </c>
      <c r="P2503" s="9" t="n"/>
      <c r="Q2503" s="9" t="n"/>
      <c r="R2503" s="9" t="n"/>
      <c r="S2503" s="9" t="inlineStr">
        <is>
          <t>Duct bank</t>
        </is>
      </c>
      <c r="T2503" s="10" t="n">
        <v>250</v>
      </c>
      <c r="U2503" s="10" t="n">
        <v>32</v>
      </c>
      <c r="V2503" s="10">
        <f>ROUNDUP((T2503+U2503+2*'Read Me'!$B$13)*(1+'Read Me'!$B$12),-1)</f>
        <v/>
      </c>
      <c r="W2503" s="10">
        <f>V2503*N2503*O2503</f>
        <v/>
      </c>
      <c r="X2503" s="9">
        <f>IF(LEFT(I2503,2)="MV",2*N2503*IF(L2503="1/C",O2503,1),0)</f>
        <v/>
      </c>
      <c r="Y2503" s="9">
        <f>IF(OR(LEFT(K2503,4)="LVAX",LEFT(K2503,6)="MV15AX",LEFT(K2503,4)="CTAX",LEFT(K2503,2)="W|"),2*N2503*O2503,0)</f>
        <v/>
      </c>
      <c r="Z2503" s="9" t="inlineStr"/>
    </row>
    <row r="2504">
      <c r="A2504" s="9" t="inlineStr">
        <is>
          <t>K-I-0026</t>
        </is>
      </c>
      <c r="B2504" s="9" t="inlineStr">
        <is>
          <t>K</t>
        </is>
      </c>
      <c r="C2504" s="9" t="inlineStr">
        <is>
          <t>Fuel supply (adjacent market)</t>
        </is>
      </c>
      <c r="D2504" s="9" t="inlineStr">
        <is>
          <t>Instrumentation</t>
        </is>
      </c>
      <c r="E2504" s="9" t="inlineStr"/>
      <c r="F2504" s="9" t="inlineStr">
        <is>
          <t>LNG 17: LNG e-house (13.8 kV / 480 V)</t>
        </is>
      </c>
      <c r="G2504" s="9" t="inlineStr">
        <is>
          <t>LNG-T3</t>
        </is>
      </c>
      <c r="H2504" s="9" t="inlineStr">
        <is>
          <t>LNG 11: tank 3, Chart HS 50000 (51,780 gal)</t>
        </is>
      </c>
      <c r="I2504" s="9" t="inlineStr">
        <is>
          <t>Instrumentation</t>
        </is>
      </c>
      <c r="J2504" s="9" t="inlineStr">
        <is>
          <t>Instrumentation ITC / PLTC, IS, #18 shielded pairs, blue jacket</t>
        </is>
      </c>
      <c r="K2504" s="9" t="inlineStr">
        <is>
          <t>ITC|12 pr|18</t>
        </is>
      </c>
      <c r="L2504" s="9" t="inlineStr">
        <is>
          <t>12 pr</t>
        </is>
      </c>
      <c r="M2504" s="9" t="inlineStr">
        <is>
          <t>18</t>
        </is>
      </c>
      <c r="N2504" s="9" t="n">
        <v>1</v>
      </c>
      <c r="O2504" s="9" t="n">
        <v>1</v>
      </c>
      <c r="P2504" s="9" t="n"/>
      <c r="Q2504" s="9" t="n"/>
      <c r="R2504" s="9" t="n"/>
      <c r="S2504" s="9" t="inlineStr">
        <is>
          <t>Duct bank</t>
        </is>
      </c>
      <c r="T2504" s="10" t="n">
        <v>250</v>
      </c>
      <c r="U2504" s="10" t="n">
        <v>32</v>
      </c>
      <c r="V2504" s="10">
        <f>ROUNDUP((T2504+U2504+2*'Read Me'!$B$13)*(1+'Read Me'!$B$12),-1)</f>
        <v/>
      </c>
      <c r="W2504" s="10">
        <f>V2504*N2504*O2504</f>
        <v/>
      </c>
      <c r="X2504" s="9">
        <f>IF(LEFT(I2504,2)="MV",2*N2504*IF(L2504="1/C",O2504,1),0)</f>
        <v/>
      </c>
      <c r="Y2504" s="9">
        <f>IF(OR(LEFT(K2504,4)="LVAX",LEFT(K2504,6)="MV15AX",LEFT(K2504,4)="CTAX",LEFT(K2504,2)="W|"),2*N2504*O2504,0)</f>
        <v/>
      </c>
      <c r="Z2504" s="9" t="inlineStr"/>
    </row>
    <row r="2505">
      <c r="A2505" s="9" t="inlineStr">
        <is>
          <t>K-I-0027</t>
        </is>
      </c>
      <c r="B2505" s="9" t="inlineStr">
        <is>
          <t>K</t>
        </is>
      </c>
      <c r="C2505" s="9" t="inlineStr">
        <is>
          <t>Fuel supply (adjacent market)</t>
        </is>
      </c>
      <c r="D2505" s="9" t="inlineStr">
        <is>
          <t>Instrumentation</t>
        </is>
      </c>
      <c r="E2505" s="9" t="inlineStr"/>
      <c r="F2505" s="9" t="inlineStr">
        <is>
          <t>LNG 17: LNG e-house (13.8 kV / 480 V)</t>
        </is>
      </c>
      <c r="G2505" s="9" t="inlineStr">
        <is>
          <t>LNG-T4</t>
        </is>
      </c>
      <c r="H2505" s="9" t="inlineStr">
        <is>
          <t>LNG 11: tank 4, Chart HS 50000 (51,780 gal)</t>
        </is>
      </c>
      <c r="I2505" s="9" t="inlineStr">
        <is>
          <t>Instrumentation</t>
        </is>
      </c>
      <c r="J2505" s="9" t="inlineStr">
        <is>
          <t>Instrumentation ITC / PLTC, IS, #18 shielded pairs, blue jacket</t>
        </is>
      </c>
      <c r="K2505" s="9" t="inlineStr">
        <is>
          <t>ITC|4 pr|18</t>
        </is>
      </c>
      <c r="L2505" s="9" t="inlineStr">
        <is>
          <t>4 pr</t>
        </is>
      </c>
      <c r="M2505" s="9" t="inlineStr">
        <is>
          <t>18</t>
        </is>
      </c>
      <c r="N2505" s="9" t="n">
        <v>1</v>
      </c>
      <c r="O2505" s="9" t="n">
        <v>1</v>
      </c>
      <c r="P2505" s="9" t="n"/>
      <c r="Q2505" s="9" t="n"/>
      <c r="R2505" s="9" t="n"/>
      <c r="S2505" s="9" t="inlineStr">
        <is>
          <t>Duct bank</t>
        </is>
      </c>
      <c r="T2505" s="10" t="n">
        <v>270</v>
      </c>
      <c r="U2505" s="10" t="n">
        <v>32</v>
      </c>
      <c r="V2505" s="10">
        <f>ROUNDUP((T2505+U2505+2*'Read Me'!$B$13)*(1+'Read Me'!$B$12),-1)</f>
        <v/>
      </c>
      <c r="W2505" s="10">
        <f>V2505*N2505*O2505</f>
        <v/>
      </c>
      <c r="X2505" s="9">
        <f>IF(LEFT(I2505,2)="MV",2*N2505*IF(L2505="1/C",O2505,1),0)</f>
        <v/>
      </c>
      <c r="Y2505" s="9">
        <f>IF(OR(LEFT(K2505,4)="LVAX",LEFT(K2505,6)="MV15AX",LEFT(K2505,4)="CTAX",LEFT(K2505,2)="W|"),2*N2505*O2505,0)</f>
        <v/>
      </c>
      <c r="Z2505" s="9" t="inlineStr"/>
    </row>
    <row r="2506">
      <c r="A2506" s="9" t="inlineStr">
        <is>
          <t>K-I-0028</t>
        </is>
      </c>
      <c r="B2506" s="9" t="inlineStr">
        <is>
          <t>K</t>
        </is>
      </c>
      <c r="C2506" s="9" t="inlineStr">
        <is>
          <t>Fuel supply (adjacent market)</t>
        </is>
      </c>
      <c r="D2506" s="9" t="inlineStr">
        <is>
          <t>Instrumentation</t>
        </is>
      </c>
      <c r="E2506" s="9" t="inlineStr"/>
      <c r="F2506" s="9" t="inlineStr">
        <is>
          <t>LNG 17: LNG e-house (13.8 kV / 480 V)</t>
        </is>
      </c>
      <c r="G2506" s="9" t="inlineStr">
        <is>
          <t>LNG-T4</t>
        </is>
      </c>
      <c r="H2506" s="9" t="inlineStr">
        <is>
          <t>LNG 11: tank 4, Chart HS 50000 (51,780 gal)</t>
        </is>
      </c>
      <c r="I2506" s="9" t="inlineStr">
        <is>
          <t>Instrumentation</t>
        </is>
      </c>
      <c r="J2506" s="9" t="inlineStr">
        <is>
          <t>Instrumentation ITC / PLTC, IS, #18 shielded pairs, blue jacket</t>
        </is>
      </c>
      <c r="K2506" s="9" t="inlineStr">
        <is>
          <t>ITC|12 pr|18</t>
        </is>
      </c>
      <c r="L2506" s="9" t="inlineStr">
        <is>
          <t>12 pr</t>
        </is>
      </c>
      <c r="M2506" s="9" t="inlineStr">
        <is>
          <t>18</t>
        </is>
      </c>
      <c r="N2506" s="9" t="n">
        <v>1</v>
      </c>
      <c r="O2506" s="9" t="n">
        <v>1</v>
      </c>
      <c r="P2506" s="9" t="n"/>
      <c r="Q2506" s="9" t="n"/>
      <c r="R2506" s="9" t="n"/>
      <c r="S2506" s="9" t="inlineStr">
        <is>
          <t>Duct bank</t>
        </is>
      </c>
      <c r="T2506" s="10" t="n">
        <v>270</v>
      </c>
      <c r="U2506" s="10" t="n">
        <v>32</v>
      </c>
      <c r="V2506" s="10">
        <f>ROUNDUP((T2506+U2506+2*'Read Me'!$B$13)*(1+'Read Me'!$B$12),-1)</f>
        <v/>
      </c>
      <c r="W2506" s="10">
        <f>V2506*N2506*O2506</f>
        <v/>
      </c>
      <c r="X2506" s="9">
        <f>IF(LEFT(I2506,2)="MV",2*N2506*IF(L2506="1/C",O2506,1),0)</f>
        <v/>
      </c>
      <c r="Y2506" s="9">
        <f>IF(OR(LEFT(K2506,4)="LVAX",LEFT(K2506,6)="MV15AX",LEFT(K2506,4)="CTAX",LEFT(K2506,2)="W|"),2*N2506*O2506,0)</f>
        <v/>
      </c>
      <c r="Z2506" s="9" t="inlineStr"/>
    </row>
    <row r="2507">
      <c r="A2507" s="9" t="inlineStr">
        <is>
          <t>K-I-0029</t>
        </is>
      </c>
      <c r="B2507" s="9" t="inlineStr">
        <is>
          <t>K</t>
        </is>
      </c>
      <c r="C2507" s="9" t="inlineStr">
        <is>
          <t>Fuel supply (adjacent market)</t>
        </is>
      </c>
      <c r="D2507" s="9" t="inlineStr">
        <is>
          <t>Instrumentation</t>
        </is>
      </c>
      <c r="E2507" s="9" t="inlineStr"/>
      <c r="F2507" s="9" t="inlineStr">
        <is>
          <t>LNG 17: LNG e-house (13.8 kV / 480 V)</t>
        </is>
      </c>
      <c r="G2507" s="9" t="inlineStr">
        <is>
          <t>LNG-T5</t>
        </is>
      </c>
      <c r="H2507" s="9" t="inlineStr">
        <is>
          <t>LNG 11: tank 5, Chart HS 50000 (51,780 gal)</t>
        </is>
      </c>
      <c r="I2507" s="9" t="inlineStr">
        <is>
          <t>Instrumentation</t>
        </is>
      </c>
      <c r="J2507" s="9" t="inlineStr">
        <is>
          <t>Instrumentation ITC / PLTC, IS, #18 shielded pairs, blue jacket</t>
        </is>
      </c>
      <c r="K2507" s="9" t="inlineStr">
        <is>
          <t>ITC|4 pr|18</t>
        </is>
      </c>
      <c r="L2507" s="9" t="inlineStr">
        <is>
          <t>4 pr</t>
        </is>
      </c>
      <c r="M2507" s="9" t="inlineStr">
        <is>
          <t>18</t>
        </is>
      </c>
      <c r="N2507" s="9" t="n">
        <v>1</v>
      </c>
      <c r="O2507" s="9" t="n">
        <v>1</v>
      </c>
      <c r="P2507" s="9" t="n"/>
      <c r="Q2507" s="9" t="n"/>
      <c r="R2507" s="9" t="n"/>
      <c r="S2507" s="9" t="inlineStr">
        <is>
          <t>Duct bank</t>
        </is>
      </c>
      <c r="T2507" s="10" t="n">
        <v>290</v>
      </c>
      <c r="U2507" s="10" t="n">
        <v>32</v>
      </c>
      <c r="V2507" s="10">
        <f>ROUNDUP((T2507+U2507+2*'Read Me'!$B$13)*(1+'Read Me'!$B$12),-1)</f>
        <v/>
      </c>
      <c r="W2507" s="10">
        <f>V2507*N2507*O2507</f>
        <v/>
      </c>
      <c r="X2507" s="9">
        <f>IF(LEFT(I2507,2)="MV",2*N2507*IF(L2507="1/C",O2507,1),0)</f>
        <v/>
      </c>
      <c r="Y2507" s="9">
        <f>IF(OR(LEFT(K2507,4)="LVAX",LEFT(K2507,6)="MV15AX",LEFT(K2507,4)="CTAX",LEFT(K2507,2)="W|"),2*N2507*O2507,0)</f>
        <v/>
      </c>
      <c r="Z2507" s="9" t="inlineStr"/>
    </row>
    <row r="2508">
      <c r="A2508" s="9" t="inlineStr">
        <is>
          <t>K-I-0030</t>
        </is>
      </c>
      <c r="B2508" s="9" t="inlineStr">
        <is>
          <t>K</t>
        </is>
      </c>
      <c r="C2508" s="9" t="inlineStr">
        <is>
          <t>Fuel supply (adjacent market)</t>
        </is>
      </c>
      <c r="D2508" s="9" t="inlineStr">
        <is>
          <t>Instrumentation</t>
        </is>
      </c>
      <c r="E2508" s="9" t="inlineStr"/>
      <c r="F2508" s="9" t="inlineStr">
        <is>
          <t>LNG 17: LNG e-house (13.8 kV / 480 V)</t>
        </is>
      </c>
      <c r="G2508" s="9" t="inlineStr">
        <is>
          <t>LNG-T5</t>
        </is>
      </c>
      <c r="H2508" s="9" t="inlineStr">
        <is>
          <t>LNG 11: tank 5, Chart HS 50000 (51,780 gal)</t>
        </is>
      </c>
      <c r="I2508" s="9" t="inlineStr">
        <is>
          <t>Instrumentation</t>
        </is>
      </c>
      <c r="J2508" s="9" t="inlineStr">
        <is>
          <t>Instrumentation ITC / PLTC, IS, #18 shielded pairs, blue jacket</t>
        </is>
      </c>
      <c r="K2508" s="9" t="inlineStr">
        <is>
          <t>ITC|12 pr|18</t>
        </is>
      </c>
      <c r="L2508" s="9" t="inlineStr">
        <is>
          <t>12 pr</t>
        </is>
      </c>
      <c r="M2508" s="9" t="inlineStr">
        <is>
          <t>18</t>
        </is>
      </c>
      <c r="N2508" s="9" t="n">
        <v>1</v>
      </c>
      <c r="O2508" s="9" t="n">
        <v>1</v>
      </c>
      <c r="P2508" s="9" t="n"/>
      <c r="Q2508" s="9" t="n"/>
      <c r="R2508" s="9" t="n"/>
      <c r="S2508" s="9" t="inlineStr">
        <is>
          <t>Duct bank</t>
        </is>
      </c>
      <c r="T2508" s="10" t="n">
        <v>290</v>
      </c>
      <c r="U2508" s="10" t="n">
        <v>32</v>
      </c>
      <c r="V2508" s="10">
        <f>ROUNDUP((T2508+U2508+2*'Read Me'!$B$13)*(1+'Read Me'!$B$12),-1)</f>
        <v/>
      </c>
      <c r="W2508" s="10">
        <f>V2508*N2508*O2508</f>
        <v/>
      </c>
      <c r="X2508" s="9">
        <f>IF(LEFT(I2508,2)="MV",2*N2508*IF(L2508="1/C",O2508,1),0)</f>
        <v/>
      </c>
      <c r="Y2508" s="9">
        <f>IF(OR(LEFT(K2508,4)="LVAX",LEFT(K2508,6)="MV15AX",LEFT(K2508,4)="CTAX",LEFT(K2508,2)="W|"),2*N2508*O2508,0)</f>
        <v/>
      </c>
      <c r="Z2508" s="9" t="inlineStr"/>
    </row>
    <row r="2509">
      <c r="A2509" s="9" t="inlineStr">
        <is>
          <t>K-I-0031</t>
        </is>
      </c>
      <c r="B2509" s="9" t="inlineStr">
        <is>
          <t>K</t>
        </is>
      </c>
      <c r="C2509" s="9" t="inlineStr">
        <is>
          <t>Fuel supply (adjacent market)</t>
        </is>
      </c>
      <c r="D2509" s="9" t="inlineStr">
        <is>
          <t>Instrumentation</t>
        </is>
      </c>
      <c r="E2509" s="9" t="inlineStr"/>
      <c r="F2509" s="9" t="inlineStr">
        <is>
          <t>LNG 17: LNG e-house (13.8 kV / 480 V)</t>
        </is>
      </c>
      <c r="G2509" s="9" t="inlineStr">
        <is>
          <t>LNG-T6</t>
        </is>
      </c>
      <c r="H2509" s="9" t="inlineStr">
        <is>
          <t>LNG 11: tank 6, Chart HS 50000 (51,780 gal)</t>
        </is>
      </c>
      <c r="I2509" s="9" t="inlineStr">
        <is>
          <t>Instrumentation</t>
        </is>
      </c>
      <c r="J2509" s="9" t="inlineStr">
        <is>
          <t>Instrumentation ITC / PLTC, IS, #18 shielded pairs, blue jacket</t>
        </is>
      </c>
      <c r="K2509" s="9" t="inlineStr">
        <is>
          <t>ITC|4 pr|18</t>
        </is>
      </c>
      <c r="L2509" s="9" t="inlineStr">
        <is>
          <t>4 pr</t>
        </is>
      </c>
      <c r="M2509" s="9" t="inlineStr">
        <is>
          <t>18</t>
        </is>
      </c>
      <c r="N2509" s="9" t="n">
        <v>1</v>
      </c>
      <c r="O2509" s="9" t="n">
        <v>1</v>
      </c>
      <c r="P2509" s="9" t="n"/>
      <c r="Q2509" s="9" t="n"/>
      <c r="R2509" s="9" t="n"/>
      <c r="S2509" s="9" t="inlineStr">
        <is>
          <t>Duct bank</t>
        </is>
      </c>
      <c r="T2509" s="10" t="n">
        <v>310</v>
      </c>
      <c r="U2509" s="10" t="n">
        <v>32</v>
      </c>
      <c r="V2509" s="10">
        <f>ROUNDUP((T2509+U2509+2*'Read Me'!$B$13)*(1+'Read Me'!$B$12),-1)</f>
        <v/>
      </c>
      <c r="W2509" s="10">
        <f>V2509*N2509*O2509</f>
        <v/>
      </c>
      <c r="X2509" s="9">
        <f>IF(LEFT(I2509,2)="MV",2*N2509*IF(L2509="1/C",O2509,1),0)</f>
        <v/>
      </c>
      <c r="Y2509" s="9">
        <f>IF(OR(LEFT(K2509,4)="LVAX",LEFT(K2509,6)="MV15AX",LEFT(K2509,4)="CTAX",LEFT(K2509,2)="W|"),2*N2509*O2509,0)</f>
        <v/>
      </c>
      <c r="Z2509" s="9" t="inlineStr"/>
    </row>
    <row r="2510">
      <c r="A2510" s="9" t="inlineStr">
        <is>
          <t>K-I-0032</t>
        </is>
      </c>
      <c r="B2510" s="9" t="inlineStr">
        <is>
          <t>K</t>
        </is>
      </c>
      <c r="C2510" s="9" t="inlineStr">
        <is>
          <t>Fuel supply (adjacent market)</t>
        </is>
      </c>
      <c r="D2510" s="9" t="inlineStr">
        <is>
          <t>Instrumentation</t>
        </is>
      </c>
      <c r="E2510" s="9" t="inlineStr"/>
      <c r="F2510" s="9" t="inlineStr">
        <is>
          <t>LNG 17: LNG e-house (13.8 kV / 480 V)</t>
        </is>
      </c>
      <c r="G2510" s="9" t="inlineStr">
        <is>
          <t>LNG-T6</t>
        </is>
      </c>
      <c r="H2510" s="9" t="inlineStr">
        <is>
          <t>LNG 11: tank 6, Chart HS 50000 (51,780 gal)</t>
        </is>
      </c>
      <c r="I2510" s="9" t="inlineStr">
        <is>
          <t>Instrumentation</t>
        </is>
      </c>
      <c r="J2510" s="9" t="inlineStr">
        <is>
          <t>Instrumentation ITC / PLTC, IS, #18 shielded pairs, blue jacket</t>
        </is>
      </c>
      <c r="K2510" s="9" t="inlineStr">
        <is>
          <t>ITC|12 pr|18</t>
        </is>
      </c>
      <c r="L2510" s="9" t="inlineStr">
        <is>
          <t>12 pr</t>
        </is>
      </c>
      <c r="M2510" s="9" t="inlineStr">
        <is>
          <t>18</t>
        </is>
      </c>
      <c r="N2510" s="9" t="n">
        <v>1</v>
      </c>
      <c r="O2510" s="9" t="n">
        <v>1</v>
      </c>
      <c r="P2510" s="9" t="n"/>
      <c r="Q2510" s="9" t="n"/>
      <c r="R2510" s="9" t="n"/>
      <c r="S2510" s="9" t="inlineStr">
        <is>
          <t>Duct bank</t>
        </is>
      </c>
      <c r="T2510" s="10" t="n">
        <v>310</v>
      </c>
      <c r="U2510" s="10" t="n">
        <v>32</v>
      </c>
      <c r="V2510" s="10">
        <f>ROUNDUP((T2510+U2510+2*'Read Me'!$B$13)*(1+'Read Me'!$B$12),-1)</f>
        <v/>
      </c>
      <c r="W2510" s="10">
        <f>V2510*N2510*O2510</f>
        <v/>
      </c>
      <c r="X2510" s="9">
        <f>IF(LEFT(I2510,2)="MV",2*N2510*IF(L2510="1/C",O2510,1),0)</f>
        <v/>
      </c>
      <c r="Y2510" s="9">
        <f>IF(OR(LEFT(K2510,4)="LVAX",LEFT(K2510,6)="MV15AX",LEFT(K2510,4)="CTAX",LEFT(K2510,2)="W|"),2*N2510*O2510,0)</f>
        <v/>
      </c>
      <c r="Z2510" s="9" t="inlineStr"/>
    </row>
    <row r="2511">
      <c r="A2511" s="9" t="inlineStr">
        <is>
          <t>K-I-0033</t>
        </is>
      </c>
      <c r="B2511" s="9" t="inlineStr">
        <is>
          <t>K</t>
        </is>
      </c>
      <c r="C2511" s="9" t="inlineStr">
        <is>
          <t>Fuel supply (adjacent market)</t>
        </is>
      </c>
      <c r="D2511" s="9" t="inlineStr">
        <is>
          <t>Instrumentation</t>
        </is>
      </c>
      <c r="E2511" s="9" t="inlineStr"/>
      <c r="F2511" s="9" t="inlineStr">
        <is>
          <t>LNG 17: LNG e-house (13.8 kV / 480 V)</t>
        </is>
      </c>
      <c r="G2511" s="9" t="inlineStr">
        <is>
          <t>LNG-T7</t>
        </is>
      </c>
      <c r="H2511" s="9" t="inlineStr">
        <is>
          <t>LNG 11: tank 7, Chart HS 50000 (51,780 gal)</t>
        </is>
      </c>
      <c r="I2511" s="9" t="inlineStr">
        <is>
          <t>Instrumentation</t>
        </is>
      </c>
      <c r="J2511" s="9" t="inlineStr">
        <is>
          <t>Instrumentation ITC / PLTC, IS, #18 shielded pairs, blue jacket</t>
        </is>
      </c>
      <c r="K2511" s="9" t="inlineStr">
        <is>
          <t>ITC|4 pr|18</t>
        </is>
      </c>
      <c r="L2511" s="9" t="inlineStr">
        <is>
          <t>4 pr</t>
        </is>
      </c>
      <c r="M2511" s="9" t="inlineStr">
        <is>
          <t>18</t>
        </is>
      </c>
      <c r="N2511" s="9" t="n">
        <v>1</v>
      </c>
      <c r="O2511" s="9" t="n">
        <v>1</v>
      </c>
      <c r="P2511" s="9" t="n"/>
      <c r="Q2511" s="9" t="n"/>
      <c r="R2511" s="9" t="n"/>
      <c r="S2511" s="9" t="inlineStr">
        <is>
          <t>Duct bank</t>
        </is>
      </c>
      <c r="T2511" s="10" t="n">
        <v>330</v>
      </c>
      <c r="U2511" s="10" t="n">
        <v>32</v>
      </c>
      <c r="V2511" s="10">
        <f>ROUNDUP((T2511+U2511+2*'Read Me'!$B$13)*(1+'Read Me'!$B$12),-1)</f>
        <v/>
      </c>
      <c r="W2511" s="10">
        <f>V2511*N2511*O2511</f>
        <v/>
      </c>
      <c r="X2511" s="9">
        <f>IF(LEFT(I2511,2)="MV",2*N2511*IF(L2511="1/C",O2511,1),0)</f>
        <v/>
      </c>
      <c r="Y2511" s="9">
        <f>IF(OR(LEFT(K2511,4)="LVAX",LEFT(K2511,6)="MV15AX",LEFT(K2511,4)="CTAX",LEFT(K2511,2)="W|"),2*N2511*O2511,0)</f>
        <v/>
      </c>
      <c r="Z2511" s="9" t="inlineStr"/>
    </row>
    <row r="2512">
      <c r="A2512" s="9" t="inlineStr">
        <is>
          <t>K-I-0034</t>
        </is>
      </c>
      <c r="B2512" s="9" t="inlineStr">
        <is>
          <t>K</t>
        </is>
      </c>
      <c r="C2512" s="9" t="inlineStr">
        <is>
          <t>Fuel supply (adjacent market)</t>
        </is>
      </c>
      <c r="D2512" s="9" t="inlineStr">
        <is>
          <t>Instrumentation</t>
        </is>
      </c>
      <c r="E2512" s="9" t="inlineStr"/>
      <c r="F2512" s="9" t="inlineStr">
        <is>
          <t>LNG 17: LNG e-house (13.8 kV / 480 V)</t>
        </is>
      </c>
      <c r="G2512" s="9" t="inlineStr">
        <is>
          <t>LNG-T7</t>
        </is>
      </c>
      <c r="H2512" s="9" t="inlineStr">
        <is>
          <t>LNG 11: tank 7, Chart HS 50000 (51,780 gal)</t>
        </is>
      </c>
      <c r="I2512" s="9" t="inlineStr">
        <is>
          <t>Instrumentation</t>
        </is>
      </c>
      <c r="J2512" s="9" t="inlineStr">
        <is>
          <t>Instrumentation ITC / PLTC, IS, #18 shielded pairs, blue jacket</t>
        </is>
      </c>
      <c r="K2512" s="9" t="inlineStr">
        <is>
          <t>ITC|12 pr|18</t>
        </is>
      </c>
      <c r="L2512" s="9" t="inlineStr">
        <is>
          <t>12 pr</t>
        </is>
      </c>
      <c r="M2512" s="9" t="inlineStr">
        <is>
          <t>18</t>
        </is>
      </c>
      <c r="N2512" s="9" t="n">
        <v>1</v>
      </c>
      <c r="O2512" s="9" t="n">
        <v>1</v>
      </c>
      <c r="P2512" s="9" t="n"/>
      <c r="Q2512" s="9" t="n"/>
      <c r="R2512" s="9" t="n"/>
      <c r="S2512" s="9" t="inlineStr">
        <is>
          <t>Duct bank</t>
        </is>
      </c>
      <c r="T2512" s="10" t="n">
        <v>330</v>
      </c>
      <c r="U2512" s="10" t="n">
        <v>32</v>
      </c>
      <c r="V2512" s="10">
        <f>ROUNDUP((T2512+U2512+2*'Read Me'!$B$13)*(1+'Read Me'!$B$12),-1)</f>
        <v/>
      </c>
      <c r="W2512" s="10">
        <f>V2512*N2512*O2512</f>
        <v/>
      </c>
      <c r="X2512" s="9">
        <f>IF(LEFT(I2512,2)="MV",2*N2512*IF(L2512="1/C",O2512,1),0)</f>
        <v/>
      </c>
      <c r="Y2512" s="9">
        <f>IF(OR(LEFT(K2512,4)="LVAX",LEFT(K2512,6)="MV15AX",LEFT(K2512,4)="CTAX",LEFT(K2512,2)="W|"),2*N2512*O2512,0)</f>
        <v/>
      </c>
      <c r="Z2512" s="9" t="inlineStr"/>
    </row>
    <row r="2513">
      <c r="A2513" s="9" t="inlineStr">
        <is>
          <t>K-I-0035</t>
        </is>
      </c>
      <c r="B2513" s="9" t="inlineStr">
        <is>
          <t>K</t>
        </is>
      </c>
      <c r="C2513" s="9" t="inlineStr">
        <is>
          <t>Fuel supply (adjacent market)</t>
        </is>
      </c>
      <c r="D2513" s="9" t="inlineStr">
        <is>
          <t>Instrumentation</t>
        </is>
      </c>
      <c r="E2513" s="9" t="inlineStr"/>
      <c r="F2513" s="9" t="inlineStr">
        <is>
          <t>LNG 17: LNG e-house (13.8 kV / 480 V)</t>
        </is>
      </c>
      <c r="G2513" s="9" t="inlineStr">
        <is>
          <t>LNG-T8</t>
        </is>
      </c>
      <c r="H2513" s="9" t="inlineStr">
        <is>
          <t>LNG 11: tank 8, Chart HS 50000 (51,780 gal)</t>
        </is>
      </c>
      <c r="I2513" s="9" t="inlineStr">
        <is>
          <t>Instrumentation</t>
        </is>
      </c>
      <c r="J2513" s="9" t="inlineStr">
        <is>
          <t>Instrumentation ITC / PLTC, IS, #18 shielded pairs, blue jacket</t>
        </is>
      </c>
      <c r="K2513" s="9" t="inlineStr">
        <is>
          <t>ITC|4 pr|18</t>
        </is>
      </c>
      <c r="L2513" s="9" t="inlineStr">
        <is>
          <t>4 pr</t>
        </is>
      </c>
      <c r="M2513" s="9" t="inlineStr">
        <is>
          <t>18</t>
        </is>
      </c>
      <c r="N2513" s="9" t="n">
        <v>1</v>
      </c>
      <c r="O2513" s="9" t="n">
        <v>1</v>
      </c>
      <c r="P2513" s="9" t="n"/>
      <c r="Q2513" s="9" t="n"/>
      <c r="R2513" s="9" t="n"/>
      <c r="S2513" s="9" t="inlineStr">
        <is>
          <t>Duct bank</t>
        </is>
      </c>
      <c r="T2513" s="10" t="n">
        <v>350</v>
      </c>
      <c r="U2513" s="10" t="n">
        <v>32</v>
      </c>
      <c r="V2513" s="10">
        <f>ROUNDUP((T2513+U2513+2*'Read Me'!$B$13)*(1+'Read Me'!$B$12),-1)</f>
        <v/>
      </c>
      <c r="W2513" s="10">
        <f>V2513*N2513*O2513</f>
        <v/>
      </c>
      <c r="X2513" s="9">
        <f>IF(LEFT(I2513,2)="MV",2*N2513*IF(L2513="1/C",O2513,1),0)</f>
        <v/>
      </c>
      <c r="Y2513" s="9">
        <f>IF(OR(LEFT(K2513,4)="LVAX",LEFT(K2513,6)="MV15AX",LEFT(K2513,4)="CTAX",LEFT(K2513,2)="W|"),2*N2513*O2513,0)</f>
        <v/>
      </c>
      <c r="Z2513" s="9" t="inlineStr"/>
    </row>
    <row r="2514">
      <c r="A2514" s="9" t="inlineStr">
        <is>
          <t>K-I-0036</t>
        </is>
      </c>
      <c r="B2514" s="9" t="inlineStr">
        <is>
          <t>K</t>
        </is>
      </c>
      <c r="C2514" s="9" t="inlineStr">
        <is>
          <t>Fuel supply (adjacent market)</t>
        </is>
      </c>
      <c r="D2514" s="9" t="inlineStr">
        <is>
          <t>Instrumentation</t>
        </is>
      </c>
      <c r="E2514" s="9" t="inlineStr"/>
      <c r="F2514" s="9" t="inlineStr">
        <is>
          <t>LNG 17: LNG e-house (13.8 kV / 480 V)</t>
        </is>
      </c>
      <c r="G2514" s="9" t="inlineStr">
        <is>
          <t>LNG-T8</t>
        </is>
      </c>
      <c r="H2514" s="9" t="inlineStr">
        <is>
          <t>LNG 11: tank 8, Chart HS 50000 (51,780 gal)</t>
        </is>
      </c>
      <c r="I2514" s="9" t="inlineStr">
        <is>
          <t>Instrumentation</t>
        </is>
      </c>
      <c r="J2514" s="9" t="inlineStr">
        <is>
          <t>Instrumentation ITC / PLTC, IS, #18 shielded pairs, blue jacket</t>
        </is>
      </c>
      <c r="K2514" s="9" t="inlineStr">
        <is>
          <t>ITC|12 pr|18</t>
        </is>
      </c>
      <c r="L2514" s="9" t="inlineStr">
        <is>
          <t>12 pr</t>
        </is>
      </c>
      <c r="M2514" s="9" t="inlineStr">
        <is>
          <t>18</t>
        </is>
      </c>
      <c r="N2514" s="9" t="n">
        <v>1</v>
      </c>
      <c r="O2514" s="9" t="n">
        <v>1</v>
      </c>
      <c r="P2514" s="9" t="n"/>
      <c r="Q2514" s="9" t="n"/>
      <c r="R2514" s="9" t="n"/>
      <c r="S2514" s="9" t="inlineStr">
        <is>
          <t>Duct bank</t>
        </is>
      </c>
      <c r="T2514" s="10" t="n">
        <v>350</v>
      </c>
      <c r="U2514" s="10" t="n">
        <v>32</v>
      </c>
      <c r="V2514" s="10">
        <f>ROUNDUP((T2514+U2514+2*'Read Me'!$B$13)*(1+'Read Me'!$B$12),-1)</f>
        <v/>
      </c>
      <c r="W2514" s="10">
        <f>V2514*N2514*O2514</f>
        <v/>
      </c>
      <c r="X2514" s="9">
        <f>IF(LEFT(I2514,2)="MV",2*N2514*IF(L2514="1/C",O2514,1),0)</f>
        <v/>
      </c>
      <c r="Y2514" s="9">
        <f>IF(OR(LEFT(K2514,4)="LVAX",LEFT(K2514,6)="MV15AX",LEFT(K2514,4)="CTAX",LEFT(K2514,2)="W|"),2*N2514*O2514,0)</f>
        <v/>
      </c>
      <c r="Z2514" s="9" t="inlineStr"/>
    </row>
    <row r="2515">
      <c r="A2515" s="9" t="inlineStr">
        <is>
          <t>K-I-0037</t>
        </is>
      </c>
      <c r="B2515" s="9" t="inlineStr">
        <is>
          <t>K</t>
        </is>
      </c>
      <c r="C2515" s="9" t="inlineStr">
        <is>
          <t>Fuel supply (adjacent market)</t>
        </is>
      </c>
      <c r="D2515" s="9" t="inlineStr">
        <is>
          <t>Instrumentation</t>
        </is>
      </c>
      <c r="E2515" s="9" t="inlineStr"/>
      <c r="F2515" s="9" t="inlineStr">
        <is>
          <t>LNG 17: LNG e-house (13.8 kV / 480 V)</t>
        </is>
      </c>
      <c r="G2515" s="9" t="inlineStr"/>
      <c r="H2515" s="9" t="inlineStr">
        <is>
          <t>LNG 13: send-out pumps 2 x 100%</t>
        </is>
      </c>
      <c r="I2515" s="9" t="inlineStr">
        <is>
          <t>Instrumentation</t>
        </is>
      </c>
      <c r="J2515" s="9" t="inlineStr">
        <is>
          <t>Instrumentation ITC / PLTC, IS, #18 shielded pairs, blue jacket</t>
        </is>
      </c>
      <c r="K2515" s="9" t="inlineStr">
        <is>
          <t>ITC|4 pr|18</t>
        </is>
      </c>
      <c r="L2515" s="9" t="inlineStr">
        <is>
          <t>4 pr</t>
        </is>
      </c>
      <c r="M2515" s="9" t="inlineStr">
        <is>
          <t>18</t>
        </is>
      </c>
      <c r="N2515" s="9" t="n">
        <v>1</v>
      </c>
      <c r="O2515" s="9" t="n">
        <v>1</v>
      </c>
      <c r="P2515" s="9" t="n"/>
      <c r="Q2515" s="9" t="n"/>
      <c r="R2515" s="9" t="n"/>
      <c r="S2515" s="9" t="inlineStr">
        <is>
          <t>Duct bank</t>
        </is>
      </c>
      <c r="T2515" s="10" t="n">
        <v>110</v>
      </c>
      <c r="U2515" s="10" t="n">
        <v>32</v>
      </c>
      <c r="V2515" s="10">
        <f>ROUNDUP((T2515+U2515+2*'Read Me'!$B$13)*(1+'Read Me'!$B$12),-1)</f>
        <v/>
      </c>
      <c r="W2515" s="10">
        <f>V2515*N2515*O2515</f>
        <v/>
      </c>
      <c r="X2515" s="9">
        <f>IF(LEFT(I2515,2)="MV",2*N2515*IF(L2515="1/C",O2515,1),0)</f>
        <v/>
      </c>
      <c r="Y2515" s="9">
        <f>IF(OR(LEFT(K2515,4)="LVAX",LEFT(K2515,6)="MV15AX",LEFT(K2515,4)="CTAX",LEFT(K2515,2)="W|"),2*N2515*O2515,0)</f>
        <v/>
      </c>
      <c r="Z2515" s="9" t="inlineStr"/>
    </row>
    <row r="2516">
      <c r="A2516" s="9" t="inlineStr">
        <is>
          <t>K-I-0038</t>
        </is>
      </c>
      <c r="B2516" s="9" t="inlineStr">
        <is>
          <t>K</t>
        </is>
      </c>
      <c r="C2516" s="9" t="inlineStr">
        <is>
          <t>Fuel supply (adjacent market)</t>
        </is>
      </c>
      <c r="D2516" s="9" t="inlineStr">
        <is>
          <t>Instrumentation</t>
        </is>
      </c>
      <c r="E2516" s="9" t="inlineStr"/>
      <c r="F2516" s="9" t="inlineStr">
        <is>
          <t>LNG 17: LNG e-house (13.8 kV / 480 V)</t>
        </is>
      </c>
      <c r="G2516" s="9" t="inlineStr"/>
      <c r="H2516" s="9" t="inlineStr">
        <is>
          <t>LNG 13: send-out pumps 2 x 100%</t>
        </is>
      </c>
      <c r="I2516" s="9" t="inlineStr">
        <is>
          <t>Instrumentation</t>
        </is>
      </c>
      <c r="J2516" s="9" t="inlineStr">
        <is>
          <t>Instrumentation ITC / PLTC, IS, #18 shielded pairs, blue jacket</t>
        </is>
      </c>
      <c r="K2516" s="9" t="inlineStr">
        <is>
          <t>ITC|12 pr|18</t>
        </is>
      </c>
      <c r="L2516" s="9" t="inlineStr">
        <is>
          <t>12 pr</t>
        </is>
      </c>
      <c r="M2516" s="9" t="inlineStr">
        <is>
          <t>18</t>
        </is>
      </c>
      <c r="N2516" s="9" t="n">
        <v>1</v>
      </c>
      <c r="O2516" s="9" t="n">
        <v>1</v>
      </c>
      <c r="P2516" s="9" t="n"/>
      <c r="Q2516" s="9" t="n"/>
      <c r="R2516" s="9" t="n"/>
      <c r="S2516" s="9" t="inlineStr">
        <is>
          <t>Duct bank</t>
        </is>
      </c>
      <c r="T2516" s="10" t="n">
        <v>110</v>
      </c>
      <c r="U2516" s="10" t="n">
        <v>32</v>
      </c>
      <c r="V2516" s="10">
        <f>ROUNDUP((T2516+U2516+2*'Read Me'!$B$13)*(1+'Read Me'!$B$12),-1)</f>
        <v/>
      </c>
      <c r="W2516" s="10">
        <f>V2516*N2516*O2516</f>
        <v/>
      </c>
      <c r="X2516" s="9">
        <f>IF(LEFT(I2516,2)="MV",2*N2516*IF(L2516="1/C",O2516,1),0)</f>
        <v/>
      </c>
      <c r="Y2516" s="9">
        <f>IF(OR(LEFT(K2516,4)="LVAX",LEFT(K2516,6)="MV15AX",LEFT(K2516,4)="CTAX",LEFT(K2516,2)="W|"),2*N2516*O2516,0)</f>
        <v/>
      </c>
      <c r="Z2516" s="9" t="inlineStr"/>
    </row>
    <row r="2517">
      <c r="A2517" s="9" t="inlineStr">
        <is>
          <t>K-I-0039</t>
        </is>
      </c>
      <c r="B2517" s="9" t="inlineStr">
        <is>
          <t>K</t>
        </is>
      </c>
      <c r="C2517" s="9" t="inlineStr">
        <is>
          <t>Fuel supply (adjacent market)</t>
        </is>
      </c>
      <c r="D2517" s="9" t="inlineStr">
        <is>
          <t>Instrumentation</t>
        </is>
      </c>
      <c r="E2517" s="9" t="inlineStr"/>
      <c r="F2517" s="9" t="inlineStr">
        <is>
          <t>LNG 17: LNG e-house (13.8 kV / 480 V)</t>
        </is>
      </c>
      <c r="G2517" s="9" t="inlineStr"/>
      <c r="H2517" s="9" t="inlineStr">
        <is>
          <t>LNG 14: vaporizers + glycol heater</t>
        </is>
      </c>
      <c r="I2517" s="9" t="inlineStr">
        <is>
          <t>Instrumentation</t>
        </is>
      </c>
      <c r="J2517" s="9" t="inlineStr">
        <is>
          <t>Instrumentation ITC / PLTC, IS, #18 shielded pairs, blue jacket</t>
        </is>
      </c>
      <c r="K2517" s="9" t="inlineStr">
        <is>
          <t>ITC|4 pr|18</t>
        </is>
      </c>
      <c r="L2517" s="9" t="inlineStr">
        <is>
          <t>4 pr</t>
        </is>
      </c>
      <c r="M2517" s="9" t="inlineStr">
        <is>
          <t>18</t>
        </is>
      </c>
      <c r="N2517" s="9" t="n">
        <v>1</v>
      </c>
      <c r="O2517" s="9" t="n">
        <v>1</v>
      </c>
      <c r="P2517" s="9" t="n"/>
      <c r="Q2517" s="9" t="n"/>
      <c r="R2517" s="9" t="n"/>
      <c r="S2517" s="9" t="inlineStr">
        <is>
          <t>Duct bank</t>
        </is>
      </c>
      <c r="T2517" s="10" t="n">
        <v>259</v>
      </c>
      <c r="U2517" s="10" t="n">
        <v>32</v>
      </c>
      <c r="V2517" s="10">
        <f>ROUNDUP((T2517+U2517+2*'Read Me'!$B$13)*(1+'Read Me'!$B$12),-1)</f>
        <v/>
      </c>
      <c r="W2517" s="10">
        <f>V2517*N2517*O2517</f>
        <v/>
      </c>
      <c r="X2517" s="9">
        <f>IF(LEFT(I2517,2)="MV",2*N2517*IF(L2517="1/C",O2517,1),0)</f>
        <v/>
      </c>
      <c r="Y2517" s="9">
        <f>IF(OR(LEFT(K2517,4)="LVAX",LEFT(K2517,6)="MV15AX",LEFT(K2517,4)="CTAX",LEFT(K2517,2)="W|"),2*N2517*O2517,0)</f>
        <v/>
      </c>
      <c r="Z2517" s="9" t="inlineStr"/>
    </row>
    <row r="2518">
      <c r="A2518" s="9" t="inlineStr">
        <is>
          <t>K-I-0040</t>
        </is>
      </c>
      <c r="B2518" s="9" t="inlineStr">
        <is>
          <t>K</t>
        </is>
      </c>
      <c r="C2518" s="9" t="inlineStr">
        <is>
          <t>Fuel supply (adjacent market)</t>
        </is>
      </c>
      <c r="D2518" s="9" t="inlineStr">
        <is>
          <t>Instrumentation</t>
        </is>
      </c>
      <c r="E2518" s="9" t="inlineStr"/>
      <c r="F2518" s="9" t="inlineStr">
        <is>
          <t>LNG 17: LNG e-house (13.8 kV / 480 V)</t>
        </is>
      </c>
      <c r="G2518" s="9" t="inlineStr"/>
      <c r="H2518" s="9" t="inlineStr">
        <is>
          <t>LNG 14: vaporizers + glycol heater</t>
        </is>
      </c>
      <c r="I2518" s="9" t="inlineStr">
        <is>
          <t>Instrumentation</t>
        </is>
      </c>
      <c r="J2518" s="9" t="inlineStr">
        <is>
          <t>Instrumentation ITC / PLTC, IS, #18 shielded pairs, blue jacket</t>
        </is>
      </c>
      <c r="K2518" s="9" t="inlineStr">
        <is>
          <t>ITC|12 pr|18</t>
        </is>
      </c>
      <c r="L2518" s="9" t="inlineStr">
        <is>
          <t>12 pr</t>
        </is>
      </c>
      <c r="M2518" s="9" t="inlineStr">
        <is>
          <t>18</t>
        </is>
      </c>
      <c r="N2518" s="9" t="n">
        <v>1</v>
      </c>
      <c r="O2518" s="9" t="n">
        <v>1</v>
      </c>
      <c r="P2518" s="9" t="n"/>
      <c r="Q2518" s="9" t="n"/>
      <c r="R2518" s="9" t="n"/>
      <c r="S2518" s="9" t="inlineStr">
        <is>
          <t>Duct bank</t>
        </is>
      </c>
      <c r="T2518" s="10" t="n">
        <v>259</v>
      </c>
      <c r="U2518" s="10" t="n">
        <v>32</v>
      </c>
      <c r="V2518" s="10">
        <f>ROUNDUP((T2518+U2518+2*'Read Me'!$B$13)*(1+'Read Me'!$B$12),-1)</f>
        <v/>
      </c>
      <c r="W2518" s="10">
        <f>V2518*N2518*O2518</f>
        <v/>
      </c>
      <c r="X2518" s="9">
        <f>IF(LEFT(I2518,2)="MV",2*N2518*IF(L2518="1/C",O2518,1),0)</f>
        <v/>
      </c>
      <c r="Y2518" s="9">
        <f>IF(OR(LEFT(K2518,4)="LVAX",LEFT(K2518,6)="MV15AX",LEFT(K2518,4)="CTAX",LEFT(K2518,2)="W|"),2*N2518*O2518,0)</f>
        <v/>
      </c>
      <c r="Z2518" s="9" t="inlineStr"/>
    </row>
    <row r="2519">
      <c r="A2519" s="9" t="inlineStr">
        <is>
          <t>K-I-0041</t>
        </is>
      </c>
      <c r="B2519" s="9" t="inlineStr">
        <is>
          <t>K</t>
        </is>
      </c>
      <c r="C2519" s="9" t="inlineStr">
        <is>
          <t>Fuel supply (adjacent market)</t>
        </is>
      </c>
      <c r="D2519" s="9" t="inlineStr">
        <is>
          <t>Instrumentation</t>
        </is>
      </c>
      <c r="E2519" s="9" t="inlineStr"/>
      <c r="F2519" s="9" t="inlineStr">
        <is>
          <t>LNG 17: LNG e-house (13.8 kV / 480 V)</t>
        </is>
      </c>
      <c r="G2519" s="9" t="inlineStr"/>
      <c r="H2519" s="9" t="inlineStr">
        <is>
          <t>LNG 15: boil-off gas compressor</t>
        </is>
      </c>
      <c r="I2519" s="9" t="inlineStr">
        <is>
          <t>Instrumentation</t>
        </is>
      </c>
      <c r="J2519" s="9" t="inlineStr">
        <is>
          <t>Instrumentation ITC / PLTC, IS, #18 shielded pairs, blue jacket</t>
        </is>
      </c>
      <c r="K2519" s="9" t="inlineStr">
        <is>
          <t>ITC|4 pr|18</t>
        </is>
      </c>
      <c r="L2519" s="9" t="inlineStr">
        <is>
          <t>4 pr</t>
        </is>
      </c>
      <c r="M2519" s="9" t="inlineStr">
        <is>
          <t>18</t>
        </is>
      </c>
      <c r="N2519" s="9" t="n">
        <v>1</v>
      </c>
      <c r="O2519" s="9" t="n">
        <v>1</v>
      </c>
      <c r="P2519" s="9" t="n"/>
      <c r="Q2519" s="9" t="n"/>
      <c r="R2519" s="9" t="n"/>
      <c r="S2519" s="9" t="inlineStr">
        <is>
          <t>Duct bank</t>
        </is>
      </c>
      <c r="T2519" s="10" t="n">
        <v>25</v>
      </c>
      <c r="U2519" s="10" t="n">
        <v>54</v>
      </c>
      <c r="V2519" s="10">
        <f>ROUNDUP((T2519+U2519+2*'Read Me'!$B$13)*(1+'Read Me'!$B$12),-1)</f>
        <v/>
      </c>
      <c r="W2519" s="10">
        <f>V2519*N2519*O2519</f>
        <v/>
      </c>
      <c r="X2519" s="9">
        <f>IF(LEFT(I2519,2)="MV",2*N2519*IF(L2519="1/C",O2519,1),0)</f>
        <v/>
      </c>
      <c r="Y2519" s="9">
        <f>IF(OR(LEFT(K2519,4)="LVAX",LEFT(K2519,6)="MV15AX",LEFT(K2519,4)="CTAX",LEFT(K2519,2)="W|"),2*N2519*O2519,0)</f>
        <v/>
      </c>
      <c r="Z2519" s="9" t="inlineStr"/>
    </row>
    <row r="2520">
      <c r="A2520" s="9" t="inlineStr">
        <is>
          <t>K-I-0042</t>
        </is>
      </c>
      <c r="B2520" s="9" t="inlineStr">
        <is>
          <t>K</t>
        </is>
      </c>
      <c r="C2520" s="9" t="inlineStr">
        <is>
          <t>Fuel supply (adjacent market)</t>
        </is>
      </c>
      <c r="D2520" s="9" t="inlineStr">
        <is>
          <t>Instrumentation</t>
        </is>
      </c>
      <c r="E2520" s="9" t="inlineStr"/>
      <c r="F2520" s="9" t="inlineStr">
        <is>
          <t>LNG 17: LNG e-house (13.8 kV / 480 V)</t>
        </is>
      </c>
      <c r="G2520" s="9" t="inlineStr"/>
      <c r="H2520" s="9" t="inlineStr">
        <is>
          <t>LNG 15: boil-off gas compressor</t>
        </is>
      </c>
      <c r="I2520" s="9" t="inlineStr">
        <is>
          <t>Instrumentation</t>
        </is>
      </c>
      <c r="J2520" s="9" t="inlineStr">
        <is>
          <t>Instrumentation ITC / PLTC, IS, #18 shielded pairs, blue jacket</t>
        </is>
      </c>
      <c r="K2520" s="9" t="inlineStr">
        <is>
          <t>ITC|12 pr|18</t>
        </is>
      </c>
      <c r="L2520" s="9" t="inlineStr">
        <is>
          <t>12 pr</t>
        </is>
      </c>
      <c r="M2520" s="9" t="inlineStr">
        <is>
          <t>18</t>
        </is>
      </c>
      <c r="N2520" s="9" t="n">
        <v>1</v>
      </c>
      <c r="O2520" s="9" t="n">
        <v>1</v>
      </c>
      <c r="P2520" s="9" t="n"/>
      <c r="Q2520" s="9" t="n"/>
      <c r="R2520" s="9" t="n"/>
      <c r="S2520" s="9" t="inlineStr">
        <is>
          <t>Duct bank</t>
        </is>
      </c>
      <c r="T2520" s="10" t="n">
        <v>25</v>
      </c>
      <c r="U2520" s="10" t="n">
        <v>54</v>
      </c>
      <c r="V2520" s="10">
        <f>ROUNDUP((T2520+U2520+2*'Read Me'!$B$13)*(1+'Read Me'!$B$12),-1)</f>
        <v/>
      </c>
      <c r="W2520" s="10">
        <f>V2520*N2520*O2520</f>
        <v/>
      </c>
      <c r="X2520" s="9">
        <f>IF(LEFT(I2520,2)="MV",2*N2520*IF(L2520="1/C",O2520,1),0)</f>
        <v/>
      </c>
      <c r="Y2520" s="9">
        <f>IF(OR(LEFT(K2520,4)="LVAX",LEFT(K2520,6)="MV15AX",LEFT(K2520,4)="CTAX",LEFT(K2520,2)="W|"),2*N2520*O2520,0)</f>
        <v/>
      </c>
      <c r="Z2520" s="9" t="inlineStr"/>
    </row>
    <row r="2521">
      <c r="A2521" s="9" t="inlineStr">
        <is>
          <t>K-I-0043</t>
        </is>
      </c>
      <c r="B2521" s="9" t="inlineStr">
        <is>
          <t>K</t>
        </is>
      </c>
      <c r="C2521" s="9" t="inlineStr">
        <is>
          <t>Fuel supply (adjacent market)</t>
        </is>
      </c>
      <c r="D2521" s="9" t="inlineStr">
        <is>
          <t>Instrumentation</t>
        </is>
      </c>
      <c r="E2521" s="9" t="inlineStr"/>
      <c r="F2521" s="9" t="inlineStr">
        <is>
          <t>LNG 17: LNG e-house (13.8 kV / 480 V)</t>
        </is>
      </c>
      <c r="G2521" s="9" t="inlineStr"/>
      <c r="H2521" s="9" t="inlineStr">
        <is>
          <t>LNG 16: send-out metering + pressure control</t>
        </is>
      </c>
      <c r="I2521" s="9" t="inlineStr">
        <is>
          <t>Instrumentation</t>
        </is>
      </c>
      <c r="J2521" s="9" t="inlineStr">
        <is>
          <t>Instrumentation ITC / PLTC, IS, #18 shielded pairs, blue jacket</t>
        </is>
      </c>
      <c r="K2521" s="9" t="inlineStr">
        <is>
          <t>ITC|4 pr|18</t>
        </is>
      </c>
      <c r="L2521" s="9" t="inlineStr">
        <is>
          <t>4 pr</t>
        </is>
      </c>
      <c r="M2521" s="9" t="inlineStr">
        <is>
          <t>18</t>
        </is>
      </c>
      <c r="N2521" s="9" t="n">
        <v>1</v>
      </c>
      <c r="O2521" s="9" t="n">
        <v>1</v>
      </c>
      <c r="P2521" s="9" t="n"/>
      <c r="Q2521" s="9" t="n"/>
      <c r="R2521" s="9" t="n"/>
      <c r="S2521" s="9" t="inlineStr">
        <is>
          <t>Duct bank</t>
        </is>
      </c>
      <c r="T2521" s="10" t="n">
        <v>20</v>
      </c>
      <c r="U2521" s="10" t="n">
        <v>32</v>
      </c>
      <c r="V2521" s="10">
        <f>ROUNDUP((T2521+U2521+2*'Read Me'!$B$13)*(1+'Read Me'!$B$12),-1)</f>
        <v/>
      </c>
      <c r="W2521" s="10">
        <f>V2521*N2521*O2521</f>
        <v/>
      </c>
      <c r="X2521" s="9">
        <f>IF(LEFT(I2521,2)="MV",2*N2521*IF(L2521="1/C",O2521,1),0)</f>
        <v/>
      </c>
      <c r="Y2521" s="9">
        <f>IF(OR(LEFT(K2521,4)="LVAX",LEFT(K2521,6)="MV15AX",LEFT(K2521,4)="CTAX",LEFT(K2521,2)="W|"),2*N2521*O2521,0)</f>
        <v/>
      </c>
      <c r="Z2521" s="9" t="inlineStr"/>
    </row>
    <row r="2522">
      <c r="A2522" s="9" t="inlineStr">
        <is>
          <t>K-I-0044</t>
        </is>
      </c>
      <c r="B2522" s="9" t="inlineStr">
        <is>
          <t>K</t>
        </is>
      </c>
      <c r="C2522" s="9" t="inlineStr">
        <is>
          <t>Fuel supply (adjacent market)</t>
        </is>
      </c>
      <c r="D2522" s="9" t="inlineStr">
        <is>
          <t>Instrumentation</t>
        </is>
      </c>
      <c r="E2522" s="9" t="inlineStr"/>
      <c r="F2522" s="9" t="inlineStr">
        <is>
          <t>LNG 17: LNG e-house (13.8 kV / 480 V)</t>
        </is>
      </c>
      <c r="G2522" s="9" t="inlineStr"/>
      <c r="H2522" s="9" t="inlineStr">
        <is>
          <t>LNG impoundment sump pump</t>
        </is>
      </c>
      <c r="I2522" s="9" t="inlineStr">
        <is>
          <t>Instrumentation</t>
        </is>
      </c>
      <c r="J2522" s="9" t="inlineStr">
        <is>
          <t>Instrumentation ITC / PLTC, IS, #18 shielded pairs, blue jacket</t>
        </is>
      </c>
      <c r="K2522" s="9" t="inlineStr">
        <is>
          <t>ITC|4 pr|18</t>
        </is>
      </c>
      <c r="L2522" s="9" t="inlineStr">
        <is>
          <t>4 pr</t>
        </is>
      </c>
      <c r="M2522" s="9" t="inlineStr">
        <is>
          <t>18</t>
        </is>
      </c>
      <c r="N2522" s="9" t="n">
        <v>1</v>
      </c>
      <c r="O2522" s="9" t="n">
        <v>1</v>
      </c>
      <c r="P2522" s="9" t="n"/>
      <c r="Q2522" s="9" t="n"/>
      <c r="R2522" s="9" t="n"/>
      <c r="S2522" s="9" t="inlineStr">
        <is>
          <t>Duct bank</t>
        </is>
      </c>
      <c r="T2522" s="10" t="n">
        <v>334</v>
      </c>
      <c r="U2522" s="10" t="n">
        <v>32</v>
      </c>
      <c r="V2522" s="10">
        <f>ROUNDUP((T2522+U2522+2*'Read Me'!$B$13)*(1+'Read Me'!$B$12),-1)</f>
        <v/>
      </c>
      <c r="W2522" s="10">
        <f>V2522*N2522*O2522</f>
        <v/>
      </c>
      <c r="X2522" s="9">
        <f>IF(LEFT(I2522,2)="MV",2*N2522*IF(L2522="1/C",O2522,1),0)</f>
        <v/>
      </c>
      <c r="Y2522" s="9">
        <f>IF(OR(LEFT(K2522,4)="LVAX",LEFT(K2522,6)="MV15AX",LEFT(K2522,4)="CTAX",LEFT(K2522,2)="W|"),2*N2522*O2522,0)</f>
        <v/>
      </c>
      <c r="Z2522" s="9" t="inlineStr"/>
    </row>
    <row r="2523">
      <c r="A2523" s="9" t="inlineStr">
        <is>
          <t>K-I-0045</t>
        </is>
      </c>
      <c r="B2523" s="9" t="inlineStr">
        <is>
          <t>K</t>
        </is>
      </c>
      <c r="C2523" s="9" t="inlineStr">
        <is>
          <t>Fuel supply (adjacent market)</t>
        </is>
      </c>
      <c r="D2523" s="9" t="inlineStr">
        <is>
          <t>Instrumentation</t>
        </is>
      </c>
      <c r="E2523" s="9" t="inlineStr"/>
      <c r="F2523" s="9" t="inlineStr">
        <is>
          <t>LNG 17: LNG e-house (13.8 kV / 480 V)</t>
        </is>
      </c>
      <c r="G2523" s="9" t="inlineStr"/>
      <c r="H2523" s="9" t="inlineStr">
        <is>
          <t>M&amp;R 1: pig receiver, lateral terminus</t>
        </is>
      </c>
      <c r="I2523" s="9" t="inlineStr">
        <is>
          <t>Instrumentation</t>
        </is>
      </c>
      <c r="J2523" s="9" t="inlineStr">
        <is>
          <t>Instrumentation ITC / PLTC, IS, #18 shielded pairs, blue jacket</t>
        </is>
      </c>
      <c r="K2523" s="9" t="inlineStr">
        <is>
          <t>ITC|4 pr|18</t>
        </is>
      </c>
      <c r="L2523" s="9" t="inlineStr">
        <is>
          <t>4 pr</t>
        </is>
      </c>
      <c r="M2523" s="9" t="inlineStr">
        <is>
          <t>18</t>
        </is>
      </c>
      <c r="N2523" s="9" t="n">
        <v>1</v>
      </c>
      <c r="O2523" s="9" t="n">
        <v>1</v>
      </c>
      <c r="P2523" s="9" t="n"/>
      <c r="Q2523" s="9" t="n"/>
      <c r="R2523" s="9" t="n"/>
      <c r="S2523" s="9" t="inlineStr">
        <is>
          <t>Estimated</t>
        </is>
      </c>
      <c r="T2523" s="10" t="n">
        <v>380</v>
      </c>
      <c r="U2523" s="10" t="n">
        <v>40</v>
      </c>
      <c r="V2523" s="10">
        <f>ROUNDUP((T2523+U2523+2*'Read Me'!$B$13)*(1+'Read Me'!$B$12),-1)</f>
        <v/>
      </c>
      <c r="W2523" s="10">
        <f>V2523*N2523*O2523</f>
        <v/>
      </c>
      <c r="X2523" s="9">
        <f>IF(LEFT(I2523,2)="MV",2*N2523*IF(L2523="1/C",O2523,1),0)</f>
        <v/>
      </c>
      <c r="Y2523" s="9">
        <f>IF(OR(LEFT(K2523,4)="LVAX",LEFT(K2523,6)="MV15AX",LEFT(K2523,4)="CTAX",LEFT(K2523,2)="W|"),2*N2523*O2523,0)</f>
        <v/>
      </c>
      <c r="Z2523" s="9" t="inlineStr"/>
    </row>
    <row r="2524">
      <c r="A2524" s="9" t="inlineStr">
        <is>
          <t>K-I-0046</t>
        </is>
      </c>
      <c r="B2524" s="9" t="inlineStr">
        <is>
          <t>K</t>
        </is>
      </c>
      <c r="C2524" s="9" t="inlineStr">
        <is>
          <t>Fuel supply (adjacent market)</t>
        </is>
      </c>
      <c r="D2524" s="9" t="inlineStr">
        <is>
          <t>Instrumentation</t>
        </is>
      </c>
      <c r="E2524" s="9" t="inlineStr"/>
      <c r="F2524" s="9" t="inlineStr">
        <is>
          <t>LNG 17: LNG e-house (13.8 kV / 480 V)</t>
        </is>
      </c>
      <c r="G2524" s="9" t="inlineStr"/>
      <c r="H2524" s="9" t="inlineStr">
        <is>
          <t>M&amp;R 2: insulating joint + ESD valve</t>
        </is>
      </c>
      <c r="I2524" s="9" t="inlineStr">
        <is>
          <t>Instrumentation</t>
        </is>
      </c>
      <c r="J2524" s="9" t="inlineStr">
        <is>
          <t>Instrumentation ITC / PLTC, IS, #18 shielded pairs, blue jacket</t>
        </is>
      </c>
      <c r="K2524" s="9" t="inlineStr">
        <is>
          <t>ITC|4 pr|18</t>
        </is>
      </c>
      <c r="L2524" s="9" t="inlineStr">
        <is>
          <t>4 pr</t>
        </is>
      </c>
      <c r="M2524" s="9" t="inlineStr">
        <is>
          <t>18</t>
        </is>
      </c>
      <c r="N2524" s="9" t="n">
        <v>1</v>
      </c>
      <c r="O2524" s="9" t="n">
        <v>1</v>
      </c>
      <c r="P2524" s="9" t="n"/>
      <c r="Q2524" s="9" t="n"/>
      <c r="R2524" s="9" t="n"/>
      <c r="S2524" s="9" t="inlineStr">
        <is>
          <t>Estimated</t>
        </is>
      </c>
      <c r="T2524" s="10" t="n">
        <v>387</v>
      </c>
      <c r="U2524" s="10" t="n">
        <v>40</v>
      </c>
      <c r="V2524" s="10">
        <f>ROUNDUP((T2524+U2524+2*'Read Me'!$B$13)*(1+'Read Me'!$B$12),-1)</f>
        <v/>
      </c>
      <c r="W2524" s="10">
        <f>V2524*N2524*O2524</f>
        <v/>
      </c>
      <c r="X2524" s="9">
        <f>IF(LEFT(I2524,2)="MV",2*N2524*IF(L2524="1/C",O2524,1),0)</f>
        <v/>
      </c>
      <c r="Y2524" s="9">
        <f>IF(OR(LEFT(K2524,4)="LVAX",LEFT(K2524,6)="MV15AX",LEFT(K2524,4)="CTAX",LEFT(K2524,2)="W|"),2*N2524*O2524,0)</f>
        <v/>
      </c>
      <c r="Z2524" s="9" t="inlineStr"/>
    </row>
    <row r="2525">
      <c r="A2525" s="9" t="inlineStr">
        <is>
          <t>K-I-0047</t>
        </is>
      </c>
      <c r="B2525" s="9" t="inlineStr">
        <is>
          <t>K</t>
        </is>
      </c>
      <c r="C2525" s="9" t="inlineStr">
        <is>
          <t>Fuel supply (adjacent market)</t>
        </is>
      </c>
      <c r="D2525" s="9" t="inlineStr">
        <is>
          <t>Instrumentation</t>
        </is>
      </c>
      <c r="E2525" s="9" t="inlineStr"/>
      <c r="F2525" s="9" t="inlineStr">
        <is>
          <t>LNG 17: LNG e-house (13.8 kV / 480 V)</t>
        </is>
      </c>
      <c r="G2525" s="9" t="inlineStr"/>
      <c r="H2525" s="9" t="inlineStr">
        <is>
          <t>M&amp;R 3: horizontal filter-separator</t>
        </is>
      </c>
      <c r="I2525" s="9" t="inlineStr">
        <is>
          <t>Instrumentation</t>
        </is>
      </c>
      <c r="J2525" s="9" t="inlineStr">
        <is>
          <t>Instrumentation ITC / PLTC, IS, #18 shielded pairs, blue jacket</t>
        </is>
      </c>
      <c r="K2525" s="9" t="inlineStr">
        <is>
          <t>ITC|4 pr|18</t>
        </is>
      </c>
      <c r="L2525" s="9" t="inlineStr">
        <is>
          <t>4 pr</t>
        </is>
      </c>
      <c r="M2525" s="9" t="inlineStr">
        <is>
          <t>18</t>
        </is>
      </c>
      <c r="N2525" s="9" t="n">
        <v>1</v>
      </c>
      <c r="O2525" s="9" t="n">
        <v>1</v>
      </c>
      <c r="P2525" s="9" t="n"/>
      <c r="Q2525" s="9" t="n"/>
      <c r="R2525" s="9" t="n"/>
      <c r="S2525" s="9" t="inlineStr">
        <is>
          <t>Estimated</t>
        </is>
      </c>
      <c r="T2525" s="10" t="n">
        <v>328</v>
      </c>
      <c r="U2525" s="10" t="n">
        <v>40</v>
      </c>
      <c r="V2525" s="10">
        <f>ROUNDUP((T2525+U2525+2*'Read Me'!$B$13)*(1+'Read Me'!$B$12),-1)</f>
        <v/>
      </c>
      <c r="W2525" s="10">
        <f>V2525*N2525*O2525</f>
        <v/>
      </c>
      <c r="X2525" s="9">
        <f>IF(LEFT(I2525,2)="MV",2*N2525*IF(L2525="1/C",O2525,1),0)</f>
        <v/>
      </c>
      <c r="Y2525" s="9">
        <f>IF(OR(LEFT(K2525,4)="LVAX",LEFT(K2525,6)="MV15AX",LEFT(K2525,4)="CTAX",LEFT(K2525,2)="W|"),2*N2525*O2525,0)</f>
        <v/>
      </c>
      <c r="Z2525" s="9" t="inlineStr"/>
    </row>
    <row r="2526">
      <c r="A2526" s="9" t="inlineStr">
        <is>
          <t>K-I-0048</t>
        </is>
      </c>
      <c r="B2526" s="9" t="inlineStr">
        <is>
          <t>K</t>
        </is>
      </c>
      <c r="C2526" s="9" t="inlineStr">
        <is>
          <t>Fuel supply (adjacent market)</t>
        </is>
      </c>
      <c r="D2526" s="9" t="inlineStr">
        <is>
          <t>Instrumentation</t>
        </is>
      </c>
      <c r="E2526" s="9" t="inlineStr"/>
      <c r="F2526" s="9" t="inlineStr">
        <is>
          <t>LNG 17: LNG e-house (13.8 kV / 480 V)</t>
        </is>
      </c>
      <c r="G2526" s="9" t="inlineStr"/>
      <c r="H2526" s="9" t="inlineStr">
        <is>
          <t>M&amp;R 3: horizontal filter-separator</t>
        </is>
      </c>
      <c r="I2526" s="9" t="inlineStr">
        <is>
          <t>Instrumentation</t>
        </is>
      </c>
      <c r="J2526" s="9" t="inlineStr">
        <is>
          <t>Instrumentation ITC / PLTC, IS, #18 shielded pairs, blue jacket</t>
        </is>
      </c>
      <c r="K2526" s="9" t="inlineStr">
        <is>
          <t>ITC|12 pr|18</t>
        </is>
      </c>
      <c r="L2526" s="9" t="inlineStr">
        <is>
          <t>12 pr</t>
        </is>
      </c>
      <c r="M2526" s="9" t="inlineStr">
        <is>
          <t>18</t>
        </is>
      </c>
      <c r="N2526" s="9" t="n">
        <v>1</v>
      </c>
      <c r="O2526" s="9" t="n">
        <v>1</v>
      </c>
      <c r="P2526" s="9" t="n"/>
      <c r="Q2526" s="9" t="n"/>
      <c r="R2526" s="9" t="n"/>
      <c r="S2526" s="9" t="inlineStr">
        <is>
          <t>Estimated</t>
        </is>
      </c>
      <c r="T2526" s="10" t="n">
        <v>328</v>
      </c>
      <c r="U2526" s="10" t="n">
        <v>40</v>
      </c>
      <c r="V2526" s="10">
        <f>ROUNDUP((T2526+U2526+2*'Read Me'!$B$13)*(1+'Read Me'!$B$12),-1)</f>
        <v/>
      </c>
      <c r="W2526" s="10">
        <f>V2526*N2526*O2526</f>
        <v/>
      </c>
      <c r="X2526" s="9">
        <f>IF(LEFT(I2526,2)="MV",2*N2526*IF(L2526="1/C",O2526,1),0)</f>
        <v/>
      </c>
      <c r="Y2526" s="9">
        <f>IF(OR(LEFT(K2526,4)="LVAX",LEFT(K2526,6)="MV15AX",LEFT(K2526,4)="CTAX",LEFT(K2526,2)="W|"),2*N2526*O2526,0)</f>
        <v/>
      </c>
      <c r="Z2526" s="9" t="inlineStr"/>
    </row>
    <row r="2527">
      <c r="A2527" s="9" t="inlineStr">
        <is>
          <t>K-I-0049</t>
        </is>
      </c>
      <c r="B2527" s="9" t="inlineStr">
        <is>
          <t>K</t>
        </is>
      </c>
      <c r="C2527" s="9" t="inlineStr">
        <is>
          <t>Fuel supply (adjacent market)</t>
        </is>
      </c>
      <c r="D2527" s="9" t="inlineStr">
        <is>
          <t>Instrumentation</t>
        </is>
      </c>
      <c r="E2527" s="9" t="inlineStr"/>
      <c r="F2527" s="9" t="inlineStr">
        <is>
          <t>LNG 17: LNG e-house (13.8 kV / 480 V)</t>
        </is>
      </c>
      <c r="G2527" s="9" t="inlineStr"/>
      <c r="H2527" s="9" t="inlineStr">
        <is>
          <t>M&amp;R 4: line heater 1 (water bath)</t>
        </is>
      </c>
      <c r="I2527" s="9" t="inlineStr">
        <is>
          <t>Instrumentation</t>
        </is>
      </c>
      <c r="J2527" s="9" t="inlineStr">
        <is>
          <t>Instrumentation ITC / PLTC, IS, #18 shielded pairs, blue jacket</t>
        </is>
      </c>
      <c r="K2527" s="9" t="inlineStr">
        <is>
          <t>ITC|4 pr|18</t>
        </is>
      </c>
      <c r="L2527" s="9" t="inlineStr">
        <is>
          <t>4 pr</t>
        </is>
      </c>
      <c r="M2527" s="9" t="inlineStr">
        <is>
          <t>18</t>
        </is>
      </c>
      <c r="N2527" s="9" t="n">
        <v>1</v>
      </c>
      <c r="O2527" s="9" t="n">
        <v>1</v>
      </c>
      <c r="P2527" s="9" t="n"/>
      <c r="Q2527" s="9" t="n"/>
      <c r="R2527" s="9" t="n"/>
      <c r="S2527" s="9" t="inlineStr">
        <is>
          <t>Estimated</t>
        </is>
      </c>
      <c r="T2527" s="10" t="n">
        <v>297</v>
      </c>
      <c r="U2527" s="10" t="n">
        <v>40</v>
      </c>
      <c r="V2527" s="10">
        <f>ROUNDUP((T2527+U2527+2*'Read Me'!$B$13)*(1+'Read Me'!$B$12),-1)</f>
        <v/>
      </c>
      <c r="W2527" s="10">
        <f>V2527*N2527*O2527</f>
        <v/>
      </c>
      <c r="X2527" s="9">
        <f>IF(LEFT(I2527,2)="MV",2*N2527*IF(L2527="1/C",O2527,1),0)</f>
        <v/>
      </c>
      <c r="Y2527" s="9">
        <f>IF(OR(LEFT(K2527,4)="LVAX",LEFT(K2527,6)="MV15AX",LEFT(K2527,4)="CTAX",LEFT(K2527,2)="W|"),2*N2527*O2527,0)</f>
        <v/>
      </c>
      <c r="Z2527" s="9" t="inlineStr"/>
    </row>
    <row r="2528">
      <c r="A2528" s="9" t="inlineStr">
        <is>
          <t>K-I-0050</t>
        </is>
      </c>
      <c r="B2528" s="9" t="inlineStr">
        <is>
          <t>K</t>
        </is>
      </c>
      <c r="C2528" s="9" t="inlineStr">
        <is>
          <t>Fuel supply (adjacent market)</t>
        </is>
      </c>
      <c r="D2528" s="9" t="inlineStr">
        <is>
          <t>Instrumentation</t>
        </is>
      </c>
      <c r="E2528" s="9" t="inlineStr"/>
      <c r="F2528" s="9" t="inlineStr">
        <is>
          <t>LNG 17: LNG e-house (13.8 kV / 480 V)</t>
        </is>
      </c>
      <c r="G2528" s="9" t="inlineStr"/>
      <c r="H2528" s="9" t="inlineStr">
        <is>
          <t>M&amp;R 4: line heater 1 (water bath)</t>
        </is>
      </c>
      <c r="I2528" s="9" t="inlineStr">
        <is>
          <t>Instrumentation</t>
        </is>
      </c>
      <c r="J2528" s="9" t="inlineStr">
        <is>
          <t>Instrumentation ITC / PLTC, IS, #18 shielded pairs, blue jacket</t>
        </is>
      </c>
      <c r="K2528" s="9" t="inlineStr">
        <is>
          <t>ITC|12 pr|18</t>
        </is>
      </c>
      <c r="L2528" s="9" t="inlineStr">
        <is>
          <t>12 pr</t>
        </is>
      </c>
      <c r="M2528" s="9" t="inlineStr">
        <is>
          <t>18</t>
        </is>
      </c>
      <c r="N2528" s="9" t="n">
        <v>1</v>
      </c>
      <c r="O2528" s="9" t="n">
        <v>1</v>
      </c>
      <c r="P2528" s="9" t="n"/>
      <c r="Q2528" s="9" t="n"/>
      <c r="R2528" s="9" t="n"/>
      <c r="S2528" s="9" t="inlineStr">
        <is>
          <t>Estimated</t>
        </is>
      </c>
      <c r="T2528" s="10" t="n">
        <v>297</v>
      </c>
      <c r="U2528" s="10" t="n">
        <v>40</v>
      </c>
      <c r="V2528" s="10">
        <f>ROUNDUP((T2528+U2528+2*'Read Me'!$B$13)*(1+'Read Me'!$B$12),-1)</f>
        <v/>
      </c>
      <c r="W2528" s="10">
        <f>V2528*N2528*O2528</f>
        <v/>
      </c>
      <c r="X2528" s="9">
        <f>IF(LEFT(I2528,2)="MV",2*N2528*IF(L2528="1/C",O2528,1),0)</f>
        <v/>
      </c>
      <c r="Y2528" s="9">
        <f>IF(OR(LEFT(K2528,4)="LVAX",LEFT(K2528,6)="MV15AX",LEFT(K2528,4)="CTAX",LEFT(K2528,2)="W|"),2*N2528*O2528,0)</f>
        <v/>
      </c>
      <c r="Z2528" s="9" t="inlineStr"/>
    </row>
    <row r="2529">
      <c r="A2529" s="9" t="inlineStr">
        <is>
          <t>K-I-0051</t>
        </is>
      </c>
      <c r="B2529" s="9" t="inlineStr">
        <is>
          <t>K</t>
        </is>
      </c>
      <c r="C2529" s="9" t="inlineStr">
        <is>
          <t>Fuel supply (adjacent market)</t>
        </is>
      </c>
      <c r="D2529" s="9" t="inlineStr">
        <is>
          <t>Instrumentation</t>
        </is>
      </c>
      <c r="E2529" s="9" t="inlineStr"/>
      <c r="F2529" s="9" t="inlineStr">
        <is>
          <t>LNG 17: LNG e-house (13.8 kV / 480 V)</t>
        </is>
      </c>
      <c r="G2529" s="9" t="inlineStr"/>
      <c r="H2529" s="9" t="inlineStr">
        <is>
          <t>M&amp;R 4: line heater 2 (water bath)</t>
        </is>
      </c>
      <c r="I2529" s="9" t="inlineStr">
        <is>
          <t>Instrumentation</t>
        </is>
      </c>
      <c r="J2529" s="9" t="inlineStr">
        <is>
          <t>Instrumentation ITC / PLTC, IS, #18 shielded pairs, blue jacket</t>
        </is>
      </c>
      <c r="K2529" s="9" t="inlineStr">
        <is>
          <t>ITC|4 pr|18</t>
        </is>
      </c>
      <c r="L2529" s="9" t="inlineStr">
        <is>
          <t>4 pr</t>
        </is>
      </c>
      <c r="M2529" s="9" t="inlineStr">
        <is>
          <t>18</t>
        </is>
      </c>
      <c r="N2529" s="9" t="n">
        <v>1</v>
      </c>
      <c r="O2529" s="9" t="n">
        <v>1</v>
      </c>
      <c r="P2529" s="9" t="n"/>
      <c r="Q2529" s="9" t="n"/>
      <c r="R2529" s="9" t="n"/>
      <c r="S2529" s="9" t="inlineStr">
        <is>
          <t>Estimated</t>
        </is>
      </c>
      <c r="T2529" s="10" t="n">
        <v>279</v>
      </c>
      <c r="U2529" s="10" t="n">
        <v>40</v>
      </c>
      <c r="V2529" s="10">
        <f>ROUNDUP((T2529+U2529+2*'Read Me'!$B$13)*(1+'Read Me'!$B$12),-1)</f>
        <v/>
      </c>
      <c r="W2529" s="10">
        <f>V2529*N2529*O2529</f>
        <v/>
      </c>
      <c r="X2529" s="9">
        <f>IF(LEFT(I2529,2)="MV",2*N2529*IF(L2529="1/C",O2529,1),0)</f>
        <v/>
      </c>
      <c r="Y2529" s="9">
        <f>IF(OR(LEFT(K2529,4)="LVAX",LEFT(K2529,6)="MV15AX",LEFT(K2529,4)="CTAX",LEFT(K2529,2)="W|"),2*N2529*O2529,0)</f>
        <v/>
      </c>
      <c r="Z2529" s="9" t="inlineStr"/>
    </row>
    <row r="2530">
      <c r="A2530" s="9" t="inlineStr">
        <is>
          <t>K-I-0052</t>
        </is>
      </c>
      <c r="B2530" s="9" t="inlineStr">
        <is>
          <t>K</t>
        </is>
      </c>
      <c r="C2530" s="9" t="inlineStr">
        <is>
          <t>Fuel supply (adjacent market)</t>
        </is>
      </c>
      <c r="D2530" s="9" t="inlineStr">
        <is>
          <t>Instrumentation</t>
        </is>
      </c>
      <c r="E2530" s="9" t="inlineStr"/>
      <c r="F2530" s="9" t="inlineStr">
        <is>
          <t>LNG 17: LNG e-house (13.8 kV / 480 V)</t>
        </is>
      </c>
      <c r="G2530" s="9" t="inlineStr"/>
      <c r="H2530" s="9" t="inlineStr">
        <is>
          <t>M&amp;R 4: line heater 2 (water bath)</t>
        </is>
      </c>
      <c r="I2530" s="9" t="inlineStr">
        <is>
          <t>Instrumentation</t>
        </is>
      </c>
      <c r="J2530" s="9" t="inlineStr">
        <is>
          <t>Instrumentation ITC / PLTC, IS, #18 shielded pairs, blue jacket</t>
        </is>
      </c>
      <c r="K2530" s="9" t="inlineStr">
        <is>
          <t>ITC|12 pr|18</t>
        </is>
      </c>
      <c r="L2530" s="9" t="inlineStr">
        <is>
          <t>12 pr</t>
        </is>
      </c>
      <c r="M2530" s="9" t="inlineStr">
        <is>
          <t>18</t>
        </is>
      </c>
      <c r="N2530" s="9" t="n">
        <v>1</v>
      </c>
      <c r="O2530" s="9" t="n">
        <v>1</v>
      </c>
      <c r="P2530" s="9" t="n"/>
      <c r="Q2530" s="9" t="n"/>
      <c r="R2530" s="9" t="n"/>
      <c r="S2530" s="9" t="inlineStr">
        <is>
          <t>Estimated</t>
        </is>
      </c>
      <c r="T2530" s="10" t="n">
        <v>279</v>
      </c>
      <c r="U2530" s="10" t="n">
        <v>40</v>
      </c>
      <c r="V2530" s="10">
        <f>ROUNDUP((T2530+U2530+2*'Read Me'!$B$13)*(1+'Read Me'!$B$12),-1)</f>
        <v/>
      </c>
      <c r="W2530" s="10">
        <f>V2530*N2530*O2530</f>
        <v/>
      </c>
      <c r="X2530" s="9">
        <f>IF(LEFT(I2530,2)="MV",2*N2530*IF(L2530="1/C",O2530,1),0)</f>
        <v/>
      </c>
      <c r="Y2530" s="9">
        <f>IF(OR(LEFT(K2530,4)="LVAX",LEFT(K2530,6)="MV15AX",LEFT(K2530,4)="CTAX",LEFT(K2530,2)="W|"),2*N2530*O2530,0)</f>
        <v/>
      </c>
      <c r="Z2530" s="9" t="inlineStr"/>
    </row>
    <row r="2531">
      <c r="A2531" s="9" t="inlineStr">
        <is>
          <t>K-I-0053</t>
        </is>
      </c>
      <c r="B2531" s="9" t="inlineStr">
        <is>
          <t>K</t>
        </is>
      </c>
      <c r="C2531" s="9" t="inlineStr">
        <is>
          <t>Fuel supply (adjacent market)</t>
        </is>
      </c>
      <c r="D2531" s="9" t="inlineStr">
        <is>
          <t>Instrumentation</t>
        </is>
      </c>
      <c r="E2531" s="9" t="inlineStr"/>
      <c r="F2531" s="9" t="inlineStr">
        <is>
          <t>LNG 17: LNG e-house (13.8 kV / 480 V)</t>
        </is>
      </c>
      <c r="G2531" s="9" t="inlineStr"/>
      <c r="H2531" s="9" t="inlineStr">
        <is>
          <t>M&amp;R 4: line heater 3 (water bath)</t>
        </is>
      </c>
      <c r="I2531" s="9" t="inlineStr">
        <is>
          <t>Instrumentation</t>
        </is>
      </c>
      <c r="J2531" s="9" t="inlineStr">
        <is>
          <t>Instrumentation ITC / PLTC, IS, #18 shielded pairs, blue jacket</t>
        </is>
      </c>
      <c r="K2531" s="9" t="inlineStr">
        <is>
          <t>ITC|4 pr|18</t>
        </is>
      </c>
      <c r="L2531" s="9" t="inlineStr">
        <is>
          <t>4 pr</t>
        </is>
      </c>
      <c r="M2531" s="9" t="inlineStr">
        <is>
          <t>18</t>
        </is>
      </c>
      <c r="N2531" s="9" t="n">
        <v>1</v>
      </c>
      <c r="O2531" s="9" t="n">
        <v>1</v>
      </c>
      <c r="P2531" s="9" t="n"/>
      <c r="Q2531" s="9" t="n"/>
      <c r="R2531" s="9" t="n"/>
      <c r="S2531" s="9" t="inlineStr">
        <is>
          <t>Estimated</t>
        </is>
      </c>
      <c r="T2531" s="10" t="n">
        <v>269</v>
      </c>
      <c r="U2531" s="10" t="n">
        <v>40</v>
      </c>
      <c r="V2531" s="10">
        <f>ROUNDUP((T2531+U2531+2*'Read Me'!$B$13)*(1+'Read Me'!$B$12),-1)</f>
        <v/>
      </c>
      <c r="W2531" s="10">
        <f>V2531*N2531*O2531</f>
        <v/>
      </c>
      <c r="X2531" s="9">
        <f>IF(LEFT(I2531,2)="MV",2*N2531*IF(L2531="1/C",O2531,1),0)</f>
        <v/>
      </c>
      <c r="Y2531" s="9">
        <f>IF(OR(LEFT(K2531,4)="LVAX",LEFT(K2531,6)="MV15AX",LEFT(K2531,4)="CTAX",LEFT(K2531,2)="W|"),2*N2531*O2531,0)</f>
        <v/>
      </c>
      <c r="Z2531" s="9" t="inlineStr"/>
    </row>
    <row r="2532">
      <c r="A2532" s="9" t="inlineStr">
        <is>
          <t>K-I-0054</t>
        </is>
      </c>
      <c r="B2532" s="9" t="inlineStr">
        <is>
          <t>K</t>
        </is>
      </c>
      <c r="C2532" s="9" t="inlineStr">
        <is>
          <t>Fuel supply (adjacent market)</t>
        </is>
      </c>
      <c r="D2532" s="9" t="inlineStr">
        <is>
          <t>Instrumentation</t>
        </is>
      </c>
      <c r="E2532" s="9" t="inlineStr"/>
      <c r="F2532" s="9" t="inlineStr">
        <is>
          <t>LNG 17: LNG e-house (13.8 kV / 480 V)</t>
        </is>
      </c>
      <c r="G2532" s="9" t="inlineStr"/>
      <c r="H2532" s="9" t="inlineStr">
        <is>
          <t>M&amp;R 4: line heater 3 (water bath)</t>
        </is>
      </c>
      <c r="I2532" s="9" t="inlineStr">
        <is>
          <t>Instrumentation</t>
        </is>
      </c>
      <c r="J2532" s="9" t="inlineStr">
        <is>
          <t>Instrumentation ITC / PLTC, IS, #18 shielded pairs, blue jacket</t>
        </is>
      </c>
      <c r="K2532" s="9" t="inlineStr">
        <is>
          <t>ITC|12 pr|18</t>
        </is>
      </c>
      <c r="L2532" s="9" t="inlineStr">
        <is>
          <t>12 pr</t>
        </is>
      </c>
      <c r="M2532" s="9" t="inlineStr">
        <is>
          <t>18</t>
        </is>
      </c>
      <c r="N2532" s="9" t="n">
        <v>1</v>
      </c>
      <c r="O2532" s="9" t="n">
        <v>1</v>
      </c>
      <c r="P2532" s="9" t="n"/>
      <c r="Q2532" s="9" t="n"/>
      <c r="R2532" s="9" t="n"/>
      <c r="S2532" s="9" t="inlineStr">
        <is>
          <t>Estimated</t>
        </is>
      </c>
      <c r="T2532" s="10" t="n">
        <v>269</v>
      </c>
      <c r="U2532" s="10" t="n">
        <v>40</v>
      </c>
      <c r="V2532" s="10">
        <f>ROUNDUP((T2532+U2532+2*'Read Me'!$B$13)*(1+'Read Me'!$B$12),-1)</f>
        <v/>
      </c>
      <c r="W2532" s="10">
        <f>V2532*N2532*O2532</f>
        <v/>
      </c>
      <c r="X2532" s="9">
        <f>IF(LEFT(I2532,2)="MV",2*N2532*IF(L2532="1/C",O2532,1),0)</f>
        <v/>
      </c>
      <c r="Y2532" s="9">
        <f>IF(OR(LEFT(K2532,4)="LVAX",LEFT(K2532,6)="MV15AX",LEFT(K2532,4)="CTAX",LEFT(K2532,2)="W|"),2*N2532*O2532,0)</f>
        <v/>
      </c>
      <c r="Z2532" s="9" t="inlineStr"/>
    </row>
    <row r="2533">
      <c r="A2533" s="9" t="inlineStr">
        <is>
          <t>K-I-0055</t>
        </is>
      </c>
      <c r="B2533" s="9" t="inlineStr">
        <is>
          <t>K</t>
        </is>
      </c>
      <c r="C2533" s="9" t="inlineStr">
        <is>
          <t>Fuel supply (adjacent market)</t>
        </is>
      </c>
      <c r="D2533" s="9" t="inlineStr">
        <is>
          <t>Instrumentation</t>
        </is>
      </c>
      <c r="E2533" s="9" t="inlineStr"/>
      <c r="F2533" s="9" t="inlineStr">
        <is>
          <t>LNG 17: LNG e-house (13.8 kV / 480 V)</t>
        </is>
      </c>
      <c r="G2533" s="9" t="inlineStr"/>
      <c r="H2533" s="9" t="inlineStr">
        <is>
          <t>M&amp;R 5: ultrasonic meters, 2 runs (custody transfer)</t>
        </is>
      </c>
      <c r="I2533" s="9" t="inlineStr">
        <is>
          <t>Instrumentation</t>
        </is>
      </c>
      <c r="J2533" s="9" t="inlineStr">
        <is>
          <t>Instrumentation ITC / PLTC, IS, #18 shielded pairs, blue jacket</t>
        </is>
      </c>
      <c r="K2533" s="9" t="inlineStr">
        <is>
          <t>ITC|4 pr|18</t>
        </is>
      </c>
      <c r="L2533" s="9" t="inlineStr">
        <is>
          <t>4 pr</t>
        </is>
      </c>
      <c r="M2533" s="9" t="inlineStr">
        <is>
          <t>18</t>
        </is>
      </c>
      <c r="N2533" s="9" t="n">
        <v>1</v>
      </c>
      <c r="O2533" s="9" t="n">
        <v>1</v>
      </c>
      <c r="P2533" s="9" t="n"/>
      <c r="Q2533" s="9" t="n"/>
      <c r="R2533" s="9" t="n"/>
      <c r="S2533" s="9" t="inlineStr">
        <is>
          <t>Estimated</t>
        </is>
      </c>
      <c r="T2533" s="10" t="n">
        <v>404</v>
      </c>
      <c r="U2533" s="10" t="n">
        <v>40</v>
      </c>
      <c r="V2533" s="10">
        <f>ROUNDUP((T2533+U2533+2*'Read Me'!$B$13)*(1+'Read Me'!$B$12),-1)</f>
        <v/>
      </c>
      <c r="W2533" s="10">
        <f>V2533*N2533*O2533</f>
        <v/>
      </c>
      <c r="X2533" s="9">
        <f>IF(LEFT(I2533,2)="MV",2*N2533*IF(L2533="1/C",O2533,1),0)</f>
        <v/>
      </c>
      <c r="Y2533" s="9">
        <f>IF(OR(LEFT(K2533,4)="LVAX",LEFT(K2533,6)="MV15AX",LEFT(K2533,4)="CTAX",LEFT(K2533,2)="W|"),2*N2533*O2533,0)</f>
        <v/>
      </c>
      <c r="Z2533" s="9" t="inlineStr"/>
    </row>
    <row r="2534">
      <c r="A2534" s="9" t="inlineStr">
        <is>
          <t>K-I-0056</t>
        </is>
      </c>
      <c r="B2534" s="9" t="inlineStr">
        <is>
          <t>K</t>
        </is>
      </c>
      <c r="C2534" s="9" t="inlineStr">
        <is>
          <t>Fuel supply (adjacent market)</t>
        </is>
      </c>
      <c r="D2534" s="9" t="inlineStr">
        <is>
          <t>Instrumentation</t>
        </is>
      </c>
      <c r="E2534" s="9" t="inlineStr"/>
      <c r="F2534" s="9" t="inlineStr">
        <is>
          <t>LNG 17: LNG e-house (13.8 kV / 480 V)</t>
        </is>
      </c>
      <c r="G2534" s="9" t="inlineStr"/>
      <c r="H2534" s="9" t="inlineStr">
        <is>
          <t>M&amp;R 7: gas quality + measurement building</t>
        </is>
      </c>
      <c r="I2534" s="9" t="inlineStr">
        <is>
          <t>Instrumentation</t>
        </is>
      </c>
      <c r="J2534" s="9" t="inlineStr">
        <is>
          <t>Instrumentation ITC / PLTC, IS, #18 shielded pairs, blue jacket</t>
        </is>
      </c>
      <c r="K2534" s="9" t="inlineStr">
        <is>
          <t>ITC|4 pr|18</t>
        </is>
      </c>
      <c r="L2534" s="9" t="inlineStr">
        <is>
          <t>4 pr</t>
        </is>
      </c>
      <c r="M2534" s="9" t="inlineStr">
        <is>
          <t>18</t>
        </is>
      </c>
      <c r="N2534" s="9" t="n">
        <v>1</v>
      </c>
      <c r="O2534" s="9" t="n">
        <v>1</v>
      </c>
      <c r="P2534" s="9" t="n"/>
      <c r="Q2534" s="9" t="n"/>
      <c r="R2534" s="9" t="n"/>
      <c r="S2534" s="9" t="inlineStr">
        <is>
          <t>Estimated</t>
        </is>
      </c>
      <c r="T2534" s="10" t="n">
        <v>465</v>
      </c>
      <c r="U2534" s="10" t="n">
        <v>40</v>
      </c>
      <c r="V2534" s="10">
        <f>ROUNDUP((T2534+U2534+2*'Read Me'!$B$13)*(1+'Read Me'!$B$12),-1)</f>
        <v/>
      </c>
      <c r="W2534" s="10">
        <f>V2534*N2534*O2534</f>
        <v/>
      </c>
      <c r="X2534" s="9">
        <f>IF(LEFT(I2534,2)="MV",2*N2534*IF(L2534="1/C",O2534,1),0)</f>
        <v/>
      </c>
      <c r="Y2534" s="9">
        <f>IF(OR(LEFT(K2534,4)="LVAX",LEFT(K2534,6)="MV15AX",LEFT(K2534,4)="CTAX",LEFT(K2534,2)="W|"),2*N2534*O2534,0)</f>
        <v/>
      </c>
      <c r="Z2534" s="9" t="inlineStr"/>
    </row>
    <row r="2535">
      <c r="A2535" s="9" t="inlineStr">
        <is>
          <t>K-I-0057</t>
        </is>
      </c>
      <c r="B2535" s="9" t="inlineStr">
        <is>
          <t>K</t>
        </is>
      </c>
      <c r="C2535" s="9" t="inlineStr">
        <is>
          <t>Fuel supply (adjacent market)</t>
        </is>
      </c>
      <c r="D2535" s="9" t="inlineStr">
        <is>
          <t>Instrumentation</t>
        </is>
      </c>
      <c r="E2535" s="9" t="inlineStr"/>
      <c r="F2535" s="9" t="inlineStr">
        <is>
          <t>LNG 17: LNG e-house (13.8 kV / 480 V)</t>
        </is>
      </c>
      <c r="G2535" s="9" t="inlineStr"/>
      <c r="H2535" s="9" t="inlineStr">
        <is>
          <t>M&amp;R 8: condensate tank</t>
        </is>
      </c>
      <c r="I2535" s="9" t="inlineStr">
        <is>
          <t>Instrumentation</t>
        </is>
      </c>
      <c r="J2535" s="9" t="inlineStr">
        <is>
          <t>Instrumentation ITC / PLTC, IS, #18 shielded pairs, blue jacket</t>
        </is>
      </c>
      <c r="K2535" s="9" t="inlineStr">
        <is>
          <t>ITC|4 pr|18</t>
        </is>
      </c>
      <c r="L2535" s="9" t="inlineStr">
        <is>
          <t>4 pr</t>
        </is>
      </c>
      <c r="M2535" s="9" t="inlineStr">
        <is>
          <t>18</t>
        </is>
      </c>
      <c r="N2535" s="9" t="n">
        <v>1</v>
      </c>
      <c r="O2535" s="9" t="n">
        <v>1</v>
      </c>
      <c r="P2535" s="9" t="n"/>
      <c r="Q2535" s="9" t="n"/>
      <c r="R2535" s="9" t="n"/>
      <c r="S2535" s="9" t="inlineStr">
        <is>
          <t>Estimated</t>
        </is>
      </c>
      <c r="T2535" s="10" t="n">
        <v>223</v>
      </c>
      <c r="U2535" s="10" t="n">
        <v>40</v>
      </c>
      <c r="V2535" s="10">
        <f>ROUNDUP((T2535+U2535+2*'Read Me'!$B$13)*(1+'Read Me'!$B$12),-1)</f>
        <v/>
      </c>
      <c r="W2535" s="10">
        <f>V2535*N2535*O2535</f>
        <v/>
      </c>
      <c r="X2535" s="9">
        <f>IF(LEFT(I2535,2)="MV",2*N2535*IF(L2535="1/C",O2535,1),0)</f>
        <v/>
      </c>
      <c r="Y2535" s="9">
        <f>IF(OR(LEFT(K2535,4)="LVAX",LEFT(K2535,6)="MV15AX",LEFT(K2535,4)="CTAX",LEFT(K2535,2)="W|"),2*N2535*O2535,0)</f>
        <v/>
      </c>
      <c r="Z2535" s="9" t="inlineStr"/>
    </row>
    <row r="2536">
      <c r="A2536" s="9" t="inlineStr">
        <is>
          <t>K-I-0058</t>
        </is>
      </c>
      <c r="B2536" s="9" t="inlineStr">
        <is>
          <t>K</t>
        </is>
      </c>
      <c r="C2536" s="9" t="inlineStr">
        <is>
          <t>Fuel supply (adjacent market)</t>
        </is>
      </c>
      <c r="D2536" s="9" t="inlineStr">
        <is>
          <t>Instrumentation</t>
        </is>
      </c>
      <c r="E2536" s="9" t="inlineStr"/>
      <c r="F2536" s="9" t="inlineStr">
        <is>
          <t>LNG 17: LNG e-house (13.8 kV / 480 V)</t>
        </is>
      </c>
      <c r="G2536" s="9" t="inlineStr"/>
      <c r="H2536" s="9" t="inlineStr">
        <is>
          <t>M&amp;R 8: condensate tank</t>
        </is>
      </c>
      <c r="I2536" s="9" t="inlineStr">
        <is>
          <t>Instrumentation</t>
        </is>
      </c>
      <c r="J2536" s="9" t="inlineStr">
        <is>
          <t>Instrumentation ITC / PLTC, IS, #18 shielded pairs, blue jacket</t>
        </is>
      </c>
      <c r="K2536" s="9" t="inlineStr">
        <is>
          <t>ITC|12 pr|18</t>
        </is>
      </c>
      <c r="L2536" s="9" t="inlineStr">
        <is>
          <t>12 pr</t>
        </is>
      </c>
      <c r="M2536" s="9" t="inlineStr">
        <is>
          <t>18</t>
        </is>
      </c>
      <c r="N2536" s="9" t="n">
        <v>1</v>
      </c>
      <c r="O2536" s="9" t="n">
        <v>1</v>
      </c>
      <c r="P2536" s="9" t="n"/>
      <c r="Q2536" s="9" t="n"/>
      <c r="R2536" s="9" t="n"/>
      <c r="S2536" s="9" t="inlineStr">
        <is>
          <t>Estimated</t>
        </is>
      </c>
      <c r="T2536" s="10" t="n">
        <v>223</v>
      </c>
      <c r="U2536" s="10" t="n">
        <v>40</v>
      </c>
      <c r="V2536" s="10">
        <f>ROUNDUP((T2536+U2536+2*'Read Me'!$B$13)*(1+'Read Me'!$B$12),-1)</f>
        <v/>
      </c>
      <c r="W2536" s="10">
        <f>V2536*N2536*O2536</f>
        <v/>
      </c>
      <c r="X2536" s="9">
        <f>IF(LEFT(I2536,2)="MV",2*N2536*IF(L2536="1/C",O2536,1),0)</f>
        <v/>
      </c>
      <c r="Y2536" s="9">
        <f>IF(OR(LEFT(K2536,4)="LVAX",LEFT(K2536,6)="MV15AX",LEFT(K2536,4)="CTAX",LEFT(K2536,2)="W|"),2*N2536*O2536,0)</f>
        <v/>
      </c>
      <c r="Z2536" s="9" t="inlineStr"/>
    </row>
    <row r="2537">
      <c r="A2537" s="9" t="inlineStr">
        <is>
          <t>K-I-0059</t>
        </is>
      </c>
      <c r="B2537" s="9" t="inlineStr">
        <is>
          <t>K</t>
        </is>
      </c>
      <c r="C2537" s="9" t="inlineStr">
        <is>
          <t>Fuel supply (adjacent market)</t>
        </is>
      </c>
      <c r="D2537" s="9" t="inlineStr">
        <is>
          <t>Instrumentation</t>
        </is>
      </c>
      <c r="E2537" s="9" t="inlineStr"/>
      <c r="F2537" s="9" t="inlineStr">
        <is>
          <t>LNG 17: LNG e-house (13.8 kV / 480 V)</t>
        </is>
      </c>
      <c r="G2537" s="9" t="inlineStr"/>
      <c r="H2537" s="9" t="inlineStr">
        <is>
          <t>M&amp;R CP test station (as drawn)</t>
        </is>
      </c>
      <c r="I2537" s="9" t="inlineStr">
        <is>
          <t>Instrumentation</t>
        </is>
      </c>
      <c r="J2537" s="9" t="inlineStr">
        <is>
          <t>Instrumentation ITC / PLTC, IS, #18 shielded pairs, blue jacket</t>
        </is>
      </c>
      <c r="K2537" s="9" t="inlineStr">
        <is>
          <t>ITC|4 pr|18</t>
        </is>
      </c>
      <c r="L2537" s="9" t="inlineStr">
        <is>
          <t>4 pr</t>
        </is>
      </c>
      <c r="M2537" s="9" t="inlineStr">
        <is>
          <t>18</t>
        </is>
      </c>
      <c r="N2537" s="9" t="n">
        <v>1</v>
      </c>
      <c r="O2537" s="9" t="n">
        <v>1</v>
      </c>
      <c r="P2537" s="9" t="n"/>
      <c r="Q2537" s="9" t="n"/>
      <c r="R2537" s="9" t="n"/>
      <c r="S2537" s="9" t="inlineStr">
        <is>
          <t>Estimated</t>
        </is>
      </c>
      <c r="T2537" s="10" t="n">
        <v>328</v>
      </c>
      <c r="U2537" s="10" t="n">
        <v>40</v>
      </c>
      <c r="V2537" s="10">
        <f>ROUNDUP((T2537+U2537+2*'Read Me'!$B$13)*(1+'Read Me'!$B$12),-1)</f>
        <v/>
      </c>
      <c r="W2537" s="10">
        <f>V2537*N2537*O2537</f>
        <v/>
      </c>
      <c r="X2537" s="9">
        <f>IF(LEFT(I2537,2)="MV",2*N2537*IF(L2537="1/C",O2537,1),0)</f>
        <v/>
      </c>
      <c r="Y2537" s="9">
        <f>IF(OR(LEFT(K2537,4)="LVAX",LEFT(K2537,6)="MV15AX",LEFT(K2537,4)="CTAX",LEFT(K2537,2)="W|"),2*N2537*O2537,0)</f>
        <v/>
      </c>
      <c r="Z2537" s="9" t="inlineStr"/>
    </row>
    <row r="2538">
      <c r="A2538" s="9" t="inlineStr">
        <is>
          <t>K-I-0060</t>
        </is>
      </c>
      <c r="B2538" s="9" t="inlineStr">
        <is>
          <t>K</t>
        </is>
      </c>
      <c r="C2538" s="9" t="inlineStr">
        <is>
          <t>Fuel supply (adjacent market)</t>
        </is>
      </c>
      <c r="D2538" s="9" t="inlineStr">
        <is>
          <t>Instrumentation</t>
        </is>
      </c>
      <c r="E2538" s="9" t="inlineStr"/>
      <c r="F2538" s="9" t="inlineStr">
        <is>
          <t>H2 20: 13.8 kV e-house</t>
        </is>
      </c>
      <c r="G2538" s="9" t="inlineStr"/>
      <c r="H2538" s="9" t="inlineStr">
        <is>
          <t>PEM electrolyzer 1 (HyLYZER-1000)</t>
        </is>
      </c>
      <c r="I2538" s="9" t="inlineStr">
        <is>
          <t>Instrumentation</t>
        </is>
      </c>
      <c r="J2538" s="9" t="inlineStr">
        <is>
          <t>Instrumentation ITC / PLTC, IS, #18 shielded pairs, blue jacket</t>
        </is>
      </c>
      <c r="K2538" s="9" t="inlineStr">
        <is>
          <t>ITC|4 pr|18</t>
        </is>
      </c>
      <c r="L2538" s="9" t="inlineStr">
        <is>
          <t>4 pr</t>
        </is>
      </c>
      <c r="M2538" s="9" t="inlineStr">
        <is>
          <t>18</t>
        </is>
      </c>
      <c r="N2538" s="9" t="n">
        <v>1</v>
      </c>
      <c r="O2538" s="9" t="n">
        <v>1</v>
      </c>
      <c r="P2538" s="9" t="n"/>
      <c r="Q2538" s="9" t="n"/>
      <c r="R2538" s="9" t="n"/>
      <c r="S2538" s="9" t="inlineStr">
        <is>
          <t>Duct bank</t>
        </is>
      </c>
      <c r="T2538" s="10" t="n">
        <v>426</v>
      </c>
      <c r="U2538" s="10" t="n">
        <v>33</v>
      </c>
      <c r="V2538" s="10">
        <f>ROUNDUP((T2538+U2538+2*'Read Me'!$B$13)*(1+'Read Me'!$B$12),-1)</f>
        <v/>
      </c>
      <c r="W2538" s="10">
        <f>V2538*N2538*O2538</f>
        <v/>
      </c>
      <c r="X2538" s="9">
        <f>IF(LEFT(I2538,2)="MV",2*N2538*IF(L2538="1/C",O2538,1),0)</f>
        <v/>
      </c>
      <c r="Y2538" s="9">
        <f>IF(OR(LEFT(K2538,4)="LVAX",LEFT(K2538,6)="MV15AX",LEFT(K2538,4)="CTAX",LEFT(K2538,2)="W|"),2*N2538*O2538,0)</f>
        <v/>
      </c>
      <c r="Z2538" s="9" t="inlineStr"/>
    </row>
    <row r="2539">
      <c r="A2539" s="9" t="inlineStr">
        <is>
          <t>K-I-0061</t>
        </is>
      </c>
      <c r="B2539" s="9" t="inlineStr">
        <is>
          <t>K</t>
        </is>
      </c>
      <c r="C2539" s="9" t="inlineStr">
        <is>
          <t>Fuel supply (adjacent market)</t>
        </is>
      </c>
      <c r="D2539" s="9" t="inlineStr">
        <is>
          <t>Instrumentation</t>
        </is>
      </c>
      <c r="E2539" s="9" t="inlineStr"/>
      <c r="F2539" s="9" t="inlineStr">
        <is>
          <t>H2 20: 13.8 kV e-house</t>
        </is>
      </c>
      <c r="G2539" s="9" t="inlineStr"/>
      <c r="H2539" s="9" t="inlineStr">
        <is>
          <t>PEM electrolyzer 2 (HyLYZER-1000)</t>
        </is>
      </c>
      <c r="I2539" s="9" t="inlineStr">
        <is>
          <t>Instrumentation</t>
        </is>
      </c>
      <c r="J2539" s="9" t="inlineStr">
        <is>
          <t>Instrumentation ITC / PLTC, IS, #18 shielded pairs, blue jacket</t>
        </is>
      </c>
      <c r="K2539" s="9" t="inlineStr">
        <is>
          <t>ITC|4 pr|18</t>
        </is>
      </c>
      <c r="L2539" s="9" t="inlineStr">
        <is>
          <t>4 pr</t>
        </is>
      </c>
      <c r="M2539" s="9" t="inlineStr">
        <is>
          <t>18</t>
        </is>
      </c>
      <c r="N2539" s="9" t="n">
        <v>1</v>
      </c>
      <c r="O2539" s="9" t="n">
        <v>1</v>
      </c>
      <c r="P2539" s="9" t="n"/>
      <c r="Q2539" s="9" t="n"/>
      <c r="R2539" s="9" t="n"/>
      <c r="S2539" s="9" t="inlineStr">
        <is>
          <t>Duct bank</t>
        </is>
      </c>
      <c r="T2539" s="10" t="n">
        <v>379</v>
      </c>
      <c r="U2539" s="10" t="n">
        <v>49</v>
      </c>
      <c r="V2539" s="10">
        <f>ROUNDUP((T2539+U2539+2*'Read Me'!$B$13)*(1+'Read Me'!$B$12),-1)</f>
        <v/>
      </c>
      <c r="W2539" s="10">
        <f>V2539*N2539*O2539</f>
        <v/>
      </c>
      <c r="X2539" s="9">
        <f>IF(LEFT(I2539,2)="MV",2*N2539*IF(L2539="1/C",O2539,1),0)</f>
        <v/>
      </c>
      <c r="Y2539" s="9">
        <f>IF(OR(LEFT(K2539,4)="LVAX",LEFT(K2539,6)="MV15AX",LEFT(K2539,4)="CTAX",LEFT(K2539,2)="W|"),2*N2539*O2539,0)</f>
        <v/>
      </c>
      <c r="Z2539" s="9" t="inlineStr"/>
    </row>
    <row r="2540">
      <c r="A2540" s="9" t="inlineStr">
        <is>
          <t>K-I-0062</t>
        </is>
      </c>
      <c r="B2540" s="9" t="inlineStr">
        <is>
          <t>K</t>
        </is>
      </c>
      <c r="C2540" s="9" t="inlineStr">
        <is>
          <t>Fuel supply (adjacent market)</t>
        </is>
      </c>
      <c r="D2540" s="9" t="inlineStr">
        <is>
          <t>Instrumentation</t>
        </is>
      </c>
      <c r="E2540" s="9" t="inlineStr"/>
      <c r="F2540" s="9" t="inlineStr">
        <is>
          <t>H2 20: 13.8 kV e-house</t>
        </is>
      </c>
      <c r="G2540" s="9" t="inlineStr"/>
      <c r="H2540" s="9" t="inlineStr">
        <is>
          <t>PEM electrolyzer 3 (HyLYZER-1000)</t>
        </is>
      </c>
      <c r="I2540" s="9" t="inlineStr">
        <is>
          <t>Instrumentation</t>
        </is>
      </c>
      <c r="J2540" s="9" t="inlineStr">
        <is>
          <t>Instrumentation ITC / PLTC, IS, #18 shielded pairs, blue jacket</t>
        </is>
      </c>
      <c r="K2540" s="9" t="inlineStr">
        <is>
          <t>ITC|4 pr|18</t>
        </is>
      </c>
      <c r="L2540" s="9" t="inlineStr">
        <is>
          <t>4 pr</t>
        </is>
      </c>
      <c r="M2540" s="9" t="inlineStr">
        <is>
          <t>18</t>
        </is>
      </c>
      <c r="N2540" s="9" t="n">
        <v>1</v>
      </c>
      <c r="O2540" s="9" t="n">
        <v>1</v>
      </c>
      <c r="P2540" s="9" t="n"/>
      <c r="Q2540" s="9" t="n"/>
      <c r="R2540" s="9" t="n"/>
      <c r="S2540" s="9" t="inlineStr">
        <is>
          <t>Duct bank</t>
        </is>
      </c>
      <c r="T2540" s="10" t="n">
        <v>356</v>
      </c>
      <c r="U2540" s="10" t="n">
        <v>49</v>
      </c>
      <c r="V2540" s="10">
        <f>ROUNDUP((T2540+U2540+2*'Read Me'!$B$13)*(1+'Read Me'!$B$12),-1)</f>
        <v/>
      </c>
      <c r="W2540" s="10">
        <f>V2540*N2540*O2540</f>
        <v/>
      </c>
      <c r="X2540" s="9">
        <f>IF(LEFT(I2540,2)="MV",2*N2540*IF(L2540="1/C",O2540,1),0)</f>
        <v/>
      </c>
      <c r="Y2540" s="9">
        <f>IF(OR(LEFT(K2540,4)="LVAX",LEFT(K2540,6)="MV15AX",LEFT(K2540,4)="CTAX",LEFT(K2540,2)="W|"),2*N2540*O2540,0)</f>
        <v/>
      </c>
      <c r="Z2540" s="9" t="inlineStr"/>
    </row>
    <row r="2541">
      <c r="A2541" s="9" t="inlineStr">
        <is>
          <t>K-I-0063</t>
        </is>
      </c>
      <c r="B2541" s="9" t="inlineStr">
        <is>
          <t>K</t>
        </is>
      </c>
      <c r="C2541" s="9" t="inlineStr">
        <is>
          <t>Fuel supply (adjacent market)</t>
        </is>
      </c>
      <c r="D2541" s="9" t="inlineStr">
        <is>
          <t>Instrumentation</t>
        </is>
      </c>
      <c r="E2541" s="9" t="inlineStr"/>
      <c r="F2541" s="9" t="inlineStr">
        <is>
          <t>H2 20: 13.8 kV e-house</t>
        </is>
      </c>
      <c r="G2541" s="9" t="inlineStr"/>
      <c r="H2541" s="9" t="inlineStr">
        <is>
          <t>PEM electrolyzer 4 (HyLYZER-1000)</t>
        </is>
      </c>
      <c r="I2541" s="9" t="inlineStr">
        <is>
          <t>Instrumentation</t>
        </is>
      </c>
      <c r="J2541" s="9" t="inlineStr">
        <is>
          <t>Instrumentation ITC / PLTC, IS, #18 shielded pairs, blue jacket</t>
        </is>
      </c>
      <c r="K2541" s="9" t="inlineStr">
        <is>
          <t>ITC|4 pr|18</t>
        </is>
      </c>
      <c r="L2541" s="9" t="inlineStr">
        <is>
          <t>4 pr</t>
        </is>
      </c>
      <c r="M2541" s="9" t="inlineStr">
        <is>
          <t>18</t>
        </is>
      </c>
      <c r="N2541" s="9" t="n">
        <v>1</v>
      </c>
      <c r="O2541" s="9" t="n">
        <v>1</v>
      </c>
      <c r="P2541" s="9" t="n"/>
      <c r="Q2541" s="9" t="n"/>
      <c r="R2541" s="9" t="n"/>
      <c r="S2541" s="9" t="inlineStr">
        <is>
          <t>Duct bank</t>
        </is>
      </c>
      <c r="T2541" s="10" t="n">
        <v>333</v>
      </c>
      <c r="U2541" s="10" t="n">
        <v>49</v>
      </c>
      <c r="V2541" s="10">
        <f>ROUNDUP((T2541+U2541+2*'Read Me'!$B$13)*(1+'Read Me'!$B$12),-1)</f>
        <v/>
      </c>
      <c r="W2541" s="10">
        <f>V2541*N2541*O2541</f>
        <v/>
      </c>
      <c r="X2541" s="9">
        <f>IF(LEFT(I2541,2)="MV",2*N2541*IF(L2541="1/C",O2541,1),0)</f>
        <v/>
      </c>
      <c r="Y2541" s="9">
        <f>IF(OR(LEFT(K2541,4)="LVAX",LEFT(K2541,6)="MV15AX",LEFT(K2541,4)="CTAX",LEFT(K2541,2)="W|"),2*N2541*O2541,0)</f>
        <v/>
      </c>
      <c r="Z2541" s="9" t="inlineStr"/>
    </row>
    <row r="2542">
      <c r="A2542" s="9" t="inlineStr">
        <is>
          <t>K-I-0064</t>
        </is>
      </c>
      <c r="B2542" s="9" t="inlineStr">
        <is>
          <t>K</t>
        </is>
      </c>
      <c r="C2542" s="9" t="inlineStr">
        <is>
          <t>Fuel supply (adjacent market)</t>
        </is>
      </c>
      <c r="D2542" s="9" t="inlineStr">
        <is>
          <t>Instrumentation</t>
        </is>
      </c>
      <c r="E2542" s="9" t="inlineStr"/>
      <c r="F2542" s="9" t="inlineStr">
        <is>
          <t>H2 20: 13.8 kV e-house</t>
        </is>
      </c>
      <c r="G2542" s="9" t="inlineStr"/>
      <c r="H2542" s="9" t="inlineStr">
        <is>
          <t>PEM electrolyzer 5 (HyLYZER-1000)</t>
        </is>
      </c>
      <c r="I2542" s="9" t="inlineStr">
        <is>
          <t>Instrumentation</t>
        </is>
      </c>
      <c r="J2542" s="9" t="inlineStr">
        <is>
          <t>Instrumentation ITC / PLTC, IS, #18 shielded pairs, blue jacket</t>
        </is>
      </c>
      <c r="K2542" s="9" t="inlineStr">
        <is>
          <t>ITC|4 pr|18</t>
        </is>
      </c>
      <c r="L2542" s="9" t="inlineStr">
        <is>
          <t>4 pr</t>
        </is>
      </c>
      <c r="M2542" s="9" t="inlineStr">
        <is>
          <t>18</t>
        </is>
      </c>
      <c r="N2542" s="9" t="n">
        <v>1</v>
      </c>
      <c r="O2542" s="9" t="n">
        <v>1</v>
      </c>
      <c r="P2542" s="9" t="n"/>
      <c r="Q2542" s="9" t="n"/>
      <c r="R2542" s="9" t="n"/>
      <c r="S2542" s="9" t="inlineStr">
        <is>
          <t>Duct bank</t>
        </is>
      </c>
      <c r="T2542" s="10" t="n">
        <v>303</v>
      </c>
      <c r="U2542" s="10" t="n">
        <v>59</v>
      </c>
      <c r="V2542" s="10">
        <f>ROUNDUP((T2542+U2542+2*'Read Me'!$B$13)*(1+'Read Me'!$B$12),-1)</f>
        <v/>
      </c>
      <c r="W2542" s="10">
        <f>V2542*N2542*O2542</f>
        <v/>
      </c>
      <c r="X2542" s="9">
        <f>IF(LEFT(I2542,2)="MV",2*N2542*IF(L2542="1/C",O2542,1),0)</f>
        <v/>
      </c>
      <c r="Y2542" s="9">
        <f>IF(OR(LEFT(K2542,4)="LVAX",LEFT(K2542,6)="MV15AX",LEFT(K2542,4)="CTAX",LEFT(K2542,2)="W|"),2*N2542*O2542,0)</f>
        <v/>
      </c>
      <c r="Z2542" s="9" t="inlineStr"/>
    </row>
    <row r="2543">
      <c r="A2543" s="9" t="inlineStr">
        <is>
          <t>K-P-0001</t>
        </is>
      </c>
      <c r="B2543" s="9" t="inlineStr">
        <is>
          <t>K</t>
        </is>
      </c>
      <c r="C2543" s="9" t="inlineStr">
        <is>
          <t>Fuel supply (adjacent market)</t>
        </is>
      </c>
      <c r="D2543" s="9" t="inlineStr">
        <is>
          <t>LV panel / distribution feeder</t>
        </is>
      </c>
      <c r="E2543" s="9" t="inlineStr"/>
      <c r="F2543" s="9" t="inlineStr">
        <is>
          <t>H2 20: 13.8 kV e-house</t>
        </is>
      </c>
      <c r="G2543" s="9" t="inlineStr"/>
      <c r="H2543" s="9" t="inlineStr">
        <is>
          <t>H2 20: 13.8 kV e-house</t>
        </is>
      </c>
      <c r="I2543" s="9" t="inlineStr">
        <is>
          <t>LV 600 V</t>
        </is>
      </c>
      <c r="J2543" s="9" t="inlineStr">
        <is>
          <t>ARMOR-X MC-HL 600 V 3/C Cu XHHW-2 + ground, CWA, black PVC (Class I Div 2)</t>
        </is>
      </c>
      <c r="K2543" s="9" t="inlineStr">
        <is>
          <t>LVAX|3/C+G|6</t>
        </is>
      </c>
      <c r="L2543" s="9" t="inlineStr">
        <is>
          <t>3/C+G</t>
        </is>
      </c>
      <c r="M2543" s="9" t="inlineStr">
        <is>
          <t>6</t>
        </is>
      </c>
      <c r="N2543" s="9" t="n">
        <v>1</v>
      </c>
      <c r="O2543" s="9" t="n">
        <v>1</v>
      </c>
      <c r="P2543" s="9" t="n">
        <v>480</v>
      </c>
      <c r="Q2543" s="9" t="n">
        <v>30</v>
      </c>
      <c r="R2543" s="9" t="n">
        <v>42</v>
      </c>
      <c r="S2543" s="9" t="inlineStr">
        <is>
          <t>Tray</t>
        </is>
      </c>
      <c r="T2543" s="10" t="n">
        <v>0</v>
      </c>
      <c r="U2543" s="10" t="n">
        <v>32</v>
      </c>
      <c r="V2543" s="10">
        <f>ROUNDUP((T2543+U2543+2*'Read Me'!$B$13)*(1+'Read Me'!$B$12),-1)</f>
        <v/>
      </c>
      <c r="W2543" s="10">
        <f>V2543*N2543*O2543</f>
        <v/>
      </c>
      <c r="X2543" s="9">
        <f>IF(LEFT(I2543,2)="MV",2*N2543*IF(L2543="1/C",O2543,1),0)</f>
        <v/>
      </c>
      <c r="Y2543" s="9">
        <f>IF(OR(LEFT(K2543,4)="LVAX",LEFT(K2543,6)="MV15AX",LEFT(K2543,4)="CTAX",LEFT(K2543,2)="W|"),2*N2543*O2543,0)</f>
        <v/>
      </c>
      <c r="Z2543" s="9" t="inlineStr">
        <is>
          <t>VD 0.3 %</t>
        </is>
      </c>
    </row>
    <row r="2544">
      <c r="A2544" s="9" t="inlineStr">
        <is>
          <t>K-P-0002</t>
        </is>
      </c>
      <c r="B2544" s="9" t="inlineStr">
        <is>
          <t>K</t>
        </is>
      </c>
      <c r="C2544" s="9" t="inlineStr">
        <is>
          <t>Fuel supply (adjacent market)</t>
        </is>
      </c>
      <c r="D2544" s="9" t="inlineStr">
        <is>
          <t>LV power feeder</t>
        </is>
      </c>
      <c r="E2544" s="9" t="inlineStr"/>
      <c r="F2544" s="9" t="inlineStr">
        <is>
          <t>H2 20: 13.8 kV e-house</t>
        </is>
      </c>
      <c r="G2544" s="9" t="inlineStr"/>
      <c r="H2544" s="9" t="inlineStr">
        <is>
          <t>H2 23: dry coolers</t>
        </is>
      </c>
      <c r="I2544" s="9" t="inlineStr">
        <is>
          <t>LV 600 V</t>
        </is>
      </c>
      <c r="J2544" s="9" t="inlineStr">
        <is>
          <t>ARMOR-X MC-HL 600 V 3/C Cu XHHW-2 + ground, CWA, black PVC (Class I Div 2)</t>
        </is>
      </c>
      <c r="K2544" s="9" t="inlineStr">
        <is>
          <t>LVAX|3/C+G|10</t>
        </is>
      </c>
      <c r="L2544" s="9" t="inlineStr">
        <is>
          <t>3/C+G</t>
        </is>
      </c>
      <c r="M2544" s="9" t="inlineStr">
        <is>
          <t>10</t>
        </is>
      </c>
      <c r="N2544" s="9" t="n">
        <v>1</v>
      </c>
      <c r="O2544" s="9" t="n">
        <v>1</v>
      </c>
      <c r="P2544" s="9" t="n">
        <v>480</v>
      </c>
      <c r="Q2544" s="9" t="n">
        <v>15</v>
      </c>
      <c r="R2544" s="9" t="n">
        <v>21</v>
      </c>
      <c r="S2544" s="9" t="inlineStr">
        <is>
          <t>Duct bank</t>
        </is>
      </c>
      <c r="T2544" s="10" t="n">
        <v>53</v>
      </c>
      <c r="U2544" s="10" t="n">
        <v>77</v>
      </c>
      <c r="V2544" s="10">
        <f>ROUNDUP((T2544+U2544+2*'Read Me'!$B$13)*(1+'Read Me'!$B$12),-1)</f>
        <v/>
      </c>
      <c r="W2544" s="10">
        <f>V2544*N2544*O2544</f>
        <v/>
      </c>
      <c r="X2544" s="9">
        <f>IF(LEFT(I2544,2)="MV",2*N2544*IF(L2544="1/C",O2544,1),0)</f>
        <v/>
      </c>
      <c r="Y2544" s="9">
        <f>IF(OR(LEFT(K2544,4)="LVAX",LEFT(K2544,6)="MV15AX",LEFT(K2544,4)="CTAX",LEFT(K2544,2)="W|"),2*N2544*O2544,0)</f>
        <v/>
      </c>
      <c r="Z2544" s="9" t="inlineStr">
        <is>
          <t>VD 1.3 %</t>
        </is>
      </c>
    </row>
    <row r="2545">
      <c r="A2545" s="9" t="inlineStr">
        <is>
          <t>K-P-0003</t>
        </is>
      </c>
      <c r="B2545" s="9" t="inlineStr">
        <is>
          <t>K</t>
        </is>
      </c>
      <c r="C2545" s="9" t="inlineStr">
        <is>
          <t>Fuel supply (adjacent market)</t>
        </is>
      </c>
      <c r="D2545" s="9" t="inlineStr">
        <is>
          <t>LV power feeder</t>
        </is>
      </c>
      <c r="E2545" s="9" t="inlineStr"/>
      <c r="F2545" s="9" t="inlineStr">
        <is>
          <t>H2 20: 13.8 kV e-house</t>
        </is>
      </c>
      <c r="G2545" s="9" t="inlineStr"/>
      <c r="H2545" s="9" t="inlineStr">
        <is>
          <t>H2 24: water purification (RO / EDI)</t>
        </is>
      </c>
      <c r="I2545" s="9" t="inlineStr">
        <is>
          <t>LV 600 V</t>
        </is>
      </c>
      <c r="J2545" s="9" t="inlineStr">
        <is>
          <t>ARMOR-X MC-HL 600 V 3/C Cu XHHW-2 + ground, CWA, black PVC (Class I Div 2)</t>
        </is>
      </c>
      <c r="K2545" s="9" t="inlineStr">
        <is>
          <t>LVAX|3/C+G|10</t>
        </is>
      </c>
      <c r="L2545" s="9" t="inlineStr">
        <is>
          <t>3/C+G</t>
        </is>
      </c>
      <c r="M2545" s="9" t="inlineStr">
        <is>
          <t>10</t>
        </is>
      </c>
      <c r="N2545" s="9" t="n">
        <v>1</v>
      </c>
      <c r="O2545" s="9" t="n">
        <v>1</v>
      </c>
      <c r="P2545" s="9" t="n">
        <v>480</v>
      </c>
      <c r="Q2545" s="9" t="n">
        <v>15</v>
      </c>
      <c r="R2545" s="9" t="n">
        <v>21</v>
      </c>
      <c r="S2545" s="9" t="inlineStr">
        <is>
          <t>Duct bank</t>
        </is>
      </c>
      <c r="T2545" s="10" t="n">
        <v>146</v>
      </c>
      <c r="U2545" s="10" t="n">
        <v>32</v>
      </c>
      <c r="V2545" s="10">
        <f>ROUNDUP((T2545+U2545+2*'Read Me'!$B$13)*(1+'Read Me'!$B$12),-1)</f>
        <v/>
      </c>
      <c r="W2545" s="10">
        <f>V2545*N2545*O2545</f>
        <v/>
      </c>
      <c r="X2545" s="9">
        <f>IF(LEFT(I2545,2)="MV",2*N2545*IF(L2545="1/C",O2545,1),0)</f>
        <v/>
      </c>
      <c r="Y2545" s="9">
        <f>IF(OR(LEFT(K2545,4)="LVAX",LEFT(K2545,6)="MV15AX",LEFT(K2545,4)="CTAX",LEFT(K2545,2)="W|"),2*N2545*O2545,0)</f>
        <v/>
      </c>
      <c r="Z2545" s="9" t="inlineStr">
        <is>
          <t>VD 1.8 %</t>
        </is>
      </c>
    </row>
    <row r="2546">
      <c r="A2546" s="9" t="inlineStr">
        <is>
          <t>K-P-0004</t>
        </is>
      </c>
      <c r="B2546" s="9" t="inlineStr">
        <is>
          <t>K</t>
        </is>
      </c>
      <c r="C2546" s="9" t="inlineStr">
        <is>
          <t>Fuel supply (adjacent market)</t>
        </is>
      </c>
      <c r="D2546" s="9" t="inlineStr">
        <is>
          <t>LV power feeder</t>
        </is>
      </c>
      <c r="E2546" s="9" t="inlineStr"/>
      <c r="F2546" s="9" t="inlineStr">
        <is>
          <t>H2 20: 13.8 kV e-house</t>
        </is>
      </c>
      <c r="G2546" s="9" t="inlineStr"/>
      <c r="H2546" s="9" t="inlineStr">
        <is>
          <t>H2 25: H2 dryer / purification</t>
        </is>
      </c>
      <c r="I2546" s="9" t="inlineStr">
        <is>
          <t>LV 600 V</t>
        </is>
      </c>
      <c r="J2546" s="9" t="inlineStr">
        <is>
          <t>ARMOR-X MC-HL 600 V 3/C Cu XHHW-2 + ground, CWA, black PVC (Class I Div 2)</t>
        </is>
      </c>
      <c r="K2546" s="9" t="inlineStr">
        <is>
          <t>LVAX|3/C+G|10</t>
        </is>
      </c>
      <c r="L2546" s="9" t="inlineStr">
        <is>
          <t>3/C+G</t>
        </is>
      </c>
      <c r="M2546" s="9" t="inlineStr">
        <is>
          <t>10</t>
        </is>
      </c>
      <c r="N2546" s="9" t="n">
        <v>1</v>
      </c>
      <c r="O2546" s="9" t="n">
        <v>1</v>
      </c>
      <c r="P2546" s="9" t="n">
        <v>480</v>
      </c>
      <c r="Q2546" s="9" t="n">
        <v>15</v>
      </c>
      <c r="R2546" s="9" t="n">
        <v>21</v>
      </c>
      <c r="S2546" s="9" t="inlineStr">
        <is>
          <t>Conduit link</t>
        </is>
      </c>
      <c r="T2546" s="10" t="n">
        <v>0</v>
      </c>
      <c r="U2546" s="10" t="n">
        <v>49</v>
      </c>
      <c r="V2546" s="10">
        <f>ROUNDUP((T2546+U2546+2*'Read Me'!$B$13)*(1+'Read Me'!$B$12),-1)</f>
        <v/>
      </c>
      <c r="W2546" s="10">
        <f>V2546*N2546*O2546</f>
        <v/>
      </c>
      <c r="X2546" s="9">
        <f>IF(LEFT(I2546,2)="MV",2*N2546*IF(L2546="1/C",O2546,1),0)</f>
        <v/>
      </c>
      <c r="Y2546" s="9">
        <f>IF(OR(LEFT(K2546,4)="LVAX",LEFT(K2546,6)="MV15AX",LEFT(K2546,4)="CTAX",LEFT(K2546,2)="W|"),2*N2546*O2546,0)</f>
        <v/>
      </c>
      <c r="Z2546" s="9" t="inlineStr">
        <is>
          <t>VD 0.5 %</t>
        </is>
      </c>
    </row>
    <row r="2547">
      <c r="A2547" s="9" t="inlineStr">
        <is>
          <t>K-P-0005</t>
        </is>
      </c>
      <c r="B2547" s="9" t="inlineStr">
        <is>
          <t>K</t>
        </is>
      </c>
      <c r="C2547" s="9" t="inlineStr">
        <is>
          <t>Fuel supply (adjacent market)</t>
        </is>
      </c>
      <c r="D2547" s="9" t="inlineStr">
        <is>
          <t>LV power feeder</t>
        </is>
      </c>
      <c r="E2547" s="9" t="inlineStr"/>
      <c r="F2547" s="9" t="inlineStr">
        <is>
          <t>H2 20: 13.8 kV e-house</t>
        </is>
      </c>
      <c r="G2547" s="9" t="inlineStr"/>
      <c r="H2547" s="9" t="inlineStr">
        <is>
          <t>H2 26: H2 compressor 1 (40 ft ISO)</t>
        </is>
      </c>
      <c r="I2547" s="9" t="inlineStr">
        <is>
          <t>LV 600 V</t>
        </is>
      </c>
      <c r="J2547" s="9" t="inlineStr">
        <is>
          <t>ARMOR-X MC-HL 600 V 3/C Cu XHHW-2 + ground, CWA, black PVC (Class I Div 2)</t>
        </is>
      </c>
      <c r="K2547" s="9" t="inlineStr">
        <is>
          <t>LVAX|3/C+G|10</t>
        </is>
      </c>
      <c r="L2547" s="9" t="inlineStr">
        <is>
          <t>3/C+G</t>
        </is>
      </c>
      <c r="M2547" s="9" t="inlineStr">
        <is>
          <t>10</t>
        </is>
      </c>
      <c r="N2547" s="9" t="n">
        <v>1</v>
      </c>
      <c r="O2547" s="9" t="n">
        <v>1</v>
      </c>
      <c r="P2547" s="9" t="n">
        <v>480</v>
      </c>
      <c r="Q2547" s="9" t="n">
        <v>15</v>
      </c>
      <c r="R2547" s="9" t="n">
        <v>21</v>
      </c>
      <c r="S2547" s="9" t="inlineStr">
        <is>
          <t>Conduit link</t>
        </is>
      </c>
      <c r="T2547" s="10" t="n">
        <v>44</v>
      </c>
      <c r="U2547" s="10" t="n">
        <v>32</v>
      </c>
      <c r="V2547" s="10">
        <f>ROUNDUP((T2547+U2547+2*'Read Me'!$B$13)*(1+'Read Me'!$B$12),-1)</f>
        <v/>
      </c>
      <c r="W2547" s="10">
        <f>V2547*N2547*O2547</f>
        <v/>
      </c>
      <c r="X2547" s="9">
        <f>IF(LEFT(I2547,2)="MV",2*N2547*IF(L2547="1/C",O2547,1),0)</f>
        <v/>
      </c>
      <c r="Y2547" s="9">
        <f>IF(OR(LEFT(K2547,4)="LVAX",LEFT(K2547,6)="MV15AX",LEFT(K2547,4)="CTAX",LEFT(K2547,2)="W|"),2*N2547*O2547,0)</f>
        <v/>
      </c>
      <c r="Z2547" s="9" t="inlineStr">
        <is>
          <t>VD 0.8 %</t>
        </is>
      </c>
    </row>
    <row r="2548">
      <c r="A2548" s="9" t="inlineStr">
        <is>
          <t>K-P-0006</t>
        </is>
      </c>
      <c r="B2548" s="9" t="inlineStr">
        <is>
          <t>K</t>
        </is>
      </c>
      <c r="C2548" s="9" t="inlineStr">
        <is>
          <t>Fuel supply (adjacent market)</t>
        </is>
      </c>
      <c r="D2548" s="9" t="inlineStr">
        <is>
          <t>LV power feeder</t>
        </is>
      </c>
      <c r="E2548" s="9" t="inlineStr"/>
      <c r="F2548" s="9" t="inlineStr">
        <is>
          <t>H2 20: 13.8 kV e-house</t>
        </is>
      </c>
      <c r="G2548" s="9" t="inlineStr"/>
      <c r="H2548" s="9" t="inlineStr">
        <is>
          <t>H2 26: H2 compressor 2 (40 ft ISO)</t>
        </is>
      </c>
      <c r="I2548" s="9" t="inlineStr">
        <is>
          <t>LV 600 V</t>
        </is>
      </c>
      <c r="J2548" s="9" t="inlineStr">
        <is>
          <t>ARMOR-X MC-HL 600 V 3/C Cu XHHW-2 + ground, CWA, black PVC (Class I Div 2)</t>
        </is>
      </c>
      <c r="K2548" s="9" t="inlineStr">
        <is>
          <t>LVAX|3/C+G|10</t>
        </is>
      </c>
      <c r="L2548" s="9" t="inlineStr">
        <is>
          <t>3/C+G</t>
        </is>
      </c>
      <c r="M2548" s="9" t="inlineStr">
        <is>
          <t>10</t>
        </is>
      </c>
      <c r="N2548" s="9" t="n">
        <v>1</v>
      </c>
      <c r="O2548" s="9" t="n">
        <v>1</v>
      </c>
      <c r="P2548" s="9" t="n">
        <v>480</v>
      </c>
      <c r="Q2548" s="9" t="n">
        <v>15</v>
      </c>
      <c r="R2548" s="9" t="n">
        <v>21</v>
      </c>
      <c r="S2548" s="9" t="inlineStr">
        <is>
          <t>Conduit link</t>
        </is>
      </c>
      <c r="T2548" s="10" t="n">
        <v>44</v>
      </c>
      <c r="U2548" s="10" t="n">
        <v>47</v>
      </c>
      <c r="V2548" s="10">
        <f>ROUNDUP((T2548+U2548+2*'Read Me'!$B$13)*(1+'Read Me'!$B$12),-1)</f>
        <v/>
      </c>
      <c r="W2548" s="10">
        <f>V2548*N2548*O2548</f>
        <v/>
      </c>
      <c r="X2548" s="9">
        <f>IF(LEFT(I2548,2)="MV",2*N2548*IF(L2548="1/C",O2548,1),0)</f>
        <v/>
      </c>
      <c r="Y2548" s="9">
        <f>IF(OR(LEFT(K2548,4)="LVAX",LEFT(K2548,6)="MV15AX",LEFT(K2548,4)="CTAX",LEFT(K2548,2)="W|"),2*N2548*O2548,0)</f>
        <v/>
      </c>
      <c r="Z2548" s="9" t="inlineStr">
        <is>
          <t>VD 0.9 %</t>
        </is>
      </c>
    </row>
    <row r="2549">
      <c r="A2549" s="9" t="inlineStr">
        <is>
          <t>K-P-0007</t>
        </is>
      </c>
      <c r="B2549" s="9" t="inlineStr">
        <is>
          <t>K</t>
        </is>
      </c>
      <c r="C2549" s="9" t="inlineStr">
        <is>
          <t>Fuel supply (adjacent market)</t>
        </is>
      </c>
      <c r="D2549" s="9" t="inlineStr">
        <is>
          <t>LV power feeder</t>
        </is>
      </c>
      <c r="E2549" s="9" t="inlineStr"/>
      <c r="F2549" s="9" t="inlineStr">
        <is>
          <t>LNG 17: LNG e-house (13.8 kV / 480 V)</t>
        </is>
      </c>
      <c r="G2549" s="9" t="inlineStr"/>
      <c r="H2549" s="9" t="inlineStr">
        <is>
          <t>H2 30: H2 / gas blending skid (plant gas yard)</t>
        </is>
      </c>
      <c r="I2549" s="9" t="inlineStr">
        <is>
          <t>LV 600 V</t>
        </is>
      </c>
      <c r="J2549" s="9" t="inlineStr">
        <is>
          <t>ARMOR-X MC-HL 600 V 3/C Cu XHHW-2 + ground, CWA, black PVC (Class I Div 2)</t>
        </is>
      </c>
      <c r="K2549" s="9" t="inlineStr">
        <is>
          <t>LVAX|3/C+G|6</t>
        </is>
      </c>
      <c r="L2549" s="9" t="inlineStr">
        <is>
          <t>3/C+G</t>
        </is>
      </c>
      <c r="M2549" s="9" t="inlineStr">
        <is>
          <t>6</t>
        </is>
      </c>
      <c r="N2549" s="9" t="n">
        <v>1</v>
      </c>
      <c r="O2549" s="9" t="n">
        <v>1</v>
      </c>
      <c r="P2549" s="9" t="n">
        <v>480</v>
      </c>
      <c r="Q2549" s="9" t="n">
        <v>15</v>
      </c>
      <c r="R2549" s="9" t="n">
        <v>21</v>
      </c>
      <c r="S2549" s="9" t="inlineStr">
        <is>
          <t>Estimated</t>
        </is>
      </c>
      <c r="T2549" s="10" t="n">
        <v>522</v>
      </c>
      <c r="U2549" s="10" t="n">
        <v>40</v>
      </c>
      <c r="V2549" s="10">
        <f>ROUNDUP((T2549+U2549+2*'Read Me'!$B$13)*(1+'Read Me'!$B$12),-1)</f>
        <v/>
      </c>
      <c r="W2549" s="10">
        <f>V2549*N2549*O2549</f>
        <v/>
      </c>
      <c r="X2549" s="9">
        <f>IF(LEFT(I2549,2)="MV",2*N2549*IF(L2549="1/C",O2549,1),0)</f>
        <v/>
      </c>
      <c r="Y2549" s="9">
        <f>IF(OR(LEFT(K2549,4)="LVAX",LEFT(K2549,6)="MV15AX",LEFT(K2549,4)="CTAX",LEFT(K2549,2)="W|"),2*N2549*O2549,0)</f>
        <v/>
      </c>
      <c r="Z2549" s="9" t="inlineStr">
        <is>
          <t>VD 2.3 %</t>
        </is>
      </c>
    </row>
    <row r="2550">
      <c r="A2550" s="9" t="inlineStr">
        <is>
          <t>K-P-0008</t>
        </is>
      </c>
      <c r="B2550" s="9" t="inlineStr">
        <is>
          <t>K</t>
        </is>
      </c>
      <c r="C2550" s="9" t="inlineStr">
        <is>
          <t>Fuel supply (adjacent market)</t>
        </is>
      </c>
      <c r="D2550" s="9" t="inlineStr">
        <is>
          <t>LV power feeder</t>
        </is>
      </c>
      <c r="E2550" s="9" t="inlineStr"/>
      <c r="F2550" s="9" t="inlineStr">
        <is>
          <t>H2 20: 13.8 kV e-house</t>
        </is>
      </c>
      <c r="G2550" s="9" t="inlineStr">
        <is>
          <t>H2-ST</t>
        </is>
      </c>
      <c r="H2550" s="9" t="inlineStr">
        <is>
          <t>H2 storage tube banks x4</t>
        </is>
      </c>
      <c r="I2550" s="9" t="inlineStr">
        <is>
          <t>LV 600 V</t>
        </is>
      </c>
      <c r="J2550" s="9" t="inlineStr">
        <is>
          <t>ARMOR-X MC-HL 600 V 3/C Cu XHHW-2 + ground, CWA, black PVC (Class I Div 2)</t>
        </is>
      </c>
      <c r="K2550" s="9" t="inlineStr">
        <is>
          <t>LVAX|3/C+G|10</t>
        </is>
      </c>
      <c r="L2550" s="9" t="inlineStr">
        <is>
          <t>3/C+G</t>
        </is>
      </c>
      <c r="M2550" s="9" t="inlineStr">
        <is>
          <t>10</t>
        </is>
      </c>
      <c r="N2550" s="9" t="n">
        <v>1</v>
      </c>
      <c r="O2550" s="9" t="n">
        <v>1</v>
      </c>
      <c r="P2550" s="9" t="n">
        <v>480</v>
      </c>
      <c r="Q2550" s="9" t="n">
        <v>15</v>
      </c>
      <c r="R2550" s="9" t="n">
        <v>21</v>
      </c>
      <c r="S2550" s="9" t="inlineStr">
        <is>
          <t>Conduit link</t>
        </is>
      </c>
      <c r="T2550" s="10" t="n">
        <v>44</v>
      </c>
      <c r="U2550" s="10" t="n">
        <v>92</v>
      </c>
      <c r="V2550" s="10">
        <f>ROUNDUP((T2550+U2550+2*'Read Me'!$B$13)*(1+'Read Me'!$B$12),-1)</f>
        <v/>
      </c>
      <c r="W2550" s="10">
        <f>V2550*N2550*O2550</f>
        <v/>
      </c>
      <c r="X2550" s="9">
        <f>IF(LEFT(I2550,2)="MV",2*N2550*IF(L2550="1/C",O2550,1),0)</f>
        <v/>
      </c>
      <c r="Y2550" s="9">
        <f>IF(OR(LEFT(K2550,4)="LVAX",LEFT(K2550,6)="MV15AX",LEFT(K2550,4)="CTAX",LEFT(K2550,2)="W|"),2*N2550*O2550,0)</f>
        <v/>
      </c>
      <c r="Z2550" s="9" t="inlineStr">
        <is>
          <t>VD 1.4 %</t>
        </is>
      </c>
    </row>
    <row r="2551">
      <c r="A2551" s="9" t="inlineStr">
        <is>
          <t>K-P-0009</t>
        </is>
      </c>
      <c r="B2551" s="9" t="inlineStr">
        <is>
          <t>K</t>
        </is>
      </c>
      <c r="C2551" s="9" t="inlineStr">
        <is>
          <t>Fuel supply (adjacent market)</t>
        </is>
      </c>
      <c r="D2551" s="9" t="inlineStr">
        <is>
          <t>LV power feeder</t>
        </is>
      </c>
      <c r="E2551" s="9" t="inlineStr"/>
      <c r="F2551" s="9" t="inlineStr">
        <is>
          <t>LNG 17: LNG e-house (13.8 kV / 480 V)</t>
        </is>
      </c>
      <c r="G2551" s="9" t="inlineStr"/>
      <c r="H2551" s="9" t="inlineStr">
        <is>
          <t>LNG 10: unloading skid</t>
        </is>
      </c>
      <c r="I2551" s="9" t="inlineStr">
        <is>
          <t>LV 600 V</t>
        </is>
      </c>
      <c r="J2551" s="9" t="inlineStr">
        <is>
          <t>ARMOR-X MC-HL 600 V 3/C Cu XHHW-2 + ground, CWA, black PVC (Class I Div 2)</t>
        </is>
      </c>
      <c r="K2551" s="9" t="inlineStr">
        <is>
          <t>LVAX|3/C+G|10</t>
        </is>
      </c>
      <c r="L2551" s="9" t="inlineStr">
        <is>
          <t>3/C+G</t>
        </is>
      </c>
      <c r="M2551" s="9" t="inlineStr">
        <is>
          <t>10</t>
        </is>
      </c>
      <c r="N2551" s="9" t="n">
        <v>1</v>
      </c>
      <c r="O2551" s="9" t="n">
        <v>1</v>
      </c>
      <c r="P2551" s="9" t="n">
        <v>480</v>
      </c>
      <c r="Q2551" s="9" t="n">
        <v>15</v>
      </c>
      <c r="R2551" s="9" t="n">
        <v>21</v>
      </c>
      <c r="S2551" s="9" t="inlineStr">
        <is>
          <t>Duct bank</t>
        </is>
      </c>
      <c r="T2551" s="10" t="n">
        <v>237</v>
      </c>
      <c r="U2551" s="10" t="n">
        <v>32</v>
      </c>
      <c r="V2551" s="10">
        <f>ROUNDUP((T2551+U2551+2*'Read Me'!$B$13)*(1+'Read Me'!$B$12),-1)</f>
        <v/>
      </c>
      <c r="W2551" s="10">
        <f>V2551*N2551*O2551</f>
        <v/>
      </c>
      <c r="X2551" s="9">
        <f>IF(LEFT(I2551,2)="MV",2*N2551*IF(L2551="1/C",O2551,1),0)</f>
        <v/>
      </c>
      <c r="Y2551" s="9">
        <f>IF(OR(LEFT(K2551,4)="LVAX",LEFT(K2551,6)="MV15AX",LEFT(K2551,4)="CTAX",LEFT(K2551,2)="W|"),2*N2551*O2551,0)</f>
        <v/>
      </c>
      <c r="Z2551" s="9" t="inlineStr">
        <is>
          <t>VD 2.7 %</t>
        </is>
      </c>
    </row>
    <row r="2552">
      <c r="A2552" s="9" t="inlineStr">
        <is>
          <t>K-P-0010</t>
        </is>
      </c>
      <c r="B2552" s="9" t="inlineStr">
        <is>
          <t>K</t>
        </is>
      </c>
      <c r="C2552" s="9" t="inlineStr">
        <is>
          <t>Fuel supply (adjacent market)</t>
        </is>
      </c>
      <c r="D2552" s="9" t="inlineStr">
        <is>
          <t>LV power feeder</t>
        </is>
      </c>
      <c r="E2552" s="9" t="inlineStr"/>
      <c r="F2552" s="9" t="inlineStr">
        <is>
          <t>LNG 17: LNG e-house (13.8 kV / 480 V)</t>
        </is>
      </c>
      <c r="G2552" s="9" t="inlineStr">
        <is>
          <t>LNG-T1</t>
        </is>
      </c>
      <c r="H2552" s="9" t="inlineStr">
        <is>
          <t>LNG 11: tank 1, Chart HS 50000 (51,780 gal)</t>
        </is>
      </c>
      <c r="I2552" s="9" t="inlineStr">
        <is>
          <t>LV 600 V</t>
        </is>
      </c>
      <c r="J2552" s="9" t="inlineStr">
        <is>
          <t>ARMOR-X MC-HL 600 V 3/C Cu XHHW-2 + ground, CWA, black PVC (Class I Div 2)</t>
        </is>
      </c>
      <c r="K2552" s="9" t="inlineStr">
        <is>
          <t>LVAX|3/C+G|10</t>
        </is>
      </c>
      <c r="L2552" s="9" t="inlineStr">
        <is>
          <t>3/C+G</t>
        </is>
      </c>
      <c r="M2552" s="9" t="inlineStr">
        <is>
          <t>10</t>
        </is>
      </c>
      <c r="N2552" s="9" t="n">
        <v>1</v>
      </c>
      <c r="O2552" s="9" t="n">
        <v>1</v>
      </c>
      <c r="P2552" s="9" t="n">
        <v>480</v>
      </c>
      <c r="Q2552" s="9" t="n">
        <v>10</v>
      </c>
      <c r="R2552" s="9" t="n">
        <v>14</v>
      </c>
      <c r="S2552" s="9" t="inlineStr">
        <is>
          <t>Duct bank</t>
        </is>
      </c>
      <c r="T2552" s="10" t="n">
        <v>210</v>
      </c>
      <c r="U2552" s="10" t="n">
        <v>32</v>
      </c>
      <c r="V2552" s="10">
        <f>ROUNDUP((T2552+U2552+2*'Read Me'!$B$13)*(1+'Read Me'!$B$12),-1)</f>
        <v/>
      </c>
      <c r="W2552" s="10">
        <f>V2552*N2552*O2552</f>
        <v/>
      </c>
      <c r="X2552" s="9">
        <f>IF(LEFT(I2552,2)="MV",2*N2552*IF(L2552="1/C",O2552,1),0)</f>
        <v/>
      </c>
      <c r="Y2552" s="9">
        <f>IF(OR(LEFT(K2552,4)="LVAX",LEFT(K2552,6)="MV15AX",LEFT(K2552,4)="CTAX",LEFT(K2552,2)="W|"),2*N2552*O2552,0)</f>
        <v/>
      </c>
      <c r="Z2552" s="9" t="inlineStr">
        <is>
          <t>VD 1.6 %</t>
        </is>
      </c>
    </row>
    <row r="2553">
      <c r="A2553" s="9" t="inlineStr">
        <is>
          <t>K-P-0011</t>
        </is>
      </c>
      <c r="B2553" s="9" t="inlineStr">
        <is>
          <t>K</t>
        </is>
      </c>
      <c r="C2553" s="9" t="inlineStr">
        <is>
          <t>Fuel supply (adjacent market)</t>
        </is>
      </c>
      <c r="D2553" s="9" t="inlineStr">
        <is>
          <t>LV power feeder</t>
        </is>
      </c>
      <c r="E2553" s="9" t="inlineStr"/>
      <c r="F2553" s="9" t="inlineStr">
        <is>
          <t>LNG 17: LNG e-house (13.8 kV / 480 V)</t>
        </is>
      </c>
      <c r="G2553" s="9" t="inlineStr">
        <is>
          <t>LNG-T2</t>
        </is>
      </c>
      <c r="H2553" s="9" t="inlineStr">
        <is>
          <t>LNG 11: tank 2, Chart HS 50000 (51,780 gal)</t>
        </is>
      </c>
      <c r="I2553" s="9" t="inlineStr">
        <is>
          <t>LV 600 V</t>
        </is>
      </c>
      <c r="J2553" s="9" t="inlineStr">
        <is>
          <t>ARMOR-X MC-HL 600 V 3/C Cu XHHW-2 + ground, CWA, black PVC (Class I Div 2)</t>
        </is>
      </c>
      <c r="K2553" s="9" t="inlineStr">
        <is>
          <t>LVAX|3/C+G|10</t>
        </is>
      </c>
      <c r="L2553" s="9" t="inlineStr">
        <is>
          <t>3/C+G</t>
        </is>
      </c>
      <c r="M2553" s="9" t="inlineStr">
        <is>
          <t>10</t>
        </is>
      </c>
      <c r="N2553" s="9" t="n">
        <v>1</v>
      </c>
      <c r="O2553" s="9" t="n">
        <v>1</v>
      </c>
      <c r="P2553" s="9" t="n">
        <v>480</v>
      </c>
      <c r="Q2553" s="9" t="n">
        <v>10</v>
      </c>
      <c r="R2553" s="9" t="n">
        <v>14</v>
      </c>
      <c r="S2553" s="9" t="inlineStr">
        <is>
          <t>Duct bank</t>
        </is>
      </c>
      <c r="T2553" s="10" t="n">
        <v>230</v>
      </c>
      <c r="U2553" s="10" t="n">
        <v>32</v>
      </c>
      <c r="V2553" s="10">
        <f>ROUNDUP((T2553+U2553+2*'Read Me'!$B$13)*(1+'Read Me'!$B$12),-1)</f>
        <v/>
      </c>
      <c r="W2553" s="10">
        <f>V2553*N2553*O2553</f>
        <v/>
      </c>
      <c r="X2553" s="9">
        <f>IF(LEFT(I2553,2)="MV",2*N2553*IF(L2553="1/C",O2553,1),0)</f>
        <v/>
      </c>
      <c r="Y2553" s="9">
        <f>IF(OR(LEFT(K2553,4)="LVAX",LEFT(K2553,6)="MV15AX",LEFT(K2553,4)="CTAX",LEFT(K2553,2)="W|"),2*N2553*O2553,0)</f>
        <v/>
      </c>
      <c r="Z2553" s="9" t="inlineStr">
        <is>
          <t>VD 1.8 %</t>
        </is>
      </c>
    </row>
    <row r="2554">
      <c r="A2554" s="9" t="inlineStr">
        <is>
          <t>K-P-0012</t>
        </is>
      </c>
      <c r="B2554" s="9" t="inlineStr">
        <is>
          <t>K</t>
        </is>
      </c>
      <c r="C2554" s="9" t="inlineStr">
        <is>
          <t>Fuel supply (adjacent market)</t>
        </is>
      </c>
      <c r="D2554" s="9" t="inlineStr">
        <is>
          <t>LV power feeder</t>
        </is>
      </c>
      <c r="E2554" s="9" t="inlineStr"/>
      <c r="F2554" s="9" t="inlineStr">
        <is>
          <t>LNG 17: LNG e-house (13.8 kV / 480 V)</t>
        </is>
      </c>
      <c r="G2554" s="9" t="inlineStr">
        <is>
          <t>LNG-T3</t>
        </is>
      </c>
      <c r="H2554" s="9" t="inlineStr">
        <is>
          <t>LNG 11: tank 3, Chart HS 50000 (51,780 gal)</t>
        </is>
      </c>
      <c r="I2554" s="9" t="inlineStr">
        <is>
          <t>LV 600 V</t>
        </is>
      </c>
      <c r="J2554" s="9" t="inlineStr">
        <is>
          <t>ARMOR-X MC-HL 600 V 3/C Cu XHHW-2 + ground, CWA, black PVC (Class I Div 2)</t>
        </is>
      </c>
      <c r="K2554" s="9" t="inlineStr">
        <is>
          <t>LVAX|3/C+G|10</t>
        </is>
      </c>
      <c r="L2554" s="9" t="inlineStr">
        <is>
          <t>3/C+G</t>
        </is>
      </c>
      <c r="M2554" s="9" t="inlineStr">
        <is>
          <t>10</t>
        </is>
      </c>
      <c r="N2554" s="9" t="n">
        <v>1</v>
      </c>
      <c r="O2554" s="9" t="n">
        <v>1</v>
      </c>
      <c r="P2554" s="9" t="n">
        <v>480</v>
      </c>
      <c r="Q2554" s="9" t="n">
        <v>10</v>
      </c>
      <c r="R2554" s="9" t="n">
        <v>14</v>
      </c>
      <c r="S2554" s="9" t="inlineStr">
        <is>
          <t>Duct bank</t>
        </is>
      </c>
      <c r="T2554" s="10" t="n">
        <v>250</v>
      </c>
      <c r="U2554" s="10" t="n">
        <v>32</v>
      </c>
      <c r="V2554" s="10">
        <f>ROUNDUP((T2554+U2554+2*'Read Me'!$B$13)*(1+'Read Me'!$B$12),-1)</f>
        <v/>
      </c>
      <c r="W2554" s="10">
        <f>V2554*N2554*O2554</f>
        <v/>
      </c>
      <c r="X2554" s="9">
        <f>IF(LEFT(I2554,2)="MV",2*N2554*IF(L2554="1/C",O2554,1),0)</f>
        <v/>
      </c>
      <c r="Y2554" s="9">
        <f>IF(OR(LEFT(K2554,4)="LVAX",LEFT(K2554,6)="MV15AX",LEFT(K2554,4)="CTAX",LEFT(K2554,2)="W|"),2*N2554*O2554,0)</f>
        <v/>
      </c>
      <c r="Z2554" s="9" t="inlineStr">
        <is>
          <t>VD 1.9 %</t>
        </is>
      </c>
    </row>
    <row r="2555">
      <c r="A2555" s="9" t="inlineStr">
        <is>
          <t>K-P-0013</t>
        </is>
      </c>
      <c r="B2555" s="9" t="inlineStr">
        <is>
          <t>K</t>
        </is>
      </c>
      <c r="C2555" s="9" t="inlineStr">
        <is>
          <t>Fuel supply (adjacent market)</t>
        </is>
      </c>
      <c r="D2555" s="9" t="inlineStr">
        <is>
          <t>LV power feeder</t>
        </is>
      </c>
      <c r="E2555" s="9" t="inlineStr"/>
      <c r="F2555" s="9" t="inlineStr">
        <is>
          <t>LNG 17: LNG e-house (13.8 kV / 480 V)</t>
        </is>
      </c>
      <c r="G2555" s="9" t="inlineStr">
        <is>
          <t>LNG-T4</t>
        </is>
      </c>
      <c r="H2555" s="9" t="inlineStr">
        <is>
          <t>LNG 11: tank 4, Chart HS 50000 (51,780 gal)</t>
        </is>
      </c>
      <c r="I2555" s="9" t="inlineStr">
        <is>
          <t>LV 600 V</t>
        </is>
      </c>
      <c r="J2555" s="9" t="inlineStr">
        <is>
          <t>ARMOR-X MC-HL 600 V 3/C Cu XHHW-2 + ground, CWA, black PVC (Class I Div 2)</t>
        </is>
      </c>
      <c r="K2555" s="9" t="inlineStr">
        <is>
          <t>LVAX|3/C+G|10</t>
        </is>
      </c>
      <c r="L2555" s="9" t="inlineStr">
        <is>
          <t>3/C+G</t>
        </is>
      </c>
      <c r="M2555" s="9" t="inlineStr">
        <is>
          <t>10</t>
        </is>
      </c>
      <c r="N2555" s="9" t="n">
        <v>1</v>
      </c>
      <c r="O2555" s="9" t="n">
        <v>1</v>
      </c>
      <c r="P2555" s="9" t="n">
        <v>480</v>
      </c>
      <c r="Q2555" s="9" t="n">
        <v>10</v>
      </c>
      <c r="R2555" s="9" t="n">
        <v>14</v>
      </c>
      <c r="S2555" s="9" t="inlineStr">
        <is>
          <t>Duct bank</t>
        </is>
      </c>
      <c r="T2555" s="10" t="n">
        <v>270</v>
      </c>
      <c r="U2555" s="10" t="n">
        <v>32</v>
      </c>
      <c r="V2555" s="10">
        <f>ROUNDUP((T2555+U2555+2*'Read Me'!$B$13)*(1+'Read Me'!$B$12),-1)</f>
        <v/>
      </c>
      <c r="W2555" s="10">
        <f>V2555*N2555*O2555</f>
        <v/>
      </c>
      <c r="X2555" s="9">
        <f>IF(LEFT(I2555,2)="MV",2*N2555*IF(L2555="1/C",O2555,1),0)</f>
        <v/>
      </c>
      <c r="Y2555" s="9">
        <f>IF(OR(LEFT(K2555,4)="LVAX",LEFT(K2555,6)="MV15AX",LEFT(K2555,4)="CTAX",LEFT(K2555,2)="W|"),2*N2555*O2555,0)</f>
        <v/>
      </c>
      <c r="Z2555" s="9" t="inlineStr">
        <is>
          <t>VD 2.1 %</t>
        </is>
      </c>
    </row>
    <row r="2556">
      <c r="A2556" s="9" t="inlineStr">
        <is>
          <t>K-P-0014</t>
        </is>
      </c>
      <c r="B2556" s="9" t="inlineStr">
        <is>
          <t>K</t>
        </is>
      </c>
      <c r="C2556" s="9" t="inlineStr">
        <is>
          <t>Fuel supply (adjacent market)</t>
        </is>
      </c>
      <c r="D2556" s="9" t="inlineStr">
        <is>
          <t>LV power feeder</t>
        </is>
      </c>
      <c r="E2556" s="9" t="inlineStr"/>
      <c r="F2556" s="9" t="inlineStr">
        <is>
          <t>LNG 17: LNG e-house (13.8 kV / 480 V)</t>
        </is>
      </c>
      <c r="G2556" s="9" t="inlineStr">
        <is>
          <t>LNG-T5</t>
        </is>
      </c>
      <c r="H2556" s="9" t="inlineStr">
        <is>
          <t>LNG 11: tank 5, Chart HS 50000 (51,780 gal)</t>
        </is>
      </c>
      <c r="I2556" s="9" t="inlineStr">
        <is>
          <t>LV 600 V</t>
        </is>
      </c>
      <c r="J2556" s="9" t="inlineStr">
        <is>
          <t>ARMOR-X MC-HL 600 V 3/C Cu XHHW-2 + ground, CWA, black PVC (Class I Div 2)</t>
        </is>
      </c>
      <c r="K2556" s="9" t="inlineStr">
        <is>
          <t>LVAX|3/C+G|10</t>
        </is>
      </c>
      <c r="L2556" s="9" t="inlineStr">
        <is>
          <t>3/C+G</t>
        </is>
      </c>
      <c r="M2556" s="9" t="inlineStr">
        <is>
          <t>10</t>
        </is>
      </c>
      <c r="N2556" s="9" t="n">
        <v>1</v>
      </c>
      <c r="O2556" s="9" t="n">
        <v>1</v>
      </c>
      <c r="P2556" s="9" t="n">
        <v>480</v>
      </c>
      <c r="Q2556" s="9" t="n">
        <v>10</v>
      </c>
      <c r="R2556" s="9" t="n">
        <v>14</v>
      </c>
      <c r="S2556" s="9" t="inlineStr">
        <is>
          <t>Duct bank</t>
        </is>
      </c>
      <c r="T2556" s="10" t="n">
        <v>290</v>
      </c>
      <c r="U2556" s="10" t="n">
        <v>32</v>
      </c>
      <c r="V2556" s="10">
        <f>ROUNDUP((T2556+U2556+2*'Read Me'!$B$13)*(1+'Read Me'!$B$12),-1)</f>
        <v/>
      </c>
      <c r="W2556" s="10">
        <f>V2556*N2556*O2556</f>
        <v/>
      </c>
      <c r="X2556" s="9">
        <f>IF(LEFT(I2556,2)="MV",2*N2556*IF(L2556="1/C",O2556,1),0)</f>
        <v/>
      </c>
      <c r="Y2556" s="9">
        <f>IF(OR(LEFT(K2556,4)="LVAX",LEFT(K2556,6)="MV15AX",LEFT(K2556,4)="CTAX",LEFT(K2556,2)="W|"),2*N2556*O2556,0)</f>
        <v/>
      </c>
      <c r="Z2556" s="9" t="inlineStr">
        <is>
          <t>VD 2.2 %</t>
        </is>
      </c>
    </row>
    <row r="2557">
      <c r="A2557" s="9" t="inlineStr">
        <is>
          <t>K-P-0015</t>
        </is>
      </c>
      <c r="B2557" s="9" t="inlineStr">
        <is>
          <t>K</t>
        </is>
      </c>
      <c r="C2557" s="9" t="inlineStr">
        <is>
          <t>Fuel supply (adjacent market)</t>
        </is>
      </c>
      <c r="D2557" s="9" t="inlineStr">
        <is>
          <t>LV power feeder</t>
        </is>
      </c>
      <c r="E2557" s="9" t="inlineStr"/>
      <c r="F2557" s="9" t="inlineStr">
        <is>
          <t>LNG 17: LNG e-house (13.8 kV / 480 V)</t>
        </is>
      </c>
      <c r="G2557" s="9" t="inlineStr">
        <is>
          <t>LNG-T6</t>
        </is>
      </c>
      <c r="H2557" s="9" t="inlineStr">
        <is>
          <t>LNG 11: tank 6, Chart HS 50000 (51,780 gal)</t>
        </is>
      </c>
      <c r="I2557" s="9" t="inlineStr">
        <is>
          <t>LV 600 V</t>
        </is>
      </c>
      <c r="J2557" s="9" t="inlineStr">
        <is>
          <t>ARMOR-X MC-HL 600 V 3/C Cu XHHW-2 + ground, CWA, black PVC (Class I Div 2)</t>
        </is>
      </c>
      <c r="K2557" s="9" t="inlineStr">
        <is>
          <t>LVAX|3/C+G|10</t>
        </is>
      </c>
      <c r="L2557" s="9" t="inlineStr">
        <is>
          <t>3/C+G</t>
        </is>
      </c>
      <c r="M2557" s="9" t="inlineStr">
        <is>
          <t>10</t>
        </is>
      </c>
      <c r="N2557" s="9" t="n">
        <v>1</v>
      </c>
      <c r="O2557" s="9" t="n">
        <v>1</v>
      </c>
      <c r="P2557" s="9" t="n">
        <v>480</v>
      </c>
      <c r="Q2557" s="9" t="n">
        <v>10</v>
      </c>
      <c r="R2557" s="9" t="n">
        <v>14</v>
      </c>
      <c r="S2557" s="9" t="inlineStr">
        <is>
          <t>Duct bank</t>
        </is>
      </c>
      <c r="T2557" s="10" t="n">
        <v>310</v>
      </c>
      <c r="U2557" s="10" t="n">
        <v>32</v>
      </c>
      <c r="V2557" s="10">
        <f>ROUNDUP((T2557+U2557+2*'Read Me'!$B$13)*(1+'Read Me'!$B$12),-1)</f>
        <v/>
      </c>
      <c r="W2557" s="10">
        <f>V2557*N2557*O2557</f>
        <v/>
      </c>
      <c r="X2557" s="9">
        <f>IF(LEFT(I2557,2)="MV",2*N2557*IF(L2557="1/C",O2557,1),0)</f>
        <v/>
      </c>
      <c r="Y2557" s="9">
        <f>IF(OR(LEFT(K2557,4)="LVAX",LEFT(K2557,6)="MV15AX",LEFT(K2557,4)="CTAX",LEFT(K2557,2)="W|"),2*N2557*O2557,0)</f>
        <v/>
      </c>
      <c r="Z2557" s="9" t="inlineStr">
        <is>
          <t>VD 2.3 %</t>
        </is>
      </c>
    </row>
    <row r="2558">
      <c r="A2558" s="9" t="inlineStr">
        <is>
          <t>K-P-0016</t>
        </is>
      </c>
      <c r="B2558" s="9" t="inlineStr">
        <is>
          <t>K</t>
        </is>
      </c>
      <c r="C2558" s="9" t="inlineStr">
        <is>
          <t>Fuel supply (adjacent market)</t>
        </is>
      </c>
      <c r="D2558" s="9" t="inlineStr">
        <is>
          <t>LV power feeder</t>
        </is>
      </c>
      <c r="E2558" s="9" t="inlineStr"/>
      <c r="F2558" s="9" t="inlineStr">
        <is>
          <t>LNG 17: LNG e-house (13.8 kV / 480 V)</t>
        </is>
      </c>
      <c r="G2558" s="9" t="inlineStr">
        <is>
          <t>LNG-T7</t>
        </is>
      </c>
      <c r="H2558" s="9" t="inlineStr">
        <is>
          <t>LNG 11: tank 7, Chart HS 50000 (51,780 gal)</t>
        </is>
      </c>
      <c r="I2558" s="9" t="inlineStr">
        <is>
          <t>LV 600 V</t>
        </is>
      </c>
      <c r="J2558" s="9" t="inlineStr">
        <is>
          <t>ARMOR-X MC-HL 600 V 3/C Cu XHHW-2 + ground, CWA, black PVC (Class I Div 2)</t>
        </is>
      </c>
      <c r="K2558" s="9" t="inlineStr">
        <is>
          <t>LVAX|3/C+G|10</t>
        </is>
      </c>
      <c r="L2558" s="9" t="inlineStr">
        <is>
          <t>3/C+G</t>
        </is>
      </c>
      <c r="M2558" s="9" t="inlineStr">
        <is>
          <t>10</t>
        </is>
      </c>
      <c r="N2558" s="9" t="n">
        <v>1</v>
      </c>
      <c r="O2558" s="9" t="n">
        <v>1</v>
      </c>
      <c r="P2558" s="9" t="n">
        <v>480</v>
      </c>
      <c r="Q2558" s="9" t="n">
        <v>10</v>
      </c>
      <c r="R2558" s="9" t="n">
        <v>14</v>
      </c>
      <c r="S2558" s="9" t="inlineStr">
        <is>
          <t>Duct bank</t>
        </is>
      </c>
      <c r="T2558" s="10" t="n">
        <v>330</v>
      </c>
      <c r="U2558" s="10" t="n">
        <v>32</v>
      </c>
      <c r="V2558" s="10">
        <f>ROUNDUP((T2558+U2558+2*'Read Me'!$B$13)*(1+'Read Me'!$B$12),-1)</f>
        <v/>
      </c>
      <c r="W2558" s="10">
        <f>V2558*N2558*O2558</f>
        <v/>
      </c>
      <c r="X2558" s="9">
        <f>IF(LEFT(I2558,2)="MV",2*N2558*IF(L2558="1/C",O2558,1),0)</f>
        <v/>
      </c>
      <c r="Y2558" s="9">
        <f>IF(OR(LEFT(K2558,4)="LVAX",LEFT(K2558,6)="MV15AX",LEFT(K2558,4)="CTAX",LEFT(K2558,2)="W|"),2*N2558*O2558,0)</f>
        <v/>
      </c>
      <c r="Z2558" s="9" t="inlineStr">
        <is>
          <t>VD 2.5 %</t>
        </is>
      </c>
    </row>
    <row r="2559">
      <c r="A2559" s="9" t="inlineStr">
        <is>
          <t>K-P-0017</t>
        </is>
      </c>
      <c r="B2559" s="9" t="inlineStr">
        <is>
          <t>K</t>
        </is>
      </c>
      <c r="C2559" s="9" t="inlineStr">
        <is>
          <t>Fuel supply (adjacent market)</t>
        </is>
      </c>
      <c r="D2559" s="9" t="inlineStr">
        <is>
          <t>LV power feeder</t>
        </is>
      </c>
      <c r="E2559" s="9" t="inlineStr"/>
      <c r="F2559" s="9" t="inlineStr">
        <is>
          <t>LNG 17: LNG e-house (13.8 kV / 480 V)</t>
        </is>
      </c>
      <c r="G2559" s="9" t="inlineStr">
        <is>
          <t>LNG-T8</t>
        </is>
      </c>
      <c r="H2559" s="9" t="inlineStr">
        <is>
          <t>LNG 11: tank 8, Chart HS 50000 (51,780 gal)</t>
        </is>
      </c>
      <c r="I2559" s="9" t="inlineStr">
        <is>
          <t>LV 600 V</t>
        </is>
      </c>
      <c r="J2559" s="9" t="inlineStr">
        <is>
          <t>ARMOR-X MC-HL 600 V 3/C Cu XHHW-2 + ground, CWA, black PVC (Class I Div 2)</t>
        </is>
      </c>
      <c r="K2559" s="9" t="inlineStr">
        <is>
          <t>LVAX|3/C+G|10</t>
        </is>
      </c>
      <c r="L2559" s="9" t="inlineStr">
        <is>
          <t>3/C+G</t>
        </is>
      </c>
      <c r="M2559" s="9" t="inlineStr">
        <is>
          <t>10</t>
        </is>
      </c>
      <c r="N2559" s="9" t="n">
        <v>1</v>
      </c>
      <c r="O2559" s="9" t="n">
        <v>1</v>
      </c>
      <c r="P2559" s="9" t="n">
        <v>480</v>
      </c>
      <c r="Q2559" s="9" t="n">
        <v>10</v>
      </c>
      <c r="R2559" s="9" t="n">
        <v>14</v>
      </c>
      <c r="S2559" s="9" t="inlineStr">
        <is>
          <t>Duct bank</t>
        </is>
      </c>
      <c r="T2559" s="10" t="n">
        <v>350</v>
      </c>
      <c r="U2559" s="10" t="n">
        <v>32</v>
      </c>
      <c r="V2559" s="10">
        <f>ROUNDUP((T2559+U2559+2*'Read Me'!$B$13)*(1+'Read Me'!$B$12),-1)</f>
        <v/>
      </c>
      <c r="W2559" s="10">
        <f>V2559*N2559*O2559</f>
        <v/>
      </c>
      <c r="X2559" s="9">
        <f>IF(LEFT(I2559,2)="MV",2*N2559*IF(L2559="1/C",O2559,1),0)</f>
        <v/>
      </c>
      <c r="Y2559" s="9">
        <f>IF(OR(LEFT(K2559,4)="LVAX",LEFT(K2559,6)="MV15AX",LEFT(K2559,4)="CTAX",LEFT(K2559,2)="W|"),2*N2559*O2559,0)</f>
        <v/>
      </c>
      <c r="Z2559" s="9" t="inlineStr">
        <is>
          <t>VD 2.6 %</t>
        </is>
      </c>
    </row>
    <row r="2560">
      <c r="A2560" s="9" t="inlineStr">
        <is>
          <t>K-P-0018</t>
        </is>
      </c>
      <c r="B2560" s="9" t="inlineStr">
        <is>
          <t>K</t>
        </is>
      </c>
      <c r="C2560" s="9" t="inlineStr">
        <is>
          <t>Fuel supply (adjacent market)</t>
        </is>
      </c>
      <c r="D2560" s="9" t="inlineStr">
        <is>
          <t>LV power feeder</t>
        </is>
      </c>
      <c r="E2560" s="9" t="inlineStr"/>
      <c r="F2560" s="9" t="inlineStr">
        <is>
          <t>LNG 17: LNG e-house (13.8 kV / 480 V)</t>
        </is>
      </c>
      <c r="G2560" s="9" t="inlineStr"/>
      <c r="H2560" s="9" t="inlineStr">
        <is>
          <t>LNG 13: send-out pumps 2 x 100%</t>
        </is>
      </c>
      <c r="I2560" s="9" t="inlineStr">
        <is>
          <t>LV 600 V</t>
        </is>
      </c>
      <c r="J2560" s="9" t="inlineStr">
        <is>
          <t>ARMOR-X MC-HL 600 V 3/C Cu XHHW-2 + ground, CWA, black PVC (Class I Div 2)</t>
        </is>
      </c>
      <c r="K2560" s="9" t="inlineStr">
        <is>
          <t>LVAX|3/C+G|10</t>
        </is>
      </c>
      <c r="L2560" s="9" t="inlineStr">
        <is>
          <t>3/C+G</t>
        </is>
      </c>
      <c r="M2560" s="9" t="inlineStr">
        <is>
          <t>10</t>
        </is>
      </c>
      <c r="N2560" s="9" t="n">
        <v>1</v>
      </c>
      <c r="O2560" s="9" t="n">
        <v>1</v>
      </c>
      <c r="P2560" s="9" t="n">
        <v>480</v>
      </c>
      <c r="Q2560" s="9" t="n">
        <v>15</v>
      </c>
      <c r="R2560" s="9" t="n">
        <v>21</v>
      </c>
      <c r="S2560" s="9" t="inlineStr">
        <is>
          <t>Duct bank</t>
        </is>
      </c>
      <c r="T2560" s="10" t="n">
        <v>110</v>
      </c>
      <c r="U2560" s="10" t="n">
        <v>32</v>
      </c>
      <c r="V2560" s="10">
        <f>ROUNDUP((T2560+U2560+2*'Read Me'!$B$13)*(1+'Read Me'!$B$12),-1)</f>
        <v/>
      </c>
      <c r="W2560" s="10">
        <f>V2560*N2560*O2560</f>
        <v/>
      </c>
      <c r="X2560" s="9">
        <f>IF(LEFT(I2560,2)="MV",2*N2560*IF(L2560="1/C",O2560,1),0)</f>
        <v/>
      </c>
      <c r="Y2560" s="9">
        <f>IF(OR(LEFT(K2560,4)="LVAX",LEFT(K2560,6)="MV15AX",LEFT(K2560,4)="CTAX",LEFT(K2560,2)="W|"),2*N2560*O2560,0)</f>
        <v/>
      </c>
      <c r="Z2560" s="9" t="inlineStr">
        <is>
          <t>VD 1.4 %</t>
        </is>
      </c>
    </row>
    <row r="2561">
      <c r="A2561" s="9" t="inlineStr">
        <is>
          <t>K-P-0019</t>
        </is>
      </c>
      <c r="B2561" s="9" t="inlineStr">
        <is>
          <t>K</t>
        </is>
      </c>
      <c r="C2561" s="9" t="inlineStr">
        <is>
          <t>Fuel supply (adjacent market)</t>
        </is>
      </c>
      <c r="D2561" s="9" t="inlineStr">
        <is>
          <t>LV power feeder</t>
        </is>
      </c>
      <c r="E2561" s="9" t="inlineStr"/>
      <c r="F2561" s="9" t="inlineStr">
        <is>
          <t>LNG 17: LNG e-house (13.8 kV / 480 V)</t>
        </is>
      </c>
      <c r="G2561" s="9" t="inlineStr"/>
      <c r="H2561" s="9" t="inlineStr">
        <is>
          <t>LNG 14: vaporizers + glycol heater</t>
        </is>
      </c>
      <c r="I2561" s="9" t="inlineStr">
        <is>
          <t>LV 600 V</t>
        </is>
      </c>
      <c r="J2561" s="9" t="inlineStr">
        <is>
          <t>ARMOR-X MC-HL 600 V 3/C Cu XHHW-2 + ground, CWA, black PVC (Class I Div 2)</t>
        </is>
      </c>
      <c r="K2561" s="9" t="inlineStr">
        <is>
          <t>LVAX|3/C+G|10</t>
        </is>
      </c>
      <c r="L2561" s="9" t="inlineStr">
        <is>
          <t>3/C+G</t>
        </is>
      </c>
      <c r="M2561" s="9" t="inlineStr">
        <is>
          <t>10</t>
        </is>
      </c>
      <c r="N2561" s="9" t="n">
        <v>1</v>
      </c>
      <c r="O2561" s="9" t="n">
        <v>1</v>
      </c>
      <c r="P2561" s="9" t="n">
        <v>480</v>
      </c>
      <c r="Q2561" s="9" t="n">
        <v>15</v>
      </c>
      <c r="R2561" s="9" t="n">
        <v>21</v>
      </c>
      <c r="S2561" s="9" t="inlineStr">
        <is>
          <t>Duct bank</t>
        </is>
      </c>
      <c r="T2561" s="10" t="n">
        <v>259</v>
      </c>
      <c r="U2561" s="10" t="n">
        <v>32</v>
      </c>
      <c r="V2561" s="10">
        <f>ROUNDUP((T2561+U2561+2*'Read Me'!$B$13)*(1+'Read Me'!$B$12),-1)</f>
        <v/>
      </c>
      <c r="W2561" s="10">
        <f>V2561*N2561*O2561</f>
        <v/>
      </c>
      <c r="X2561" s="9">
        <f>IF(LEFT(I2561,2)="MV",2*N2561*IF(L2561="1/C",O2561,1),0)</f>
        <v/>
      </c>
      <c r="Y2561" s="9">
        <f>IF(OR(LEFT(K2561,4)="LVAX",LEFT(K2561,6)="MV15AX",LEFT(K2561,4)="CTAX",LEFT(K2561,2)="W|"),2*N2561*O2561,0)</f>
        <v/>
      </c>
      <c r="Z2561" s="9" t="inlineStr">
        <is>
          <t>VD 3.0 %</t>
        </is>
      </c>
    </row>
    <row r="2562">
      <c r="A2562" s="9" t="inlineStr">
        <is>
          <t>K-P-0020</t>
        </is>
      </c>
      <c r="B2562" s="9" t="inlineStr">
        <is>
          <t>K</t>
        </is>
      </c>
      <c r="C2562" s="9" t="inlineStr">
        <is>
          <t>Fuel supply (adjacent market)</t>
        </is>
      </c>
      <c r="D2562" s="9" t="inlineStr">
        <is>
          <t>LV power feeder</t>
        </is>
      </c>
      <c r="E2562" s="9" t="inlineStr"/>
      <c r="F2562" s="9" t="inlineStr">
        <is>
          <t>LNG 17: LNG e-house (13.8 kV / 480 V)</t>
        </is>
      </c>
      <c r="G2562" s="9" t="inlineStr"/>
      <c r="H2562" s="9" t="inlineStr">
        <is>
          <t>LNG 16: send-out metering + pressure control</t>
        </is>
      </c>
      <c r="I2562" s="9" t="inlineStr">
        <is>
          <t>LV 600 V</t>
        </is>
      </c>
      <c r="J2562" s="9" t="inlineStr">
        <is>
          <t>ARMOR-X MC-HL 600 V 3/C Cu XHHW-2 + ground, CWA, black PVC (Class I Div 2)</t>
        </is>
      </c>
      <c r="K2562" s="9" t="inlineStr">
        <is>
          <t>LVAX|3/C+G|10</t>
        </is>
      </c>
      <c r="L2562" s="9" t="inlineStr">
        <is>
          <t>3/C+G</t>
        </is>
      </c>
      <c r="M2562" s="9" t="inlineStr">
        <is>
          <t>10</t>
        </is>
      </c>
      <c r="N2562" s="9" t="n">
        <v>1</v>
      </c>
      <c r="O2562" s="9" t="n">
        <v>1</v>
      </c>
      <c r="P2562" s="9" t="n">
        <v>480</v>
      </c>
      <c r="Q2562" s="9" t="n">
        <v>15</v>
      </c>
      <c r="R2562" s="9" t="n">
        <v>21</v>
      </c>
      <c r="S2562" s="9" t="inlineStr">
        <is>
          <t>Duct bank</t>
        </is>
      </c>
      <c r="T2562" s="10" t="n">
        <v>20</v>
      </c>
      <c r="U2562" s="10" t="n">
        <v>32</v>
      </c>
      <c r="V2562" s="10">
        <f>ROUNDUP((T2562+U2562+2*'Read Me'!$B$13)*(1+'Read Me'!$B$12),-1)</f>
        <v/>
      </c>
      <c r="W2562" s="10">
        <f>V2562*N2562*O2562</f>
        <v/>
      </c>
      <c r="X2562" s="9">
        <f>IF(LEFT(I2562,2)="MV",2*N2562*IF(L2562="1/C",O2562,1),0)</f>
        <v/>
      </c>
      <c r="Y2562" s="9">
        <f>IF(OR(LEFT(K2562,4)="LVAX",LEFT(K2562,6)="MV15AX",LEFT(K2562,4)="CTAX",LEFT(K2562,2)="W|"),2*N2562*O2562,0)</f>
        <v/>
      </c>
      <c r="Z2562" s="9" t="inlineStr">
        <is>
          <t>VD 0.5 %</t>
        </is>
      </c>
    </row>
    <row r="2563">
      <c r="A2563" s="9" t="inlineStr">
        <is>
          <t>K-P-0021</t>
        </is>
      </c>
      <c r="B2563" s="9" t="inlineStr">
        <is>
          <t>K</t>
        </is>
      </c>
      <c r="C2563" s="9" t="inlineStr">
        <is>
          <t>Fuel supply (adjacent market)</t>
        </is>
      </c>
      <c r="D2563" s="9" t="inlineStr">
        <is>
          <t>LV panel / distribution feeder</t>
        </is>
      </c>
      <c r="E2563" s="9" t="inlineStr"/>
      <c r="F2563" s="9" t="inlineStr">
        <is>
          <t>LNG 17: LNG e-house (13.8 kV / 480 V)</t>
        </is>
      </c>
      <c r="G2563" s="9" t="inlineStr"/>
      <c r="H2563" s="9" t="inlineStr">
        <is>
          <t>LNG 17: LNG e-house (13.8 kV / 480 V)</t>
        </is>
      </c>
      <c r="I2563" s="9" t="inlineStr">
        <is>
          <t>LV 600 V</t>
        </is>
      </c>
      <c r="J2563" s="9" t="inlineStr">
        <is>
          <t>ARMOR-X MC-HL 600 V 3/C Cu XHHW-2 + ground, CWA, black PVC (Class I Div 2)</t>
        </is>
      </c>
      <c r="K2563" s="9" t="inlineStr">
        <is>
          <t>LVAX|3/C+G|6</t>
        </is>
      </c>
      <c r="L2563" s="9" t="inlineStr">
        <is>
          <t>3/C+G</t>
        </is>
      </c>
      <c r="M2563" s="9" t="inlineStr">
        <is>
          <t>6</t>
        </is>
      </c>
      <c r="N2563" s="9" t="n">
        <v>1</v>
      </c>
      <c r="O2563" s="9" t="n">
        <v>1</v>
      </c>
      <c r="P2563" s="9" t="n">
        <v>480</v>
      </c>
      <c r="Q2563" s="9" t="n">
        <v>30</v>
      </c>
      <c r="R2563" s="9" t="n">
        <v>42</v>
      </c>
      <c r="S2563" s="9" t="inlineStr">
        <is>
          <t>Tray</t>
        </is>
      </c>
      <c r="T2563" s="10" t="n">
        <v>0</v>
      </c>
      <c r="U2563" s="10" t="n">
        <v>32</v>
      </c>
      <c r="V2563" s="10">
        <f>ROUNDUP((T2563+U2563+2*'Read Me'!$B$13)*(1+'Read Me'!$B$12),-1)</f>
        <v/>
      </c>
      <c r="W2563" s="10">
        <f>V2563*N2563*O2563</f>
        <v/>
      </c>
      <c r="X2563" s="9">
        <f>IF(LEFT(I2563,2)="MV",2*N2563*IF(L2563="1/C",O2563,1),0)</f>
        <v/>
      </c>
      <c r="Y2563" s="9">
        <f>IF(OR(LEFT(K2563,4)="LVAX",LEFT(K2563,6)="MV15AX",LEFT(K2563,4)="CTAX",LEFT(K2563,2)="W|"),2*N2563*O2563,0)</f>
        <v/>
      </c>
      <c r="Z2563" s="9" t="inlineStr">
        <is>
          <t>VD 0.3 %</t>
        </is>
      </c>
    </row>
    <row r="2564">
      <c r="A2564" s="9" t="inlineStr">
        <is>
          <t>K-P-0022</t>
        </is>
      </c>
      <c r="B2564" s="9" t="inlineStr">
        <is>
          <t>K</t>
        </is>
      </c>
      <c r="C2564" s="9" t="inlineStr">
        <is>
          <t>Fuel supply (adjacent market)</t>
        </is>
      </c>
      <c r="D2564" s="9" t="inlineStr">
        <is>
          <t>LV power feeder</t>
        </is>
      </c>
      <c r="E2564" s="9" t="inlineStr"/>
      <c r="F2564" s="9" t="inlineStr">
        <is>
          <t>LNG 17: LNG e-house (13.8 kV / 480 V)</t>
        </is>
      </c>
      <c r="G2564" s="9" t="inlineStr"/>
      <c r="H2564" s="9" t="inlineStr">
        <is>
          <t>LNG impoundment sump pump</t>
        </is>
      </c>
      <c r="I2564" s="9" t="inlineStr">
        <is>
          <t>LV 600 V</t>
        </is>
      </c>
      <c r="J2564" s="9" t="inlineStr">
        <is>
          <t>ARMOR-X MC-HL 600 V 3/C Cu XHHW-2 + ground, CWA, black PVC (Class I Div 2)</t>
        </is>
      </c>
      <c r="K2564" s="9" t="inlineStr">
        <is>
          <t>LVAX|3/C+G|8</t>
        </is>
      </c>
      <c r="L2564" s="9" t="inlineStr">
        <is>
          <t>3/C+G</t>
        </is>
      </c>
      <c r="M2564" s="9" t="inlineStr">
        <is>
          <t>8</t>
        </is>
      </c>
      <c r="N2564" s="9" t="n">
        <v>1</v>
      </c>
      <c r="O2564" s="9" t="n">
        <v>1</v>
      </c>
      <c r="P2564" s="9" t="n">
        <v>480</v>
      </c>
      <c r="Q2564" s="9" t="n">
        <v>15</v>
      </c>
      <c r="R2564" s="9" t="n">
        <v>21</v>
      </c>
      <c r="S2564" s="9" t="inlineStr">
        <is>
          <t>Duct bank</t>
        </is>
      </c>
      <c r="T2564" s="10" t="n">
        <v>334</v>
      </c>
      <c r="U2564" s="10" t="n">
        <v>32</v>
      </c>
      <c r="V2564" s="10">
        <f>ROUNDUP((T2564+U2564+2*'Read Me'!$B$13)*(1+'Read Me'!$B$12),-1)</f>
        <v/>
      </c>
      <c r="W2564" s="10">
        <f>V2564*N2564*O2564</f>
        <v/>
      </c>
      <c r="X2564" s="9">
        <f>IF(LEFT(I2564,2)="MV",2*N2564*IF(L2564="1/C",O2564,1),0)</f>
        <v/>
      </c>
      <c r="Y2564" s="9">
        <f>IF(OR(LEFT(K2564,4)="LVAX",LEFT(K2564,6)="MV15AX",LEFT(K2564,4)="CTAX",LEFT(K2564,2)="W|"),2*N2564*O2564,0)</f>
        <v/>
      </c>
      <c r="Z2564" s="9" t="inlineStr">
        <is>
          <t>VD 2.4 %</t>
        </is>
      </c>
    </row>
    <row r="2565">
      <c r="A2565" s="9" t="inlineStr">
        <is>
          <t>K-P-0023</t>
        </is>
      </c>
      <c r="B2565" s="9" t="inlineStr">
        <is>
          <t>K</t>
        </is>
      </c>
      <c r="C2565" s="9" t="inlineStr">
        <is>
          <t>Fuel supply (adjacent market)</t>
        </is>
      </c>
      <c r="D2565" s="9" t="inlineStr">
        <is>
          <t>LV power feeder</t>
        </is>
      </c>
      <c r="E2565" s="9" t="inlineStr"/>
      <c r="F2565" s="9" t="inlineStr">
        <is>
          <t>LNG 17: LNG e-house (13.8 kV / 480 V)</t>
        </is>
      </c>
      <c r="G2565" s="9" t="inlineStr"/>
      <c r="H2565" s="9" t="inlineStr">
        <is>
          <t>M&amp;R 2: insulating joint + ESD valve</t>
        </is>
      </c>
      <c r="I2565" s="9" t="inlineStr">
        <is>
          <t>LV 600 V</t>
        </is>
      </c>
      <c r="J2565" s="9" t="inlineStr">
        <is>
          <t>ARMOR-X MC-HL 600 V 3/C Cu XHHW-2 + ground, CWA, black PVC (Class I Div 2)</t>
        </is>
      </c>
      <c r="K2565" s="9" t="inlineStr">
        <is>
          <t>LVAX|3/C+G|10</t>
        </is>
      </c>
      <c r="L2565" s="9" t="inlineStr">
        <is>
          <t>3/C+G</t>
        </is>
      </c>
      <c r="M2565" s="9" t="inlineStr">
        <is>
          <t>10</t>
        </is>
      </c>
      <c r="N2565" s="9" t="n">
        <v>1</v>
      </c>
      <c r="O2565" s="9" t="n">
        <v>1</v>
      </c>
      <c r="P2565" s="9" t="n">
        <v>480</v>
      </c>
      <c r="Q2565" s="9" t="n">
        <v>10</v>
      </c>
      <c r="R2565" s="9" t="n">
        <v>14</v>
      </c>
      <c r="S2565" s="9" t="inlineStr">
        <is>
          <t>Estimated</t>
        </is>
      </c>
      <c r="T2565" s="10" t="n">
        <v>387</v>
      </c>
      <c r="U2565" s="10" t="n">
        <v>40</v>
      </c>
      <c r="V2565" s="10">
        <f>ROUNDUP((T2565+U2565+2*'Read Me'!$B$13)*(1+'Read Me'!$B$12),-1)</f>
        <v/>
      </c>
      <c r="W2565" s="10">
        <f>V2565*N2565*O2565</f>
        <v/>
      </c>
      <c r="X2565" s="9">
        <f>IF(LEFT(I2565,2)="MV",2*N2565*IF(L2565="1/C",O2565,1),0)</f>
        <v/>
      </c>
      <c r="Y2565" s="9">
        <f>IF(OR(LEFT(K2565,4)="LVAX",LEFT(K2565,6)="MV15AX",LEFT(K2565,4)="CTAX",LEFT(K2565,2)="W|"),2*N2565*O2565,0)</f>
        <v/>
      </c>
      <c r="Z2565" s="9" t="inlineStr">
        <is>
          <t>VD 2.9 %</t>
        </is>
      </c>
    </row>
    <row r="2566">
      <c r="A2566" s="9" t="inlineStr">
        <is>
          <t>K-P-0024</t>
        </is>
      </c>
      <c r="B2566" s="9" t="inlineStr">
        <is>
          <t>K</t>
        </is>
      </c>
      <c r="C2566" s="9" t="inlineStr">
        <is>
          <t>Fuel supply (adjacent market)</t>
        </is>
      </c>
      <c r="D2566" s="9" t="inlineStr">
        <is>
          <t>LV power feeder</t>
        </is>
      </c>
      <c r="E2566" s="9" t="inlineStr"/>
      <c r="F2566" s="9" t="inlineStr">
        <is>
          <t>LNG 17: LNG e-house (13.8 kV / 480 V)</t>
        </is>
      </c>
      <c r="G2566" s="9" t="inlineStr"/>
      <c r="H2566" s="9" t="inlineStr">
        <is>
          <t>M&amp;R 3: horizontal filter-separator</t>
        </is>
      </c>
      <c r="I2566" s="9" t="inlineStr">
        <is>
          <t>LV 600 V</t>
        </is>
      </c>
      <c r="J2566" s="9" t="inlineStr">
        <is>
          <t>ARMOR-X MC-HL 600 V 3/C Cu XHHW-2 + ground, CWA, black PVC (Class I Div 2)</t>
        </is>
      </c>
      <c r="K2566" s="9" t="inlineStr">
        <is>
          <t>LVAX|3/C+G|8</t>
        </is>
      </c>
      <c r="L2566" s="9" t="inlineStr">
        <is>
          <t>3/C+G</t>
        </is>
      </c>
      <c r="M2566" s="9" t="inlineStr">
        <is>
          <t>8</t>
        </is>
      </c>
      <c r="N2566" s="9" t="n">
        <v>1</v>
      </c>
      <c r="O2566" s="9" t="n">
        <v>1</v>
      </c>
      <c r="P2566" s="9" t="n">
        <v>480</v>
      </c>
      <c r="Q2566" s="9" t="n">
        <v>15</v>
      </c>
      <c r="R2566" s="9" t="n">
        <v>21</v>
      </c>
      <c r="S2566" s="9" t="inlineStr">
        <is>
          <t>Estimated</t>
        </is>
      </c>
      <c r="T2566" s="10" t="n">
        <v>328</v>
      </c>
      <c r="U2566" s="10" t="n">
        <v>40</v>
      </c>
      <c r="V2566" s="10">
        <f>ROUNDUP((T2566+U2566+2*'Read Me'!$B$13)*(1+'Read Me'!$B$12),-1)</f>
        <v/>
      </c>
      <c r="W2566" s="10">
        <f>V2566*N2566*O2566</f>
        <v/>
      </c>
      <c r="X2566" s="9">
        <f>IF(LEFT(I2566,2)="MV",2*N2566*IF(L2566="1/C",O2566,1),0)</f>
        <v/>
      </c>
      <c r="Y2566" s="9">
        <f>IF(OR(LEFT(K2566,4)="LVAX",LEFT(K2566,6)="MV15AX",LEFT(K2566,4)="CTAX",LEFT(K2566,2)="W|"),2*N2566*O2566,0)</f>
        <v/>
      </c>
      <c r="Z2566" s="9" t="inlineStr">
        <is>
          <t>VD 2.4 %</t>
        </is>
      </c>
    </row>
    <row r="2567">
      <c r="A2567" s="9" t="inlineStr">
        <is>
          <t>K-P-0025</t>
        </is>
      </c>
      <c r="B2567" s="9" t="inlineStr">
        <is>
          <t>K</t>
        </is>
      </c>
      <c r="C2567" s="9" t="inlineStr">
        <is>
          <t>Fuel supply (adjacent market)</t>
        </is>
      </c>
      <c r="D2567" s="9" t="inlineStr">
        <is>
          <t>LV power feeder</t>
        </is>
      </c>
      <c r="E2567" s="9" t="inlineStr"/>
      <c r="F2567" s="9" t="inlineStr">
        <is>
          <t>LNG 17: LNG e-house (13.8 kV / 480 V)</t>
        </is>
      </c>
      <c r="G2567" s="9" t="inlineStr"/>
      <c r="H2567" s="9" t="inlineStr">
        <is>
          <t>M&amp;R 4: line heater 1 (water bath)</t>
        </is>
      </c>
      <c r="I2567" s="9" t="inlineStr">
        <is>
          <t>LV 600 V</t>
        </is>
      </c>
      <c r="J2567" s="9" t="inlineStr">
        <is>
          <t>ARMOR-X MC-HL 600 V 3/C Cu XHHW-2 + ground, CWA, black PVC (Class I Div 2)</t>
        </is>
      </c>
      <c r="K2567" s="9" t="inlineStr">
        <is>
          <t>LVAX|3/C+G|8</t>
        </is>
      </c>
      <c r="L2567" s="9" t="inlineStr">
        <is>
          <t>3/C+G</t>
        </is>
      </c>
      <c r="M2567" s="9" t="inlineStr">
        <is>
          <t>8</t>
        </is>
      </c>
      <c r="N2567" s="9" t="n">
        <v>1</v>
      </c>
      <c r="O2567" s="9" t="n">
        <v>1</v>
      </c>
      <c r="P2567" s="9" t="n">
        <v>480</v>
      </c>
      <c r="Q2567" s="9" t="n">
        <v>15</v>
      </c>
      <c r="R2567" s="9" t="n">
        <v>21</v>
      </c>
      <c r="S2567" s="9" t="inlineStr">
        <is>
          <t>Estimated</t>
        </is>
      </c>
      <c r="T2567" s="10" t="n">
        <v>297</v>
      </c>
      <c r="U2567" s="10" t="n">
        <v>40</v>
      </c>
      <c r="V2567" s="10">
        <f>ROUNDUP((T2567+U2567+2*'Read Me'!$B$13)*(1+'Read Me'!$B$12),-1)</f>
        <v/>
      </c>
      <c r="W2567" s="10">
        <f>V2567*N2567*O2567</f>
        <v/>
      </c>
      <c r="X2567" s="9">
        <f>IF(LEFT(I2567,2)="MV",2*N2567*IF(L2567="1/C",O2567,1),0)</f>
        <v/>
      </c>
      <c r="Y2567" s="9">
        <f>IF(OR(LEFT(K2567,4)="LVAX",LEFT(K2567,6)="MV15AX",LEFT(K2567,4)="CTAX",LEFT(K2567,2)="W|"),2*N2567*O2567,0)</f>
        <v/>
      </c>
      <c r="Z2567" s="9" t="inlineStr">
        <is>
          <t>VD 2.2 %</t>
        </is>
      </c>
    </row>
    <row r="2568">
      <c r="A2568" s="9" t="inlineStr">
        <is>
          <t>K-P-0026</t>
        </is>
      </c>
      <c r="B2568" s="9" t="inlineStr">
        <is>
          <t>K</t>
        </is>
      </c>
      <c r="C2568" s="9" t="inlineStr">
        <is>
          <t>Fuel supply (adjacent market)</t>
        </is>
      </c>
      <c r="D2568" s="9" t="inlineStr">
        <is>
          <t>LV power feeder</t>
        </is>
      </c>
      <c r="E2568" s="9" t="inlineStr"/>
      <c r="F2568" s="9" t="inlineStr">
        <is>
          <t>LNG 17: LNG e-house (13.8 kV / 480 V)</t>
        </is>
      </c>
      <c r="G2568" s="9" t="inlineStr"/>
      <c r="H2568" s="9" t="inlineStr">
        <is>
          <t>M&amp;R 4: line heater 2 (water bath)</t>
        </is>
      </c>
      <c r="I2568" s="9" t="inlineStr">
        <is>
          <t>LV 600 V</t>
        </is>
      </c>
      <c r="J2568" s="9" t="inlineStr">
        <is>
          <t>ARMOR-X MC-HL 600 V 3/C Cu XHHW-2 + ground, CWA, black PVC (Class I Div 2)</t>
        </is>
      </c>
      <c r="K2568" s="9" t="inlineStr">
        <is>
          <t>LVAX|3/C+G|8</t>
        </is>
      </c>
      <c r="L2568" s="9" t="inlineStr">
        <is>
          <t>3/C+G</t>
        </is>
      </c>
      <c r="M2568" s="9" t="inlineStr">
        <is>
          <t>8</t>
        </is>
      </c>
      <c r="N2568" s="9" t="n">
        <v>1</v>
      </c>
      <c r="O2568" s="9" t="n">
        <v>1</v>
      </c>
      <c r="P2568" s="9" t="n">
        <v>480</v>
      </c>
      <c r="Q2568" s="9" t="n">
        <v>15</v>
      </c>
      <c r="R2568" s="9" t="n">
        <v>21</v>
      </c>
      <c r="S2568" s="9" t="inlineStr">
        <is>
          <t>Estimated</t>
        </is>
      </c>
      <c r="T2568" s="10" t="n">
        <v>279</v>
      </c>
      <c r="U2568" s="10" t="n">
        <v>40</v>
      </c>
      <c r="V2568" s="10">
        <f>ROUNDUP((T2568+U2568+2*'Read Me'!$B$13)*(1+'Read Me'!$B$12),-1)</f>
        <v/>
      </c>
      <c r="W2568" s="10">
        <f>V2568*N2568*O2568</f>
        <v/>
      </c>
      <c r="X2568" s="9">
        <f>IF(LEFT(I2568,2)="MV",2*N2568*IF(L2568="1/C",O2568,1),0)</f>
        <v/>
      </c>
      <c r="Y2568" s="9">
        <f>IF(OR(LEFT(K2568,4)="LVAX",LEFT(K2568,6)="MV15AX",LEFT(K2568,4)="CTAX",LEFT(K2568,2)="W|"),2*N2568*O2568,0)</f>
        <v/>
      </c>
      <c r="Z2568" s="9" t="inlineStr">
        <is>
          <t>VD 2.1 %</t>
        </is>
      </c>
    </row>
    <row r="2569">
      <c r="A2569" s="9" t="inlineStr">
        <is>
          <t>K-P-0027</t>
        </is>
      </c>
      <c r="B2569" s="9" t="inlineStr">
        <is>
          <t>K</t>
        </is>
      </c>
      <c r="C2569" s="9" t="inlineStr">
        <is>
          <t>Fuel supply (adjacent market)</t>
        </is>
      </c>
      <c r="D2569" s="9" t="inlineStr">
        <is>
          <t>LV power feeder</t>
        </is>
      </c>
      <c r="E2569" s="9" t="inlineStr"/>
      <c r="F2569" s="9" t="inlineStr">
        <is>
          <t>LNG 17: LNG e-house (13.8 kV / 480 V)</t>
        </is>
      </c>
      <c r="G2569" s="9" t="inlineStr"/>
      <c r="H2569" s="9" t="inlineStr">
        <is>
          <t>M&amp;R 4: line heater 3 (water bath)</t>
        </is>
      </c>
      <c r="I2569" s="9" t="inlineStr">
        <is>
          <t>LV 600 V</t>
        </is>
      </c>
      <c r="J2569" s="9" t="inlineStr">
        <is>
          <t>ARMOR-X MC-HL 600 V 3/C Cu XHHW-2 + ground, CWA, black PVC (Class I Div 2)</t>
        </is>
      </c>
      <c r="K2569" s="9" t="inlineStr">
        <is>
          <t>LVAX|3/C+G|8</t>
        </is>
      </c>
      <c r="L2569" s="9" t="inlineStr">
        <is>
          <t>3/C+G</t>
        </is>
      </c>
      <c r="M2569" s="9" t="inlineStr">
        <is>
          <t>8</t>
        </is>
      </c>
      <c r="N2569" s="9" t="n">
        <v>1</v>
      </c>
      <c r="O2569" s="9" t="n">
        <v>1</v>
      </c>
      <c r="P2569" s="9" t="n">
        <v>480</v>
      </c>
      <c r="Q2569" s="9" t="n">
        <v>15</v>
      </c>
      <c r="R2569" s="9" t="n">
        <v>21</v>
      </c>
      <c r="S2569" s="9" t="inlineStr">
        <is>
          <t>Estimated</t>
        </is>
      </c>
      <c r="T2569" s="10" t="n">
        <v>269</v>
      </c>
      <c r="U2569" s="10" t="n">
        <v>40</v>
      </c>
      <c r="V2569" s="10">
        <f>ROUNDUP((T2569+U2569+2*'Read Me'!$B$13)*(1+'Read Me'!$B$12),-1)</f>
        <v/>
      </c>
      <c r="W2569" s="10">
        <f>V2569*N2569*O2569</f>
        <v/>
      </c>
      <c r="X2569" s="9">
        <f>IF(LEFT(I2569,2)="MV",2*N2569*IF(L2569="1/C",O2569,1),0)</f>
        <v/>
      </c>
      <c r="Y2569" s="9">
        <f>IF(OR(LEFT(K2569,4)="LVAX",LEFT(K2569,6)="MV15AX",LEFT(K2569,4)="CTAX",LEFT(K2569,2)="W|"),2*N2569*O2569,0)</f>
        <v/>
      </c>
      <c r="Z2569" s="9" t="inlineStr">
        <is>
          <t>VD 2.0 %</t>
        </is>
      </c>
    </row>
    <row r="2570">
      <c r="A2570" s="9" t="inlineStr">
        <is>
          <t>K-P-0028</t>
        </is>
      </c>
      <c r="B2570" s="9" t="inlineStr">
        <is>
          <t>K</t>
        </is>
      </c>
      <c r="C2570" s="9" t="inlineStr">
        <is>
          <t>Fuel supply (adjacent market)</t>
        </is>
      </c>
      <c r="D2570" s="9" t="inlineStr">
        <is>
          <t>LV panel / distribution feeder</t>
        </is>
      </c>
      <c r="E2570" s="9" t="inlineStr"/>
      <c r="F2570" s="9" t="inlineStr">
        <is>
          <t>LNG 17: LNG e-house (13.8 kV / 480 V)</t>
        </is>
      </c>
      <c r="G2570" s="9" t="inlineStr"/>
      <c r="H2570" s="9" t="inlineStr">
        <is>
          <t>M&amp;R 6: regulation / flow control building</t>
        </is>
      </c>
      <c r="I2570" s="9" t="inlineStr">
        <is>
          <t>LV 600 V</t>
        </is>
      </c>
      <c r="J2570" s="9" t="inlineStr">
        <is>
          <t>ARMOR-X MC-HL 600 V 3/C Cu XHHW-2 + ground, CWA, black PVC (Class I Div 2)</t>
        </is>
      </c>
      <c r="K2570" s="9" t="inlineStr">
        <is>
          <t>LVAX|3/C+G|10</t>
        </is>
      </c>
      <c r="L2570" s="9" t="inlineStr">
        <is>
          <t>3/C+G</t>
        </is>
      </c>
      <c r="M2570" s="9" t="inlineStr">
        <is>
          <t>10</t>
        </is>
      </c>
      <c r="N2570" s="9" t="n">
        <v>1</v>
      </c>
      <c r="O2570" s="9" t="n">
        <v>1</v>
      </c>
      <c r="P2570" s="9" t="n">
        <v>480</v>
      </c>
      <c r="Q2570" s="9" t="n">
        <v>10</v>
      </c>
      <c r="R2570" s="9" t="n">
        <v>14</v>
      </c>
      <c r="S2570" s="9" t="inlineStr">
        <is>
          <t>Estimated</t>
        </is>
      </c>
      <c r="T2570" s="10" t="n">
        <v>337</v>
      </c>
      <c r="U2570" s="10" t="n">
        <v>40</v>
      </c>
      <c r="V2570" s="10">
        <f>ROUNDUP((T2570+U2570+2*'Read Me'!$B$13)*(1+'Read Me'!$B$12),-1)</f>
        <v/>
      </c>
      <c r="W2570" s="10">
        <f>V2570*N2570*O2570</f>
        <v/>
      </c>
      <c r="X2570" s="9">
        <f>IF(LEFT(I2570,2)="MV",2*N2570*IF(L2570="1/C",O2570,1),0)</f>
        <v/>
      </c>
      <c r="Y2570" s="9">
        <f>IF(OR(LEFT(K2570,4)="LVAX",LEFT(K2570,6)="MV15AX",LEFT(K2570,4)="CTAX",LEFT(K2570,2)="W|"),2*N2570*O2570,0)</f>
        <v/>
      </c>
      <c r="Z2570" s="9" t="inlineStr">
        <is>
          <t>VD 2.6 %</t>
        </is>
      </c>
    </row>
    <row r="2571">
      <c r="A2571" s="9" t="inlineStr">
        <is>
          <t>K-P-0029</t>
        </is>
      </c>
      <c r="B2571" s="9" t="inlineStr">
        <is>
          <t>K</t>
        </is>
      </c>
      <c r="C2571" s="9" t="inlineStr">
        <is>
          <t>Fuel supply (adjacent market)</t>
        </is>
      </c>
      <c r="D2571" s="9" t="inlineStr">
        <is>
          <t>LV panel / distribution feeder</t>
        </is>
      </c>
      <c r="E2571" s="9" t="inlineStr"/>
      <c r="F2571" s="9" t="inlineStr">
        <is>
          <t>LNG 17: LNG e-house (13.8 kV / 480 V)</t>
        </is>
      </c>
      <c r="G2571" s="9" t="inlineStr"/>
      <c r="H2571" s="9" t="inlineStr">
        <is>
          <t>M&amp;R 7: gas quality + measurement building</t>
        </is>
      </c>
      <c r="I2571" s="9" t="inlineStr">
        <is>
          <t>LV 600 V</t>
        </is>
      </c>
      <c r="J2571" s="9" t="inlineStr">
        <is>
          <t>ARMOR-X MC-HL 600 V 3/C Cu XHHW-2 + ground, CWA, black PVC (Class I Div 2)</t>
        </is>
      </c>
      <c r="K2571" s="9" t="inlineStr">
        <is>
          <t>LVAX|3/C+G|4</t>
        </is>
      </c>
      <c r="L2571" s="9" t="inlineStr">
        <is>
          <t>3/C+G</t>
        </is>
      </c>
      <c r="M2571" s="9" t="inlineStr">
        <is>
          <t>4</t>
        </is>
      </c>
      <c r="N2571" s="9" t="n">
        <v>1</v>
      </c>
      <c r="O2571" s="9" t="n">
        <v>1</v>
      </c>
      <c r="P2571" s="9" t="n">
        <v>480</v>
      </c>
      <c r="Q2571" s="9" t="n">
        <v>30</v>
      </c>
      <c r="R2571" s="9" t="n">
        <v>42</v>
      </c>
      <c r="S2571" s="9" t="inlineStr">
        <is>
          <t>Estimated</t>
        </is>
      </c>
      <c r="T2571" s="10" t="n">
        <v>465</v>
      </c>
      <c r="U2571" s="10" t="n">
        <v>40</v>
      </c>
      <c r="V2571" s="10">
        <f>ROUNDUP((T2571+U2571+2*'Read Me'!$B$13)*(1+'Read Me'!$B$12),-1)</f>
        <v/>
      </c>
      <c r="W2571" s="10">
        <f>V2571*N2571*O2571</f>
        <v/>
      </c>
      <c r="X2571" s="9">
        <f>IF(LEFT(I2571,2)="MV",2*N2571*IF(L2571="1/C",O2571,1),0)</f>
        <v/>
      </c>
      <c r="Y2571" s="9">
        <f>IF(OR(LEFT(K2571,4)="LVAX",LEFT(K2571,6)="MV15AX",LEFT(K2571,4)="CTAX",LEFT(K2571,2)="W|"),2*N2571*O2571,0)</f>
        <v/>
      </c>
      <c r="Z2571" s="9" t="inlineStr">
        <is>
          <t>VD 2.6 %</t>
        </is>
      </c>
    </row>
    <row r="2572">
      <c r="A2572" s="9" t="inlineStr">
        <is>
          <t>K-P-0030</t>
        </is>
      </c>
      <c r="B2572" s="9" t="inlineStr">
        <is>
          <t>K</t>
        </is>
      </c>
      <c r="C2572" s="9" t="inlineStr">
        <is>
          <t>Fuel supply (adjacent market)</t>
        </is>
      </c>
      <c r="D2572" s="9" t="inlineStr">
        <is>
          <t>LV power feeder</t>
        </is>
      </c>
      <c r="E2572" s="9" t="inlineStr"/>
      <c r="F2572" s="9" t="inlineStr">
        <is>
          <t>LNG 17: LNG e-house (13.8 kV / 480 V)</t>
        </is>
      </c>
      <c r="G2572" s="9" t="inlineStr"/>
      <c r="H2572" s="9" t="inlineStr">
        <is>
          <t>M&amp;R 8: condensate tank</t>
        </is>
      </c>
      <c r="I2572" s="9" t="inlineStr">
        <is>
          <t>LV 600 V</t>
        </is>
      </c>
      <c r="J2572" s="9" t="inlineStr">
        <is>
          <t>ARMOR-X MC-HL 600 V 3/C Cu XHHW-2 + ground, CWA, black PVC (Class I Div 2)</t>
        </is>
      </c>
      <c r="K2572" s="9" t="inlineStr">
        <is>
          <t>LVAX|3/C+G|10</t>
        </is>
      </c>
      <c r="L2572" s="9" t="inlineStr">
        <is>
          <t>3/C+G</t>
        </is>
      </c>
      <c r="M2572" s="9" t="inlineStr">
        <is>
          <t>10</t>
        </is>
      </c>
      <c r="N2572" s="9" t="n">
        <v>1</v>
      </c>
      <c r="O2572" s="9" t="n">
        <v>1</v>
      </c>
      <c r="P2572" s="9" t="n">
        <v>480</v>
      </c>
      <c r="Q2572" s="9" t="n">
        <v>10</v>
      </c>
      <c r="R2572" s="9" t="n">
        <v>14</v>
      </c>
      <c r="S2572" s="9" t="inlineStr">
        <is>
          <t>Estimated</t>
        </is>
      </c>
      <c r="T2572" s="10" t="n">
        <v>223</v>
      </c>
      <c r="U2572" s="10" t="n">
        <v>40</v>
      </c>
      <c r="V2572" s="10">
        <f>ROUNDUP((T2572+U2572+2*'Read Me'!$B$13)*(1+'Read Me'!$B$12),-1)</f>
        <v/>
      </c>
      <c r="W2572" s="10">
        <f>V2572*N2572*O2572</f>
        <v/>
      </c>
      <c r="X2572" s="9">
        <f>IF(LEFT(I2572,2)="MV",2*N2572*IF(L2572="1/C",O2572,1),0)</f>
        <v/>
      </c>
      <c r="Y2572" s="9">
        <f>IF(OR(LEFT(K2572,4)="LVAX",LEFT(K2572,6)="MV15AX",LEFT(K2572,4)="CTAX",LEFT(K2572,2)="W|"),2*N2572*O2572,0)</f>
        <v/>
      </c>
      <c r="Z2572" s="9" t="inlineStr">
        <is>
          <t>VD 1.8 %</t>
        </is>
      </c>
    </row>
    <row r="2573">
      <c r="A2573" s="9" t="inlineStr">
        <is>
          <t>K-P-0031</t>
        </is>
      </c>
      <c r="B2573" s="9" t="inlineStr">
        <is>
          <t>K</t>
        </is>
      </c>
      <c r="C2573" s="9" t="inlineStr">
        <is>
          <t>Fuel supply (adjacent market)</t>
        </is>
      </c>
      <c r="D2573" s="9" t="inlineStr">
        <is>
          <t>LV power feeder</t>
        </is>
      </c>
      <c r="E2573" s="9" t="inlineStr"/>
      <c r="F2573" s="9" t="inlineStr">
        <is>
          <t>LNG 17: LNG e-house (13.8 kV / 480 V)</t>
        </is>
      </c>
      <c r="G2573" s="9" t="inlineStr"/>
      <c r="H2573" s="9" t="inlineStr">
        <is>
          <t>M&amp;R 9: service panel + UPS, SCADA RTU, CP</t>
        </is>
      </c>
      <c r="I2573" s="9" t="inlineStr">
        <is>
          <t>LV 600 V</t>
        </is>
      </c>
      <c r="J2573" s="9" t="inlineStr">
        <is>
          <t>ARMOR-X MC-HL 600 V 3/C Cu XHHW-2 + ground, CWA, black PVC (Class I Div 2)</t>
        </is>
      </c>
      <c r="K2573" s="9" t="inlineStr">
        <is>
          <t>LVAX|3/C+G|8</t>
        </is>
      </c>
      <c r="L2573" s="9" t="inlineStr">
        <is>
          <t>3/C+G</t>
        </is>
      </c>
      <c r="M2573" s="9" t="inlineStr">
        <is>
          <t>8</t>
        </is>
      </c>
      <c r="N2573" s="9" t="n">
        <v>1</v>
      </c>
      <c r="O2573" s="9" t="n">
        <v>1</v>
      </c>
      <c r="P2573" s="9" t="n">
        <v>480</v>
      </c>
      <c r="Q2573" s="9" t="n">
        <v>15</v>
      </c>
      <c r="R2573" s="9" t="n">
        <v>21</v>
      </c>
      <c r="S2573" s="9" t="inlineStr">
        <is>
          <t>Estimated</t>
        </is>
      </c>
      <c r="T2573" s="10" t="n">
        <v>345</v>
      </c>
      <c r="U2573" s="10" t="n">
        <v>40</v>
      </c>
      <c r="V2573" s="10">
        <f>ROUNDUP((T2573+U2573+2*'Read Me'!$B$13)*(1+'Read Me'!$B$12),-1)</f>
        <v/>
      </c>
      <c r="W2573" s="10">
        <f>V2573*N2573*O2573</f>
        <v/>
      </c>
      <c r="X2573" s="9">
        <f>IF(LEFT(I2573,2)="MV",2*N2573*IF(L2573="1/C",O2573,1),0)</f>
        <v/>
      </c>
      <c r="Y2573" s="9">
        <f>IF(OR(LEFT(K2573,4)="LVAX",LEFT(K2573,6)="MV15AX",LEFT(K2573,4)="CTAX",LEFT(K2573,2)="W|"),2*N2573*O2573,0)</f>
        <v/>
      </c>
      <c r="Z2573" s="9" t="inlineStr">
        <is>
          <t>VD 2.5 %</t>
        </is>
      </c>
    </row>
    <row r="2574">
      <c r="A2574" s="9" t="inlineStr">
        <is>
          <t>K-P-0032</t>
        </is>
      </c>
      <c r="B2574" s="9" t="inlineStr">
        <is>
          <t>K</t>
        </is>
      </c>
      <c r="C2574" s="9" t="inlineStr">
        <is>
          <t>Fuel supply (adjacent market)</t>
        </is>
      </c>
      <c r="D2574" s="9" t="inlineStr">
        <is>
          <t>LV power feeder</t>
        </is>
      </c>
      <c r="E2574" s="9" t="inlineStr"/>
      <c r="F2574" s="9" t="inlineStr">
        <is>
          <t>LNG 17: LNG e-house (13.8 kV / 480 V)</t>
        </is>
      </c>
      <c r="G2574" s="9" t="inlineStr"/>
      <c r="H2574" s="9" t="inlineStr">
        <is>
          <t>M&amp;R CP test station (as drawn)</t>
        </is>
      </c>
      <c r="I2574" s="9" t="inlineStr">
        <is>
          <t>LV 600 V</t>
        </is>
      </c>
      <c r="J2574" s="9" t="inlineStr">
        <is>
          <t>ARMOR-X MC-HL 600 V 3/C Cu XHHW-2 + ground, CWA, black PVC (Class I Div 2)</t>
        </is>
      </c>
      <c r="K2574" s="9" t="inlineStr">
        <is>
          <t>LVAX|3/C+G|8</t>
        </is>
      </c>
      <c r="L2574" s="9" t="inlineStr">
        <is>
          <t>3/C+G</t>
        </is>
      </c>
      <c r="M2574" s="9" t="inlineStr">
        <is>
          <t>8</t>
        </is>
      </c>
      <c r="N2574" s="9" t="n">
        <v>1</v>
      </c>
      <c r="O2574" s="9" t="n">
        <v>1</v>
      </c>
      <c r="P2574" s="9" t="n">
        <v>480</v>
      </c>
      <c r="Q2574" s="9" t="n">
        <v>15</v>
      </c>
      <c r="R2574" s="9" t="n">
        <v>21</v>
      </c>
      <c r="S2574" s="9" t="inlineStr">
        <is>
          <t>Estimated</t>
        </is>
      </c>
      <c r="T2574" s="10" t="n">
        <v>328</v>
      </c>
      <c r="U2574" s="10" t="n">
        <v>40</v>
      </c>
      <c r="V2574" s="10">
        <f>ROUNDUP((T2574+U2574+2*'Read Me'!$B$13)*(1+'Read Me'!$B$12),-1)</f>
        <v/>
      </c>
      <c r="W2574" s="10">
        <f>V2574*N2574*O2574</f>
        <v/>
      </c>
      <c r="X2574" s="9">
        <f>IF(LEFT(I2574,2)="MV",2*N2574*IF(L2574="1/C",O2574,1),0)</f>
        <v/>
      </c>
      <c r="Y2574" s="9">
        <f>IF(OR(LEFT(K2574,4)="LVAX",LEFT(K2574,6)="MV15AX",LEFT(K2574,4)="CTAX",LEFT(K2574,2)="W|"),2*N2574*O2574,0)</f>
        <v/>
      </c>
      <c r="Z2574" s="9" t="inlineStr">
        <is>
          <t>VD 2.4 %</t>
        </is>
      </c>
    </row>
    <row r="2575">
      <c r="A2575" s="9" t="inlineStr">
        <is>
          <t>K-P-0033</t>
        </is>
      </c>
      <c r="B2575" s="9" t="inlineStr">
        <is>
          <t>K</t>
        </is>
      </c>
      <c r="C2575" s="9" t="inlineStr">
        <is>
          <t>Fuel supply (adjacent market)</t>
        </is>
      </c>
      <c r="D2575" s="9" t="inlineStr">
        <is>
          <t>LV power feeder</t>
        </is>
      </c>
      <c r="E2575" s="9" t="inlineStr"/>
      <c r="F2575" s="9" t="inlineStr">
        <is>
          <t>LNG 17: LNG e-house (13.8 kV / 480 V)</t>
        </is>
      </c>
      <c r="G2575" s="9" t="inlineStr"/>
      <c r="H2575" s="9" t="inlineStr">
        <is>
          <t>M&amp;R SCADA antenna mast base (as drawn)</t>
        </is>
      </c>
      <c r="I2575" s="9" t="inlineStr">
        <is>
          <t>LV 600 V</t>
        </is>
      </c>
      <c r="J2575" s="9" t="inlineStr">
        <is>
          <t>ARMOR-X MC-HL 600 V 3/C Cu XHHW-2 + ground, CWA, black PVC (Class I Div 2)</t>
        </is>
      </c>
      <c r="K2575" s="9" t="inlineStr">
        <is>
          <t>LVAX|3/C+G|8</t>
        </is>
      </c>
      <c r="L2575" s="9" t="inlineStr">
        <is>
          <t>3/C+G</t>
        </is>
      </c>
      <c r="M2575" s="9" t="inlineStr">
        <is>
          <t>8</t>
        </is>
      </c>
      <c r="N2575" s="9" t="n">
        <v>1</v>
      </c>
      <c r="O2575" s="9" t="n">
        <v>1</v>
      </c>
      <c r="P2575" s="9" t="n">
        <v>480</v>
      </c>
      <c r="Q2575" s="9" t="n">
        <v>15</v>
      </c>
      <c r="R2575" s="9" t="n">
        <v>21</v>
      </c>
      <c r="S2575" s="9" t="inlineStr">
        <is>
          <t>Estimated</t>
        </is>
      </c>
      <c r="T2575" s="10" t="n">
        <v>304</v>
      </c>
      <c r="U2575" s="10" t="n">
        <v>40</v>
      </c>
      <c r="V2575" s="10">
        <f>ROUNDUP((T2575+U2575+2*'Read Me'!$B$13)*(1+'Read Me'!$B$12),-1)</f>
        <v/>
      </c>
      <c r="W2575" s="10">
        <f>V2575*N2575*O2575</f>
        <v/>
      </c>
      <c r="X2575" s="9">
        <f>IF(LEFT(I2575,2)="MV",2*N2575*IF(L2575="1/C",O2575,1),0)</f>
        <v/>
      </c>
      <c r="Y2575" s="9">
        <f>IF(OR(LEFT(K2575,4)="LVAX",LEFT(K2575,6)="MV15AX",LEFT(K2575,4)="CTAX",LEFT(K2575,2)="W|"),2*N2575*O2575,0)</f>
        <v/>
      </c>
      <c r="Z2575" s="9" t="inlineStr">
        <is>
          <t>VD 2.2 %</t>
        </is>
      </c>
    </row>
    <row r="2576">
      <c r="A2576" s="9" t="inlineStr">
        <is>
          <t>K-MV-0001</t>
        </is>
      </c>
      <c r="B2576" s="9" t="inlineStr">
        <is>
          <t>K</t>
        </is>
      </c>
      <c r="C2576" s="9" t="inlineStr">
        <is>
          <t>Fuel supply (adjacent market)</t>
        </is>
      </c>
      <c r="D2576" s="9" t="inlineStr">
        <is>
          <t>H2 13.8 kV e-house (electrolyzers)</t>
        </is>
      </c>
      <c r="E2576" s="9" t="inlineStr">
        <is>
          <t>SWGR-13.8-3</t>
        </is>
      </c>
      <c r="F2576" s="9" t="inlineStr">
        <is>
          <t>R1 SWGR-13.8-3 (11 x 36 in cubicles, 15 kV metal-clad)</t>
        </is>
      </c>
      <c r="G2576" s="9" t="inlineStr"/>
      <c r="H2576" s="9" t="inlineStr">
        <is>
          <t>H2 20: 13.8 kV e-house</t>
        </is>
      </c>
      <c r="I2576" s="9" t="inlineStr">
        <is>
          <t>MV 15 kV</t>
        </is>
      </c>
      <c r="J2576" s="9" t="inlineStr">
        <is>
          <t>MV-105 15 kV 1/C Cu, EPR 133%, Cu tape shield, PVC jacket (triplexed)</t>
        </is>
      </c>
      <c r="K2576" s="9" t="inlineStr">
        <is>
          <t>MV15|1/C|750</t>
        </is>
      </c>
      <c r="L2576" s="9" t="inlineStr">
        <is>
          <t>1/C</t>
        </is>
      </c>
      <c r="M2576" s="9" t="inlineStr">
        <is>
          <t>750 kcmil</t>
        </is>
      </c>
      <c r="N2576" s="9" t="n">
        <v>2</v>
      </c>
      <c r="O2576" s="9" t="n">
        <v>3</v>
      </c>
      <c r="P2576" s="9" t="n">
        <v>13800</v>
      </c>
      <c r="Q2576" s="9" t="n">
        <v>20000</v>
      </c>
      <c r="R2576" s="9" t="n">
        <v>837</v>
      </c>
      <c r="S2576" s="9" t="inlineStr">
        <is>
          <t>Trench</t>
        </is>
      </c>
      <c r="T2576" s="10" t="n">
        <v>5206</v>
      </c>
      <c r="U2576" s="10" t="n">
        <v>50</v>
      </c>
      <c r="V2576" s="10">
        <f>ROUNDUP((T2576+U2576+2*'Read Me'!$B$13)*(1+'Read Me'!$B$12),-1)</f>
        <v/>
      </c>
      <c r="W2576" s="10">
        <f>V2576*N2576*O2576</f>
        <v/>
      </c>
      <c r="X2576" s="9">
        <f>IF(LEFT(I2576,2)="MV",2*N2576*IF(L2576="1/C",O2576,1),0)</f>
        <v/>
      </c>
      <c r="Y2576" s="9">
        <f>IF(OR(LEFT(K2576,4)="LVAX",LEFT(K2576,6)="MV15AX",LEFT(K2576,4)="CTAX",LEFT(K2576,2)="W|"),2*N2576*O2576,0)</f>
        <v/>
      </c>
      <c r="Z2576" s="9" t="inlineStr"/>
    </row>
    <row r="2577">
      <c r="A2577" s="9" t="inlineStr">
        <is>
          <t>K-MV-0002</t>
        </is>
      </c>
      <c r="B2577" s="9" t="inlineStr">
        <is>
          <t>K</t>
        </is>
      </c>
      <c r="C2577" s="9" t="inlineStr">
        <is>
          <t>Fuel supply (adjacent market)</t>
        </is>
      </c>
      <c r="D2577" s="9" t="inlineStr">
        <is>
          <t>LNG e-house</t>
        </is>
      </c>
      <c r="E2577" s="9" t="inlineStr">
        <is>
          <t>SWGR-13.8-3</t>
        </is>
      </c>
      <c r="F2577" s="9" t="inlineStr">
        <is>
          <t>R1 SWGR-13.8-3 (11 x 36 in cubicles, 15 kV metal-clad)</t>
        </is>
      </c>
      <c r="G2577" s="9" t="inlineStr"/>
      <c r="H2577" s="9" t="inlineStr">
        <is>
          <t>LNG 17: LNG e-house (13.8 kV / 480 V)</t>
        </is>
      </c>
      <c r="I2577" s="9" t="inlineStr">
        <is>
          <t>MV 15 kV</t>
        </is>
      </c>
      <c r="J2577" s="9" t="inlineStr">
        <is>
          <t>MV-105 15 kV 1/C Cu, EPR 133%, Cu tape shield, PVC jacket (triplexed)</t>
        </is>
      </c>
      <c r="K2577" s="9" t="inlineStr">
        <is>
          <t>MV15|1/C|4/0</t>
        </is>
      </c>
      <c r="L2577" s="9" t="inlineStr">
        <is>
          <t>1/C</t>
        </is>
      </c>
      <c r="M2577" s="9" t="inlineStr">
        <is>
          <t>4/0</t>
        </is>
      </c>
      <c r="N2577" s="9" t="n">
        <v>1</v>
      </c>
      <c r="O2577" s="9" t="n">
        <v>3</v>
      </c>
      <c r="P2577" s="9" t="n">
        <v>13800</v>
      </c>
      <c r="Q2577" s="9" t="n">
        <v>5000</v>
      </c>
      <c r="R2577" s="9" t="n">
        <v>209</v>
      </c>
      <c r="S2577" s="9" t="inlineStr">
        <is>
          <t>Estimated</t>
        </is>
      </c>
      <c r="T2577" s="10" t="n">
        <v>2634</v>
      </c>
      <c r="U2577" s="10" t="n">
        <v>40</v>
      </c>
      <c r="V2577" s="10">
        <f>ROUNDUP((T2577+U2577+2*'Read Me'!$B$13)*(1+'Read Me'!$B$12),-1)</f>
        <v/>
      </c>
      <c r="W2577" s="10">
        <f>V2577*N2577*O2577</f>
        <v/>
      </c>
      <c r="X2577" s="9">
        <f>IF(LEFT(I2577,2)="MV",2*N2577*IF(L2577="1/C",O2577,1),0)</f>
        <v/>
      </c>
      <c r="Y2577" s="9">
        <f>IF(OR(LEFT(K2577,4)="LVAX",LEFT(K2577,6)="MV15AX",LEFT(K2577,4)="CTAX",LEFT(K2577,2)="W|"),2*N2577*O2577,0)</f>
        <v/>
      </c>
      <c r="Z2577" s="9" t="inlineStr"/>
    </row>
  </sheetData>
  <autoFilter ref="A1:Z257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5" customWidth="1" min="2" max="2"/>
    <col width="70" customWidth="1" min="3" max="3"/>
    <col width="10" customWidth="1" min="4" max="4"/>
    <col width="12" customWidth="1" min="5" max="5"/>
    <col width="7" customWidth="1" min="6" max="6"/>
    <col width="15" customWidth="1" min="7" max="7"/>
    <col width="7" customWidth="1" min="8" max="8"/>
    <col width="15" customWidth="1" min="9" max="9"/>
    <col width="12" customWidth="1" min="10" max="10"/>
    <col width="7" customWidth="1" min="11" max="11"/>
    <col width="12" customWidth="1" min="12" max="12"/>
  </cols>
  <sheetData>
    <row r="1">
      <c r="A1" s="8" t="inlineStr">
        <is>
          <t>Product key</t>
        </is>
      </c>
      <c r="B1" s="8" t="inlineStr">
        <is>
          <t>Class</t>
        </is>
      </c>
      <c r="C1" s="8" t="inlineStr">
        <is>
          <t>Product (typical Southwire family)</t>
        </is>
      </c>
      <c r="D1" s="8" t="inlineStr">
        <is>
          <t>Conductors</t>
        </is>
      </c>
      <c r="E1" s="8" t="inlineStr">
        <is>
          <t>Size</t>
        </is>
      </c>
      <c r="F1" s="8" t="inlineStr">
        <is>
          <t>Runs</t>
        </is>
      </c>
      <c r="G1" s="8" t="inlineStr">
        <is>
          <t>Total length (ft)</t>
        </is>
      </c>
      <c r="H1" s="8" t="inlineStr">
        <is>
          <t>Waste</t>
        </is>
      </c>
      <c r="I1" s="8" t="inlineStr">
        <is>
          <t>Order length (ft)</t>
        </is>
      </c>
      <c r="J1" s="8" t="inlineStr">
        <is>
          <t>Standard reel (ft)</t>
        </is>
      </c>
      <c r="K1" s="8" t="inlineStr">
        <is>
          <t>Reels</t>
        </is>
      </c>
      <c r="L1" s="8" t="inlineStr">
        <is>
          <t>Order length (km)</t>
        </is>
      </c>
    </row>
    <row r="2">
      <c r="A2" s="9" t="inlineStr">
        <is>
          <t>MV15|1/C|2</t>
        </is>
      </c>
      <c r="B2" s="9" t="inlineStr">
        <is>
          <t>MV 15 kV</t>
        </is>
      </c>
      <c r="C2" s="9" t="inlineStr">
        <is>
          <t>MV-105 15 kV 1/C Cu, EPR 133%, Cu tape shield, PVC jacket (triplexed)</t>
        </is>
      </c>
      <c r="D2" s="9" t="inlineStr">
        <is>
          <t>1/C</t>
        </is>
      </c>
      <c r="E2" s="9" t="inlineStr">
        <is>
          <t>2</t>
        </is>
      </c>
      <c r="F2" s="11">
        <f>COUNTIF('Cable Schedule'!$K$2:$K$2577,A2)</f>
        <v/>
      </c>
      <c r="G2" s="12">
        <f>SUMIFS('Cable Schedule'!$W$2:$W$2577,'Cable Schedule'!$K$2:$K$2577,A2)</f>
        <v/>
      </c>
      <c r="H2" s="13">
        <f>'Read Me'!$B$14</f>
        <v/>
      </c>
      <c r="I2" s="10">
        <f>ROUNDUP(G2*(1+H2),-2)</f>
        <v/>
      </c>
      <c r="J2" s="14" t="n">
        <v>2500</v>
      </c>
      <c r="K2" s="9">
        <f>IF(J2&gt;0,ROUNDUP(I2/J2,0),0)</f>
        <v/>
      </c>
      <c r="L2" s="15">
        <f>I2*0.3048/1000</f>
        <v/>
      </c>
    </row>
    <row r="3">
      <c r="A3" s="9" t="inlineStr">
        <is>
          <t>MV15|1/C|1/0</t>
        </is>
      </c>
      <c r="B3" s="9" t="inlineStr">
        <is>
          <t>MV 15 kV</t>
        </is>
      </c>
      <c r="C3" s="9" t="inlineStr">
        <is>
          <t>MV-105 15 kV 1/C Cu, EPR 133%, Cu tape shield, PVC jacket (triplexed)</t>
        </is>
      </c>
      <c r="D3" s="9" t="inlineStr">
        <is>
          <t>1/C</t>
        </is>
      </c>
      <c r="E3" s="9" t="inlineStr">
        <is>
          <t>1/0</t>
        </is>
      </c>
      <c r="F3" s="11">
        <f>COUNTIF('Cable Schedule'!$K$2:$K$2577,A3)</f>
        <v/>
      </c>
      <c r="G3" s="12">
        <f>SUMIFS('Cable Schedule'!$W$2:$W$2577,'Cable Schedule'!$K$2:$K$2577,A3)</f>
        <v/>
      </c>
      <c r="H3" s="13">
        <f>'Read Me'!$B$14</f>
        <v/>
      </c>
      <c r="I3" s="10">
        <f>ROUNDUP(G3*(1+H3),-2)</f>
        <v/>
      </c>
      <c r="J3" s="14" t="n">
        <v>2500</v>
      </c>
      <c r="K3" s="9">
        <f>IF(J3&gt;0,ROUNDUP(I3/J3,0),0)</f>
        <v/>
      </c>
      <c r="L3" s="15">
        <f>I3*0.3048/1000</f>
        <v/>
      </c>
    </row>
    <row r="4">
      <c r="A4" s="9" t="inlineStr">
        <is>
          <t>MV15|1/C|2/0</t>
        </is>
      </c>
      <c r="B4" s="9" t="inlineStr">
        <is>
          <t>MV 15 kV</t>
        </is>
      </c>
      <c r="C4" s="9" t="inlineStr">
        <is>
          <t>MV-105 15 kV 1/C Cu, EPR 133%, Cu tape shield, PVC jacket (triplexed)</t>
        </is>
      </c>
      <c r="D4" s="9" t="inlineStr">
        <is>
          <t>1/C</t>
        </is>
      </c>
      <c r="E4" s="9" t="inlineStr">
        <is>
          <t>2/0</t>
        </is>
      </c>
      <c r="F4" s="11">
        <f>COUNTIF('Cable Schedule'!$K$2:$K$2577,A4)</f>
        <v/>
      </c>
      <c r="G4" s="12">
        <f>SUMIFS('Cable Schedule'!$W$2:$W$2577,'Cable Schedule'!$K$2:$K$2577,A4)</f>
        <v/>
      </c>
      <c r="H4" s="13">
        <f>'Read Me'!$B$14</f>
        <v/>
      </c>
      <c r="I4" s="10">
        <f>ROUNDUP(G4*(1+H4),-2)</f>
        <v/>
      </c>
      <c r="J4" s="14" t="n">
        <v>2500</v>
      </c>
      <c r="K4" s="9">
        <f>IF(J4&gt;0,ROUNDUP(I4/J4,0),0)</f>
        <v/>
      </c>
      <c r="L4" s="15">
        <f>I4*0.3048/1000</f>
        <v/>
      </c>
    </row>
    <row r="5">
      <c r="A5" s="9" t="inlineStr">
        <is>
          <t>MV15|1/C|4/0</t>
        </is>
      </c>
      <c r="B5" s="9" t="inlineStr">
        <is>
          <t>MV 15 kV</t>
        </is>
      </c>
      <c r="C5" s="9" t="inlineStr">
        <is>
          <t>MV-105 15 kV 1/C Cu, EPR 133%, Cu tape shield, PVC jacket (triplexed)</t>
        </is>
      </c>
      <c r="D5" s="9" t="inlineStr">
        <is>
          <t>1/C</t>
        </is>
      </c>
      <c r="E5" s="9" t="inlineStr">
        <is>
          <t>4/0</t>
        </is>
      </c>
      <c r="F5" s="11">
        <f>COUNTIF('Cable Schedule'!$K$2:$K$2577,A5)</f>
        <v/>
      </c>
      <c r="G5" s="12">
        <f>SUMIFS('Cable Schedule'!$W$2:$W$2577,'Cable Schedule'!$K$2:$K$2577,A5)</f>
        <v/>
      </c>
      <c r="H5" s="13">
        <f>'Read Me'!$B$14</f>
        <v/>
      </c>
      <c r="I5" s="10">
        <f>ROUNDUP(G5*(1+H5),-2)</f>
        <v/>
      </c>
      <c r="J5" s="14" t="n">
        <v>2500</v>
      </c>
      <c r="K5" s="9">
        <f>IF(J5&gt;0,ROUNDUP(I5/J5,0),0)</f>
        <v/>
      </c>
      <c r="L5" s="15">
        <f>I5*0.3048/1000</f>
        <v/>
      </c>
    </row>
    <row r="6">
      <c r="A6" s="9" t="inlineStr">
        <is>
          <t>MV15|1/C|250</t>
        </is>
      </c>
      <c r="B6" s="9" t="inlineStr">
        <is>
          <t>MV 15 kV</t>
        </is>
      </c>
      <c r="C6" s="9" t="inlineStr">
        <is>
          <t>MV-105 15 kV 1/C Cu, EPR 133%, Cu tape shield, PVC jacket (triplexed)</t>
        </is>
      </c>
      <c r="D6" s="9" t="inlineStr">
        <is>
          <t>1/C</t>
        </is>
      </c>
      <c r="E6" s="9" t="inlineStr">
        <is>
          <t>250 kcmil</t>
        </is>
      </c>
      <c r="F6" s="11">
        <f>COUNTIF('Cable Schedule'!$K$2:$K$2577,A6)</f>
        <v/>
      </c>
      <c r="G6" s="12">
        <f>SUMIFS('Cable Schedule'!$W$2:$W$2577,'Cable Schedule'!$K$2:$K$2577,A6)</f>
        <v/>
      </c>
      <c r="H6" s="13">
        <f>'Read Me'!$B$14</f>
        <v/>
      </c>
      <c r="I6" s="10">
        <f>ROUNDUP(G6*(1+H6),-2)</f>
        <v/>
      </c>
      <c r="J6" s="14" t="n">
        <v>2500</v>
      </c>
      <c r="K6" s="9">
        <f>IF(J6&gt;0,ROUNDUP(I6/J6,0),0)</f>
        <v/>
      </c>
      <c r="L6" s="15">
        <f>I6*0.3048/1000</f>
        <v/>
      </c>
    </row>
    <row r="7">
      <c r="A7" s="9" t="inlineStr">
        <is>
          <t>MV15|1/C|500</t>
        </is>
      </c>
      <c r="B7" s="9" t="inlineStr">
        <is>
          <t>MV 15 kV</t>
        </is>
      </c>
      <c r="C7" s="9" t="inlineStr">
        <is>
          <t>MV-105 15 kV 1/C Cu, EPR 133%, Cu tape shield, PVC jacket (triplexed)</t>
        </is>
      </c>
      <c r="D7" s="9" t="inlineStr">
        <is>
          <t>1/C</t>
        </is>
      </c>
      <c r="E7" s="9" t="inlineStr">
        <is>
          <t>500 kcmil</t>
        </is>
      </c>
      <c r="F7" s="11">
        <f>COUNTIF('Cable Schedule'!$K$2:$K$2577,A7)</f>
        <v/>
      </c>
      <c r="G7" s="12">
        <f>SUMIFS('Cable Schedule'!$W$2:$W$2577,'Cable Schedule'!$K$2:$K$2577,A7)</f>
        <v/>
      </c>
      <c r="H7" s="13">
        <f>'Read Me'!$B$14</f>
        <v/>
      </c>
      <c r="I7" s="10">
        <f>ROUNDUP(G7*(1+H7),-2)</f>
        <v/>
      </c>
      <c r="J7" s="14" t="n">
        <v>2500</v>
      </c>
      <c r="K7" s="9">
        <f>IF(J7&gt;0,ROUNDUP(I7/J7,0),0)</f>
        <v/>
      </c>
      <c r="L7" s="15">
        <f>I7*0.3048/1000</f>
        <v/>
      </c>
    </row>
    <row r="8">
      <c r="A8" s="9" t="inlineStr">
        <is>
          <t>MV15|1/C|750</t>
        </is>
      </c>
      <c r="B8" s="9" t="inlineStr">
        <is>
          <t>MV 15 kV</t>
        </is>
      </c>
      <c r="C8" s="9" t="inlineStr">
        <is>
          <t>MV-105 15 kV 1/C Cu, EPR 133%, Cu tape shield, PVC jacket (triplexed)</t>
        </is>
      </c>
      <c r="D8" s="9" t="inlineStr">
        <is>
          <t>1/C</t>
        </is>
      </c>
      <c r="E8" s="9" t="inlineStr">
        <is>
          <t>750 kcmil</t>
        </is>
      </c>
      <c r="F8" s="11">
        <f>COUNTIF('Cable Schedule'!$K$2:$K$2577,A8)</f>
        <v/>
      </c>
      <c r="G8" s="12">
        <f>SUMIFS('Cable Schedule'!$W$2:$W$2577,'Cable Schedule'!$K$2:$K$2577,A8)</f>
        <v/>
      </c>
      <c r="H8" s="13">
        <f>'Read Me'!$B$14</f>
        <v/>
      </c>
      <c r="I8" s="10">
        <f>ROUNDUP(G8*(1+H8),-2)</f>
        <v/>
      </c>
      <c r="J8" s="14" t="n">
        <v>2500</v>
      </c>
      <c r="K8" s="9">
        <f>IF(J8&gt;0,ROUNDUP(I8/J8,0),0)</f>
        <v/>
      </c>
      <c r="L8" s="15">
        <f>I8*0.3048/1000</f>
        <v/>
      </c>
    </row>
    <row r="9">
      <c r="A9" s="9" t="inlineStr">
        <is>
          <t>MV15|1/C|1000</t>
        </is>
      </c>
      <c r="B9" s="9" t="inlineStr">
        <is>
          <t>MV 15 kV</t>
        </is>
      </c>
      <c r="C9" s="9" t="inlineStr">
        <is>
          <t>MV-105 15 kV 1/C Cu, EPR 133%, Cu tape shield, PVC jacket (triplexed)</t>
        </is>
      </c>
      <c r="D9" s="9" t="inlineStr">
        <is>
          <t>1/C</t>
        </is>
      </c>
      <c r="E9" s="9" t="inlineStr">
        <is>
          <t>1000 kcmil</t>
        </is>
      </c>
      <c r="F9" s="11">
        <f>COUNTIF('Cable Schedule'!$K$2:$K$2577,A9)</f>
        <v/>
      </c>
      <c r="G9" s="12">
        <f>SUMIFS('Cable Schedule'!$W$2:$W$2577,'Cable Schedule'!$K$2:$K$2577,A9)</f>
        <v/>
      </c>
      <c r="H9" s="13">
        <f>'Read Me'!$B$14</f>
        <v/>
      </c>
      <c r="I9" s="10">
        <f>ROUNDUP(G9*(1+H9),-2)</f>
        <v/>
      </c>
      <c r="J9" s="14" t="n">
        <v>2500</v>
      </c>
      <c r="K9" s="9">
        <f>IF(J9&gt;0,ROUNDUP(I9/J9,0),0)</f>
        <v/>
      </c>
      <c r="L9" s="15">
        <f>I9*0.3048/1000</f>
        <v/>
      </c>
    </row>
    <row r="10">
      <c r="A10" s="9" t="inlineStr">
        <is>
          <t>MV15AX|3/C|2</t>
        </is>
      </c>
      <c r="B10" s="9" t="inlineStr">
        <is>
          <t>MV 15 kV</t>
        </is>
      </c>
      <c r="C10" s="9" t="inlineStr">
        <is>
          <t>ARMOR-X MC-HL / MV-105 15 kV 3/C Cu, EPR 133%, tape shield, gnd, CWA, red PVC</t>
        </is>
      </c>
      <c r="D10" s="9" t="inlineStr">
        <is>
          <t>3/C</t>
        </is>
      </c>
      <c r="E10" s="9" t="inlineStr">
        <is>
          <t>2</t>
        </is>
      </c>
      <c r="F10" s="11">
        <f>COUNTIF('Cable Schedule'!$K$2:$K$2577,A10)</f>
        <v/>
      </c>
      <c r="G10" s="12">
        <f>SUMIFS('Cable Schedule'!$W$2:$W$2577,'Cable Schedule'!$K$2:$K$2577,A10)</f>
        <v/>
      </c>
      <c r="H10" s="13">
        <f>'Read Me'!$B$14</f>
        <v/>
      </c>
      <c r="I10" s="10">
        <f>ROUNDUP(G10*(1+H10),-2)</f>
        <v/>
      </c>
      <c r="J10" s="14" t="n">
        <v>2000</v>
      </c>
      <c r="K10" s="9">
        <f>IF(J10&gt;0,ROUNDUP(I10/J10,0),0)</f>
        <v/>
      </c>
      <c r="L10" s="15">
        <f>I10*0.3048/1000</f>
        <v/>
      </c>
    </row>
    <row r="11">
      <c r="A11" s="9" t="inlineStr">
        <is>
          <t>MV15AX|3/C|1/0</t>
        </is>
      </c>
      <c r="B11" s="9" t="inlineStr">
        <is>
          <t>MV 15 kV</t>
        </is>
      </c>
      <c r="C11" s="9" t="inlineStr">
        <is>
          <t>ARMOR-X MC-HL / MV-105 15 kV 3/C Cu, EPR 133%, tape shield, gnd, CWA, red PVC</t>
        </is>
      </c>
      <c r="D11" s="9" t="inlineStr">
        <is>
          <t>3/C</t>
        </is>
      </c>
      <c r="E11" s="9" t="inlineStr">
        <is>
          <t>1/0</t>
        </is>
      </c>
      <c r="F11" s="11">
        <f>COUNTIF('Cable Schedule'!$K$2:$K$2577,A11)</f>
        <v/>
      </c>
      <c r="G11" s="12">
        <f>SUMIFS('Cable Schedule'!$W$2:$W$2577,'Cable Schedule'!$K$2:$K$2577,A11)</f>
        <v/>
      </c>
      <c r="H11" s="13">
        <f>'Read Me'!$B$14</f>
        <v/>
      </c>
      <c r="I11" s="10">
        <f>ROUNDUP(G11*(1+H11),-2)</f>
        <v/>
      </c>
      <c r="J11" s="14" t="n">
        <v>2000</v>
      </c>
      <c r="K11" s="9">
        <f>IF(J11&gt;0,ROUNDUP(I11/J11,0),0)</f>
        <v/>
      </c>
      <c r="L11" s="15">
        <f>I11*0.3048/1000</f>
        <v/>
      </c>
    </row>
    <row r="12">
      <c r="A12" s="9" t="inlineStr">
        <is>
          <t>MV5|3/C|2</t>
        </is>
      </c>
      <c r="B12" s="9" t="inlineStr">
        <is>
          <t>MV 5 kV</t>
        </is>
      </c>
      <c r="C12" s="9" t="inlineStr">
        <is>
          <t>MV-105 5 kV 3/C Cu, EPR 133%, tape shield, gnd, PVC jacket</t>
        </is>
      </c>
      <c r="D12" s="9" t="inlineStr">
        <is>
          <t>3/C</t>
        </is>
      </c>
      <c r="E12" s="9" t="inlineStr">
        <is>
          <t>2</t>
        </is>
      </c>
      <c r="F12" s="11">
        <f>COUNTIF('Cable Schedule'!$K$2:$K$2577,A12)</f>
        <v/>
      </c>
      <c r="G12" s="12">
        <f>SUMIFS('Cable Schedule'!$W$2:$W$2577,'Cable Schedule'!$K$2:$K$2577,A12)</f>
        <v/>
      </c>
      <c r="H12" s="13">
        <f>'Read Me'!$B$14</f>
        <v/>
      </c>
      <c r="I12" s="10">
        <f>ROUNDUP(G12*(1+H12),-2)</f>
        <v/>
      </c>
      <c r="J12" s="14" t="n">
        <v>2500</v>
      </c>
      <c r="K12" s="9">
        <f>IF(J12&gt;0,ROUNDUP(I12/J12,0),0)</f>
        <v/>
      </c>
      <c r="L12" s="15">
        <f>I12*0.3048/1000</f>
        <v/>
      </c>
    </row>
    <row r="13">
      <c r="A13" s="9" t="inlineStr">
        <is>
          <t>MV5|3/C|1/0</t>
        </is>
      </c>
      <c r="B13" s="9" t="inlineStr">
        <is>
          <t>MV 5 kV</t>
        </is>
      </c>
      <c r="C13" s="9" t="inlineStr">
        <is>
          <t>MV-105 5 kV 3/C Cu, EPR 133%, tape shield, gnd, PVC jacket</t>
        </is>
      </c>
      <c r="D13" s="9" t="inlineStr">
        <is>
          <t>3/C</t>
        </is>
      </c>
      <c r="E13" s="9" t="inlineStr">
        <is>
          <t>1/0</t>
        </is>
      </c>
      <c r="F13" s="11">
        <f>COUNTIF('Cable Schedule'!$K$2:$K$2577,A13)</f>
        <v/>
      </c>
      <c r="G13" s="12">
        <f>SUMIFS('Cable Schedule'!$W$2:$W$2577,'Cable Schedule'!$K$2:$K$2577,A13)</f>
        <v/>
      </c>
      <c r="H13" s="13">
        <f>'Read Me'!$B$14</f>
        <v/>
      </c>
      <c r="I13" s="10">
        <f>ROUNDUP(G13*(1+H13),-2)</f>
        <v/>
      </c>
      <c r="J13" s="14" t="n">
        <v>2500</v>
      </c>
      <c r="K13" s="9">
        <f>IF(J13&gt;0,ROUNDUP(I13/J13,0),0)</f>
        <v/>
      </c>
      <c r="L13" s="15">
        <f>I13*0.3048/1000</f>
        <v/>
      </c>
    </row>
    <row r="14">
      <c r="A14" s="9" t="inlineStr">
        <is>
          <t>MV5|3/C|4/0</t>
        </is>
      </c>
      <c r="B14" s="9" t="inlineStr">
        <is>
          <t>MV 5 kV</t>
        </is>
      </c>
      <c r="C14" s="9" t="inlineStr">
        <is>
          <t>MV-105 5 kV 3/C Cu, EPR 133%, tape shield, gnd, PVC jacket</t>
        </is>
      </c>
      <c r="D14" s="9" t="inlineStr">
        <is>
          <t>3/C</t>
        </is>
      </c>
      <c r="E14" s="9" t="inlineStr">
        <is>
          <t>4/0</t>
        </is>
      </c>
      <c r="F14" s="11">
        <f>COUNTIF('Cable Schedule'!$K$2:$K$2577,A14)</f>
        <v/>
      </c>
      <c r="G14" s="12">
        <f>SUMIFS('Cable Schedule'!$W$2:$W$2577,'Cable Schedule'!$K$2:$K$2577,A14)</f>
        <v/>
      </c>
      <c r="H14" s="13">
        <f>'Read Me'!$B$14</f>
        <v/>
      </c>
      <c r="I14" s="10">
        <f>ROUNDUP(G14*(1+H14),-2)</f>
        <v/>
      </c>
      <c r="J14" s="14" t="n">
        <v>2500</v>
      </c>
      <c r="K14" s="9">
        <f>IF(J14&gt;0,ROUNDUP(I14/J14,0),0)</f>
        <v/>
      </c>
      <c r="L14" s="15">
        <f>I14*0.3048/1000</f>
        <v/>
      </c>
    </row>
    <row r="15">
      <c r="A15" s="9" t="inlineStr">
        <is>
          <t>MV5|3/C|250</t>
        </is>
      </c>
      <c r="B15" s="9" t="inlineStr">
        <is>
          <t>MV 5 kV</t>
        </is>
      </c>
      <c r="C15" s="9" t="inlineStr">
        <is>
          <t>MV-105 5 kV 3/C Cu, EPR 133%, tape shield, gnd, PVC jacket</t>
        </is>
      </c>
      <c r="D15" s="9" t="inlineStr">
        <is>
          <t>3/C</t>
        </is>
      </c>
      <c r="E15" s="9" t="inlineStr">
        <is>
          <t>250 kcmil</t>
        </is>
      </c>
      <c r="F15" s="11">
        <f>COUNTIF('Cable Schedule'!$K$2:$K$2577,A15)</f>
        <v/>
      </c>
      <c r="G15" s="12">
        <f>SUMIFS('Cable Schedule'!$W$2:$W$2577,'Cable Schedule'!$K$2:$K$2577,A15)</f>
        <v/>
      </c>
      <c r="H15" s="13">
        <f>'Read Me'!$B$14</f>
        <v/>
      </c>
      <c r="I15" s="10">
        <f>ROUNDUP(G15*(1+H15),-2)</f>
        <v/>
      </c>
      <c r="J15" s="14" t="n">
        <v>2500</v>
      </c>
      <c r="K15" s="9">
        <f>IF(J15&gt;0,ROUNDUP(I15/J15,0),0)</f>
        <v/>
      </c>
      <c r="L15" s="15">
        <f>I15*0.3048/1000</f>
        <v/>
      </c>
    </row>
    <row r="16">
      <c r="A16" s="9" t="inlineStr">
        <is>
          <t>MV5S|1/C|1000</t>
        </is>
      </c>
      <c r="B16" s="9" t="inlineStr">
        <is>
          <t>MV 5 kV</t>
        </is>
      </c>
      <c r="C16" s="9" t="inlineStr">
        <is>
          <t>MV-105 5 kV 1/C Cu, EPR 133%, Cu tape shield, PVC jacket (triplexed)</t>
        </is>
      </c>
      <c r="D16" s="9" t="inlineStr">
        <is>
          <t>1/C</t>
        </is>
      </c>
      <c r="E16" s="9" t="inlineStr">
        <is>
          <t>1000 kcmil</t>
        </is>
      </c>
      <c r="F16" s="11">
        <f>COUNTIF('Cable Schedule'!$K$2:$K$2577,A16)</f>
        <v/>
      </c>
      <c r="G16" s="12">
        <f>SUMIFS('Cable Schedule'!$W$2:$W$2577,'Cable Schedule'!$K$2:$K$2577,A16)</f>
        <v/>
      </c>
      <c r="H16" s="13">
        <f>'Read Me'!$B$14</f>
        <v/>
      </c>
      <c r="I16" s="10">
        <f>ROUNDUP(G16*(1+H16),-2)</f>
        <v/>
      </c>
      <c r="J16" s="14" t="n">
        <v>2500</v>
      </c>
      <c r="K16" s="9">
        <f>IF(J16&gt;0,ROUNDUP(I16/J16,0),0)</f>
        <v/>
      </c>
      <c r="L16" s="15">
        <f>I16*0.3048/1000</f>
        <v/>
      </c>
    </row>
    <row r="17">
      <c r="A17" s="9" t="inlineStr">
        <is>
          <t>MV25|1/C|2</t>
        </is>
      </c>
      <c r="B17" s="9" t="inlineStr">
        <is>
          <t>MV 25 kV</t>
        </is>
      </c>
      <c r="C17" s="9" t="inlineStr">
        <is>
          <t>MV-105 25 kV 1/C Cu, EPR 133%, Cu tape shield, PVC jacket</t>
        </is>
      </c>
      <c r="D17" s="9" t="inlineStr">
        <is>
          <t>1/C</t>
        </is>
      </c>
      <c r="E17" s="9" t="inlineStr">
        <is>
          <t>2</t>
        </is>
      </c>
      <c r="F17" s="11">
        <f>COUNTIF('Cable Schedule'!$K$2:$K$2577,A17)</f>
        <v/>
      </c>
      <c r="G17" s="12">
        <f>SUMIFS('Cable Schedule'!$W$2:$W$2577,'Cable Schedule'!$K$2:$K$2577,A17)</f>
        <v/>
      </c>
      <c r="H17" s="13">
        <f>'Read Me'!$B$14</f>
        <v/>
      </c>
      <c r="I17" s="10">
        <f>ROUNDUP(G17*(1+H17),-2)</f>
        <v/>
      </c>
      <c r="J17" s="14" t="n">
        <v>2500</v>
      </c>
      <c r="K17" s="9">
        <f>IF(J17&gt;0,ROUNDUP(I17/J17,0),0)</f>
        <v/>
      </c>
      <c r="L17" s="15">
        <f>I17*0.3048/1000</f>
        <v/>
      </c>
    </row>
    <row r="18">
      <c r="A18" s="9" t="inlineStr">
        <is>
          <t>MV35|1/C|350</t>
        </is>
      </c>
      <c r="B18" s="9" t="inlineStr">
        <is>
          <t>MV 35 kV</t>
        </is>
      </c>
      <c r="C18" s="9" t="inlineStr">
        <is>
          <t>MV-105 35 kV 1/C Al, EPR 133%, 1/3 concentric neutral, LLDPE jacket</t>
        </is>
      </c>
      <c r="D18" s="9" t="inlineStr">
        <is>
          <t>1/C</t>
        </is>
      </c>
      <c r="E18" s="9" t="inlineStr">
        <is>
          <t>350 kcmil</t>
        </is>
      </c>
      <c r="F18" s="11">
        <f>COUNTIF('Cable Schedule'!$K$2:$K$2577,A18)</f>
        <v/>
      </c>
      <c r="G18" s="12">
        <f>SUMIFS('Cable Schedule'!$W$2:$W$2577,'Cable Schedule'!$K$2:$K$2577,A18)</f>
        <v/>
      </c>
      <c r="H18" s="13">
        <f>'Read Me'!$B$14</f>
        <v/>
      </c>
      <c r="I18" s="10">
        <f>ROUNDUP(G18*(1+H18),-2)</f>
        <v/>
      </c>
      <c r="J18" s="14" t="n">
        <v>2500</v>
      </c>
      <c r="K18" s="9">
        <f>IF(J18&gt;0,ROUNDUP(I18/J18,0),0)</f>
        <v/>
      </c>
      <c r="L18" s="15">
        <f>I18*0.3048/1000</f>
        <v/>
      </c>
    </row>
    <row r="19">
      <c r="A19" s="9" t="inlineStr">
        <is>
          <t>MV35|1/C|750</t>
        </is>
      </c>
      <c r="B19" s="9" t="inlineStr">
        <is>
          <t>MV 35 kV</t>
        </is>
      </c>
      <c r="C19" s="9" t="inlineStr">
        <is>
          <t>MV-105 35 kV 1/C Al, EPR 133%, 1/3 concentric neutral, LLDPE jacket</t>
        </is>
      </c>
      <c r="D19" s="9" t="inlineStr">
        <is>
          <t>1/C</t>
        </is>
      </c>
      <c r="E19" s="9" t="inlineStr">
        <is>
          <t>750 kcmil</t>
        </is>
      </c>
      <c r="F19" s="11">
        <f>COUNTIF('Cable Schedule'!$K$2:$K$2577,A19)</f>
        <v/>
      </c>
      <c r="G19" s="12">
        <f>SUMIFS('Cable Schedule'!$W$2:$W$2577,'Cable Schedule'!$K$2:$K$2577,A19)</f>
        <v/>
      </c>
      <c r="H19" s="13">
        <f>'Read Me'!$B$14</f>
        <v/>
      </c>
      <c r="I19" s="10">
        <f>ROUNDUP(G19*(1+H19),-2)</f>
        <v/>
      </c>
      <c r="J19" s="14" t="n">
        <v>2500</v>
      </c>
      <c r="K19" s="9">
        <f>IF(J19&gt;0,ROUNDUP(I19/J19,0),0)</f>
        <v/>
      </c>
      <c r="L19" s="15">
        <f>I19*0.3048/1000</f>
        <v/>
      </c>
    </row>
    <row r="20">
      <c r="A20" s="9" t="inlineStr">
        <is>
          <t>HV230|1/C|2500</t>
        </is>
      </c>
      <c r="B20" s="9" t="inlineStr">
        <is>
          <t>HV 230 kV</t>
        </is>
      </c>
      <c r="C20" s="9" t="inlineStr">
        <is>
          <t>HV XLPE 230 kV 1/C 2500 kcmil Cu, Cu wire shield, Al laminate, HDPE jacket</t>
        </is>
      </c>
      <c r="D20" s="9" t="inlineStr">
        <is>
          <t>1/C</t>
        </is>
      </c>
      <c r="E20" s="9" t="inlineStr">
        <is>
          <t>2500 kcmil</t>
        </is>
      </c>
      <c r="F20" s="11">
        <f>COUNTIF('Cable Schedule'!$K$2:$K$2577,A20)</f>
        <v/>
      </c>
      <c r="G20" s="12">
        <f>SUMIFS('Cable Schedule'!$W$2:$W$2577,'Cable Schedule'!$K$2:$K$2577,A20)</f>
        <v/>
      </c>
      <c r="H20" s="13">
        <f>'Read Me'!$B$14</f>
        <v/>
      </c>
      <c r="I20" s="10">
        <f>ROUNDUP(G20*(1+H20),-2)</f>
        <v/>
      </c>
      <c r="J20" s="14" t="n">
        <v>1800</v>
      </c>
      <c r="K20" s="9">
        <f>IF(J20&gt;0,ROUNDUP(I20/J20,0),0)</f>
        <v/>
      </c>
      <c r="L20" s="15">
        <f>I20*0.3048/1000</f>
        <v/>
      </c>
    </row>
    <row r="21">
      <c r="A21" s="9" t="inlineStr">
        <is>
          <t>LV|3/C+G|10</t>
        </is>
      </c>
      <c r="B21" s="9" t="inlineStr">
        <is>
          <t>LV 600 V</t>
        </is>
      </c>
      <c r="C21" s="9" t="inlineStr">
        <is>
          <t>Type TC-ER 600 V 3/C Cu XHHW-2 + ground, PVC jacket</t>
        </is>
      </c>
      <c r="D21" s="9" t="inlineStr">
        <is>
          <t>3/C+G</t>
        </is>
      </c>
      <c r="E21" s="9" t="inlineStr">
        <is>
          <t>10</t>
        </is>
      </c>
      <c r="F21" s="11">
        <f>COUNTIF('Cable Schedule'!$K$2:$K$2577,A21)</f>
        <v/>
      </c>
      <c r="G21" s="12">
        <f>SUMIFS('Cable Schedule'!$W$2:$W$2577,'Cable Schedule'!$K$2:$K$2577,A21)</f>
        <v/>
      </c>
      <c r="H21" s="13">
        <f>'Read Me'!$B$14</f>
        <v/>
      </c>
      <c r="I21" s="10">
        <f>ROUNDUP(G21*(1+H21),-2)</f>
        <v/>
      </c>
      <c r="J21" s="14" t="n">
        <v>2500</v>
      </c>
      <c r="K21" s="9">
        <f>IF(J21&gt;0,ROUNDUP(I21/J21,0),0)</f>
        <v/>
      </c>
      <c r="L21" s="15">
        <f>I21*0.3048/1000</f>
        <v/>
      </c>
    </row>
    <row r="22">
      <c r="A22" s="9" t="inlineStr">
        <is>
          <t>LV|3/C+G|8</t>
        </is>
      </c>
      <c r="B22" s="9" t="inlineStr">
        <is>
          <t>LV 600 V</t>
        </is>
      </c>
      <c r="C22" s="9" t="inlineStr">
        <is>
          <t>Type TC-ER 600 V 3/C Cu XHHW-2 + ground, PVC jacket</t>
        </is>
      </c>
      <c r="D22" s="9" t="inlineStr">
        <is>
          <t>3/C+G</t>
        </is>
      </c>
      <c r="E22" s="9" t="inlineStr">
        <is>
          <t>8</t>
        </is>
      </c>
      <c r="F22" s="11">
        <f>COUNTIF('Cable Schedule'!$K$2:$K$2577,A22)</f>
        <v/>
      </c>
      <c r="G22" s="12">
        <f>SUMIFS('Cable Schedule'!$W$2:$W$2577,'Cable Schedule'!$K$2:$K$2577,A22)</f>
        <v/>
      </c>
      <c r="H22" s="13">
        <f>'Read Me'!$B$14</f>
        <v/>
      </c>
      <c r="I22" s="10">
        <f>ROUNDUP(G22*(1+H22),-2)</f>
        <v/>
      </c>
      <c r="J22" s="14" t="n">
        <v>2500</v>
      </c>
      <c r="K22" s="9">
        <f>IF(J22&gt;0,ROUNDUP(I22/J22,0),0)</f>
        <v/>
      </c>
      <c r="L22" s="15">
        <f>I22*0.3048/1000</f>
        <v/>
      </c>
    </row>
    <row r="23">
      <c r="A23" s="9" t="inlineStr">
        <is>
          <t>LV|3/C+G|6</t>
        </is>
      </c>
      <c r="B23" s="9" t="inlineStr">
        <is>
          <t>LV 600 V</t>
        </is>
      </c>
      <c r="C23" s="9" t="inlineStr">
        <is>
          <t>Type TC-ER 600 V 3/C Cu XHHW-2 + ground, PVC jacket</t>
        </is>
      </c>
      <c r="D23" s="9" t="inlineStr">
        <is>
          <t>3/C+G</t>
        </is>
      </c>
      <c r="E23" s="9" t="inlineStr">
        <is>
          <t>6</t>
        </is>
      </c>
      <c r="F23" s="11">
        <f>COUNTIF('Cable Schedule'!$K$2:$K$2577,A23)</f>
        <v/>
      </c>
      <c r="G23" s="12">
        <f>SUMIFS('Cable Schedule'!$W$2:$W$2577,'Cable Schedule'!$K$2:$K$2577,A23)</f>
        <v/>
      </c>
      <c r="H23" s="13">
        <f>'Read Me'!$B$14</f>
        <v/>
      </c>
      <c r="I23" s="10">
        <f>ROUNDUP(G23*(1+H23),-2)</f>
        <v/>
      </c>
      <c r="J23" s="14" t="n">
        <v>2500</v>
      </c>
      <c r="K23" s="9">
        <f>IF(J23&gt;0,ROUNDUP(I23/J23,0),0)</f>
        <v/>
      </c>
      <c r="L23" s="15">
        <f>I23*0.3048/1000</f>
        <v/>
      </c>
    </row>
    <row r="24">
      <c r="A24" s="9" t="inlineStr">
        <is>
          <t>LV|3/C+G|4</t>
        </is>
      </c>
      <c r="B24" s="9" t="inlineStr">
        <is>
          <t>LV 600 V</t>
        </is>
      </c>
      <c r="C24" s="9" t="inlineStr">
        <is>
          <t>Type TC-ER 600 V 3/C Cu XHHW-2 + ground, PVC jacket</t>
        </is>
      </c>
      <c r="D24" s="9" t="inlineStr">
        <is>
          <t>3/C+G</t>
        </is>
      </c>
      <c r="E24" s="9" t="inlineStr">
        <is>
          <t>4</t>
        </is>
      </c>
      <c r="F24" s="11">
        <f>COUNTIF('Cable Schedule'!$K$2:$K$2577,A24)</f>
        <v/>
      </c>
      <c r="G24" s="12">
        <f>SUMIFS('Cable Schedule'!$W$2:$W$2577,'Cable Schedule'!$K$2:$K$2577,A24)</f>
        <v/>
      </c>
      <c r="H24" s="13">
        <f>'Read Me'!$B$14</f>
        <v/>
      </c>
      <c r="I24" s="10">
        <f>ROUNDUP(G24*(1+H24),-2)</f>
        <v/>
      </c>
      <c r="J24" s="14" t="n">
        <v>2500</v>
      </c>
      <c r="K24" s="9">
        <f>IF(J24&gt;0,ROUNDUP(I24/J24,0),0)</f>
        <v/>
      </c>
      <c r="L24" s="15">
        <f>I24*0.3048/1000</f>
        <v/>
      </c>
    </row>
    <row r="25">
      <c r="A25" s="9" t="inlineStr">
        <is>
          <t>LV|3/C+G|2</t>
        </is>
      </c>
      <c r="B25" s="9" t="inlineStr">
        <is>
          <t>LV 600 V</t>
        </is>
      </c>
      <c r="C25" s="9" t="inlineStr">
        <is>
          <t>Type TC-ER 600 V 3/C Cu XHHW-2 + ground, PVC jacket</t>
        </is>
      </c>
      <c r="D25" s="9" t="inlineStr">
        <is>
          <t>3/C+G</t>
        </is>
      </c>
      <c r="E25" s="9" t="inlineStr">
        <is>
          <t>2</t>
        </is>
      </c>
      <c r="F25" s="11">
        <f>COUNTIF('Cable Schedule'!$K$2:$K$2577,A25)</f>
        <v/>
      </c>
      <c r="G25" s="12">
        <f>SUMIFS('Cable Schedule'!$W$2:$W$2577,'Cable Schedule'!$K$2:$K$2577,A25)</f>
        <v/>
      </c>
      <c r="H25" s="13">
        <f>'Read Me'!$B$14</f>
        <v/>
      </c>
      <c r="I25" s="10">
        <f>ROUNDUP(G25*(1+H25),-2)</f>
        <v/>
      </c>
      <c r="J25" s="14" t="n">
        <v>2500</v>
      </c>
      <c r="K25" s="9">
        <f>IF(J25&gt;0,ROUNDUP(I25/J25,0),0)</f>
        <v/>
      </c>
      <c r="L25" s="15">
        <f>I25*0.3048/1000</f>
        <v/>
      </c>
    </row>
    <row r="26">
      <c r="A26" s="9" t="inlineStr">
        <is>
          <t>LV|3/C+G|1</t>
        </is>
      </c>
      <c r="B26" s="9" t="inlineStr">
        <is>
          <t>LV 600 V</t>
        </is>
      </c>
      <c r="C26" s="9" t="inlineStr">
        <is>
          <t>Type TC-ER 600 V 3/C Cu XHHW-2 + ground, PVC jacket</t>
        </is>
      </c>
      <c r="D26" s="9" t="inlineStr">
        <is>
          <t>3/C+G</t>
        </is>
      </c>
      <c r="E26" s="9" t="inlineStr">
        <is>
          <t>1</t>
        </is>
      </c>
      <c r="F26" s="11">
        <f>COUNTIF('Cable Schedule'!$K$2:$K$2577,A26)</f>
        <v/>
      </c>
      <c r="G26" s="12">
        <f>SUMIFS('Cable Schedule'!$W$2:$W$2577,'Cable Schedule'!$K$2:$K$2577,A26)</f>
        <v/>
      </c>
      <c r="H26" s="13">
        <f>'Read Me'!$B$14</f>
        <v/>
      </c>
      <c r="I26" s="10">
        <f>ROUNDUP(G26*(1+H26),-2)</f>
        <v/>
      </c>
      <c r="J26" s="14" t="n">
        <v>2500</v>
      </c>
      <c r="K26" s="9">
        <f>IF(J26&gt;0,ROUNDUP(I26/J26,0),0)</f>
        <v/>
      </c>
      <c r="L26" s="15">
        <f>I26*0.3048/1000</f>
        <v/>
      </c>
    </row>
    <row r="27">
      <c r="A27" s="9" t="inlineStr">
        <is>
          <t>LV|3/C+G|1/0</t>
        </is>
      </c>
      <c r="B27" s="9" t="inlineStr">
        <is>
          <t>LV 600 V</t>
        </is>
      </c>
      <c r="C27" s="9" t="inlineStr">
        <is>
          <t>Type TC-ER 600 V 3/C Cu XHHW-2 + ground, PVC jacket</t>
        </is>
      </c>
      <c r="D27" s="9" t="inlineStr">
        <is>
          <t>3/C+G</t>
        </is>
      </c>
      <c r="E27" s="9" t="inlineStr">
        <is>
          <t>1/0</t>
        </is>
      </c>
      <c r="F27" s="11">
        <f>COUNTIF('Cable Schedule'!$K$2:$K$2577,A27)</f>
        <v/>
      </c>
      <c r="G27" s="12">
        <f>SUMIFS('Cable Schedule'!$W$2:$W$2577,'Cable Schedule'!$K$2:$K$2577,A27)</f>
        <v/>
      </c>
      <c r="H27" s="13">
        <f>'Read Me'!$B$14</f>
        <v/>
      </c>
      <c r="I27" s="10">
        <f>ROUNDUP(G27*(1+H27),-2)</f>
        <v/>
      </c>
      <c r="J27" s="14" t="n">
        <v>2500</v>
      </c>
      <c r="K27" s="9">
        <f>IF(J27&gt;0,ROUNDUP(I27/J27,0),0)</f>
        <v/>
      </c>
      <c r="L27" s="15">
        <f>I27*0.3048/1000</f>
        <v/>
      </c>
    </row>
    <row r="28">
      <c r="A28" s="9" t="inlineStr">
        <is>
          <t>LV|3/C+G|2/0</t>
        </is>
      </c>
      <c r="B28" s="9" t="inlineStr">
        <is>
          <t>LV 600 V</t>
        </is>
      </c>
      <c r="C28" s="9" t="inlineStr">
        <is>
          <t>Type TC-ER 600 V 3/C Cu XHHW-2 + ground, PVC jacket</t>
        </is>
      </c>
      <c r="D28" s="9" t="inlineStr">
        <is>
          <t>3/C+G</t>
        </is>
      </c>
      <c r="E28" s="9" t="inlineStr">
        <is>
          <t>2/0</t>
        </is>
      </c>
      <c r="F28" s="11">
        <f>COUNTIF('Cable Schedule'!$K$2:$K$2577,A28)</f>
        <v/>
      </c>
      <c r="G28" s="12">
        <f>SUMIFS('Cable Schedule'!$W$2:$W$2577,'Cable Schedule'!$K$2:$K$2577,A28)</f>
        <v/>
      </c>
      <c r="H28" s="13">
        <f>'Read Me'!$B$14</f>
        <v/>
      </c>
      <c r="I28" s="10">
        <f>ROUNDUP(G28*(1+H28),-2)</f>
        <v/>
      </c>
      <c r="J28" s="14" t="n">
        <v>2500</v>
      </c>
      <c r="K28" s="9">
        <f>IF(J28&gt;0,ROUNDUP(I28/J28,0),0)</f>
        <v/>
      </c>
      <c r="L28" s="15">
        <f>I28*0.3048/1000</f>
        <v/>
      </c>
    </row>
    <row r="29">
      <c r="A29" s="9" t="inlineStr">
        <is>
          <t>LV|3/C+G|3/0</t>
        </is>
      </c>
      <c r="B29" s="9" t="inlineStr">
        <is>
          <t>LV 600 V</t>
        </is>
      </c>
      <c r="C29" s="9" t="inlineStr">
        <is>
          <t>Type TC-ER 600 V 3/C Cu XHHW-2 + ground, PVC jacket</t>
        </is>
      </c>
      <c r="D29" s="9" t="inlineStr">
        <is>
          <t>3/C+G</t>
        </is>
      </c>
      <c r="E29" s="9" t="inlineStr">
        <is>
          <t>3/0</t>
        </is>
      </c>
      <c r="F29" s="11">
        <f>COUNTIF('Cable Schedule'!$K$2:$K$2577,A29)</f>
        <v/>
      </c>
      <c r="G29" s="12">
        <f>SUMIFS('Cable Schedule'!$W$2:$W$2577,'Cable Schedule'!$K$2:$K$2577,A29)</f>
        <v/>
      </c>
      <c r="H29" s="13">
        <f>'Read Me'!$B$14</f>
        <v/>
      </c>
      <c r="I29" s="10">
        <f>ROUNDUP(G29*(1+H29),-2)</f>
        <v/>
      </c>
      <c r="J29" s="14" t="n">
        <v>2500</v>
      </c>
      <c r="K29" s="9">
        <f>IF(J29&gt;0,ROUNDUP(I29/J29,0),0)</f>
        <v/>
      </c>
      <c r="L29" s="15">
        <f>I29*0.3048/1000</f>
        <v/>
      </c>
    </row>
    <row r="30">
      <c r="A30" s="9" t="inlineStr">
        <is>
          <t>LV|3/C+G|4/0</t>
        </is>
      </c>
      <c r="B30" s="9" t="inlineStr">
        <is>
          <t>LV 600 V</t>
        </is>
      </c>
      <c r="C30" s="9" t="inlineStr">
        <is>
          <t>Type TC-ER 600 V 3/C Cu XHHW-2 + ground, PVC jacket</t>
        </is>
      </c>
      <c r="D30" s="9" t="inlineStr">
        <is>
          <t>3/C+G</t>
        </is>
      </c>
      <c r="E30" s="9" t="inlineStr">
        <is>
          <t>4/0</t>
        </is>
      </c>
      <c r="F30" s="11">
        <f>COUNTIF('Cable Schedule'!$K$2:$K$2577,A30)</f>
        <v/>
      </c>
      <c r="G30" s="12">
        <f>SUMIFS('Cable Schedule'!$W$2:$W$2577,'Cable Schedule'!$K$2:$K$2577,A30)</f>
        <v/>
      </c>
      <c r="H30" s="13">
        <f>'Read Me'!$B$14</f>
        <v/>
      </c>
      <c r="I30" s="10">
        <f>ROUNDUP(G30*(1+H30),-2)</f>
        <v/>
      </c>
      <c r="J30" s="14" t="n">
        <v>2500</v>
      </c>
      <c r="K30" s="9">
        <f>IF(J30&gt;0,ROUNDUP(I30/J30,0),0)</f>
        <v/>
      </c>
      <c r="L30" s="15">
        <f>I30*0.3048/1000</f>
        <v/>
      </c>
    </row>
    <row r="31">
      <c r="A31" s="9" t="inlineStr">
        <is>
          <t>LV|3/C+G|250</t>
        </is>
      </c>
      <c r="B31" s="9" t="inlineStr">
        <is>
          <t>LV 600 V</t>
        </is>
      </c>
      <c r="C31" s="9" t="inlineStr">
        <is>
          <t>Type TC-ER 600 V 3/C Cu XHHW-2 + ground, PVC jacket</t>
        </is>
      </c>
      <c r="D31" s="9" t="inlineStr">
        <is>
          <t>3/C+G</t>
        </is>
      </c>
      <c r="E31" s="9" t="inlineStr">
        <is>
          <t>250 kcmil</t>
        </is>
      </c>
      <c r="F31" s="11">
        <f>COUNTIF('Cable Schedule'!$K$2:$K$2577,A31)</f>
        <v/>
      </c>
      <c r="G31" s="12">
        <f>SUMIFS('Cable Schedule'!$W$2:$W$2577,'Cable Schedule'!$K$2:$K$2577,A31)</f>
        <v/>
      </c>
      <c r="H31" s="13">
        <f>'Read Me'!$B$14</f>
        <v/>
      </c>
      <c r="I31" s="10">
        <f>ROUNDUP(G31*(1+H31),-2)</f>
        <v/>
      </c>
      <c r="J31" s="14" t="n">
        <v>2500</v>
      </c>
      <c r="K31" s="9">
        <f>IF(J31&gt;0,ROUNDUP(I31/J31,0),0)</f>
        <v/>
      </c>
      <c r="L31" s="15">
        <f>I31*0.3048/1000</f>
        <v/>
      </c>
    </row>
    <row r="32">
      <c r="A32" s="9" t="inlineStr">
        <is>
          <t>LV|3/C+G|350</t>
        </is>
      </c>
      <c r="B32" s="9" t="inlineStr">
        <is>
          <t>LV 600 V</t>
        </is>
      </c>
      <c r="C32" s="9" t="inlineStr">
        <is>
          <t>Type TC-ER 600 V 3/C Cu XHHW-2 + ground, PVC jacket</t>
        </is>
      </c>
      <c r="D32" s="9" t="inlineStr">
        <is>
          <t>3/C+G</t>
        </is>
      </c>
      <c r="E32" s="9" t="inlineStr">
        <is>
          <t>350 kcmil</t>
        </is>
      </c>
      <c r="F32" s="11">
        <f>COUNTIF('Cable Schedule'!$K$2:$K$2577,A32)</f>
        <v/>
      </c>
      <c r="G32" s="12">
        <f>SUMIFS('Cable Schedule'!$W$2:$W$2577,'Cable Schedule'!$K$2:$K$2577,A32)</f>
        <v/>
      </c>
      <c r="H32" s="13">
        <f>'Read Me'!$B$14</f>
        <v/>
      </c>
      <c r="I32" s="10">
        <f>ROUNDUP(G32*(1+H32),-2)</f>
        <v/>
      </c>
      <c r="J32" s="14" t="n">
        <v>2500</v>
      </c>
      <c r="K32" s="9">
        <f>IF(J32&gt;0,ROUNDUP(I32/J32,0),0)</f>
        <v/>
      </c>
      <c r="L32" s="15">
        <f>I32*0.3048/1000</f>
        <v/>
      </c>
    </row>
    <row r="33">
      <c r="A33" s="9" t="inlineStr">
        <is>
          <t>LV|3/C+G|500</t>
        </is>
      </c>
      <c r="B33" s="9" t="inlineStr">
        <is>
          <t>LV 600 V</t>
        </is>
      </c>
      <c r="C33" s="9" t="inlineStr">
        <is>
          <t>Type TC-ER 600 V 3/C Cu XHHW-2 + ground, PVC jacket</t>
        </is>
      </c>
      <c r="D33" s="9" t="inlineStr">
        <is>
          <t>3/C+G</t>
        </is>
      </c>
      <c r="E33" s="9" t="inlineStr">
        <is>
          <t>500 kcmil</t>
        </is>
      </c>
      <c r="F33" s="11">
        <f>COUNTIF('Cable Schedule'!$K$2:$K$2577,A33)</f>
        <v/>
      </c>
      <c r="G33" s="12">
        <f>SUMIFS('Cable Schedule'!$W$2:$W$2577,'Cable Schedule'!$K$2:$K$2577,A33)</f>
        <v/>
      </c>
      <c r="H33" s="13">
        <f>'Read Me'!$B$14</f>
        <v/>
      </c>
      <c r="I33" s="10">
        <f>ROUNDUP(G33*(1+H33),-2)</f>
        <v/>
      </c>
      <c r="J33" s="14" t="n">
        <v>2500</v>
      </c>
      <c r="K33" s="9">
        <f>IF(J33&gt;0,ROUNDUP(I33/J33,0),0)</f>
        <v/>
      </c>
      <c r="L33" s="15">
        <f>I33*0.3048/1000</f>
        <v/>
      </c>
    </row>
    <row r="34">
      <c r="A34" s="9" t="inlineStr">
        <is>
          <t>LV1C|1/C|500</t>
        </is>
      </c>
      <c r="B34" s="9" t="inlineStr">
        <is>
          <t>LV 600 V</t>
        </is>
      </c>
      <c r="C34" s="9" t="inlineStr">
        <is>
          <t>XHHW-2 600 V 1/C Cu (feeder sets in tray / duct)</t>
        </is>
      </c>
      <c r="D34" s="9" t="inlineStr">
        <is>
          <t>1/C</t>
        </is>
      </c>
      <c r="E34" s="9" t="inlineStr">
        <is>
          <t>500 kcmil</t>
        </is>
      </c>
      <c r="F34" s="11">
        <f>COUNTIF('Cable Schedule'!$K$2:$K$2577,A34)</f>
        <v/>
      </c>
      <c r="G34" s="12">
        <f>SUMIFS('Cable Schedule'!$W$2:$W$2577,'Cable Schedule'!$K$2:$K$2577,A34)</f>
        <v/>
      </c>
      <c r="H34" s="13">
        <f>'Read Me'!$B$14</f>
        <v/>
      </c>
      <c r="I34" s="10">
        <f>ROUNDUP(G34*(1+H34),-2)</f>
        <v/>
      </c>
      <c r="J34" s="14" t="n">
        <v>2500</v>
      </c>
      <c r="K34" s="9">
        <f>IF(J34&gt;0,ROUNDUP(I34/J34,0),0)</f>
        <v/>
      </c>
      <c r="L34" s="15">
        <f>I34*0.3048/1000</f>
        <v/>
      </c>
    </row>
    <row r="35">
      <c r="A35" s="9" t="inlineStr">
        <is>
          <t>LVAX|3/C+G|10</t>
        </is>
      </c>
      <c r="B35" s="9" t="inlineStr">
        <is>
          <t>LV 600 V</t>
        </is>
      </c>
      <c r="C35" s="9" t="inlineStr">
        <is>
          <t>ARMOR-X MC-HL 600 V 3/C Cu XHHW-2 + ground, CWA, black PVC (Class I Div 2)</t>
        </is>
      </c>
      <c r="D35" s="9" t="inlineStr">
        <is>
          <t>3/C+G</t>
        </is>
      </c>
      <c r="E35" s="9" t="inlineStr">
        <is>
          <t>10</t>
        </is>
      </c>
      <c r="F35" s="11">
        <f>COUNTIF('Cable Schedule'!$K$2:$K$2577,A35)</f>
        <v/>
      </c>
      <c r="G35" s="12">
        <f>SUMIFS('Cable Schedule'!$W$2:$W$2577,'Cable Schedule'!$K$2:$K$2577,A35)</f>
        <v/>
      </c>
      <c r="H35" s="13">
        <f>'Read Me'!$B$14</f>
        <v/>
      </c>
      <c r="I35" s="10">
        <f>ROUNDUP(G35*(1+H35),-2)</f>
        <v/>
      </c>
      <c r="J35" s="14" t="n">
        <v>2000</v>
      </c>
      <c r="K35" s="9">
        <f>IF(J35&gt;0,ROUNDUP(I35/J35,0),0)</f>
        <v/>
      </c>
      <c r="L35" s="15">
        <f>I35*0.3048/1000</f>
        <v/>
      </c>
    </row>
    <row r="36">
      <c r="A36" s="9" t="inlineStr">
        <is>
          <t>LVAX|3/C+G|8</t>
        </is>
      </c>
      <c r="B36" s="9" t="inlineStr">
        <is>
          <t>LV 600 V</t>
        </is>
      </c>
      <c r="C36" s="9" t="inlineStr">
        <is>
          <t>ARMOR-X MC-HL 600 V 3/C Cu XHHW-2 + ground, CWA, black PVC (Class I Div 2)</t>
        </is>
      </c>
      <c r="D36" s="9" t="inlineStr">
        <is>
          <t>3/C+G</t>
        </is>
      </c>
      <c r="E36" s="9" t="inlineStr">
        <is>
          <t>8</t>
        </is>
      </c>
      <c r="F36" s="11">
        <f>COUNTIF('Cable Schedule'!$K$2:$K$2577,A36)</f>
        <v/>
      </c>
      <c r="G36" s="12">
        <f>SUMIFS('Cable Schedule'!$W$2:$W$2577,'Cable Schedule'!$K$2:$K$2577,A36)</f>
        <v/>
      </c>
      <c r="H36" s="13">
        <f>'Read Me'!$B$14</f>
        <v/>
      </c>
      <c r="I36" s="10">
        <f>ROUNDUP(G36*(1+H36),-2)</f>
        <v/>
      </c>
      <c r="J36" s="14" t="n">
        <v>2000</v>
      </c>
      <c r="K36" s="9">
        <f>IF(J36&gt;0,ROUNDUP(I36/J36,0),0)</f>
        <v/>
      </c>
      <c r="L36" s="15">
        <f>I36*0.3048/1000</f>
        <v/>
      </c>
    </row>
    <row r="37">
      <c r="A37" s="9" t="inlineStr">
        <is>
          <t>LVAX|3/C+G|6</t>
        </is>
      </c>
      <c r="B37" s="9" t="inlineStr">
        <is>
          <t>LV 600 V</t>
        </is>
      </c>
      <c r="C37" s="9" t="inlineStr">
        <is>
          <t>ARMOR-X MC-HL 600 V 3/C Cu XHHW-2 + ground, CWA, black PVC (Class I Div 2)</t>
        </is>
      </c>
      <c r="D37" s="9" t="inlineStr">
        <is>
          <t>3/C+G</t>
        </is>
      </c>
      <c r="E37" s="9" t="inlineStr">
        <is>
          <t>6</t>
        </is>
      </c>
      <c r="F37" s="11">
        <f>COUNTIF('Cable Schedule'!$K$2:$K$2577,A37)</f>
        <v/>
      </c>
      <c r="G37" s="12">
        <f>SUMIFS('Cable Schedule'!$W$2:$W$2577,'Cable Schedule'!$K$2:$K$2577,A37)</f>
        <v/>
      </c>
      <c r="H37" s="13">
        <f>'Read Me'!$B$14</f>
        <v/>
      </c>
      <c r="I37" s="10">
        <f>ROUNDUP(G37*(1+H37),-2)</f>
        <v/>
      </c>
      <c r="J37" s="14" t="n">
        <v>2000</v>
      </c>
      <c r="K37" s="9">
        <f>IF(J37&gt;0,ROUNDUP(I37/J37,0),0)</f>
        <v/>
      </c>
      <c r="L37" s="15">
        <f>I37*0.3048/1000</f>
        <v/>
      </c>
    </row>
    <row r="38">
      <c r="A38" s="9" t="inlineStr">
        <is>
          <t>LVAX|3/C+G|4</t>
        </is>
      </c>
      <c r="B38" s="9" t="inlineStr">
        <is>
          <t>LV 600 V</t>
        </is>
      </c>
      <c r="C38" s="9" t="inlineStr">
        <is>
          <t>ARMOR-X MC-HL 600 V 3/C Cu XHHW-2 + ground, CWA, black PVC (Class I Div 2)</t>
        </is>
      </c>
      <c r="D38" s="9" t="inlineStr">
        <is>
          <t>3/C+G</t>
        </is>
      </c>
      <c r="E38" s="9" t="inlineStr">
        <is>
          <t>4</t>
        </is>
      </c>
      <c r="F38" s="11">
        <f>COUNTIF('Cable Schedule'!$K$2:$K$2577,A38)</f>
        <v/>
      </c>
      <c r="G38" s="12">
        <f>SUMIFS('Cable Schedule'!$W$2:$W$2577,'Cable Schedule'!$K$2:$K$2577,A38)</f>
        <v/>
      </c>
      <c r="H38" s="13">
        <f>'Read Me'!$B$14</f>
        <v/>
      </c>
      <c r="I38" s="10">
        <f>ROUNDUP(G38*(1+H38),-2)</f>
        <v/>
      </c>
      <c r="J38" s="14" t="n">
        <v>2000</v>
      </c>
      <c r="K38" s="9">
        <f>IF(J38&gt;0,ROUNDUP(I38/J38,0),0)</f>
        <v/>
      </c>
      <c r="L38" s="15">
        <f>I38*0.3048/1000</f>
        <v/>
      </c>
    </row>
    <row r="39">
      <c r="A39" s="9" t="inlineStr">
        <is>
          <t>LVAX|3/C+G|2</t>
        </is>
      </c>
      <c r="B39" s="9" t="inlineStr">
        <is>
          <t>LV 600 V</t>
        </is>
      </c>
      <c r="C39" s="9" t="inlineStr">
        <is>
          <t>ARMOR-X MC-HL 600 V 3/C Cu XHHW-2 + ground, CWA, black PVC (Class I Div 2)</t>
        </is>
      </c>
      <c r="D39" s="9" t="inlineStr">
        <is>
          <t>3/C+G</t>
        </is>
      </c>
      <c r="E39" s="9" t="inlineStr">
        <is>
          <t>2</t>
        </is>
      </c>
      <c r="F39" s="11">
        <f>COUNTIF('Cable Schedule'!$K$2:$K$2577,A39)</f>
        <v/>
      </c>
      <c r="G39" s="12">
        <f>SUMIFS('Cable Schedule'!$W$2:$W$2577,'Cable Schedule'!$K$2:$K$2577,A39)</f>
        <v/>
      </c>
      <c r="H39" s="13">
        <f>'Read Me'!$B$14</f>
        <v/>
      </c>
      <c r="I39" s="10">
        <f>ROUNDUP(G39*(1+H39),-2)</f>
        <v/>
      </c>
      <c r="J39" s="14" t="n">
        <v>2000</v>
      </c>
      <c r="K39" s="9">
        <f>IF(J39&gt;0,ROUNDUP(I39/J39,0),0)</f>
        <v/>
      </c>
      <c r="L39" s="15">
        <f>I39*0.3048/1000</f>
        <v/>
      </c>
    </row>
    <row r="40">
      <c r="A40" s="9" t="inlineStr">
        <is>
          <t>LVAX|3/C+G|1</t>
        </is>
      </c>
      <c r="B40" s="9" t="inlineStr">
        <is>
          <t>LV 600 V</t>
        </is>
      </c>
      <c r="C40" s="9" t="inlineStr">
        <is>
          <t>ARMOR-X MC-HL 600 V 3/C Cu XHHW-2 + ground, CWA, black PVC (Class I Div 2)</t>
        </is>
      </c>
      <c r="D40" s="9" t="inlineStr">
        <is>
          <t>3/C+G</t>
        </is>
      </c>
      <c r="E40" s="9" t="inlineStr">
        <is>
          <t>1</t>
        </is>
      </c>
      <c r="F40" s="11">
        <f>COUNTIF('Cable Schedule'!$K$2:$K$2577,A40)</f>
        <v/>
      </c>
      <c r="G40" s="12">
        <f>SUMIFS('Cable Schedule'!$W$2:$W$2577,'Cable Schedule'!$K$2:$K$2577,A40)</f>
        <v/>
      </c>
      <c r="H40" s="13">
        <f>'Read Me'!$B$14</f>
        <v/>
      </c>
      <c r="I40" s="10">
        <f>ROUNDUP(G40*(1+H40),-2)</f>
        <v/>
      </c>
      <c r="J40" s="14" t="n">
        <v>2000</v>
      </c>
      <c r="K40" s="9">
        <f>IF(J40&gt;0,ROUNDUP(I40/J40,0),0)</f>
        <v/>
      </c>
      <c r="L40" s="15">
        <f>I40*0.3048/1000</f>
        <v/>
      </c>
    </row>
    <row r="41">
      <c r="A41" s="9" t="inlineStr">
        <is>
          <t>LVAX|3/C+G|3/0</t>
        </is>
      </c>
      <c r="B41" s="9" t="inlineStr">
        <is>
          <t>LV 600 V</t>
        </is>
      </c>
      <c r="C41" s="9" t="inlineStr">
        <is>
          <t>ARMOR-X MC-HL 600 V 3/C Cu XHHW-2 + ground, CWA, black PVC (Class I Div 2)</t>
        </is>
      </c>
      <c r="D41" s="9" t="inlineStr">
        <is>
          <t>3/C+G</t>
        </is>
      </c>
      <c r="E41" s="9" t="inlineStr">
        <is>
          <t>3/0</t>
        </is>
      </c>
      <c r="F41" s="11">
        <f>COUNTIF('Cable Schedule'!$K$2:$K$2577,A41)</f>
        <v/>
      </c>
      <c r="G41" s="12">
        <f>SUMIFS('Cable Schedule'!$W$2:$W$2577,'Cable Schedule'!$K$2:$K$2577,A41)</f>
        <v/>
      </c>
      <c r="H41" s="13">
        <f>'Read Me'!$B$14</f>
        <v/>
      </c>
      <c r="I41" s="10">
        <f>ROUNDUP(G41*(1+H41),-2)</f>
        <v/>
      </c>
      <c r="J41" s="14" t="n">
        <v>2000</v>
      </c>
      <c r="K41" s="9">
        <f>IF(J41&gt;0,ROUNDUP(I41/J41,0),0)</f>
        <v/>
      </c>
      <c r="L41" s="15">
        <f>I41*0.3048/1000</f>
        <v/>
      </c>
    </row>
    <row r="42">
      <c r="A42" s="9" t="inlineStr">
        <is>
          <t>LVAX|3/C+G|350</t>
        </is>
      </c>
      <c r="B42" s="9" t="inlineStr">
        <is>
          <t>LV 600 V</t>
        </is>
      </c>
      <c r="C42" s="9" t="inlineStr">
        <is>
          <t>ARMOR-X MC-HL 600 V 3/C Cu XHHW-2 + ground, CWA, black PVC (Class I Div 2)</t>
        </is>
      </c>
      <c r="D42" s="9" t="inlineStr">
        <is>
          <t>3/C+G</t>
        </is>
      </c>
      <c r="E42" s="9" t="inlineStr">
        <is>
          <t>350 kcmil</t>
        </is>
      </c>
      <c r="F42" s="11">
        <f>COUNTIF('Cable Schedule'!$K$2:$K$2577,A42)</f>
        <v/>
      </c>
      <c r="G42" s="12">
        <f>SUMIFS('Cable Schedule'!$W$2:$W$2577,'Cable Schedule'!$K$2:$K$2577,A42)</f>
        <v/>
      </c>
      <c r="H42" s="13">
        <f>'Read Me'!$B$14</f>
        <v/>
      </c>
      <c r="I42" s="10">
        <f>ROUNDUP(G42*(1+H42),-2)</f>
        <v/>
      </c>
      <c r="J42" s="14" t="n">
        <v>2000</v>
      </c>
      <c r="K42" s="9">
        <f>IF(J42&gt;0,ROUNDUP(I42/J42,0),0)</f>
        <v/>
      </c>
      <c r="L42" s="15">
        <f>I42*0.3048/1000</f>
        <v/>
      </c>
    </row>
    <row r="43">
      <c r="A43" s="9" t="inlineStr">
        <is>
          <t>LVAX|3/C+G|500</t>
        </is>
      </c>
      <c r="B43" s="9" t="inlineStr">
        <is>
          <t>LV 600 V</t>
        </is>
      </c>
      <c r="C43" s="9" t="inlineStr">
        <is>
          <t>ARMOR-X MC-HL 600 V 3/C Cu XHHW-2 + ground, CWA, black PVC (Class I Div 2)</t>
        </is>
      </c>
      <c r="D43" s="9" t="inlineStr">
        <is>
          <t>3/C+G</t>
        </is>
      </c>
      <c r="E43" s="9" t="inlineStr">
        <is>
          <t>500 kcmil</t>
        </is>
      </c>
      <c r="F43" s="11">
        <f>COUNTIF('Cable Schedule'!$K$2:$K$2577,A43)</f>
        <v/>
      </c>
      <c r="G43" s="12">
        <f>SUMIFS('Cable Schedule'!$W$2:$W$2577,'Cable Schedule'!$K$2:$K$2577,A43)</f>
        <v/>
      </c>
      <c r="H43" s="13">
        <f>'Read Me'!$B$14</f>
        <v/>
      </c>
      <c r="I43" s="10">
        <f>ROUNDUP(G43*(1+H43),-2)</f>
        <v/>
      </c>
      <c r="J43" s="14" t="n">
        <v>2000</v>
      </c>
      <c r="K43" s="9">
        <f>IF(J43&gt;0,ROUNDUP(I43/J43,0),0)</f>
        <v/>
      </c>
      <c r="L43" s="15">
        <f>I43*0.3048/1000</f>
        <v/>
      </c>
    </row>
    <row r="44">
      <c r="A44" s="9" t="inlineStr">
        <is>
          <t>VFD|3/C+3G|350</t>
        </is>
      </c>
      <c r="B44" s="9" t="inlineStr">
        <is>
          <t>LV 600 V</t>
        </is>
      </c>
      <c r="C44" s="9" t="inlineStr">
        <is>
          <t>VFD cable 600 V 3/C Cu XHHW-2, 3 symmetrical grounds, overall Cu tape shield, TC-ER</t>
        </is>
      </c>
      <c r="D44" s="9" t="inlineStr">
        <is>
          <t>3/C+3G</t>
        </is>
      </c>
      <c r="E44" s="9" t="inlineStr">
        <is>
          <t>350 kcmil</t>
        </is>
      </c>
      <c r="F44" s="11">
        <f>COUNTIF('Cable Schedule'!$K$2:$K$2577,A44)</f>
        <v/>
      </c>
      <c r="G44" s="12">
        <f>SUMIFS('Cable Schedule'!$W$2:$W$2577,'Cable Schedule'!$K$2:$K$2577,A44)</f>
        <v/>
      </c>
      <c r="H44" s="13">
        <f>'Read Me'!$B$14</f>
        <v/>
      </c>
      <c r="I44" s="10">
        <f>ROUNDUP(G44*(1+H44),-2)</f>
        <v/>
      </c>
      <c r="J44" s="14" t="n">
        <v>2500</v>
      </c>
      <c r="K44" s="9">
        <f>IF(J44&gt;0,ROUNDUP(I44/J44,0),0)</f>
        <v/>
      </c>
      <c r="L44" s="15">
        <f>I44*0.3048/1000</f>
        <v/>
      </c>
    </row>
    <row r="45">
      <c r="A45" s="9" t="inlineStr">
        <is>
          <t>CT|12/C|14</t>
        </is>
      </c>
      <c r="B45" s="9" t="inlineStr">
        <is>
          <t>Control</t>
        </is>
      </c>
      <c r="C45" s="9" t="inlineStr">
        <is>
          <t>Control cable 600 V Type TC-ER, Cu #14 AWG, PVC jacket</t>
        </is>
      </c>
      <c r="D45" s="9" t="inlineStr">
        <is>
          <t>12/C</t>
        </is>
      </c>
      <c r="E45" s="9" t="inlineStr">
        <is>
          <t>14</t>
        </is>
      </c>
      <c r="F45" s="11">
        <f>COUNTIF('Cable Schedule'!$K$2:$K$2577,A45)</f>
        <v/>
      </c>
      <c r="G45" s="12">
        <f>SUMIFS('Cable Schedule'!$W$2:$W$2577,'Cable Schedule'!$K$2:$K$2577,A45)</f>
        <v/>
      </c>
      <c r="H45" s="13">
        <f>'Read Me'!$B$14</f>
        <v/>
      </c>
      <c r="I45" s="10">
        <f>ROUNDUP(G45*(1+H45),-2)</f>
        <v/>
      </c>
      <c r="J45" s="14" t="n">
        <v>5000</v>
      </c>
      <c r="K45" s="9">
        <f>IF(J45&gt;0,ROUNDUP(I45/J45,0),0)</f>
        <v/>
      </c>
      <c r="L45" s="15">
        <f>I45*0.3048/1000</f>
        <v/>
      </c>
    </row>
    <row r="46">
      <c r="A46" s="9" t="inlineStr">
        <is>
          <t>CT|7/C|14</t>
        </is>
      </c>
      <c r="B46" s="9" t="inlineStr">
        <is>
          <t>Control</t>
        </is>
      </c>
      <c r="C46" s="9" t="inlineStr">
        <is>
          <t>Control cable 600 V Type TC-ER, Cu #14 AWG, PVC jacket</t>
        </is>
      </c>
      <c r="D46" s="9" t="inlineStr">
        <is>
          <t>7/C</t>
        </is>
      </c>
      <c r="E46" s="9" t="inlineStr">
        <is>
          <t>14</t>
        </is>
      </c>
      <c r="F46" s="11">
        <f>COUNTIF('Cable Schedule'!$K$2:$K$2577,A46)</f>
        <v/>
      </c>
      <c r="G46" s="12">
        <f>SUMIFS('Cable Schedule'!$W$2:$W$2577,'Cable Schedule'!$K$2:$K$2577,A46)</f>
        <v/>
      </c>
      <c r="H46" s="13">
        <f>'Read Me'!$B$14</f>
        <v/>
      </c>
      <c r="I46" s="10">
        <f>ROUNDUP(G46*(1+H46),-2)</f>
        <v/>
      </c>
      <c r="J46" s="14" t="n">
        <v>5000</v>
      </c>
      <c r="K46" s="9">
        <f>IF(J46&gt;0,ROUNDUP(I46/J46,0),0)</f>
        <v/>
      </c>
      <c r="L46" s="15">
        <f>I46*0.3048/1000</f>
        <v/>
      </c>
    </row>
    <row r="47">
      <c r="A47" s="9" t="inlineStr">
        <is>
          <t>CTAX|12/C|14</t>
        </is>
      </c>
      <c r="B47" s="9" t="inlineStr">
        <is>
          <t>Control</t>
        </is>
      </c>
      <c r="C47" s="9" t="inlineStr">
        <is>
          <t>ARMOR-X MC-HL 600 V control, Cu #14 AWG (Class I Div 2)</t>
        </is>
      </c>
      <c r="D47" s="9" t="inlineStr">
        <is>
          <t>12/C</t>
        </is>
      </c>
      <c r="E47" s="9" t="inlineStr">
        <is>
          <t>14</t>
        </is>
      </c>
      <c r="F47" s="11">
        <f>COUNTIF('Cable Schedule'!$K$2:$K$2577,A47)</f>
        <v/>
      </c>
      <c r="G47" s="12">
        <f>SUMIFS('Cable Schedule'!$W$2:$W$2577,'Cable Schedule'!$K$2:$K$2577,A47)</f>
        <v/>
      </c>
      <c r="H47" s="13">
        <f>'Read Me'!$B$14</f>
        <v/>
      </c>
      <c r="I47" s="10">
        <f>ROUNDUP(G47*(1+H47),-2)</f>
        <v/>
      </c>
      <c r="J47" s="14" t="n">
        <v>3000</v>
      </c>
      <c r="K47" s="9">
        <f>IF(J47&gt;0,ROUNDUP(I47/J47,0),0)</f>
        <v/>
      </c>
      <c r="L47" s="15">
        <f>I47*0.3048/1000</f>
        <v/>
      </c>
    </row>
    <row r="48">
      <c r="A48" s="9" t="inlineStr">
        <is>
          <t>CTAX|7/C|14</t>
        </is>
      </c>
      <c r="B48" s="9" t="inlineStr">
        <is>
          <t>Control</t>
        </is>
      </c>
      <c r="C48" s="9" t="inlineStr">
        <is>
          <t>ARMOR-X MC-HL 600 V control, Cu #14 AWG (Class I Div 2)</t>
        </is>
      </c>
      <c r="D48" s="9" t="inlineStr">
        <is>
          <t>7/C</t>
        </is>
      </c>
      <c r="E48" s="9" t="inlineStr">
        <is>
          <t>14</t>
        </is>
      </c>
      <c r="F48" s="11">
        <f>COUNTIF('Cable Schedule'!$K$2:$K$2577,A48)</f>
        <v/>
      </c>
      <c r="G48" s="12">
        <f>SUMIFS('Cable Schedule'!$W$2:$W$2577,'Cable Schedule'!$K$2:$K$2577,A48)</f>
        <v/>
      </c>
      <c r="H48" s="13">
        <f>'Read Me'!$B$14</f>
        <v/>
      </c>
      <c r="I48" s="10">
        <f>ROUNDUP(G48*(1+H48),-2)</f>
        <v/>
      </c>
      <c r="J48" s="14" t="n">
        <v>3000</v>
      </c>
      <c r="K48" s="9">
        <f>IF(J48&gt;0,ROUNDUP(I48/J48,0),0)</f>
        <v/>
      </c>
      <c r="L48" s="15">
        <f>I48*0.3048/1000</f>
        <v/>
      </c>
    </row>
    <row r="49">
      <c r="A49" s="9" t="inlineStr">
        <is>
          <t>CTCT|4/C|10</t>
        </is>
      </c>
      <c r="B49" s="9" t="inlineStr">
        <is>
          <t>Control</t>
        </is>
      </c>
      <c r="C49" s="9" t="inlineStr">
        <is>
          <t>Control cable 600 V Type TC-ER, Cu #10 AWG (CT / VT circuits)</t>
        </is>
      </c>
      <c r="D49" s="9" t="inlineStr">
        <is>
          <t>4/C</t>
        </is>
      </c>
      <c r="E49" s="9" t="inlineStr">
        <is>
          <t>10</t>
        </is>
      </c>
      <c r="F49" s="11">
        <f>COUNTIF('Cable Schedule'!$K$2:$K$2577,A49)</f>
        <v/>
      </c>
      <c r="G49" s="12">
        <f>SUMIFS('Cable Schedule'!$W$2:$W$2577,'Cable Schedule'!$K$2:$K$2577,A49)</f>
        <v/>
      </c>
      <c r="H49" s="13">
        <f>'Read Me'!$B$14</f>
        <v/>
      </c>
      <c r="I49" s="10">
        <f>ROUNDUP(G49*(1+H49),-2)</f>
        <v/>
      </c>
      <c r="J49" s="14" t="n">
        <v>5000</v>
      </c>
      <c r="K49" s="9">
        <f>IF(J49&gt;0,ROUNDUP(I49/J49,0),0)</f>
        <v/>
      </c>
      <c r="L49" s="15">
        <f>I49*0.3048/1000</f>
        <v/>
      </c>
    </row>
    <row r="50">
      <c r="A50" s="9" t="inlineStr">
        <is>
          <t>ITC|12 pr|18</t>
        </is>
      </c>
      <c r="B50" s="9" t="inlineStr">
        <is>
          <t>Instrumentation</t>
        </is>
      </c>
      <c r="C50" s="9" t="inlineStr">
        <is>
          <t>Instrumentation ITC / PLTC, IS, #18 shielded pairs, blue jacket</t>
        </is>
      </c>
      <c r="D50" s="9" t="inlineStr">
        <is>
          <t>12 pr</t>
        </is>
      </c>
      <c r="E50" s="9" t="inlineStr">
        <is>
          <t>18</t>
        </is>
      </c>
      <c r="F50" s="11">
        <f>COUNTIF('Cable Schedule'!$K$2:$K$2577,A50)</f>
        <v/>
      </c>
      <c r="G50" s="12">
        <f>SUMIFS('Cable Schedule'!$W$2:$W$2577,'Cable Schedule'!$K$2:$K$2577,A50)</f>
        <v/>
      </c>
      <c r="H50" s="13">
        <f>'Read Me'!$B$14</f>
        <v/>
      </c>
      <c r="I50" s="10">
        <f>ROUNDUP(G50*(1+H50),-2)</f>
        <v/>
      </c>
      <c r="J50" s="14" t="n">
        <v>5000</v>
      </c>
      <c r="K50" s="9">
        <f>IF(J50&gt;0,ROUNDUP(I50/J50,0),0)</f>
        <v/>
      </c>
      <c r="L50" s="15">
        <f>I50*0.3048/1000</f>
        <v/>
      </c>
    </row>
    <row r="51">
      <c r="A51" s="9" t="inlineStr">
        <is>
          <t>ITC|4 pr|18</t>
        </is>
      </c>
      <c r="B51" s="9" t="inlineStr">
        <is>
          <t>Instrumentation</t>
        </is>
      </c>
      <c r="C51" s="9" t="inlineStr">
        <is>
          <t>Instrumentation ITC / PLTC, IS, #18 shielded pairs, blue jacket</t>
        </is>
      </c>
      <c r="D51" s="9" t="inlineStr">
        <is>
          <t>4 pr</t>
        </is>
      </c>
      <c r="E51" s="9" t="inlineStr">
        <is>
          <t>18</t>
        </is>
      </c>
      <c r="F51" s="11">
        <f>COUNTIF('Cable Schedule'!$K$2:$K$2577,A51)</f>
        <v/>
      </c>
      <c r="G51" s="12">
        <f>SUMIFS('Cable Schedule'!$W$2:$W$2577,'Cable Schedule'!$K$2:$K$2577,A51)</f>
        <v/>
      </c>
      <c r="H51" s="13">
        <f>'Read Me'!$B$14</f>
        <v/>
      </c>
      <c r="I51" s="10">
        <f>ROUNDUP(G51*(1+H51),-2)</f>
        <v/>
      </c>
      <c r="J51" s="14" t="n">
        <v>5000</v>
      </c>
      <c r="K51" s="9">
        <f>IF(J51&gt;0,ROUNDUP(I51/J51,0),0)</f>
        <v/>
      </c>
      <c r="L51" s="15">
        <f>I51*0.3048/1000</f>
        <v/>
      </c>
    </row>
    <row r="52">
      <c r="A52" s="9" t="inlineStr">
        <is>
          <t>PLTC|12 pr|18</t>
        </is>
      </c>
      <c r="B52" s="9" t="inlineStr">
        <is>
          <t>Instrumentation</t>
        </is>
      </c>
      <c r="C52" s="9" t="inlineStr">
        <is>
          <t>Instrumentation PLTC / TC-ER 300 V, #18 twisted shielded pairs, overall shield</t>
        </is>
      </c>
      <c r="D52" s="9" t="inlineStr">
        <is>
          <t>12 pr</t>
        </is>
      </c>
      <c r="E52" s="9" t="inlineStr">
        <is>
          <t>18</t>
        </is>
      </c>
      <c r="F52" s="11">
        <f>COUNTIF('Cable Schedule'!$K$2:$K$2577,A52)</f>
        <v/>
      </c>
      <c r="G52" s="12">
        <f>SUMIFS('Cable Schedule'!$W$2:$W$2577,'Cable Schedule'!$K$2:$K$2577,A52)</f>
        <v/>
      </c>
      <c r="H52" s="13">
        <f>'Read Me'!$B$14</f>
        <v/>
      </c>
      <c r="I52" s="10">
        <f>ROUNDUP(G52*(1+H52),-2)</f>
        <v/>
      </c>
      <c r="J52" s="14" t="n">
        <v>5000</v>
      </c>
      <c r="K52" s="9">
        <f>IF(J52&gt;0,ROUNDUP(I52/J52,0),0)</f>
        <v/>
      </c>
      <c r="L52" s="15">
        <f>I52*0.3048/1000</f>
        <v/>
      </c>
    </row>
    <row r="53">
      <c r="A53" s="9" t="inlineStr">
        <is>
          <t>PLTC|4 pr|18</t>
        </is>
      </c>
      <c r="B53" s="9" t="inlineStr">
        <is>
          <t>Instrumentation</t>
        </is>
      </c>
      <c r="C53" s="9" t="inlineStr">
        <is>
          <t>Instrumentation PLTC / TC-ER 300 V, #18 twisted shielded pairs, overall shield</t>
        </is>
      </c>
      <c r="D53" s="9" t="inlineStr">
        <is>
          <t>4 pr</t>
        </is>
      </c>
      <c r="E53" s="9" t="inlineStr">
        <is>
          <t>18</t>
        </is>
      </c>
      <c r="F53" s="11">
        <f>COUNTIF('Cable Schedule'!$K$2:$K$2577,A53)</f>
        <v/>
      </c>
      <c r="G53" s="12">
        <f>SUMIFS('Cable Schedule'!$W$2:$W$2577,'Cable Schedule'!$K$2:$K$2577,A53)</f>
        <v/>
      </c>
      <c r="H53" s="13">
        <f>'Read Me'!$B$14</f>
        <v/>
      </c>
      <c r="I53" s="10">
        <f>ROUNDUP(G53*(1+H53),-2)</f>
        <v/>
      </c>
      <c r="J53" s="14" t="n">
        <v>5000</v>
      </c>
      <c r="K53" s="9">
        <f>IF(J53&gt;0,ROUNDUP(I53/J53,0),0)</f>
        <v/>
      </c>
      <c r="L53" s="15">
        <f>I53*0.3048/1000</f>
        <v/>
      </c>
    </row>
    <row r="54">
      <c r="A54" s="9" t="inlineStr">
        <is>
          <t>RTD|8 tri|18</t>
        </is>
      </c>
      <c r="B54" s="9" t="inlineStr">
        <is>
          <t>Instrumentation</t>
        </is>
      </c>
      <c r="C54" s="9" t="inlineStr">
        <is>
          <t>RTD cable, #18 shielded triads, PLTC</t>
        </is>
      </c>
      <c r="D54" s="9" t="inlineStr">
        <is>
          <t>8 tri</t>
        </is>
      </c>
      <c r="E54" s="9" t="inlineStr">
        <is>
          <t>18</t>
        </is>
      </c>
      <c r="F54" s="11">
        <f>COUNTIF('Cable Schedule'!$K$2:$K$2577,A54)</f>
        <v/>
      </c>
      <c r="G54" s="12">
        <f>SUMIFS('Cable Schedule'!$W$2:$W$2577,'Cable Schedule'!$K$2:$K$2577,A54)</f>
        <v/>
      </c>
      <c r="H54" s="13">
        <f>'Read Me'!$B$14</f>
        <v/>
      </c>
      <c r="I54" s="10">
        <f>ROUNDUP(G54*(1+H54),-2)</f>
        <v/>
      </c>
      <c r="J54" s="14" t="n">
        <v>5000</v>
      </c>
      <c r="K54" s="9">
        <f>IF(J54&gt;0,ROUNDUP(I54/J54,0),0)</f>
        <v/>
      </c>
      <c r="L54" s="15">
        <f>I54*0.3048/1000</f>
        <v/>
      </c>
    </row>
    <row r="55">
      <c r="A55" s="9" t="inlineStr">
        <is>
          <t>TCX|12 pr|16</t>
        </is>
      </c>
      <c r="B55" s="9" t="inlineStr">
        <is>
          <t>Instrumentation</t>
        </is>
      </c>
      <c r="C55" s="9" t="inlineStr">
        <is>
          <t>Thermocouple extension KX, #16 shielded pairs, PLTC</t>
        </is>
      </c>
      <c r="D55" s="9" t="inlineStr">
        <is>
          <t>12 pr</t>
        </is>
      </c>
      <c r="E55" s="9" t="inlineStr">
        <is>
          <t>16</t>
        </is>
      </c>
      <c r="F55" s="11">
        <f>COUNTIF('Cable Schedule'!$K$2:$K$2577,A55)</f>
        <v/>
      </c>
      <c r="G55" s="12">
        <f>SUMIFS('Cable Schedule'!$W$2:$W$2577,'Cable Schedule'!$K$2:$K$2577,A55)</f>
        <v/>
      </c>
      <c r="H55" s="13">
        <f>'Read Me'!$B$14</f>
        <v/>
      </c>
      <c r="I55" s="10">
        <f>ROUNDUP(G55*(1+H55),-2)</f>
        <v/>
      </c>
      <c r="J55" s="14" t="n">
        <v>5000</v>
      </c>
      <c r="K55" s="9">
        <f>IF(J55&gt;0,ROUNDUP(I55/J55,0),0)</f>
        <v/>
      </c>
      <c r="L55" s="15">
        <f>I55*0.3048/1000</f>
        <v/>
      </c>
    </row>
    <row r="56">
      <c r="A56" s="9" t="inlineStr">
        <is>
          <t>FA|2/C|14</t>
        </is>
      </c>
      <c r="B56" s="9" t="inlineStr">
        <is>
          <t>Fire alarm</t>
        </is>
      </c>
      <c r="C56" s="9" t="inlineStr">
        <is>
          <t>Fire alarm FPLR 2/C #14 shielded, red jacket (NEC 760)</t>
        </is>
      </c>
      <c r="D56" s="9" t="inlineStr">
        <is>
          <t>2/C</t>
        </is>
      </c>
      <c r="E56" s="9" t="inlineStr">
        <is>
          <t>14</t>
        </is>
      </c>
      <c r="F56" s="11">
        <f>COUNTIF('Cable Schedule'!$K$2:$K$2577,A56)</f>
        <v/>
      </c>
      <c r="G56" s="12">
        <f>SUMIFS('Cable Schedule'!$W$2:$W$2577,'Cable Schedule'!$K$2:$K$2577,A56)</f>
        <v/>
      </c>
      <c r="H56" s="13">
        <f>'Read Me'!$B$14</f>
        <v/>
      </c>
      <c r="I56" s="10">
        <f>ROUNDUP(G56*(1+H56),-2)</f>
        <v/>
      </c>
      <c r="J56" s="14" t="n">
        <v>5000</v>
      </c>
      <c r="K56" s="9">
        <f>IF(J56&gt;0,ROUNDUP(I56/J56,0),0)</f>
        <v/>
      </c>
      <c r="L56" s="15">
        <f>I56*0.3048/1000</f>
        <v/>
      </c>
    </row>
    <row r="57">
      <c r="A57" s="9" t="inlineStr">
        <is>
          <t>FO|12 SM|-</t>
        </is>
      </c>
      <c r="B57" s="9" t="inlineStr">
        <is>
          <t>Fibre / data</t>
        </is>
      </c>
      <c r="C57" s="9" t="inlineStr">
        <is>
          <t>Fibre optic, single-mode, 12-fibre, armored, orange jacket</t>
        </is>
      </c>
      <c r="D57" s="9" t="inlineStr">
        <is>
          <t>12 SM</t>
        </is>
      </c>
      <c r="E57" s="9" t="inlineStr">
        <is>
          <t>-</t>
        </is>
      </c>
      <c r="F57" s="11">
        <f>COUNTIF('Cable Schedule'!$K$2:$K$2577,A57)</f>
        <v/>
      </c>
      <c r="G57" s="12">
        <f>SUMIFS('Cable Schedule'!$W$2:$W$2577,'Cable Schedule'!$K$2:$K$2577,A57)</f>
        <v/>
      </c>
      <c r="H57" s="13">
        <f>'Read Me'!$B$14</f>
        <v/>
      </c>
      <c r="I57" s="10">
        <f>ROUNDUP(G57*(1+H57),-2)</f>
        <v/>
      </c>
      <c r="J57" s="14" t="n">
        <v>10000</v>
      </c>
      <c r="K57" s="9">
        <f>IF(J57&gt;0,ROUNDUP(I57/J57,0),0)</f>
        <v/>
      </c>
      <c r="L57" s="15">
        <f>I57*0.3048/1000</f>
        <v/>
      </c>
    </row>
    <row r="58">
      <c r="A58" s="9" t="inlineStr">
        <is>
          <t>PV|1/C|500</t>
        </is>
      </c>
      <c r="B58" s="9" t="inlineStr">
        <is>
          <t>DC 2 kV</t>
        </is>
      </c>
      <c r="C58" s="9" t="inlineStr">
        <is>
          <t>PV / RHW-2 2 kV 1/C Cu, XLPE (DC)</t>
        </is>
      </c>
      <c r="D58" s="9" t="inlineStr">
        <is>
          <t>1/C</t>
        </is>
      </c>
      <c r="E58" s="9" t="inlineStr">
        <is>
          <t>500 kcmil</t>
        </is>
      </c>
      <c r="F58" s="11">
        <f>COUNTIF('Cable Schedule'!$K$2:$K$2577,A58)</f>
        <v/>
      </c>
      <c r="G58" s="12">
        <f>SUMIFS('Cable Schedule'!$W$2:$W$2577,'Cable Schedule'!$K$2:$K$2577,A58)</f>
        <v/>
      </c>
      <c r="H58" s="13">
        <f>'Read Me'!$B$14</f>
        <v/>
      </c>
      <c r="I58" s="10">
        <f>ROUNDUP(G58*(1+H58),-2)</f>
        <v/>
      </c>
      <c r="J58" s="14" t="n">
        <v>2500</v>
      </c>
      <c r="K58" s="9">
        <f>IF(J58&gt;0,ROUNDUP(I58/J58,0),0)</f>
        <v/>
      </c>
      <c r="L58" s="15">
        <f>I58*0.3048/1000</f>
        <v/>
      </c>
    </row>
    <row r="59">
      <c r="A59" s="9" t="inlineStr">
        <is>
          <t>SHD|3/C|2</t>
        </is>
      </c>
      <c r="B59" s="9" t="inlineStr">
        <is>
          <t>Portable MV</t>
        </is>
      </c>
      <c r="C59" s="9" t="inlineStr">
        <is>
          <t>Type SHD-GC 15 kV 3/C Cu, 2 grounds + GC, yellow CPE (portable)</t>
        </is>
      </c>
      <c r="D59" s="9" t="inlineStr">
        <is>
          <t>3/C</t>
        </is>
      </c>
      <c r="E59" s="9" t="inlineStr">
        <is>
          <t>2</t>
        </is>
      </c>
      <c r="F59" s="11">
        <f>COUNTIF('Cable Schedule'!$K$2:$K$2577,A59)</f>
        <v/>
      </c>
      <c r="G59" s="12">
        <f>SUMIFS('Cable Schedule'!$W$2:$W$2577,'Cable Schedule'!$K$2:$K$2577,A59)</f>
        <v/>
      </c>
      <c r="H59" s="13">
        <f>'Read Me'!$B$14</f>
        <v/>
      </c>
      <c r="I59" s="10">
        <f>ROUNDUP(G59*(1+H59),-2)</f>
        <v/>
      </c>
      <c r="J59" s="14" t="n">
        <v>1000</v>
      </c>
      <c r="K59" s="9">
        <f>IF(J59&gt;0,ROUNDUP(I59/J59,0),0)</f>
        <v/>
      </c>
      <c r="L59" s="15">
        <f>I59*0.3048/1000</f>
        <v/>
      </c>
    </row>
    <row r="60">
      <c r="A60" s="9" t="inlineStr">
        <is>
          <t>W|1/C|4/0</t>
        </is>
      </c>
      <c r="B60" s="9" t="inlineStr">
        <is>
          <t>Portable LV</t>
        </is>
      </c>
      <c r="C60" s="9" t="inlineStr">
        <is>
          <t>Type W 2 kV 1/C Cu, EPDM / CPE (portable, cam-lock)</t>
        </is>
      </c>
      <c r="D60" s="9" t="inlineStr">
        <is>
          <t>1/C</t>
        </is>
      </c>
      <c r="E60" s="9" t="inlineStr">
        <is>
          <t>4/0</t>
        </is>
      </c>
      <c r="F60" s="11">
        <f>COUNTIF('Cable Schedule'!$K$2:$K$2577,A60)</f>
        <v/>
      </c>
      <c r="G60" s="12">
        <f>SUMIFS('Cable Schedule'!$W$2:$W$2577,'Cable Schedule'!$K$2:$K$2577,A60)</f>
        <v/>
      </c>
      <c r="H60" s="13">
        <f>'Read Me'!$B$14</f>
        <v/>
      </c>
      <c r="I60" s="10">
        <f>ROUNDUP(G60*(1+H60),-2)</f>
        <v/>
      </c>
      <c r="J60" s="14" t="n">
        <v>1000</v>
      </c>
      <c r="K60" s="9">
        <f>IF(J60&gt;0,ROUNDUP(I60/J60,0),0)</f>
        <v/>
      </c>
      <c r="L60" s="15">
        <f>I60*0.3048/1000</f>
        <v/>
      </c>
    </row>
    <row r="61">
      <c r="A61" s="9" t="inlineStr">
        <is>
          <t>THHN|1/C|12</t>
        </is>
      </c>
      <c r="B61" s="9" t="inlineStr">
        <is>
          <t>Building wire</t>
        </is>
      </c>
      <c r="C61" s="9" t="inlineStr">
        <is>
          <t>SIMpull THHN/THWN-2 600 V 1/C Cu (lighting, receptacles, small power)</t>
        </is>
      </c>
      <c r="D61" s="9" t="inlineStr">
        <is>
          <t>1/C</t>
        </is>
      </c>
      <c r="E61" s="9" t="inlineStr">
        <is>
          <t>12</t>
        </is>
      </c>
      <c r="F61" s="11">
        <f>COUNTIF('Cable Schedule'!$K$2:$K$2577,A61)</f>
        <v/>
      </c>
      <c r="G61" s="12">
        <f>SUMIFS('Cable Schedule'!$W$2:$W$2577,'Cable Schedule'!$K$2:$K$2577,A61)</f>
        <v/>
      </c>
      <c r="H61" s="13">
        <f>'Read Me'!$B$14</f>
        <v/>
      </c>
      <c r="I61" s="10">
        <f>ROUNDUP(G61*(1+H61),-2)</f>
        <v/>
      </c>
      <c r="J61" s="14" t="n">
        <v>5000</v>
      </c>
      <c r="K61" s="9">
        <f>IF(J61&gt;0,ROUNDUP(I61/J61,0),0)</f>
        <v/>
      </c>
      <c r="L61" s="15">
        <f>I61*0.3048/1000</f>
        <v/>
      </c>
    </row>
    <row r="62">
      <c r="A62" s="9" t="inlineStr">
        <is>
          <t>BARE|1/C|4/0</t>
        </is>
      </c>
      <c r="B62" s="9" t="inlineStr">
        <is>
          <t>Grounding</t>
        </is>
      </c>
      <c r="C62" s="9" t="inlineStr">
        <is>
          <t>Bare Cu 4/0 AWG, 19 strand (ground grid and equipment grounds)</t>
        </is>
      </c>
      <c r="D62" s="9" t="inlineStr">
        <is>
          <t>1/C</t>
        </is>
      </c>
      <c r="E62" s="9" t="inlineStr">
        <is>
          <t>4/0</t>
        </is>
      </c>
      <c r="F62" s="11">
        <f>COUNTIF('Cable Schedule'!$K$2:$K$2577,A62)</f>
        <v/>
      </c>
      <c r="G62" s="12">
        <f>SUMIFS('Cable Schedule'!$W$2:$W$2577,'Cable Schedule'!$K$2:$K$2577,A62)</f>
        <v/>
      </c>
      <c r="H62" s="13">
        <f>'Read Me'!$B$14</f>
        <v/>
      </c>
      <c r="I62" s="10">
        <f>ROUNDUP(G62*(1+H62),-2)</f>
        <v/>
      </c>
      <c r="J62" s="14" t="n">
        <v>5000</v>
      </c>
      <c r="K62" s="9">
        <f>IF(J62&gt;0,ROUNDUP(I62/J62,0),0)</f>
        <v/>
      </c>
      <c r="L62" s="15">
        <f>I62*0.3048/1000</f>
        <v/>
      </c>
    </row>
    <row r="63">
      <c r="A63" s="9" t="inlineStr">
        <is>
          <t>ACSR|1/C|1590</t>
        </is>
      </c>
      <c r="B63" s="9" t="inlineStr">
        <is>
          <t>Overhead</t>
        </is>
      </c>
      <c r="C63" s="9" t="inlineStr">
        <is>
          <t>Overhead conductor ACSR 1590 kcmil 'Falcon' (typ.)</t>
        </is>
      </c>
      <c r="D63" s="9" t="inlineStr">
        <is>
          <t>1/C</t>
        </is>
      </c>
      <c r="E63" s="9" t="inlineStr">
        <is>
          <t>1590 kcmil</t>
        </is>
      </c>
      <c r="F63" s="11">
        <f>COUNTIF('Cable Schedule'!$K$2:$K$2577,A63)</f>
        <v/>
      </c>
      <c r="G63" s="12">
        <f>SUMIFS('Cable Schedule'!$W$2:$W$2577,'Cable Schedule'!$K$2:$K$2577,A63)</f>
        <v/>
      </c>
      <c r="H63" s="13">
        <f>'Read Me'!$B$14</f>
        <v/>
      </c>
      <c r="I63" s="10">
        <f>ROUNDUP(G63*(1+H63),-2)</f>
        <v/>
      </c>
      <c r="J63" s="14" t="n">
        <v>7000</v>
      </c>
      <c r="K63" s="9">
        <f>IF(J63&gt;0,ROUNDUP(I63/J63,0),0)</f>
        <v/>
      </c>
      <c r="L63" s="15">
        <f>I63*0.3048/1000</f>
        <v/>
      </c>
    </row>
    <row r="64">
      <c r="C64" s="16" t="inlineStr">
        <is>
          <t>Total</t>
        </is>
      </c>
      <c r="F64" s="17">
        <f>SUM(F2:F63)</f>
        <v/>
      </c>
      <c r="G64" s="17">
        <f>SUM(G2:G63)</f>
        <v/>
      </c>
      <c r="I64" s="17">
        <f>SUM(I2:I63)</f>
        <v/>
      </c>
      <c r="K64" s="17">
        <f>SUM(K2:K63)</f>
        <v/>
      </c>
      <c r="L64" s="18">
        <f>SUM(L2:L63)</f>
        <v/>
      </c>
    </row>
    <row r="66">
      <c r="A66" s="19" t="inlineStr">
        <is>
          <t>Standard reel lengths are typical inputs (blue); edit to the actual reel / SIMpull reel sizes.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80" customWidth="1" min="1" max="1"/>
    <col width="14" customWidth="1" min="2" max="2"/>
  </cols>
  <sheetData>
    <row r="1">
      <c r="A1" s="20" t="inlineStr">
        <is>
          <t>Accessory</t>
        </is>
      </c>
      <c r="B1" s="20" t="inlineStr">
        <is>
          <t>Quantity</t>
        </is>
      </c>
    </row>
    <row r="2">
      <c r="A2" s="9" t="inlineStr">
        <is>
          <t>MV termination kits (outdoor / indoor, per conductor or per 3/C end)</t>
        </is>
      </c>
      <c r="B2" s="12">
        <f>SUM('Cable Schedule'!X2:X2577)</f>
        <v/>
      </c>
    </row>
    <row r="3">
      <c r="A3" s="9" t="inlineStr">
        <is>
          <t>ARMOR-X / Type W connectors and glands</t>
        </is>
      </c>
      <c r="B3" s="12">
        <f>SUM('Cable Schedule'!Y2:Y2577)</f>
        <v/>
      </c>
    </row>
    <row r="4">
      <c r="A4" s="9" t="inlineStr">
        <is>
          <t>MV splice kits (allowance: 1 per 2,500 ft of MV 1/C)</t>
        </is>
      </c>
      <c r="B4" s="12">
        <f>ROUNDUP(SUMIFS('Cable Schedule'!W2:W2577,'Cable Schedule'!I2:I2577,"MV*",'Cable Schedule'!L2:L2577,"1/C")/2500,0)</f>
        <v/>
      </c>
    </row>
    <row r="5">
      <c r="A5" s="9" t="inlineStr">
        <is>
          <t>230 kV outdoor terminations</t>
        </is>
      </c>
      <c r="B5" s="12">
        <f>2*SUMIFS('Cable Schedule'!O2:O2577,'Cable Schedule'!I2:I2577,"HV 230 kV")</f>
        <v/>
      </c>
    </row>
    <row r="6">
      <c r="A6" s="9" t="inlineStr">
        <is>
          <t>600 V compression lugs (power, 4 per end)</t>
        </is>
      </c>
      <c r="B6" s="12">
        <f>2*4*SUMIFS('Cable Schedule'!N2:N2577,'Cable Schedule'!I2:I2577,"LV 600 V")</f>
        <v/>
      </c>
    </row>
    <row r="7">
      <c r="A7" s="9" t="inlineStr">
        <is>
          <t>Instrument / control cable glands (2 per run)</t>
        </is>
      </c>
      <c r="B7" s="12">
        <f>2*(COUNTIF('Cable Schedule'!I2:I2577,"Control")+COUNTIF('Cable Schedule'!I2:I2577,"Instrumentation"))</f>
        <v/>
      </c>
    </row>
    <row r="8">
      <c r="A8" s="9" t="inlineStr">
        <is>
          <t>Fibre patch / termination (2 per link)</t>
        </is>
      </c>
      <c r="B8" s="12">
        <f>2*COUNTIF('Cable Schedule'!I2:I2577,"Fibre / data")</f>
        <v/>
      </c>
    </row>
    <row r="9">
      <c r="A9" s="9" t="inlineStr">
        <is>
          <t>Ground connections: exothermic welds (allowance 1 per 25 ft of grid)</t>
        </is>
      </c>
      <c r="B9" s="12">
        <f>ROUNDUP(SUMIFS('Cable Schedule'!W2:W2577,'Cable Schedule'!I2:I2577,"Grounding")/25,0)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7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</cols>
  <sheetData>
    <row r="1">
      <c r="A1" s="21" t="inlineStr">
        <is>
          <t>Total cable length (ft) by zone and class</t>
        </is>
      </c>
    </row>
    <row r="2">
      <c r="A2" s="20" t="inlineStr">
        <is>
          <t>Zone</t>
        </is>
      </c>
      <c r="B2" s="22" t="inlineStr">
        <is>
          <t>MV 15 kV</t>
        </is>
      </c>
      <c r="C2" s="22" t="inlineStr">
        <is>
          <t>MV 5 kV</t>
        </is>
      </c>
      <c r="D2" s="22" t="inlineStr">
        <is>
          <t>MV 25 kV</t>
        </is>
      </c>
      <c r="E2" s="22" t="inlineStr">
        <is>
          <t>MV 35 kV</t>
        </is>
      </c>
      <c r="F2" s="22" t="inlineStr">
        <is>
          <t>HV 230 kV</t>
        </is>
      </c>
      <c r="G2" s="22" t="inlineStr">
        <is>
          <t>LV 600 V</t>
        </is>
      </c>
      <c r="H2" s="22" t="inlineStr">
        <is>
          <t>Control</t>
        </is>
      </c>
      <c r="I2" s="22" t="inlineStr">
        <is>
          <t>Instrumentation</t>
        </is>
      </c>
      <c r="J2" s="22" t="inlineStr">
        <is>
          <t>Fire alarm</t>
        </is>
      </c>
      <c r="K2" s="22" t="inlineStr">
        <is>
          <t>Fibre / data</t>
        </is>
      </c>
      <c r="L2" s="22" t="inlineStr">
        <is>
          <t>DC 2 kV</t>
        </is>
      </c>
      <c r="M2" s="22" t="inlineStr">
        <is>
          <t>Portable MV</t>
        </is>
      </c>
      <c r="N2" s="22" t="inlineStr">
        <is>
          <t>Portable LV</t>
        </is>
      </c>
      <c r="O2" s="22" t="inlineStr">
        <is>
          <t>Building wire</t>
        </is>
      </c>
      <c r="P2" s="22" t="inlineStr">
        <is>
          <t>Grounding</t>
        </is>
      </c>
      <c r="Q2" s="22" t="inlineStr">
        <is>
          <t>Overhead</t>
        </is>
      </c>
      <c r="R2" s="20" t="inlineStr">
        <is>
          <t>Total</t>
        </is>
      </c>
    </row>
    <row r="3">
      <c r="A3" s="9" t="inlineStr">
        <is>
          <t>A  Power block</t>
        </is>
      </c>
      <c r="B3" s="12">
        <f>SUMIFS('Cable Schedule'!$W$2:$W$2577,'Cable Schedule'!$B$2:$B$2577,"A",'Cable Schedule'!$I$2:$I$2577,"MV 15 kV")</f>
        <v/>
      </c>
      <c r="C3" s="12">
        <f>SUMIFS('Cable Schedule'!$W$2:$W$2577,'Cable Schedule'!$B$2:$B$2577,"A",'Cable Schedule'!$I$2:$I$2577,"MV 5 kV")</f>
        <v/>
      </c>
      <c r="D3" s="12">
        <f>SUMIFS('Cable Schedule'!$W$2:$W$2577,'Cable Schedule'!$B$2:$B$2577,"A",'Cable Schedule'!$I$2:$I$2577,"MV 25 kV")</f>
        <v/>
      </c>
      <c r="E3" s="12">
        <f>SUMIFS('Cable Schedule'!$W$2:$W$2577,'Cable Schedule'!$B$2:$B$2577,"A",'Cable Schedule'!$I$2:$I$2577,"MV 35 kV")</f>
        <v/>
      </c>
      <c r="F3" s="12">
        <f>SUMIFS('Cable Schedule'!$W$2:$W$2577,'Cable Schedule'!$B$2:$B$2577,"A",'Cable Schedule'!$I$2:$I$2577,"HV 230 kV")</f>
        <v/>
      </c>
      <c r="G3" s="12">
        <f>SUMIFS('Cable Schedule'!$W$2:$W$2577,'Cable Schedule'!$B$2:$B$2577,"A",'Cable Schedule'!$I$2:$I$2577,"LV 600 V")</f>
        <v/>
      </c>
      <c r="H3" s="12">
        <f>SUMIFS('Cable Schedule'!$W$2:$W$2577,'Cable Schedule'!$B$2:$B$2577,"A",'Cable Schedule'!$I$2:$I$2577,"Control")</f>
        <v/>
      </c>
      <c r="I3" s="12">
        <f>SUMIFS('Cable Schedule'!$W$2:$W$2577,'Cable Schedule'!$B$2:$B$2577,"A",'Cable Schedule'!$I$2:$I$2577,"Instrumentation")</f>
        <v/>
      </c>
      <c r="J3" s="12">
        <f>SUMIFS('Cable Schedule'!$W$2:$W$2577,'Cable Schedule'!$B$2:$B$2577,"A",'Cable Schedule'!$I$2:$I$2577,"Fire alarm")</f>
        <v/>
      </c>
      <c r="K3" s="12">
        <f>SUMIFS('Cable Schedule'!$W$2:$W$2577,'Cable Schedule'!$B$2:$B$2577,"A",'Cable Schedule'!$I$2:$I$2577,"Fibre / data")</f>
        <v/>
      </c>
      <c r="L3" s="12">
        <f>SUMIFS('Cable Schedule'!$W$2:$W$2577,'Cable Schedule'!$B$2:$B$2577,"A",'Cable Schedule'!$I$2:$I$2577,"DC 2 kV")</f>
        <v/>
      </c>
      <c r="M3" s="12">
        <f>SUMIFS('Cable Schedule'!$W$2:$W$2577,'Cable Schedule'!$B$2:$B$2577,"A",'Cable Schedule'!$I$2:$I$2577,"Portable MV")</f>
        <v/>
      </c>
      <c r="N3" s="12">
        <f>SUMIFS('Cable Schedule'!$W$2:$W$2577,'Cable Schedule'!$B$2:$B$2577,"A",'Cable Schedule'!$I$2:$I$2577,"Portable LV")</f>
        <v/>
      </c>
      <c r="O3" s="12">
        <f>SUMIFS('Cable Schedule'!$W$2:$W$2577,'Cable Schedule'!$B$2:$B$2577,"A",'Cable Schedule'!$I$2:$I$2577,"Building wire")</f>
        <v/>
      </c>
      <c r="P3" s="12">
        <f>SUMIFS('Cable Schedule'!$W$2:$W$2577,'Cable Schedule'!$B$2:$B$2577,"A",'Cable Schedule'!$I$2:$I$2577,"Grounding")</f>
        <v/>
      </c>
      <c r="Q3" s="12">
        <f>SUMIFS('Cable Schedule'!$W$2:$W$2577,'Cable Schedule'!$B$2:$B$2577,"A",'Cable Schedule'!$I$2:$I$2577,"Overhead")</f>
        <v/>
      </c>
      <c r="R3" s="23">
        <f>SUM(B3:Q3)</f>
        <v/>
      </c>
    </row>
    <row r="4">
      <c r="A4" s="9" t="inlineStr">
        <is>
          <t>B  ACC</t>
        </is>
      </c>
      <c r="B4" s="12">
        <f>SUMIFS('Cable Schedule'!$W$2:$W$2577,'Cable Schedule'!$B$2:$B$2577,"B",'Cable Schedule'!$I$2:$I$2577,"MV 15 kV")</f>
        <v/>
      </c>
      <c r="C4" s="12">
        <f>SUMIFS('Cable Schedule'!$W$2:$W$2577,'Cable Schedule'!$B$2:$B$2577,"B",'Cable Schedule'!$I$2:$I$2577,"MV 5 kV")</f>
        <v/>
      </c>
      <c r="D4" s="12">
        <f>SUMIFS('Cable Schedule'!$W$2:$W$2577,'Cable Schedule'!$B$2:$B$2577,"B",'Cable Schedule'!$I$2:$I$2577,"MV 25 kV")</f>
        <v/>
      </c>
      <c r="E4" s="12">
        <f>SUMIFS('Cable Schedule'!$W$2:$W$2577,'Cable Schedule'!$B$2:$B$2577,"B",'Cable Schedule'!$I$2:$I$2577,"MV 35 kV")</f>
        <v/>
      </c>
      <c r="F4" s="12">
        <f>SUMIFS('Cable Schedule'!$W$2:$W$2577,'Cable Schedule'!$B$2:$B$2577,"B",'Cable Schedule'!$I$2:$I$2577,"HV 230 kV")</f>
        <v/>
      </c>
      <c r="G4" s="12">
        <f>SUMIFS('Cable Schedule'!$W$2:$W$2577,'Cable Schedule'!$B$2:$B$2577,"B",'Cable Schedule'!$I$2:$I$2577,"LV 600 V")</f>
        <v/>
      </c>
      <c r="H4" s="12">
        <f>SUMIFS('Cable Schedule'!$W$2:$W$2577,'Cable Schedule'!$B$2:$B$2577,"B",'Cable Schedule'!$I$2:$I$2577,"Control")</f>
        <v/>
      </c>
      <c r="I4" s="12">
        <f>SUMIFS('Cable Schedule'!$W$2:$W$2577,'Cable Schedule'!$B$2:$B$2577,"B",'Cable Schedule'!$I$2:$I$2577,"Instrumentation")</f>
        <v/>
      </c>
      <c r="J4" s="12">
        <f>SUMIFS('Cable Schedule'!$W$2:$W$2577,'Cable Schedule'!$B$2:$B$2577,"B",'Cable Schedule'!$I$2:$I$2577,"Fire alarm")</f>
        <v/>
      </c>
      <c r="K4" s="12">
        <f>SUMIFS('Cable Schedule'!$W$2:$W$2577,'Cable Schedule'!$B$2:$B$2577,"B",'Cable Schedule'!$I$2:$I$2577,"Fibre / data")</f>
        <v/>
      </c>
      <c r="L4" s="12">
        <f>SUMIFS('Cable Schedule'!$W$2:$W$2577,'Cable Schedule'!$B$2:$B$2577,"B",'Cable Schedule'!$I$2:$I$2577,"DC 2 kV")</f>
        <v/>
      </c>
      <c r="M4" s="12">
        <f>SUMIFS('Cable Schedule'!$W$2:$W$2577,'Cable Schedule'!$B$2:$B$2577,"B",'Cable Schedule'!$I$2:$I$2577,"Portable MV")</f>
        <v/>
      </c>
      <c r="N4" s="12">
        <f>SUMIFS('Cable Schedule'!$W$2:$W$2577,'Cable Schedule'!$B$2:$B$2577,"B",'Cable Schedule'!$I$2:$I$2577,"Portable LV")</f>
        <v/>
      </c>
      <c r="O4" s="12">
        <f>SUMIFS('Cable Schedule'!$W$2:$W$2577,'Cable Schedule'!$B$2:$B$2577,"B",'Cable Schedule'!$I$2:$I$2577,"Building wire")</f>
        <v/>
      </c>
      <c r="P4" s="12">
        <f>SUMIFS('Cable Schedule'!$W$2:$W$2577,'Cable Schedule'!$B$2:$B$2577,"B",'Cable Schedule'!$I$2:$I$2577,"Grounding")</f>
        <v/>
      </c>
      <c r="Q4" s="12">
        <f>SUMIFS('Cable Schedule'!$W$2:$W$2577,'Cable Schedule'!$B$2:$B$2577,"B",'Cable Schedule'!$I$2:$I$2577,"Overhead")</f>
        <v/>
      </c>
      <c r="R4" s="23">
        <f>SUM(B4:Q4)</f>
        <v/>
      </c>
    </row>
    <row r="5">
      <c r="A5" s="9" t="inlineStr">
        <is>
          <t>C  Grid interface</t>
        </is>
      </c>
      <c r="B5" s="12">
        <f>SUMIFS('Cable Schedule'!$W$2:$W$2577,'Cable Schedule'!$B$2:$B$2577,"C",'Cable Schedule'!$I$2:$I$2577,"MV 15 kV")</f>
        <v/>
      </c>
      <c r="C5" s="12">
        <f>SUMIFS('Cable Schedule'!$W$2:$W$2577,'Cable Schedule'!$B$2:$B$2577,"C",'Cable Schedule'!$I$2:$I$2577,"MV 5 kV")</f>
        <v/>
      </c>
      <c r="D5" s="12">
        <f>SUMIFS('Cable Schedule'!$W$2:$W$2577,'Cable Schedule'!$B$2:$B$2577,"C",'Cable Schedule'!$I$2:$I$2577,"MV 25 kV")</f>
        <v/>
      </c>
      <c r="E5" s="12">
        <f>SUMIFS('Cable Schedule'!$W$2:$W$2577,'Cable Schedule'!$B$2:$B$2577,"C",'Cable Schedule'!$I$2:$I$2577,"MV 35 kV")</f>
        <v/>
      </c>
      <c r="F5" s="12">
        <f>SUMIFS('Cable Schedule'!$W$2:$W$2577,'Cable Schedule'!$B$2:$B$2577,"C",'Cable Schedule'!$I$2:$I$2577,"HV 230 kV")</f>
        <v/>
      </c>
      <c r="G5" s="12">
        <f>SUMIFS('Cable Schedule'!$W$2:$W$2577,'Cable Schedule'!$B$2:$B$2577,"C",'Cable Schedule'!$I$2:$I$2577,"LV 600 V")</f>
        <v/>
      </c>
      <c r="H5" s="12">
        <f>SUMIFS('Cable Schedule'!$W$2:$W$2577,'Cable Schedule'!$B$2:$B$2577,"C",'Cable Schedule'!$I$2:$I$2577,"Control")</f>
        <v/>
      </c>
      <c r="I5" s="12">
        <f>SUMIFS('Cable Schedule'!$W$2:$W$2577,'Cable Schedule'!$B$2:$B$2577,"C",'Cable Schedule'!$I$2:$I$2577,"Instrumentation")</f>
        <v/>
      </c>
      <c r="J5" s="12">
        <f>SUMIFS('Cable Schedule'!$W$2:$W$2577,'Cable Schedule'!$B$2:$B$2577,"C",'Cable Schedule'!$I$2:$I$2577,"Fire alarm")</f>
        <v/>
      </c>
      <c r="K5" s="12">
        <f>SUMIFS('Cable Schedule'!$W$2:$W$2577,'Cable Schedule'!$B$2:$B$2577,"C",'Cable Schedule'!$I$2:$I$2577,"Fibre / data")</f>
        <v/>
      </c>
      <c r="L5" s="12">
        <f>SUMIFS('Cable Schedule'!$W$2:$W$2577,'Cable Schedule'!$B$2:$B$2577,"C",'Cable Schedule'!$I$2:$I$2577,"DC 2 kV")</f>
        <v/>
      </c>
      <c r="M5" s="12">
        <f>SUMIFS('Cable Schedule'!$W$2:$W$2577,'Cable Schedule'!$B$2:$B$2577,"C",'Cable Schedule'!$I$2:$I$2577,"Portable MV")</f>
        <v/>
      </c>
      <c r="N5" s="12">
        <f>SUMIFS('Cable Schedule'!$W$2:$W$2577,'Cable Schedule'!$B$2:$B$2577,"C",'Cable Schedule'!$I$2:$I$2577,"Portable LV")</f>
        <v/>
      </c>
      <c r="O5" s="12">
        <f>SUMIFS('Cable Schedule'!$W$2:$W$2577,'Cable Schedule'!$B$2:$B$2577,"C",'Cable Schedule'!$I$2:$I$2577,"Building wire")</f>
        <v/>
      </c>
      <c r="P5" s="12">
        <f>SUMIFS('Cable Schedule'!$W$2:$W$2577,'Cable Schedule'!$B$2:$B$2577,"C",'Cable Schedule'!$I$2:$I$2577,"Grounding")</f>
        <v/>
      </c>
      <c r="Q5" s="12">
        <f>SUMIFS('Cable Schedule'!$W$2:$W$2577,'Cable Schedule'!$B$2:$B$2577,"C",'Cable Schedule'!$I$2:$I$2577,"Overhead")</f>
        <v/>
      </c>
      <c r="R5" s="23">
        <f>SUM(B5:Q5)</f>
        <v/>
      </c>
    </row>
    <row r="6">
      <c r="A6" s="9" t="inlineStr">
        <is>
          <t>D  Fuel gas</t>
        </is>
      </c>
      <c r="B6" s="12">
        <f>SUMIFS('Cable Schedule'!$W$2:$W$2577,'Cable Schedule'!$B$2:$B$2577,"D",'Cable Schedule'!$I$2:$I$2577,"MV 15 kV")</f>
        <v/>
      </c>
      <c r="C6" s="12">
        <f>SUMIFS('Cable Schedule'!$W$2:$W$2577,'Cable Schedule'!$B$2:$B$2577,"D",'Cable Schedule'!$I$2:$I$2577,"MV 5 kV")</f>
        <v/>
      </c>
      <c r="D6" s="12">
        <f>SUMIFS('Cable Schedule'!$W$2:$W$2577,'Cable Schedule'!$B$2:$B$2577,"D",'Cable Schedule'!$I$2:$I$2577,"MV 25 kV")</f>
        <v/>
      </c>
      <c r="E6" s="12">
        <f>SUMIFS('Cable Schedule'!$W$2:$W$2577,'Cable Schedule'!$B$2:$B$2577,"D",'Cable Schedule'!$I$2:$I$2577,"MV 35 kV")</f>
        <v/>
      </c>
      <c r="F6" s="12">
        <f>SUMIFS('Cable Schedule'!$W$2:$W$2577,'Cable Schedule'!$B$2:$B$2577,"D",'Cable Schedule'!$I$2:$I$2577,"HV 230 kV")</f>
        <v/>
      </c>
      <c r="G6" s="12">
        <f>SUMIFS('Cable Schedule'!$W$2:$W$2577,'Cable Schedule'!$B$2:$B$2577,"D",'Cable Schedule'!$I$2:$I$2577,"LV 600 V")</f>
        <v/>
      </c>
      <c r="H6" s="12">
        <f>SUMIFS('Cable Schedule'!$W$2:$W$2577,'Cable Schedule'!$B$2:$B$2577,"D",'Cable Schedule'!$I$2:$I$2577,"Control")</f>
        <v/>
      </c>
      <c r="I6" s="12">
        <f>SUMIFS('Cable Schedule'!$W$2:$W$2577,'Cable Schedule'!$B$2:$B$2577,"D",'Cable Schedule'!$I$2:$I$2577,"Instrumentation")</f>
        <v/>
      </c>
      <c r="J6" s="12">
        <f>SUMIFS('Cable Schedule'!$W$2:$W$2577,'Cable Schedule'!$B$2:$B$2577,"D",'Cable Schedule'!$I$2:$I$2577,"Fire alarm")</f>
        <v/>
      </c>
      <c r="K6" s="12">
        <f>SUMIFS('Cable Schedule'!$W$2:$W$2577,'Cable Schedule'!$B$2:$B$2577,"D",'Cable Schedule'!$I$2:$I$2577,"Fibre / data")</f>
        <v/>
      </c>
      <c r="L6" s="12">
        <f>SUMIFS('Cable Schedule'!$W$2:$W$2577,'Cable Schedule'!$B$2:$B$2577,"D",'Cable Schedule'!$I$2:$I$2577,"DC 2 kV")</f>
        <v/>
      </c>
      <c r="M6" s="12">
        <f>SUMIFS('Cable Schedule'!$W$2:$W$2577,'Cable Schedule'!$B$2:$B$2577,"D",'Cable Schedule'!$I$2:$I$2577,"Portable MV")</f>
        <v/>
      </c>
      <c r="N6" s="12">
        <f>SUMIFS('Cable Schedule'!$W$2:$W$2577,'Cable Schedule'!$B$2:$B$2577,"D",'Cable Schedule'!$I$2:$I$2577,"Portable LV")</f>
        <v/>
      </c>
      <c r="O6" s="12">
        <f>SUMIFS('Cable Schedule'!$W$2:$W$2577,'Cable Schedule'!$B$2:$B$2577,"D",'Cable Schedule'!$I$2:$I$2577,"Building wire")</f>
        <v/>
      </c>
      <c r="P6" s="12">
        <f>SUMIFS('Cable Schedule'!$W$2:$W$2577,'Cable Schedule'!$B$2:$B$2577,"D",'Cable Schedule'!$I$2:$I$2577,"Grounding")</f>
        <v/>
      </c>
      <c r="Q6" s="12">
        <f>SUMIFS('Cable Schedule'!$W$2:$W$2577,'Cable Schedule'!$B$2:$B$2577,"D",'Cable Schedule'!$I$2:$I$2577,"Overhead")</f>
        <v/>
      </c>
      <c r="R6" s="23">
        <f>SUM(B6:Q6)</f>
        <v/>
      </c>
    </row>
    <row r="7">
      <c r="A7" s="9" t="inlineStr">
        <is>
          <t>E  Water / utilities</t>
        </is>
      </c>
      <c r="B7" s="12">
        <f>SUMIFS('Cable Schedule'!$W$2:$W$2577,'Cable Schedule'!$B$2:$B$2577,"E",'Cable Schedule'!$I$2:$I$2577,"MV 15 kV")</f>
        <v/>
      </c>
      <c r="C7" s="12">
        <f>SUMIFS('Cable Schedule'!$W$2:$W$2577,'Cable Schedule'!$B$2:$B$2577,"E",'Cable Schedule'!$I$2:$I$2577,"MV 5 kV")</f>
        <v/>
      </c>
      <c r="D7" s="12">
        <f>SUMIFS('Cable Schedule'!$W$2:$W$2577,'Cable Schedule'!$B$2:$B$2577,"E",'Cable Schedule'!$I$2:$I$2577,"MV 25 kV")</f>
        <v/>
      </c>
      <c r="E7" s="12">
        <f>SUMIFS('Cable Schedule'!$W$2:$W$2577,'Cable Schedule'!$B$2:$B$2577,"E",'Cable Schedule'!$I$2:$I$2577,"MV 35 kV")</f>
        <v/>
      </c>
      <c r="F7" s="12">
        <f>SUMIFS('Cable Schedule'!$W$2:$W$2577,'Cable Schedule'!$B$2:$B$2577,"E",'Cable Schedule'!$I$2:$I$2577,"HV 230 kV")</f>
        <v/>
      </c>
      <c r="G7" s="12">
        <f>SUMIFS('Cable Schedule'!$W$2:$W$2577,'Cable Schedule'!$B$2:$B$2577,"E",'Cable Schedule'!$I$2:$I$2577,"LV 600 V")</f>
        <v/>
      </c>
      <c r="H7" s="12">
        <f>SUMIFS('Cable Schedule'!$W$2:$W$2577,'Cable Schedule'!$B$2:$B$2577,"E",'Cable Schedule'!$I$2:$I$2577,"Control")</f>
        <v/>
      </c>
      <c r="I7" s="12">
        <f>SUMIFS('Cable Schedule'!$W$2:$W$2577,'Cable Schedule'!$B$2:$B$2577,"E",'Cable Schedule'!$I$2:$I$2577,"Instrumentation")</f>
        <v/>
      </c>
      <c r="J7" s="12">
        <f>SUMIFS('Cable Schedule'!$W$2:$W$2577,'Cable Schedule'!$B$2:$B$2577,"E",'Cable Schedule'!$I$2:$I$2577,"Fire alarm")</f>
        <v/>
      </c>
      <c r="K7" s="12">
        <f>SUMIFS('Cable Schedule'!$W$2:$W$2577,'Cable Schedule'!$B$2:$B$2577,"E",'Cable Schedule'!$I$2:$I$2577,"Fibre / data")</f>
        <v/>
      </c>
      <c r="L7" s="12">
        <f>SUMIFS('Cable Schedule'!$W$2:$W$2577,'Cable Schedule'!$B$2:$B$2577,"E",'Cable Schedule'!$I$2:$I$2577,"DC 2 kV")</f>
        <v/>
      </c>
      <c r="M7" s="12">
        <f>SUMIFS('Cable Schedule'!$W$2:$W$2577,'Cable Schedule'!$B$2:$B$2577,"E",'Cable Schedule'!$I$2:$I$2577,"Portable MV")</f>
        <v/>
      </c>
      <c r="N7" s="12">
        <f>SUMIFS('Cable Schedule'!$W$2:$W$2577,'Cable Schedule'!$B$2:$B$2577,"E",'Cable Schedule'!$I$2:$I$2577,"Portable LV")</f>
        <v/>
      </c>
      <c r="O7" s="12">
        <f>SUMIFS('Cable Schedule'!$W$2:$W$2577,'Cable Schedule'!$B$2:$B$2577,"E",'Cable Schedule'!$I$2:$I$2577,"Building wire")</f>
        <v/>
      </c>
      <c r="P7" s="12">
        <f>SUMIFS('Cable Schedule'!$W$2:$W$2577,'Cable Schedule'!$B$2:$B$2577,"E",'Cable Schedule'!$I$2:$I$2577,"Grounding")</f>
        <v/>
      </c>
      <c r="Q7" s="12">
        <f>SUMIFS('Cable Schedule'!$W$2:$W$2577,'Cable Schedule'!$B$2:$B$2577,"E",'Cable Schedule'!$I$2:$I$2577,"Overhead")</f>
        <v/>
      </c>
      <c r="R7" s="23">
        <f>SUM(B7:Q7)</f>
        <v/>
      </c>
    </row>
    <row r="8">
      <c r="A8" s="9" t="inlineStr">
        <is>
          <t>F  Controls / service</t>
        </is>
      </c>
      <c r="B8" s="12">
        <f>SUMIFS('Cable Schedule'!$W$2:$W$2577,'Cable Schedule'!$B$2:$B$2577,"F",'Cable Schedule'!$I$2:$I$2577,"MV 15 kV")</f>
        <v/>
      </c>
      <c r="C8" s="12">
        <f>SUMIFS('Cable Schedule'!$W$2:$W$2577,'Cable Schedule'!$B$2:$B$2577,"F",'Cable Schedule'!$I$2:$I$2577,"MV 5 kV")</f>
        <v/>
      </c>
      <c r="D8" s="12">
        <f>SUMIFS('Cable Schedule'!$W$2:$W$2577,'Cable Schedule'!$B$2:$B$2577,"F",'Cable Schedule'!$I$2:$I$2577,"MV 25 kV")</f>
        <v/>
      </c>
      <c r="E8" s="12">
        <f>SUMIFS('Cable Schedule'!$W$2:$W$2577,'Cable Schedule'!$B$2:$B$2577,"F",'Cable Schedule'!$I$2:$I$2577,"MV 35 kV")</f>
        <v/>
      </c>
      <c r="F8" s="12">
        <f>SUMIFS('Cable Schedule'!$W$2:$W$2577,'Cable Schedule'!$B$2:$B$2577,"F",'Cable Schedule'!$I$2:$I$2577,"HV 230 kV")</f>
        <v/>
      </c>
      <c r="G8" s="12">
        <f>SUMIFS('Cable Schedule'!$W$2:$W$2577,'Cable Schedule'!$B$2:$B$2577,"F",'Cable Schedule'!$I$2:$I$2577,"LV 600 V")</f>
        <v/>
      </c>
      <c r="H8" s="12">
        <f>SUMIFS('Cable Schedule'!$W$2:$W$2577,'Cable Schedule'!$B$2:$B$2577,"F",'Cable Schedule'!$I$2:$I$2577,"Control")</f>
        <v/>
      </c>
      <c r="I8" s="12">
        <f>SUMIFS('Cable Schedule'!$W$2:$W$2577,'Cable Schedule'!$B$2:$B$2577,"F",'Cable Schedule'!$I$2:$I$2577,"Instrumentation")</f>
        <v/>
      </c>
      <c r="J8" s="12">
        <f>SUMIFS('Cable Schedule'!$W$2:$W$2577,'Cable Schedule'!$B$2:$B$2577,"F",'Cable Schedule'!$I$2:$I$2577,"Fire alarm")</f>
        <v/>
      </c>
      <c r="K8" s="12">
        <f>SUMIFS('Cable Schedule'!$W$2:$W$2577,'Cable Schedule'!$B$2:$B$2577,"F",'Cable Schedule'!$I$2:$I$2577,"Fibre / data")</f>
        <v/>
      </c>
      <c r="L8" s="12">
        <f>SUMIFS('Cable Schedule'!$W$2:$W$2577,'Cable Schedule'!$B$2:$B$2577,"F",'Cable Schedule'!$I$2:$I$2577,"DC 2 kV")</f>
        <v/>
      </c>
      <c r="M8" s="12">
        <f>SUMIFS('Cable Schedule'!$W$2:$W$2577,'Cable Schedule'!$B$2:$B$2577,"F",'Cable Schedule'!$I$2:$I$2577,"Portable MV")</f>
        <v/>
      </c>
      <c r="N8" s="12">
        <f>SUMIFS('Cable Schedule'!$W$2:$W$2577,'Cable Schedule'!$B$2:$B$2577,"F",'Cable Schedule'!$I$2:$I$2577,"Portable LV")</f>
        <v/>
      </c>
      <c r="O8" s="12">
        <f>SUMIFS('Cable Schedule'!$W$2:$W$2577,'Cable Schedule'!$B$2:$B$2577,"F",'Cable Schedule'!$I$2:$I$2577,"Building wire")</f>
        <v/>
      </c>
      <c r="P8" s="12">
        <f>SUMIFS('Cable Schedule'!$W$2:$W$2577,'Cable Schedule'!$B$2:$B$2577,"F",'Cable Schedule'!$I$2:$I$2577,"Grounding")</f>
        <v/>
      </c>
      <c r="Q8" s="12">
        <f>SUMIFS('Cable Schedule'!$W$2:$W$2577,'Cable Schedule'!$B$2:$B$2577,"F",'Cable Schedule'!$I$2:$I$2577,"Overhead")</f>
        <v/>
      </c>
      <c r="R8" s="23">
        <f>SUM(B8:Q8)</f>
        <v/>
      </c>
    </row>
    <row r="9">
      <c r="A9" s="9" t="inlineStr">
        <is>
          <t>G  Carbon capture</t>
        </is>
      </c>
      <c r="B9" s="12">
        <f>SUMIFS('Cable Schedule'!$W$2:$W$2577,'Cable Schedule'!$B$2:$B$2577,"G",'Cable Schedule'!$I$2:$I$2577,"MV 15 kV")</f>
        <v/>
      </c>
      <c r="C9" s="12">
        <f>SUMIFS('Cable Schedule'!$W$2:$W$2577,'Cable Schedule'!$B$2:$B$2577,"G",'Cable Schedule'!$I$2:$I$2577,"MV 5 kV")</f>
        <v/>
      </c>
      <c r="D9" s="12">
        <f>SUMIFS('Cable Schedule'!$W$2:$W$2577,'Cable Schedule'!$B$2:$B$2577,"G",'Cable Schedule'!$I$2:$I$2577,"MV 25 kV")</f>
        <v/>
      </c>
      <c r="E9" s="12">
        <f>SUMIFS('Cable Schedule'!$W$2:$W$2577,'Cable Schedule'!$B$2:$B$2577,"G",'Cable Schedule'!$I$2:$I$2577,"MV 35 kV")</f>
        <v/>
      </c>
      <c r="F9" s="12">
        <f>SUMIFS('Cable Schedule'!$W$2:$W$2577,'Cable Schedule'!$B$2:$B$2577,"G",'Cable Schedule'!$I$2:$I$2577,"HV 230 kV")</f>
        <v/>
      </c>
      <c r="G9" s="12">
        <f>SUMIFS('Cable Schedule'!$W$2:$W$2577,'Cable Schedule'!$B$2:$B$2577,"G",'Cable Schedule'!$I$2:$I$2577,"LV 600 V")</f>
        <v/>
      </c>
      <c r="H9" s="12">
        <f>SUMIFS('Cable Schedule'!$W$2:$W$2577,'Cable Schedule'!$B$2:$B$2577,"G",'Cable Schedule'!$I$2:$I$2577,"Control")</f>
        <v/>
      </c>
      <c r="I9" s="12">
        <f>SUMIFS('Cable Schedule'!$W$2:$W$2577,'Cable Schedule'!$B$2:$B$2577,"G",'Cable Schedule'!$I$2:$I$2577,"Instrumentation")</f>
        <v/>
      </c>
      <c r="J9" s="12">
        <f>SUMIFS('Cable Schedule'!$W$2:$W$2577,'Cable Schedule'!$B$2:$B$2577,"G",'Cable Schedule'!$I$2:$I$2577,"Fire alarm")</f>
        <v/>
      </c>
      <c r="K9" s="12">
        <f>SUMIFS('Cable Schedule'!$W$2:$W$2577,'Cable Schedule'!$B$2:$B$2577,"G",'Cable Schedule'!$I$2:$I$2577,"Fibre / data")</f>
        <v/>
      </c>
      <c r="L9" s="12">
        <f>SUMIFS('Cable Schedule'!$W$2:$W$2577,'Cable Schedule'!$B$2:$B$2577,"G",'Cable Schedule'!$I$2:$I$2577,"DC 2 kV")</f>
        <v/>
      </c>
      <c r="M9" s="12">
        <f>SUMIFS('Cable Schedule'!$W$2:$W$2577,'Cable Schedule'!$B$2:$B$2577,"G",'Cable Schedule'!$I$2:$I$2577,"Portable MV")</f>
        <v/>
      </c>
      <c r="N9" s="12">
        <f>SUMIFS('Cable Schedule'!$W$2:$W$2577,'Cable Schedule'!$B$2:$B$2577,"G",'Cable Schedule'!$I$2:$I$2577,"Portable LV")</f>
        <v/>
      </c>
      <c r="O9" s="12">
        <f>SUMIFS('Cable Schedule'!$W$2:$W$2577,'Cable Schedule'!$B$2:$B$2577,"G",'Cable Schedule'!$I$2:$I$2577,"Building wire")</f>
        <v/>
      </c>
      <c r="P9" s="12">
        <f>SUMIFS('Cable Schedule'!$W$2:$W$2577,'Cable Schedule'!$B$2:$B$2577,"G",'Cable Schedule'!$I$2:$I$2577,"Grounding")</f>
        <v/>
      </c>
      <c r="Q9" s="12">
        <f>SUMIFS('Cable Schedule'!$W$2:$W$2577,'Cable Schedule'!$B$2:$B$2577,"G",'Cable Schedule'!$I$2:$I$2577,"Overhead")</f>
        <v/>
      </c>
      <c r="R9" s="23">
        <f>SUM(B9:Q9)</f>
        <v/>
      </c>
    </row>
    <row r="10">
      <c r="A10" s="9" t="inlineStr">
        <is>
          <t>H  BESS</t>
        </is>
      </c>
      <c r="B10" s="12">
        <f>SUMIFS('Cable Schedule'!$W$2:$W$2577,'Cable Schedule'!$B$2:$B$2577,"H",'Cable Schedule'!$I$2:$I$2577,"MV 15 kV")</f>
        <v/>
      </c>
      <c r="C10" s="12">
        <f>SUMIFS('Cable Schedule'!$W$2:$W$2577,'Cable Schedule'!$B$2:$B$2577,"H",'Cable Schedule'!$I$2:$I$2577,"MV 5 kV")</f>
        <v/>
      </c>
      <c r="D10" s="12">
        <f>SUMIFS('Cable Schedule'!$W$2:$W$2577,'Cable Schedule'!$B$2:$B$2577,"H",'Cable Schedule'!$I$2:$I$2577,"MV 25 kV")</f>
        <v/>
      </c>
      <c r="E10" s="12">
        <f>SUMIFS('Cable Schedule'!$W$2:$W$2577,'Cable Schedule'!$B$2:$B$2577,"H",'Cable Schedule'!$I$2:$I$2577,"MV 35 kV")</f>
        <v/>
      </c>
      <c r="F10" s="12">
        <f>SUMIFS('Cable Schedule'!$W$2:$W$2577,'Cable Schedule'!$B$2:$B$2577,"H",'Cable Schedule'!$I$2:$I$2577,"HV 230 kV")</f>
        <v/>
      </c>
      <c r="G10" s="12">
        <f>SUMIFS('Cable Schedule'!$W$2:$W$2577,'Cable Schedule'!$B$2:$B$2577,"H",'Cable Schedule'!$I$2:$I$2577,"LV 600 V")</f>
        <v/>
      </c>
      <c r="H10" s="12">
        <f>SUMIFS('Cable Schedule'!$W$2:$W$2577,'Cable Schedule'!$B$2:$B$2577,"H",'Cable Schedule'!$I$2:$I$2577,"Control")</f>
        <v/>
      </c>
      <c r="I10" s="12">
        <f>SUMIFS('Cable Schedule'!$W$2:$W$2577,'Cable Schedule'!$B$2:$B$2577,"H",'Cable Schedule'!$I$2:$I$2577,"Instrumentation")</f>
        <v/>
      </c>
      <c r="J10" s="12">
        <f>SUMIFS('Cable Schedule'!$W$2:$W$2577,'Cable Schedule'!$B$2:$B$2577,"H",'Cable Schedule'!$I$2:$I$2577,"Fire alarm")</f>
        <v/>
      </c>
      <c r="K10" s="12">
        <f>SUMIFS('Cable Schedule'!$W$2:$W$2577,'Cable Schedule'!$B$2:$B$2577,"H",'Cable Schedule'!$I$2:$I$2577,"Fibre / data")</f>
        <v/>
      </c>
      <c r="L10" s="12">
        <f>SUMIFS('Cable Schedule'!$W$2:$W$2577,'Cable Schedule'!$B$2:$B$2577,"H",'Cable Schedule'!$I$2:$I$2577,"DC 2 kV")</f>
        <v/>
      </c>
      <c r="M10" s="12">
        <f>SUMIFS('Cable Schedule'!$W$2:$W$2577,'Cable Schedule'!$B$2:$B$2577,"H",'Cable Schedule'!$I$2:$I$2577,"Portable MV")</f>
        <v/>
      </c>
      <c r="N10" s="12">
        <f>SUMIFS('Cable Schedule'!$W$2:$W$2577,'Cable Schedule'!$B$2:$B$2577,"H",'Cable Schedule'!$I$2:$I$2577,"Portable LV")</f>
        <v/>
      </c>
      <c r="O10" s="12">
        <f>SUMIFS('Cable Schedule'!$W$2:$W$2577,'Cable Schedule'!$B$2:$B$2577,"H",'Cable Schedule'!$I$2:$I$2577,"Building wire")</f>
        <v/>
      </c>
      <c r="P10" s="12">
        <f>SUMIFS('Cable Schedule'!$W$2:$W$2577,'Cable Schedule'!$B$2:$B$2577,"H",'Cable Schedule'!$I$2:$I$2577,"Grounding")</f>
        <v/>
      </c>
      <c r="Q10" s="12">
        <f>SUMIFS('Cable Schedule'!$W$2:$W$2577,'Cable Schedule'!$B$2:$B$2577,"H",'Cable Schedule'!$I$2:$I$2577,"Overhead")</f>
        <v/>
      </c>
      <c r="R10" s="23">
        <f>SUM(B10:Q10)</f>
        <v/>
      </c>
    </row>
    <row r="11">
      <c r="A11" s="9" t="inlineStr">
        <is>
          <t>I  Modular / portable power</t>
        </is>
      </c>
      <c r="B11" s="12">
        <f>SUMIFS('Cable Schedule'!$W$2:$W$2577,'Cable Schedule'!$B$2:$B$2577,"I",'Cable Schedule'!$I$2:$I$2577,"MV 15 kV")</f>
        <v/>
      </c>
      <c r="C11" s="12">
        <f>SUMIFS('Cable Schedule'!$W$2:$W$2577,'Cable Schedule'!$B$2:$B$2577,"I",'Cable Schedule'!$I$2:$I$2577,"MV 5 kV")</f>
        <v/>
      </c>
      <c r="D11" s="12">
        <f>SUMIFS('Cable Schedule'!$W$2:$W$2577,'Cable Schedule'!$B$2:$B$2577,"I",'Cable Schedule'!$I$2:$I$2577,"MV 25 kV")</f>
        <v/>
      </c>
      <c r="E11" s="12">
        <f>SUMIFS('Cable Schedule'!$W$2:$W$2577,'Cable Schedule'!$B$2:$B$2577,"I",'Cable Schedule'!$I$2:$I$2577,"MV 35 kV")</f>
        <v/>
      </c>
      <c r="F11" s="12">
        <f>SUMIFS('Cable Schedule'!$W$2:$W$2577,'Cable Schedule'!$B$2:$B$2577,"I",'Cable Schedule'!$I$2:$I$2577,"HV 230 kV")</f>
        <v/>
      </c>
      <c r="G11" s="12">
        <f>SUMIFS('Cable Schedule'!$W$2:$W$2577,'Cable Schedule'!$B$2:$B$2577,"I",'Cable Schedule'!$I$2:$I$2577,"LV 600 V")</f>
        <v/>
      </c>
      <c r="H11" s="12">
        <f>SUMIFS('Cable Schedule'!$W$2:$W$2577,'Cable Schedule'!$B$2:$B$2577,"I",'Cable Schedule'!$I$2:$I$2577,"Control")</f>
        <v/>
      </c>
      <c r="I11" s="12">
        <f>SUMIFS('Cable Schedule'!$W$2:$W$2577,'Cable Schedule'!$B$2:$B$2577,"I",'Cable Schedule'!$I$2:$I$2577,"Instrumentation")</f>
        <v/>
      </c>
      <c r="J11" s="12">
        <f>SUMIFS('Cable Schedule'!$W$2:$W$2577,'Cable Schedule'!$B$2:$B$2577,"I",'Cable Schedule'!$I$2:$I$2577,"Fire alarm")</f>
        <v/>
      </c>
      <c r="K11" s="12">
        <f>SUMIFS('Cable Schedule'!$W$2:$W$2577,'Cable Schedule'!$B$2:$B$2577,"I",'Cable Schedule'!$I$2:$I$2577,"Fibre / data")</f>
        <v/>
      </c>
      <c r="L11" s="12">
        <f>SUMIFS('Cable Schedule'!$W$2:$W$2577,'Cable Schedule'!$B$2:$B$2577,"I",'Cable Schedule'!$I$2:$I$2577,"DC 2 kV")</f>
        <v/>
      </c>
      <c r="M11" s="12">
        <f>SUMIFS('Cable Schedule'!$W$2:$W$2577,'Cable Schedule'!$B$2:$B$2577,"I",'Cable Schedule'!$I$2:$I$2577,"Portable MV")</f>
        <v/>
      </c>
      <c r="N11" s="12">
        <f>SUMIFS('Cable Schedule'!$W$2:$W$2577,'Cable Schedule'!$B$2:$B$2577,"I",'Cable Schedule'!$I$2:$I$2577,"Portable LV")</f>
        <v/>
      </c>
      <c r="O11" s="12">
        <f>SUMIFS('Cable Schedule'!$W$2:$W$2577,'Cable Schedule'!$B$2:$B$2577,"I",'Cable Schedule'!$I$2:$I$2577,"Building wire")</f>
        <v/>
      </c>
      <c r="P11" s="12">
        <f>SUMIFS('Cable Schedule'!$W$2:$W$2577,'Cable Schedule'!$B$2:$B$2577,"I",'Cable Schedule'!$I$2:$I$2577,"Grounding")</f>
        <v/>
      </c>
      <c r="Q11" s="12">
        <f>SUMIFS('Cable Schedule'!$W$2:$W$2577,'Cable Schedule'!$B$2:$B$2577,"I",'Cable Schedule'!$I$2:$I$2577,"Overhead")</f>
        <v/>
      </c>
      <c r="R11" s="23">
        <f>SUM(B11:Q11)</f>
        <v/>
      </c>
    </row>
    <row r="12">
      <c r="A12" s="9" t="inlineStr">
        <is>
          <t>J  GT inlet chilling</t>
        </is>
      </c>
      <c r="B12" s="12">
        <f>SUMIFS('Cable Schedule'!$W$2:$W$2577,'Cable Schedule'!$B$2:$B$2577,"J",'Cable Schedule'!$I$2:$I$2577,"MV 15 kV")</f>
        <v/>
      </c>
      <c r="C12" s="12">
        <f>SUMIFS('Cable Schedule'!$W$2:$W$2577,'Cable Schedule'!$B$2:$B$2577,"J",'Cable Schedule'!$I$2:$I$2577,"MV 5 kV")</f>
        <v/>
      </c>
      <c r="D12" s="12">
        <f>SUMIFS('Cable Schedule'!$W$2:$W$2577,'Cable Schedule'!$B$2:$B$2577,"J",'Cable Schedule'!$I$2:$I$2577,"MV 25 kV")</f>
        <v/>
      </c>
      <c r="E12" s="12">
        <f>SUMIFS('Cable Schedule'!$W$2:$W$2577,'Cable Schedule'!$B$2:$B$2577,"J",'Cable Schedule'!$I$2:$I$2577,"MV 35 kV")</f>
        <v/>
      </c>
      <c r="F12" s="12">
        <f>SUMIFS('Cable Schedule'!$W$2:$W$2577,'Cable Schedule'!$B$2:$B$2577,"J",'Cable Schedule'!$I$2:$I$2577,"HV 230 kV")</f>
        <v/>
      </c>
      <c r="G12" s="12">
        <f>SUMIFS('Cable Schedule'!$W$2:$W$2577,'Cable Schedule'!$B$2:$B$2577,"J",'Cable Schedule'!$I$2:$I$2577,"LV 600 V")</f>
        <v/>
      </c>
      <c r="H12" s="12">
        <f>SUMIFS('Cable Schedule'!$W$2:$W$2577,'Cable Schedule'!$B$2:$B$2577,"J",'Cable Schedule'!$I$2:$I$2577,"Control")</f>
        <v/>
      </c>
      <c r="I12" s="12">
        <f>SUMIFS('Cable Schedule'!$W$2:$W$2577,'Cable Schedule'!$B$2:$B$2577,"J",'Cable Schedule'!$I$2:$I$2577,"Instrumentation")</f>
        <v/>
      </c>
      <c r="J12" s="12">
        <f>SUMIFS('Cable Schedule'!$W$2:$W$2577,'Cable Schedule'!$B$2:$B$2577,"J",'Cable Schedule'!$I$2:$I$2577,"Fire alarm")</f>
        <v/>
      </c>
      <c r="K12" s="12">
        <f>SUMIFS('Cable Schedule'!$W$2:$W$2577,'Cable Schedule'!$B$2:$B$2577,"J",'Cable Schedule'!$I$2:$I$2577,"Fibre / data")</f>
        <v/>
      </c>
      <c r="L12" s="12">
        <f>SUMIFS('Cable Schedule'!$W$2:$W$2577,'Cable Schedule'!$B$2:$B$2577,"J",'Cable Schedule'!$I$2:$I$2577,"DC 2 kV")</f>
        <v/>
      </c>
      <c r="M12" s="12">
        <f>SUMIFS('Cable Schedule'!$W$2:$W$2577,'Cable Schedule'!$B$2:$B$2577,"J",'Cable Schedule'!$I$2:$I$2577,"Portable MV")</f>
        <v/>
      </c>
      <c r="N12" s="12">
        <f>SUMIFS('Cable Schedule'!$W$2:$W$2577,'Cable Schedule'!$B$2:$B$2577,"J",'Cable Schedule'!$I$2:$I$2577,"Portable LV")</f>
        <v/>
      </c>
      <c r="O12" s="12">
        <f>SUMIFS('Cable Schedule'!$W$2:$W$2577,'Cable Schedule'!$B$2:$B$2577,"J",'Cable Schedule'!$I$2:$I$2577,"Building wire")</f>
        <v/>
      </c>
      <c r="P12" s="12">
        <f>SUMIFS('Cable Schedule'!$W$2:$W$2577,'Cable Schedule'!$B$2:$B$2577,"J",'Cable Schedule'!$I$2:$I$2577,"Grounding")</f>
        <v/>
      </c>
      <c r="Q12" s="12">
        <f>SUMIFS('Cable Schedule'!$W$2:$W$2577,'Cable Schedule'!$B$2:$B$2577,"J",'Cable Schedule'!$I$2:$I$2577,"Overhead")</f>
        <v/>
      </c>
      <c r="R12" s="23">
        <f>SUM(B12:Q12)</f>
        <v/>
      </c>
    </row>
    <row r="13">
      <c r="A13" s="9" t="inlineStr">
        <is>
          <t>K  Fuel supply (adjacent market)</t>
        </is>
      </c>
      <c r="B13" s="12">
        <f>SUMIFS('Cable Schedule'!$W$2:$W$2577,'Cable Schedule'!$B$2:$B$2577,"K",'Cable Schedule'!$I$2:$I$2577,"MV 15 kV")</f>
        <v/>
      </c>
      <c r="C13" s="12">
        <f>SUMIFS('Cable Schedule'!$W$2:$W$2577,'Cable Schedule'!$B$2:$B$2577,"K",'Cable Schedule'!$I$2:$I$2577,"MV 5 kV")</f>
        <v/>
      </c>
      <c r="D13" s="12">
        <f>SUMIFS('Cable Schedule'!$W$2:$W$2577,'Cable Schedule'!$B$2:$B$2577,"K",'Cable Schedule'!$I$2:$I$2577,"MV 25 kV")</f>
        <v/>
      </c>
      <c r="E13" s="12">
        <f>SUMIFS('Cable Schedule'!$W$2:$W$2577,'Cable Schedule'!$B$2:$B$2577,"K",'Cable Schedule'!$I$2:$I$2577,"MV 35 kV")</f>
        <v/>
      </c>
      <c r="F13" s="12">
        <f>SUMIFS('Cable Schedule'!$W$2:$W$2577,'Cable Schedule'!$B$2:$B$2577,"K",'Cable Schedule'!$I$2:$I$2577,"HV 230 kV")</f>
        <v/>
      </c>
      <c r="G13" s="12">
        <f>SUMIFS('Cable Schedule'!$W$2:$W$2577,'Cable Schedule'!$B$2:$B$2577,"K",'Cable Schedule'!$I$2:$I$2577,"LV 600 V")</f>
        <v/>
      </c>
      <c r="H13" s="12">
        <f>SUMIFS('Cable Schedule'!$W$2:$W$2577,'Cable Schedule'!$B$2:$B$2577,"K",'Cable Schedule'!$I$2:$I$2577,"Control")</f>
        <v/>
      </c>
      <c r="I13" s="12">
        <f>SUMIFS('Cable Schedule'!$W$2:$W$2577,'Cable Schedule'!$B$2:$B$2577,"K",'Cable Schedule'!$I$2:$I$2577,"Instrumentation")</f>
        <v/>
      </c>
      <c r="J13" s="12">
        <f>SUMIFS('Cable Schedule'!$W$2:$W$2577,'Cable Schedule'!$B$2:$B$2577,"K",'Cable Schedule'!$I$2:$I$2577,"Fire alarm")</f>
        <v/>
      </c>
      <c r="K13" s="12">
        <f>SUMIFS('Cable Schedule'!$W$2:$W$2577,'Cable Schedule'!$B$2:$B$2577,"K",'Cable Schedule'!$I$2:$I$2577,"Fibre / data")</f>
        <v/>
      </c>
      <c r="L13" s="12">
        <f>SUMIFS('Cable Schedule'!$W$2:$W$2577,'Cable Schedule'!$B$2:$B$2577,"K",'Cable Schedule'!$I$2:$I$2577,"DC 2 kV")</f>
        <v/>
      </c>
      <c r="M13" s="12">
        <f>SUMIFS('Cable Schedule'!$W$2:$W$2577,'Cable Schedule'!$B$2:$B$2577,"K",'Cable Schedule'!$I$2:$I$2577,"Portable MV")</f>
        <v/>
      </c>
      <c r="N13" s="12">
        <f>SUMIFS('Cable Schedule'!$W$2:$W$2577,'Cable Schedule'!$B$2:$B$2577,"K",'Cable Schedule'!$I$2:$I$2577,"Portable LV")</f>
        <v/>
      </c>
      <c r="O13" s="12">
        <f>SUMIFS('Cable Schedule'!$W$2:$W$2577,'Cable Schedule'!$B$2:$B$2577,"K",'Cable Schedule'!$I$2:$I$2577,"Building wire")</f>
        <v/>
      </c>
      <c r="P13" s="12">
        <f>SUMIFS('Cable Schedule'!$W$2:$W$2577,'Cable Schedule'!$B$2:$B$2577,"K",'Cable Schedule'!$I$2:$I$2577,"Grounding")</f>
        <v/>
      </c>
      <c r="Q13" s="12">
        <f>SUMIFS('Cable Schedule'!$W$2:$W$2577,'Cable Schedule'!$B$2:$B$2577,"K",'Cable Schedule'!$I$2:$I$2577,"Overhead")</f>
        <v/>
      </c>
      <c r="R13" s="23">
        <f>SUM(B13:Q13)</f>
        <v/>
      </c>
    </row>
    <row r="14">
      <c r="A14" s="16" t="inlineStr">
        <is>
          <t>Total</t>
        </is>
      </c>
      <c r="B14" s="23">
        <f>SUM(B3:B13)</f>
        <v/>
      </c>
      <c r="C14" s="23">
        <f>SUM(C3:C13)</f>
        <v/>
      </c>
      <c r="D14" s="23">
        <f>SUM(D3:D13)</f>
        <v/>
      </c>
      <c r="E14" s="23">
        <f>SUM(E3:E13)</f>
        <v/>
      </c>
      <c r="F14" s="23">
        <f>SUM(F3:F13)</f>
        <v/>
      </c>
      <c r="G14" s="23">
        <f>SUM(G3:G13)</f>
        <v/>
      </c>
      <c r="H14" s="23">
        <f>SUM(H3:H13)</f>
        <v/>
      </c>
      <c r="I14" s="23">
        <f>SUM(I3:I13)</f>
        <v/>
      </c>
      <c r="J14" s="23">
        <f>SUM(J3:J13)</f>
        <v/>
      </c>
      <c r="K14" s="23">
        <f>SUM(K3:K13)</f>
        <v/>
      </c>
      <c r="L14" s="23">
        <f>SUM(L3:L13)</f>
        <v/>
      </c>
      <c r="M14" s="23">
        <f>SUM(M3:M13)</f>
        <v/>
      </c>
      <c r="N14" s="23">
        <f>SUM(N3:N13)</f>
        <v/>
      </c>
      <c r="O14" s="23">
        <f>SUM(O3:O13)</f>
        <v/>
      </c>
      <c r="P14" s="23">
        <f>SUM(P3:P13)</f>
        <v/>
      </c>
      <c r="Q14" s="23">
        <f>SUM(Q3:Q13)</f>
        <v/>
      </c>
      <c r="R14" s="23">
        <f>SUM(R3:R13)</f>
        <v/>
      </c>
    </row>
    <row r="15">
      <c r="A15" s="16" t="inlineStr">
        <is>
          <t>Total (miles)</t>
        </is>
      </c>
      <c r="R15" s="24">
        <f>R14/5280</f>
        <v/>
      </c>
    </row>
    <row r="17">
      <c r="A17" s="16" t="inlineStr">
        <is>
          <t>Cable runs</t>
        </is>
      </c>
      <c r="B17" s="11">
        <f>COUNTIF('Cable Schedule'!B2:B2577,"?")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4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0" customWidth="1" min="1" max="1"/>
    <col width="12" customWidth="1" min="2" max="2"/>
    <col width="6" customWidth="1" min="3" max="3"/>
    <col width="46" customWidth="1" min="4" max="4"/>
    <col width="10" customWidth="1" min="5" max="5"/>
    <col width="10" customWidth="1" min="6" max="6"/>
    <col width="10" customWidth="1" min="7" max="7"/>
    <col width="44" customWidth="1" min="8" max="8"/>
    <col width="14" customWidth="1" min="9" max="9"/>
    <col width="12" customWidth="1" min="10" max="10"/>
    <col width="6" customWidth="1" min="11" max="11"/>
  </cols>
  <sheetData>
    <row r="1">
      <c r="A1" s="20" t="inlineStr">
        <is>
          <t>Load (to)</t>
        </is>
      </c>
      <c r="B1" s="20" t="inlineStr">
        <is>
          <t>Tag</t>
        </is>
      </c>
      <c r="C1" s="20" t="inlineStr">
        <is>
          <t>Zone</t>
        </is>
      </c>
      <c r="D1" s="20" t="inlineStr">
        <is>
          <t>Service</t>
        </is>
      </c>
      <c r="E1" s="20" t="inlineStr">
        <is>
          <t>Voltage (V)</t>
        </is>
      </c>
      <c r="F1" s="20" t="inlineStr">
        <is>
          <t>Load (kW)</t>
        </is>
      </c>
      <c r="G1" s="20" t="inlineStr">
        <is>
          <t>Current (A)</t>
        </is>
      </c>
      <c r="H1" s="20" t="inlineStr">
        <is>
          <t>Source (from)</t>
        </is>
      </c>
      <c r="I1" s="20" t="inlineStr">
        <is>
          <t>Product</t>
        </is>
      </c>
      <c r="J1" s="20" t="inlineStr">
        <is>
          <t>Size</t>
        </is>
      </c>
      <c r="K1" s="20" t="inlineStr">
        <is>
          <t>Sets</t>
        </is>
      </c>
    </row>
    <row r="2">
      <c r="A2" s="9" t="inlineStr">
        <is>
          <t>Air compressors AC-A/B/C</t>
        </is>
      </c>
      <c r="B2" s="9" t="inlineStr">
        <is>
          <t>AC-A/B/C</t>
        </is>
      </c>
      <c r="C2" s="9" t="inlineStr">
        <is>
          <t>A</t>
        </is>
      </c>
      <c r="D2" s="9" t="inlineStr">
        <is>
          <t>LV power feeder</t>
        </is>
      </c>
      <c r="E2" s="9" t="n">
        <v>480</v>
      </c>
      <c r="F2" s="9" t="n">
        <v>750</v>
      </c>
      <c r="G2" s="9" t="n">
        <v>1061</v>
      </c>
      <c r="H2" s="9" t="inlineStr">
        <is>
          <t>R3: ST auxiliary electrical e-house (40 x 65 ft)</t>
        </is>
      </c>
      <c r="I2" s="9" t="inlineStr">
        <is>
          <t>LV 600 V</t>
        </is>
      </c>
      <c r="J2" s="9" t="inlineStr">
        <is>
          <t>500 kcmil</t>
        </is>
      </c>
      <c r="K2" s="9" t="n">
        <v>4</v>
      </c>
    </row>
    <row r="3">
      <c r="A3" s="9" t="inlineStr">
        <is>
          <t>CEMS shelter, HRSG 1</t>
        </is>
      </c>
      <c r="B3" s="9" t="inlineStr">
        <is>
          <t>CEMS-1</t>
        </is>
      </c>
      <c r="C3" s="9" t="inlineStr">
        <is>
          <t>A</t>
        </is>
      </c>
      <c r="D3" s="9" t="inlineStr">
        <is>
          <t>LV panel / distribution feeder</t>
        </is>
      </c>
      <c r="E3" s="9" t="n">
        <v>480</v>
      </c>
      <c r="F3" s="9" t="n">
        <v>30</v>
      </c>
      <c r="G3" s="9" t="n">
        <v>42</v>
      </c>
      <c r="H3" s="9" t="inlineStr">
        <is>
          <t>R2B: unit / HRSG electrical e-house (32 x 40 ft)</t>
        </is>
      </c>
      <c r="I3" s="9" t="inlineStr">
        <is>
          <t>LV 600 V</t>
        </is>
      </c>
      <c r="J3" s="9" t="inlineStr">
        <is>
          <t>6</t>
        </is>
      </c>
      <c r="K3" s="9" t="n">
        <v>1</v>
      </c>
    </row>
    <row r="4">
      <c r="A4" s="9" t="inlineStr">
        <is>
          <t>CEMS shelter, HRSG 2</t>
        </is>
      </c>
      <c r="B4" s="9" t="inlineStr">
        <is>
          <t>CEMS-2</t>
        </is>
      </c>
      <c r="C4" s="9" t="inlineStr">
        <is>
          <t>A</t>
        </is>
      </c>
      <c r="D4" s="9" t="inlineStr">
        <is>
          <t>LV panel / distribution feeder</t>
        </is>
      </c>
      <c r="E4" s="9" t="n">
        <v>480</v>
      </c>
      <c r="F4" s="9" t="n">
        <v>30</v>
      </c>
      <c r="G4" s="9" t="n">
        <v>42</v>
      </c>
      <c r="H4" s="9" t="inlineStr">
        <is>
          <t>R2C: unit / HRSG electrical e-house (32 x 40 ft)</t>
        </is>
      </c>
      <c r="I4" s="9" t="inlineStr">
        <is>
          <t>LV 600 V</t>
        </is>
      </c>
      <c r="J4" s="9" t="inlineStr">
        <is>
          <t>6</t>
        </is>
      </c>
      <c r="K4" s="9" t="n">
        <v>1</v>
      </c>
    </row>
    <row r="5">
      <c r="A5" s="9" t="inlineStr">
        <is>
          <t>CEMS shelter, HRSG 3</t>
        </is>
      </c>
      <c r="B5" s="9" t="inlineStr">
        <is>
          <t>CEMS-3</t>
        </is>
      </c>
      <c r="C5" s="9" t="inlineStr">
        <is>
          <t>A</t>
        </is>
      </c>
      <c r="D5" s="9" t="inlineStr">
        <is>
          <t>LV panel / distribution feeder</t>
        </is>
      </c>
      <c r="E5" s="9" t="n">
        <v>480</v>
      </c>
      <c r="F5" s="9" t="n">
        <v>30</v>
      </c>
      <c r="G5" s="9" t="n">
        <v>42</v>
      </c>
      <c r="H5" s="9" t="inlineStr">
        <is>
          <t>R2C: unit / HRSG electrical e-house (32 x 40 ft)</t>
        </is>
      </c>
      <c r="I5" s="9" t="inlineStr">
        <is>
          <t>LV 600 V</t>
        </is>
      </c>
      <c r="J5" s="9" t="inlineStr">
        <is>
          <t>4</t>
        </is>
      </c>
      <c r="K5" s="9" t="n">
        <v>1</v>
      </c>
    </row>
    <row r="6">
      <c r="A6" s="9" t="inlineStr">
        <is>
          <t>Chemical feed</t>
        </is>
      </c>
      <c r="B6" s="9" t="inlineStr">
        <is>
          <t>Chem feed</t>
        </is>
      </c>
      <c r="C6" s="9" t="inlineStr">
        <is>
          <t>A</t>
        </is>
      </c>
      <c r="D6" s="9" t="inlineStr">
        <is>
          <t>LV power feeder</t>
        </is>
      </c>
      <c r="E6" s="9" t="n">
        <v>480</v>
      </c>
      <c r="F6" s="9" t="n">
        <v>15</v>
      </c>
      <c r="G6" s="9" t="n">
        <v>21</v>
      </c>
      <c r="H6" s="9" t="inlineStr">
        <is>
          <t>R3: ST auxiliary electrical e-house (40 x 65 ft)</t>
        </is>
      </c>
      <c r="I6" s="9" t="inlineStr">
        <is>
          <t>LV 600 V</t>
        </is>
      </c>
      <c r="J6" s="9" t="inlineStr">
        <is>
          <t>10</t>
        </is>
      </c>
      <c r="K6" s="9" t="n">
        <v>1</v>
      </c>
    </row>
    <row r="7">
      <c r="A7" s="9" t="inlineStr">
        <is>
          <t>Common turbine hall</t>
        </is>
      </c>
      <c r="B7" s="9" t="inlineStr">
        <is>
          <t>HALL</t>
        </is>
      </c>
      <c r="C7" s="9" t="inlineStr">
        <is>
          <t>A</t>
        </is>
      </c>
      <c r="D7" s="9" t="inlineStr">
        <is>
          <t>LV power feeder</t>
        </is>
      </c>
      <c r="E7" s="9" t="n">
        <v>480</v>
      </c>
      <c r="F7" s="9" t="n">
        <v>15</v>
      </c>
      <c r="G7" s="9" t="n">
        <v>21</v>
      </c>
      <c r="H7" s="9" t="inlineStr">
        <is>
          <t>R2B: unit / HRSG electrical e-house (32 x 40 ft)</t>
        </is>
      </c>
      <c r="I7" s="9" t="inlineStr">
        <is>
          <t>LV 600 V</t>
        </is>
      </c>
      <c r="J7" s="9" t="inlineStr">
        <is>
          <t>4</t>
        </is>
      </c>
      <c r="K7" s="9" t="n">
        <v>1</v>
      </c>
    </row>
    <row r="8">
      <c r="A8" s="9" t="inlineStr">
        <is>
          <t>EHC-ST: ST electro-hydraulic control power unit</t>
        </is>
      </c>
      <c r="B8" s="9" t="inlineStr">
        <is>
          <t>EHC-ST</t>
        </is>
      </c>
      <c r="C8" s="9" t="inlineStr">
        <is>
          <t>A</t>
        </is>
      </c>
      <c r="D8" s="9" t="inlineStr">
        <is>
          <t>LV power feeder</t>
        </is>
      </c>
      <c r="E8" s="9" t="n">
        <v>480</v>
      </c>
      <c r="F8" s="9" t="n">
        <v>45</v>
      </c>
      <c r="G8" s="9" t="n">
        <v>64</v>
      </c>
      <c r="H8" s="9" t="inlineStr">
        <is>
          <t>R3: ST auxiliary electrical e-house (40 x 65 ft)</t>
        </is>
      </c>
      <c r="I8" s="9" t="inlineStr">
        <is>
          <t>LV 600 V</t>
        </is>
      </c>
      <c r="J8" s="9" t="inlineStr">
        <is>
          <t>4</t>
        </is>
      </c>
      <c r="K8" s="9" t="n">
        <v>1</v>
      </c>
    </row>
    <row r="9">
      <c r="A9" s="9" t="inlineStr">
        <is>
          <t>FH-1: GT inlet filter house on its own frame</t>
        </is>
      </c>
      <c r="B9" s="9" t="inlineStr">
        <is>
          <t>FH-1</t>
        </is>
      </c>
      <c r="C9" s="9" t="inlineStr">
        <is>
          <t>A</t>
        </is>
      </c>
      <c r="D9" s="9" t="inlineStr">
        <is>
          <t>LV panel / distribution feeder</t>
        </is>
      </c>
      <c r="E9" s="9" t="n">
        <v>480</v>
      </c>
      <c r="F9" s="9" t="n">
        <v>40</v>
      </c>
      <c r="G9" s="9" t="n">
        <v>57</v>
      </c>
      <c r="H9" s="9" t="inlineStr">
        <is>
          <t>R1 MCC-GT1</t>
        </is>
      </c>
      <c r="I9" s="9" t="inlineStr">
        <is>
          <t>LV 600 V</t>
        </is>
      </c>
      <c r="J9" s="9" t="inlineStr">
        <is>
          <t>1</t>
        </is>
      </c>
      <c r="K9" s="9" t="n">
        <v>1</v>
      </c>
    </row>
    <row r="10">
      <c r="A10" s="9" t="inlineStr">
        <is>
          <t>FH-2: GT inlet filter house on its own frame</t>
        </is>
      </c>
      <c r="B10" s="9" t="inlineStr">
        <is>
          <t>FH-2</t>
        </is>
      </c>
      <c r="C10" s="9" t="inlineStr">
        <is>
          <t>A</t>
        </is>
      </c>
      <c r="D10" s="9" t="inlineStr">
        <is>
          <t>LV panel / distribution feeder</t>
        </is>
      </c>
      <c r="E10" s="9" t="n">
        <v>480</v>
      </c>
      <c r="F10" s="9" t="n">
        <v>40</v>
      </c>
      <c r="G10" s="9" t="n">
        <v>57</v>
      </c>
      <c r="H10" s="9" t="inlineStr">
        <is>
          <t>R1 MCC-GT2</t>
        </is>
      </c>
      <c r="I10" s="9" t="inlineStr">
        <is>
          <t>LV 600 V</t>
        </is>
      </c>
      <c r="J10" s="9" t="inlineStr">
        <is>
          <t>1</t>
        </is>
      </c>
      <c r="K10" s="9" t="n">
        <v>1</v>
      </c>
    </row>
    <row r="11">
      <c r="A11" s="9" t="inlineStr">
        <is>
          <t>FH-3: GT inlet filter house on its own frame</t>
        </is>
      </c>
      <c r="B11" s="9" t="inlineStr">
        <is>
          <t>FH-3</t>
        </is>
      </c>
      <c r="C11" s="9" t="inlineStr">
        <is>
          <t>A</t>
        </is>
      </c>
      <c r="D11" s="9" t="inlineStr">
        <is>
          <t>LV panel / distribution feeder</t>
        </is>
      </c>
      <c r="E11" s="9" t="n">
        <v>480</v>
      </c>
      <c r="F11" s="9" t="n">
        <v>40</v>
      </c>
      <c r="G11" s="9" t="n">
        <v>57</v>
      </c>
      <c r="H11" s="9" t="inlineStr">
        <is>
          <t>R1 MCC-GT3</t>
        </is>
      </c>
      <c r="I11" s="9" t="inlineStr">
        <is>
          <t>LV 600 V</t>
        </is>
      </c>
      <c r="J11" s="9" t="inlineStr">
        <is>
          <t>1/0</t>
        </is>
      </c>
      <c r="K11" s="9" t="n">
        <v>1</v>
      </c>
    </row>
    <row r="12">
      <c r="A12" s="9" t="inlineStr">
        <is>
          <t>FS-GT1: CO2 fire-suppression skid</t>
        </is>
      </c>
      <c r="B12" s="9" t="inlineStr">
        <is>
          <t>FS-GT1</t>
        </is>
      </c>
      <c r="C12" s="9" t="inlineStr">
        <is>
          <t>A</t>
        </is>
      </c>
      <c r="D12" s="9" t="inlineStr">
        <is>
          <t>LV power feeder</t>
        </is>
      </c>
      <c r="E12" s="9" t="n">
        <v>480</v>
      </c>
      <c r="F12" s="9" t="n">
        <v>150</v>
      </c>
      <c r="G12" s="9" t="n">
        <v>212</v>
      </c>
      <c r="H12" s="9" t="inlineStr">
        <is>
          <t>R1 MCC-GT1</t>
        </is>
      </c>
      <c r="I12" s="9" t="inlineStr">
        <is>
          <t>LV 600 V</t>
        </is>
      </c>
      <c r="J12" s="9" t="inlineStr">
        <is>
          <t>500 kcmil</t>
        </is>
      </c>
      <c r="K12" s="9" t="n">
        <v>1</v>
      </c>
    </row>
    <row r="13">
      <c r="A13" s="9" t="inlineStr">
        <is>
          <t>FS-GT2: CO2 fire-suppression skid</t>
        </is>
      </c>
      <c r="B13" s="9" t="inlineStr">
        <is>
          <t>FS-GT2</t>
        </is>
      </c>
      <c r="C13" s="9" t="inlineStr">
        <is>
          <t>A</t>
        </is>
      </c>
      <c r="D13" s="9" t="inlineStr">
        <is>
          <t>LV power feeder</t>
        </is>
      </c>
      <c r="E13" s="9" t="n">
        <v>480</v>
      </c>
      <c r="F13" s="9" t="n">
        <v>150</v>
      </c>
      <c r="G13" s="9" t="n">
        <v>212</v>
      </c>
      <c r="H13" s="9" t="inlineStr">
        <is>
          <t>R1 MCC-GT2</t>
        </is>
      </c>
      <c r="I13" s="9" t="inlineStr">
        <is>
          <t>LV 600 V</t>
        </is>
      </c>
      <c r="J13" s="9" t="inlineStr">
        <is>
          <t>350 kcmil</t>
        </is>
      </c>
      <c r="K13" s="9" t="n">
        <v>1</v>
      </c>
    </row>
    <row r="14">
      <c r="A14" s="9" t="inlineStr">
        <is>
          <t>FS-GT3: CO2 fire-suppression skid</t>
        </is>
      </c>
      <c r="B14" s="9" t="inlineStr">
        <is>
          <t>FS-GT3</t>
        </is>
      </c>
      <c r="C14" s="9" t="inlineStr">
        <is>
          <t>A</t>
        </is>
      </c>
      <c r="D14" s="9" t="inlineStr">
        <is>
          <t>LV power feeder</t>
        </is>
      </c>
      <c r="E14" s="9" t="n">
        <v>480</v>
      </c>
      <c r="F14" s="9" t="n">
        <v>150</v>
      </c>
      <c r="G14" s="9" t="n">
        <v>212</v>
      </c>
      <c r="H14" s="9" t="inlineStr">
        <is>
          <t>R1 MCC-GT3</t>
        </is>
      </c>
      <c r="I14" s="9" t="inlineStr">
        <is>
          <t>LV 600 V</t>
        </is>
      </c>
      <c r="J14" s="9" t="inlineStr">
        <is>
          <t>350 kcmil</t>
        </is>
      </c>
      <c r="K14" s="9" t="n">
        <v>1</v>
      </c>
    </row>
    <row r="15">
      <c r="A15" s="9" t="inlineStr">
        <is>
          <t>GFM-1: GT1 gas fuel module (stop / control valves, final strainer)</t>
        </is>
      </c>
      <c r="B15" s="9" t="inlineStr">
        <is>
          <t>GFM-1</t>
        </is>
      </c>
      <c r="C15" s="9" t="inlineStr">
        <is>
          <t>A</t>
        </is>
      </c>
      <c r="D15" s="9" t="inlineStr">
        <is>
          <t>LV power feeder</t>
        </is>
      </c>
      <c r="E15" s="9" t="n">
        <v>480</v>
      </c>
      <c r="F15" s="9" t="n">
        <v>15</v>
      </c>
      <c r="G15" s="9" t="n">
        <v>21</v>
      </c>
      <c r="H15" s="9" t="inlineStr">
        <is>
          <t>R1 MCC-GT1</t>
        </is>
      </c>
      <c r="I15" s="9" t="inlineStr">
        <is>
          <t>LV 600 V</t>
        </is>
      </c>
      <c r="J15" s="9" t="inlineStr">
        <is>
          <t>4</t>
        </is>
      </c>
      <c r="K15" s="9" t="n">
        <v>1</v>
      </c>
    </row>
    <row r="16">
      <c r="A16" s="9" t="inlineStr">
        <is>
          <t>GFM-2: GT2 gas fuel module (stop / control valves, final strainer)</t>
        </is>
      </c>
      <c r="B16" s="9" t="inlineStr">
        <is>
          <t>GFM-2</t>
        </is>
      </c>
      <c r="C16" s="9" t="inlineStr">
        <is>
          <t>A</t>
        </is>
      </c>
      <c r="D16" s="9" t="inlineStr">
        <is>
          <t>LV power feeder</t>
        </is>
      </c>
      <c r="E16" s="9" t="n">
        <v>480</v>
      </c>
      <c r="F16" s="9" t="n">
        <v>15</v>
      </c>
      <c r="G16" s="9" t="n">
        <v>21</v>
      </c>
      <c r="H16" s="9" t="inlineStr">
        <is>
          <t>R1 MCC-GT2</t>
        </is>
      </c>
      <c r="I16" s="9" t="inlineStr">
        <is>
          <t>LV 600 V</t>
        </is>
      </c>
      <c r="J16" s="9" t="inlineStr">
        <is>
          <t>6</t>
        </is>
      </c>
      <c r="K16" s="9" t="n">
        <v>1</v>
      </c>
    </row>
    <row r="17">
      <c r="A17" s="9" t="inlineStr">
        <is>
          <t>GFM-3: GT3 gas fuel module (stop / control valves, final strainer)</t>
        </is>
      </c>
      <c r="B17" s="9" t="inlineStr">
        <is>
          <t>GFM-3</t>
        </is>
      </c>
      <c r="C17" s="9" t="inlineStr">
        <is>
          <t>A</t>
        </is>
      </c>
      <c r="D17" s="9" t="inlineStr">
        <is>
          <t>LV power feeder</t>
        </is>
      </c>
      <c r="E17" s="9" t="n">
        <v>480</v>
      </c>
      <c r="F17" s="9" t="n">
        <v>15</v>
      </c>
      <c r="G17" s="9" t="n">
        <v>21</v>
      </c>
      <c r="H17" s="9" t="inlineStr">
        <is>
          <t>R1 MCC-GT3</t>
        </is>
      </c>
      <c r="I17" s="9" t="inlineStr">
        <is>
          <t>LV 600 V</t>
        </is>
      </c>
      <c r="J17" s="9" t="inlineStr">
        <is>
          <t>4</t>
        </is>
      </c>
      <c r="K17" s="9" t="n">
        <v>1</v>
      </c>
    </row>
    <row r="18">
      <c r="A18" s="9" t="inlineStr">
        <is>
          <t>GSC-ST: gland-steam condenser and exhausters</t>
        </is>
      </c>
      <c r="B18" s="9" t="inlineStr">
        <is>
          <t>GSC-ST</t>
        </is>
      </c>
      <c r="C18" s="9" t="inlineStr">
        <is>
          <t>A</t>
        </is>
      </c>
      <c r="D18" s="9" t="inlineStr">
        <is>
          <t>LV power feeder</t>
        </is>
      </c>
      <c r="E18" s="9" t="n">
        <v>480</v>
      </c>
      <c r="F18" s="9" t="n">
        <v>45</v>
      </c>
      <c r="G18" s="9" t="n">
        <v>64</v>
      </c>
      <c r="H18" s="9" t="inlineStr">
        <is>
          <t>R3: ST auxiliary electrical e-house (40 x 65 ft)</t>
        </is>
      </c>
      <c r="I18" s="9" t="inlineStr">
        <is>
          <t>LV 600 V</t>
        </is>
      </c>
      <c r="J18" s="9" t="inlineStr">
        <is>
          <t>4</t>
        </is>
      </c>
      <c r="K18" s="9" t="n">
        <v>1</v>
      </c>
    </row>
    <row r="19">
      <c r="A19" s="9" t="inlineStr">
        <is>
          <t>GT1 aux: lube oil, hydraulics, enclosure fans</t>
        </is>
      </c>
      <c r="B19" s="9" t="inlineStr">
        <is>
          <t>GT1 aux</t>
        </is>
      </c>
      <c r="C19" s="9" t="inlineStr">
        <is>
          <t>A</t>
        </is>
      </c>
      <c r="D19" s="9" t="inlineStr">
        <is>
          <t>LV power feeder</t>
        </is>
      </c>
      <c r="E19" s="9" t="n">
        <v>480</v>
      </c>
      <c r="F19" s="9" t="n">
        <v>400</v>
      </c>
      <c r="G19" s="9" t="n">
        <v>566</v>
      </c>
      <c r="H19" s="9" t="inlineStr">
        <is>
          <t>R1 MCC-GT1</t>
        </is>
      </c>
      <c r="I19" s="9" t="inlineStr">
        <is>
          <t>LV 600 V</t>
        </is>
      </c>
      <c r="J19" s="9" t="inlineStr">
        <is>
          <t>500 kcmil</t>
        </is>
      </c>
      <c r="K19" s="9" t="n">
        <v>3</v>
      </c>
    </row>
    <row r="20">
      <c r="A20" s="9" t="inlineStr">
        <is>
          <t>GT1: H-class gas turbine (60 Hz)</t>
        </is>
      </c>
      <c r="B20" s="9" t="inlineStr">
        <is>
          <t>GT1</t>
        </is>
      </c>
      <c r="C20" s="9" t="inlineStr">
        <is>
          <t>A</t>
        </is>
      </c>
      <c r="D20" s="9" t="inlineStr">
        <is>
          <t>LV power feeder</t>
        </is>
      </c>
      <c r="E20" s="9" t="n">
        <v>480</v>
      </c>
      <c r="F20" s="9" t="n">
        <v>150</v>
      </c>
      <c r="G20" s="9" t="n">
        <v>212</v>
      </c>
      <c r="H20" s="9" t="inlineStr">
        <is>
          <t>R1 MCC-GT1</t>
        </is>
      </c>
      <c r="I20" s="9" t="inlineStr">
        <is>
          <t>LV 600 V</t>
        </is>
      </c>
      <c r="J20" s="9" t="inlineStr">
        <is>
          <t>500 kcmil</t>
        </is>
      </c>
      <c r="K20" s="9" t="n">
        <v>1</v>
      </c>
    </row>
    <row r="21">
      <c r="A21" s="9" t="inlineStr">
        <is>
          <t>GT2 aux: lube oil, hydraulics, enclosure fans</t>
        </is>
      </c>
      <c r="B21" s="9" t="inlineStr">
        <is>
          <t>GT2 aux</t>
        </is>
      </c>
      <c r="C21" s="9" t="inlineStr">
        <is>
          <t>A</t>
        </is>
      </c>
      <c r="D21" s="9" t="inlineStr">
        <is>
          <t>LV power feeder</t>
        </is>
      </c>
      <c r="E21" s="9" t="n">
        <v>480</v>
      </c>
      <c r="F21" s="9" t="n">
        <v>400</v>
      </c>
      <c r="G21" s="9" t="n">
        <v>566</v>
      </c>
      <c r="H21" s="9" t="inlineStr">
        <is>
          <t>R1 MCC-GT2</t>
        </is>
      </c>
      <c r="I21" s="9" t="inlineStr">
        <is>
          <t>LV 600 V</t>
        </is>
      </c>
      <c r="J21" s="9" t="inlineStr">
        <is>
          <t>500 kcmil</t>
        </is>
      </c>
      <c r="K21" s="9" t="n">
        <v>2</v>
      </c>
    </row>
    <row r="22">
      <c r="A22" s="9" t="inlineStr">
        <is>
          <t>GT2: H-class gas turbine (60 Hz)</t>
        </is>
      </c>
      <c r="B22" s="9" t="inlineStr">
        <is>
          <t>GT2</t>
        </is>
      </c>
      <c r="C22" s="9" t="inlineStr">
        <is>
          <t>A</t>
        </is>
      </c>
      <c r="D22" s="9" t="inlineStr">
        <is>
          <t>LV power feeder</t>
        </is>
      </c>
      <c r="E22" s="9" t="n">
        <v>480</v>
      </c>
      <c r="F22" s="9" t="n">
        <v>150</v>
      </c>
      <c r="G22" s="9" t="n">
        <v>212</v>
      </c>
      <c r="H22" s="9" t="inlineStr">
        <is>
          <t>R1 MCC-GT2</t>
        </is>
      </c>
      <c r="I22" s="9" t="inlineStr">
        <is>
          <t>LV 600 V</t>
        </is>
      </c>
      <c r="J22" s="9" t="inlineStr">
        <is>
          <t>350 kcmil</t>
        </is>
      </c>
      <c r="K22" s="9" t="n">
        <v>1</v>
      </c>
    </row>
    <row r="23">
      <c r="A23" s="9" t="inlineStr">
        <is>
          <t>GT3 aux: lube oil, hydraulics, enclosure fans</t>
        </is>
      </c>
      <c r="B23" s="9" t="inlineStr">
        <is>
          <t>GT3 aux</t>
        </is>
      </c>
      <c r="C23" s="9" t="inlineStr">
        <is>
          <t>A</t>
        </is>
      </c>
      <c r="D23" s="9" t="inlineStr">
        <is>
          <t>LV power feeder</t>
        </is>
      </c>
      <c r="E23" s="9" t="n">
        <v>480</v>
      </c>
      <c r="F23" s="9" t="n">
        <v>400</v>
      </c>
      <c r="G23" s="9" t="n">
        <v>566</v>
      </c>
      <c r="H23" s="9" t="inlineStr">
        <is>
          <t>R1 MCC-GT3</t>
        </is>
      </c>
      <c r="I23" s="9" t="inlineStr">
        <is>
          <t>LV 600 V</t>
        </is>
      </c>
      <c r="J23" s="9" t="inlineStr">
        <is>
          <t>500 kcmil</t>
        </is>
      </c>
      <c r="K23" s="9" t="n">
        <v>2</v>
      </c>
    </row>
    <row r="24">
      <c r="A24" s="9" t="inlineStr">
        <is>
          <t>GT3: H-class gas turbine (60 Hz)</t>
        </is>
      </c>
      <c r="B24" s="9" t="inlineStr">
        <is>
          <t>GT3</t>
        </is>
      </c>
      <c r="C24" s="9" t="inlineStr">
        <is>
          <t>A</t>
        </is>
      </c>
      <c r="D24" s="9" t="inlineStr">
        <is>
          <t>LV power feeder</t>
        </is>
      </c>
      <c r="E24" s="9" t="n">
        <v>480</v>
      </c>
      <c r="F24" s="9" t="n">
        <v>150</v>
      </c>
      <c r="G24" s="9" t="n">
        <v>212</v>
      </c>
      <c r="H24" s="9" t="inlineStr">
        <is>
          <t>R1 MCC-GT3</t>
        </is>
      </c>
      <c r="I24" s="9" t="inlineStr">
        <is>
          <t>LV 600 V</t>
        </is>
      </c>
      <c r="J24" s="9" t="inlineStr">
        <is>
          <t>350 kcmil</t>
        </is>
      </c>
      <c r="K24" s="9" t="n">
        <v>1</v>
      </c>
    </row>
    <row r="25">
      <c r="A25" s="9" t="inlineStr">
        <is>
          <t>HRSG 1 + SCR (3P reheat, horizontal)</t>
        </is>
      </c>
      <c r="B25" s="9" t="inlineStr">
        <is>
          <t>HRSG-1</t>
        </is>
      </c>
      <c r="C25" s="9" t="inlineStr">
        <is>
          <t>A</t>
        </is>
      </c>
      <c r="D25" s="9" t="inlineStr">
        <is>
          <t>LV power feeder</t>
        </is>
      </c>
      <c r="E25" s="9" t="n">
        <v>480</v>
      </c>
      <c r="F25" s="9" t="n">
        <v>150</v>
      </c>
      <c r="G25" s="9" t="n">
        <v>212</v>
      </c>
      <c r="H25" s="9" t="inlineStr">
        <is>
          <t>R2A: unit / HRSG electrical e-house (32 x 40 ft)</t>
        </is>
      </c>
      <c r="I25" s="9" t="inlineStr">
        <is>
          <t>LV 600 V</t>
        </is>
      </c>
      <c r="J25" s="9" t="inlineStr">
        <is>
          <t>350 kcmil</t>
        </is>
      </c>
      <c r="K25" s="9" t="n">
        <v>1</v>
      </c>
    </row>
    <row r="26">
      <c r="A26" s="9" t="inlineStr">
        <is>
          <t>HRSG 1 blowdown tank (continuous / intermittent)</t>
        </is>
      </c>
      <c r="B26" s="9" t="inlineStr"/>
      <c r="C26" s="9" t="inlineStr">
        <is>
          <t>A</t>
        </is>
      </c>
      <c r="D26" s="9" t="inlineStr">
        <is>
          <t>LV power feeder</t>
        </is>
      </c>
      <c r="E26" s="9" t="n">
        <v>480</v>
      </c>
      <c r="F26" s="9" t="n">
        <v>10</v>
      </c>
      <c r="G26" s="9" t="n">
        <v>14</v>
      </c>
      <c r="H26" s="9" t="inlineStr">
        <is>
          <t>R2A: unit / HRSG electrical e-house (32 x 40 ft)</t>
        </is>
      </c>
      <c r="I26" s="9" t="inlineStr">
        <is>
          <t>LV 600 V</t>
        </is>
      </c>
      <c r="J26" s="9" t="inlineStr">
        <is>
          <t>10</t>
        </is>
      </c>
      <c r="K26" s="9" t="n">
        <v>1</v>
      </c>
    </row>
    <row r="27">
      <c r="A27" s="9" t="inlineStr">
        <is>
          <t>HRSG 1 chemical feed skid (phosphate / amine)</t>
        </is>
      </c>
      <c r="B27" s="9" t="inlineStr"/>
      <c r="C27" s="9" t="inlineStr">
        <is>
          <t>A</t>
        </is>
      </c>
      <c r="D27" s="9" t="inlineStr">
        <is>
          <t>LV power feeder</t>
        </is>
      </c>
      <c r="E27" s="9" t="n">
        <v>480</v>
      </c>
      <c r="F27" s="9" t="n">
        <v>15</v>
      </c>
      <c r="G27" s="9" t="n">
        <v>21</v>
      </c>
      <c r="H27" s="9" t="inlineStr">
        <is>
          <t>R2B: unit / HRSG electrical e-house (32 x 40 ft)</t>
        </is>
      </c>
      <c r="I27" s="9" t="inlineStr">
        <is>
          <t>LV 600 V</t>
        </is>
      </c>
      <c r="J27" s="9" t="inlineStr">
        <is>
          <t>10</t>
        </is>
      </c>
      <c r="K27" s="9" t="n">
        <v>1</v>
      </c>
    </row>
    <row r="28">
      <c r="A28" s="9" t="inlineStr">
        <is>
          <t>HRSG 2 + SCR (3P reheat, horizontal)</t>
        </is>
      </c>
      <c r="B28" s="9" t="inlineStr">
        <is>
          <t>HRSG-2</t>
        </is>
      </c>
      <c r="C28" s="9" t="inlineStr">
        <is>
          <t>A</t>
        </is>
      </c>
      <c r="D28" s="9" t="inlineStr">
        <is>
          <t>LV power feeder</t>
        </is>
      </c>
      <c r="E28" s="9" t="n">
        <v>480</v>
      </c>
      <c r="F28" s="9" t="n">
        <v>150</v>
      </c>
      <c r="G28" s="9" t="n">
        <v>212</v>
      </c>
      <c r="H28" s="9" t="inlineStr">
        <is>
          <t>R2B: unit / HRSG electrical e-house (32 x 40 ft)</t>
        </is>
      </c>
      <c r="I28" s="9" t="inlineStr">
        <is>
          <t>LV 600 V</t>
        </is>
      </c>
      <c r="J28" s="9" t="inlineStr">
        <is>
          <t>350 kcmil</t>
        </is>
      </c>
      <c r="K28" s="9" t="n">
        <v>1</v>
      </c>
    </row>
    <row r="29">
      <c r="A29" s="9" t="inlineStr">
        <is>
          <t>HRSG 2 blowdown tank (continuous / intermittent)</t>
        </is>
      </c>
      <c r="B29" s="9" t="inlineStr"/>
      <c r="C29" s="9" t="inlineStr">
        <is>
          <t>A</t>
        </is>
      </c>
      <c r="D29" s="9" t="inlineStr">
        <is>
          <t>LV power feeder</t>
        </is>
      </c>
      <c r="E29" s="9" t="n">
        <v>480</v>
      </c>
      <c r="F29" s="9" t="n">
        <v>10</v>
      </c>
      <c r="G29" s="9" t="n">
        <v>14</v>
      </c>
      <c r="H29" s="9" t="inlineStr">
        <is>
          <t>R2B: unit / HRSG electrical e-house (32 x 40 ft)</t>
        </is>
      </c>
      <c r="I29" s="9" t="inlineStr">
        <is>
          <t>LV 600 V</t>
        </is>
      </c>
      <c r="J29" s="9" t="inlineStr">
        <is>
          <t>10</t>
        </is>
      </c>
      <c r="K29" s="9" t="n">
        <v>1</v>
      </c>
    </row>
    <row r="30">
      <c r="A30" s="9" t="inlineStr">
        <is>
          <t>HRSG 2 chemical feed skid (phosphate / amine)</t>
        </is>
      </c>
      <c r="B30" s="9" t="inlineStr"/>
      <c r="C30" s="9" t="inlineStr">
        <is>
          <t>A</t>
        </is>
      </c>
      <c r="D30" s="9" t="inlineStr">
        <is>
          <t>LV power feeder</t>
        </is>
      </c>
      <c r="E30" s="9" t="n">
        <v>480</v>
      </c>
      <c r="F30" s="9" t="n">
        <v>15</v>
      </c>
      <c r="G30" s="9" t="n">
        <v>21</v>
      </c>
      <c r="H30" s="9" t="inlineStr">
        <is>
          <t>R2C: unit / HRSG electrical e-house (32 x 40 ft)</t>
        </is>
      </c>
      <c r="I30" s="9" t="inlineStr">
        <is>
          <t>LV 600 V</t>
        </is>
      </c>
      <c r="J30" s="9" t="inlineStr">
        <is>
          <t>10</t>
        </is>
      </c>
      <c r="K30" s="9" t="n">
        <v>1</v>
      </c>
    </row>
    <row r="31">
      <c r="A31" s="9" t="inlineStr">
        <is>
          <t>HRSG 3 + SCR (3P reheat, horizontal)</t>
        </is>
      </c>
      <c r="B31" s="9" t="inlineStr">
        <is>
          <t>HRSG-3</t>
        </is>
      </c>
      <c r="C31" s="9" t="inlineStr">
        <is>
          <t>A</t>
        </is>
      </c>
      <c r="D31" s="9" t="inlineStr">
        <is>
          <t>LV power feeder</t>
        </is>
      </c>
      <c r="E31" s="9" t="n">
        <v>480</v>
      </c>
      <c r="F31" s="9" t="n">
        <v>150</v>
      </c>
      <c r="G31" s="9" t="n">
        <v>212</v>
      </c>
      <c r="H31" s="9" t="inlineStr">
        <is>
          <t>R2C: unit / HRSG electrical e-house (32 x 40 ft)</t>
        </is>
      </c>
      <c r="I31" s="9" t="inlineStr">
        <is>
          <t>LV 600 V</t>
        </is>
      </c>
      <c r="J31" s="9" t="inlineStr">
        <is>
          <t>350 kcmil</t>
        </is>
      </c>
      <c r="K31" s="9" t="n">
        <v>1</v>
      </c>
    </row>
    <row r="32">
      <c r="A32" s="9" t="inlineStr">
        <is>
          <t>HRSG 3 blowdown tank (continuous / intermittent)</t>
        </is>
      </c>
      <c r="B32" s="9" t="inlineStr"/>
      <c r="C32" s="9" t="inlineStr">
        <is>
          <t>A</t>
        </is>
      </c>
      <c r="D32" s="9" t="inlineStr">
        <is>
          <t>LV power feeder</t>
        </is>
      </c>
      <c r="E32" s="9" t="n">
        <v>480</v>
      </c>
      <c r="F32" s="9" t="n">
        <v>10</v>
      </c>
      <c r="G32" s="9" t="n">
        <v>14</v>
      </c>
      <c r="H32" s="9" t="inlineStr">
        <is>
          <t>R2C: unit / HRSG electrical e-house (32 x 40 ft)</t>
        </is>
      </c>
      <c r="I32" s="9" t="inlineStr">
        <is>
          <t>LV 600 V</t>
        </is>
      </c>
      <c r="J32" s="9" t="inlineStr">
        <is>
          <t>10</t>
        </is>
      </c>
      <c r="K32" s="9" t="n">
        <v>1</v>
      </c>
    </row>
    <row r="33">
      <c r="A33" s="9" t="inlineStr">
        <is>
          <t>HRSG 3 chemical feed skid (phosphate / amine)</t>
        </is>
      </c>
      <c r="B33" s="9" t="inlineStr"/>
      <c r="C33" s="9" t="inlineStr">
        <is>
          <t>A</t>
        </is>
      </c>
      <c r="D33" s="9" t="inlineStr">
        <is>
          <t>LV power feeder</t>
        </is>
      </c>
      <c r="E33" s="9" t="n">
        <v>480</v>
      </c>
      <c r="F33" s="9" t="n">
        <v>15</v>
      </c>
      <c r="G33" s="9" t="n">
        <v>21</v>
      </c>
      <c r="H33" s="9" t="inlineStr">
        <is>
          <t>R3: ST auxiliary electrical e-house (40 x 65 ft)</t>
        </is>
      </c>
      <c r="I33" s="9" t="inlineStr">
        <is>
          <t>LV 600 V</t>
        </is>
      </c>
      <c r="J33" s="9" t="inlineStr">
        <is>
          <t>6</t>
        </is>
      </c>
      <c r="K33" s="9" t="n">
        <v>1</v>
      </c>
    </row>
    <row r="34">
      <c r="A34" s="9" t="inlineStr">
        <is>
          <t>HTP-1: heat-trace panel (rack)</t>
        </is>
      </c>
      <c r="B34" s="9" t="inlineStr">
        <is>
          <t>HTP-1</t>
        </is>
      </c>
      <c r="C34" s="9" t="inlineStr">
        <is>
          <t>A</t>
        </is>
      </c>
      <c r="D34" s="9" t="inlineStr">
        <is>
          <t>LV power feeder</t>
        </is>
      </c>
      <c r="E34" s="9" t="n">
        <v>480</v>
      </c>
      <c r="F34" s="9" t="n">
        <v>120</v>
      </c>
      <c r="G34" s="9" t="n">
        <v>170</v>
      </c>
      <c r="H34" s="9" t="inlineStr">
        <is>
          <t>R1 LC-480-B (480 V switchgear)</t>
        </is>
      </c>
      <c r="I34" s="9" t="inlineStr">
        <is>
          <t>LV 600 V</t>
        </is>
      </c>
      <c r="J34" s="9" t="inlineStr">
        <is>
          <t>4/0</t>
        </is>
      </c>
      <c r="K34" s="9" t="n">
        <v>1</v>
      </c>
    </row>
    <row r="35">
      <c r="A35" s="9" t="inlineStr">
        <is>
          <t>R1: main electrical building (64 x 180 ft)</t>
        </is>
      </c>
      <c r="B35" s="9" t="inlineStr">
        <is>
          <t>R1</t>
        </is>
      </c>
      <c r="C35" s="9" t="inlineStr">
        <is>
          <t>A</t>
        </is>
      </c>
      <c r="D35" s="9" t="inlineStr">
        <is>
          <t>LV panel / distribution feeder</t>
        </is>
      </c>
      <c r="E35" s="9" t="n">
        <v>480</v>
      </c>
      <c r="F35" s="9" t="n">
        <v>138</v>
      </c>
      <c r="G35" s="9" t="n">
        <v>195</v>
      </c>
      <c r="H35" s="9" t="inlineStr">
        <is>
          <t>R1 LC-480-A (480 V switchgear)</t>
        </is>
      </c>
      <c r="I35" s="9" t="inlineStr">
        <is>
          <t>LV 600 V</t>
        </is>
      </c>
      <c r="J35" s="9" t="inlineStr">
        <is>
          <t>500 kcmil</t>
        </is>
      </c>
      <c r="K35" s="9" t="n">
        <v>1</v>
      </c>
    </row>
    <row r="36">
      <c r="A36" s="9" t="inlineStr">
        <is>
          <t>R2A: unit / HRSG electrical e-house (32 x 40 ft)</t>
        </is>
      </c>
      <c r="B36" s="9" t="inlineStr">
        <is>
          <t>R2A</t>
        </is>
      </c>
      <c r="C36" s="9" t="inlineStr">
        <is>
          <t>A</t>
        </is>
      </c>
      <c r="D36" s="9" t="inlineStr">
        <is>
          <t>LV panel / distribution feeder</t>
        </is>
      </c>
      <c r="E36" s="9" t="n">
        <v>480</v>
      </c>
      <c r="F36" s="9" t="n">
        <v>30</v>
      </c>
      <c r="G36" s="9" t="n">
        <v>42</v>
      </c>
      <c r="H36" s="9" t="inlineStr">
        <is>
          <t>R2A: unit / HRSG electrical e-house (32 x 40 ft)</t>
        </is>
      </c>
      <c r="I36" s="9" t="inlineStr">
        <is>
          <t>LV 600 V</t>
        </is>
      </c>
      <c r="J36" s="9" t="inlineStr">
        <is>
          <t>6</t>
        </is>
      </c>
      <c r="K36" s="9" t="n">
        <v>1</v>
      </c>
    </row>
    <row r="37">
      <c r="A37" s="9" t="inlineStr">
        <is>
          <t>R2B: unit / HRSG electrical e-house (32 x 40 ft)</t>
        </is>
      </c>
      <c r="B37" s="9" t="inlineStr">
        <is>
          <t>R2B</t>
        </is>
      </c>
      <c r="C37" s="9" t="inlineStr">
        <is>
          <t>A</t>
        </is>
      </c>
      <c r="D37" s="9" t="inlineStr">
        <is>
          <t>LV panel / distribution feeder</t>
        </is>
      </c>
      <c r="E37" s="9" t="n">
        <v>480</v>
      </c>
      <c r="F37" s="9" t="n">
        <v>30</v>
      </c>
      <c r="G37" s="9" t="n">
        <v>42</v>
      </c>
      <c r="H37" s="9" t="inlineStr">
        <is>
          <t>R2B: unit / HRSG electrical e-house (32 x 40 ft)</t>
        </is>
      </c>
      <c r="I37" s="9" t="inlineStr">
        <is>
          <t>LV 600 V</t>
        </is>
      </c>
      <c r="J37" s="9" t="inlineStr">
        <is>
          <t>6</t>
        </is>
      </c>
      <c r="K37" s="9" t="n">
        <v>1</v>
      </c>
    </row>
    <row r="38">
      <c r="A38" s="9" t="inlineStr">
        <is>
          <t>R2C: unit / HRSG electrical e-house (32 x 40 ft)</t>
        </is>
      </c>
      <c r="B38" s="9" t="inlineStr">
        <is>
          <t>R2C</t>
        </is>
      </c>
      <c r="C38" s="9" t="inlineStr">
        <is>
          <t>A</t>
        </is>
      </c>
      <c r="D38" s="9" t="inlineStr">
        <is>
          <t>LV panel / distribution feeder</t>
        </is>
      </c>
      <c r="E38" s="9" t="n">
        <v>480</v>
      </c>
      <c r="F38" s="9" t="n">
        <v>30</v>
      </c>
      <c r="G38" s="9" t="n">
        <v>42</v>
      </c>
      <c r="H38" s="9" t="inlineStr">
        <is>
          <t>R2C: unit / HRSG electrical e-house (32 x 40 ft)</t>
        </is>
      </c>
      <c r="I38" s="9" t="inlineStr">
        <is>
          <t>LV 600 V</t>
        </is>
      </c>
      <c r="J38" s="9" t="inlineStr">
        <is>
          <t>6</t>
        </is>
      </c>
      <c r="K38" s="9" t="n">
        <v>1</v>
      </c>
    </row>
    <row r="39">
      <c r="A39" s="9" t="inlineStr">
        <is>
          <t>R3: ST auxiliary electrical e-house (40 x 65 ft)</t>
        </is>
      </c>
      <c r="B39" s="9" t="inlineStr">
        <is>
          <t>R3</t>
        </is>
      </c>
      <c r="C39" s="9" t="inlineStr">
        <is>
          <t>A</t>
        </is>
      </c>
      <c r="D39" s="9" t="inlineStr">
        <is>
          <t>LV panel / distribution feeder</t>
        </is>
      </c>
      <c r="E39" s="9" t="n">
        <v>480</v>
      </c>
      <c r="F39" s="9" t="n">
        <v>250</v>
      </c>
      <c r="G39" s="9" t="n">
        <v>354</v>
      </c>
      <c r="H39" s="9" t="inlineStr">
        <is>
          <t>R3: ST auxiliary electrical e-house (40 x 65 ft)</t>
        </is>
      </c>
      <c r="I39" s="9" t="inlineStr">
        <is>
          <t>LV 600 V</t>
        </is>
      </c>
      <c r="J39" s="9" t="inlineStr">
        <is>
          <t>4/0</t>
        </is>
      </c>
      <c r="K39" s="9" t="n">
        <v>2</v>
      </c>
    </row>
    <row r="40">
      <c r="A40" s="9" t="inlineStr">
        <is>
          <t>SCRB-1A/B: SCR dilution-air blowers</t>
        </is>
      </c>
      <c r="B40" s="9" t="inlineStr">
        <is>
          <t>SCRB-1</t>
        </is>
      </c>
      <c r="C40" s="9" t="inlineStr">
        <is>
          <t>A</t>
        </is>
      </c>
      <c r="D40" s="9" t="inlineStr">
        <is>
          <t>LV power feeder</t>
        </is>
      </c>
      <c r="E40" s="9" t="n">
        <v>480</v>
      </c>
      <c r="F40" s="9" t="n">
        <v>220</v>
      </c>
      <c r="G40" s="9" t="n">
        <v>311</v>
      </c>
      <c r="H40" s="9" t="inlineStr">
        <is>
          <t>R2B: unit / HRSG electrical e-house (32 x 40 ft)</t>
        </is>
      </c>
      <c r="I40" s="9" t="inlineStr">
        <is>
          <t>LV 600 V</t>
        </is>
      </c>
      <c r="J40" s="9" t="inlineStr">
        <is>
          <t>3/0</t>
        </is>
      </c>
      <c r="K40" s="9" t="n">
        <v>2</v>
      </c>
    </row>
    <row r="41">
      <c r="A41" s="9" t="inlineStr">
        <is>
          <t>SCRB-2A/B: SCR dilution-air blowers</t>
        </is>
      </c>
      <c r="B41" s="9" t="inlineStr">
        <is>
          <t>SCRB-2</t>
        </is>
      </c>
      <c r="C41" s="9" t="inlineStr">
        <is>
          <t>A</t>
        </is>
      </c>
      <c r="D41" s="9" t="inlineStr">
        <is>
          <t>LV power feeder</t>
        </is>
      </c>
      <c r="E41" s="9" t="n">
        <v>480</v>
      </c>
      <c r="F41" s="9" t="n">
        <v>220</v>
      </c>
      <c r="G41" s="9" t="n">
        <v>311</v>
      </c>
      <c r="H41" s="9" t="inlineStr">
        <is>
          <t>R2C: unit / HRSG electrical e-house (32 x 40 ft)</t>
        </is>
      </c>
      <c r="I41" s="9" t="inlineStr">
        <is>
          <t>LV 600 V</t>
        </is>
      </c>
      <c r="J41" s="9" t="inlineStr">
        <is>
          <t>3/0</t>
        </is>
      </c>
      <c r="K41" s="9" t="n">
        <v>2</v>
      </c>
    </row>
    <row r="42">
      <c r="A42" s="9" t="inlineStr">
        <is>
          <t>SCRB-3A/B: SCR dilution-air blowers</t>
        </is>
      </c>
      <c r="B42" s="9" t="inlineStr">
        <is>
          <t>SCRB-3</t>
        </is>
      </c>
      <c r="C42" s="9" t="inlineStr">
        <is>
          <t>A</t>
        </is>
      </c>
      <c r="D42" s="9" t="inlineStr">
        <is>
          <t>LV power feeder</t>
        </is>
      </c>
      <c r="E42" s="9" t="n">
        <v>480</v>
      </c>
      <c r="F42" s="9" t="n">
        <v>220</v>
      </c>
      <c r="G42" s="9" t="n">
        <v>311</v>
      </c>
      <c r="H42" s="9" t="inlineStr">
        <is>
          <t>R3: ST auxiliary electrical e-house (40 x 65 ft)</t>
        </is>
      </c>
      <c r="I42" s="9" t="inlineStr">
        <is>
          <t>LV 600 V</t>
        </is>
      </c>
      <c r="J42" s="9" t="inlineStr">
        <is>
          <t>3/0</t>
        </is>
      </c>
      <c r="K42" s="9" t="n">
        <v>2</v>
      </c>
    </row>
    <row r="43">
      <c r="A43" s="9" t="inlineStr">
        <is>
          <t>ST aux: lube oil, turning gear, EHC</t>
        </is>
      </c>
      <c r="B43" s="9" t="inlineStr">
        <is>
          <t>ST aux</t>
        </is>
      </c>
      <c r="C43" s="9" t="inlineStr">
        <is>
          <t>A</t>
        </is>
      </c>
      <c r="D43" s="9" t="inlineStr">
        <is>
          <t>LV power feeder</t>
        </is>
      </c>
      <c r="E43" s="9" t="n">
        <v>480</v>
      </c>
      <c r="F43" s="9" t="n">
        <v>250</v>
      </c>
      <c r="G43" s="9" t="n">
        <v>354</v>
      </c>
      <c r="H43" s="9" t="inlineStr">
        <is>
          <t>R3: ST auxiliary electrical e-house (40 x 65 ft)</t>
        </is>
      </c>
      <c r="I43" s="9" t="inlineStr">
        <is>
          <t>LV 600 V</t>
        </is>
      </c>
      <c r="J43" s="9" t="inlineStr">
        <is>
          <t>4/0</t>
        </is>
      </c>
      <c r="K43" s="9" t="n">
        <v>2</v>
      </c>
    </row>
    <row r="44">
      <c r="A44" s="9" t="inlineStr">
        <is>
          <t>ST: steam turbine (HP/IP + LP), ACC plant</t>
        </is>
      </c>
      <c r="B44" s="9" t="inlineStr">
        <is>
          <t>ST</t>
        </is>
      </c>
      <c r="C44" s="9" t="inlineStr">
        <is>
          <t>A</t>
        </is>
      </c>
      <c r="D44" s="9" t="inlineStr">
        <is>
          <t>LV power feeder</t>
        </is>
      </c>
      <c r="E44" s="9" t="n">
        <v>480</v>
      </c>
      <c r="F44" s="9" t="n">
        <v>15</v>
      </c>
      <c r="G44" s="9" t="n">
        <v>21</v>
      </c>
      <c r="H44" s="9" t="inlineStr">
        <is>
          <t>R3: ST auxiliary electrical e-house (40 x 65 ft)</t>
        </is>
      </c>
      <c r="I44" s="9" t="inlineStr">
        <is>
          <t>LV 600 V</t>
        </is>
      </c>
      <c r="J44" s="9" t="inlineStr">
        <is>
          <t>10</t>
        </is>
      </c>
      <c r="K44" s="9" t="n">
        <v>1</v>
      </c>
    </row>
    <row r="45">
      <c r="A45" s="9" t="inlineStr">
        <is>
          <t>SWAS: steam and water analysis</t>
        </is>
      </c>
      <c r="B45" s="9" t="inlineStr">
        <is>
          <t>SWAS</t>
        </is>
      </c>
      <c r="C45" s="9" t="inlineStr">
        <is>
          <t>A</t>
        </is>
      </c>
      <c r="D45" s="9" t="inlineStr">
        <is>
          <t>LV power feeder</t>
        </is>
      </c>
      <c r="E45" s="9" t="n">
        <v>480</v>
      </c>
      <c r="F45" s="9" t="n">
        <v>15</v>
      </c>
      <c r="G45" s="9" t="n">
        <v>21</v>
      </c>
      <c r="H45" s="9" t="inlineStr">
        <is>
          <t>R3: ST auxiliary electrical e-house (40 x 65 ft)</t>
        </is>
      </c>
      <c r="I45" s="9" t="inlineStr">
        <is>
          <t>LV 600 V</t>
        </is>
      </c>
      <c r="J45" s="9" t="inlineStr">
        <is>
          <t>10</t>
        </is>
      </c>
      <c r="K45" s="9" t="n">
        <v>1</v>
      </c>
    </row>
    <row r="46">
      <c r="A46" s="9" t="inlineStr">
        <is>
          <t>TCP-1: GT1 turbine control and protection cabinets</t>
        </is>
      </c>
      <c r="B46" s="9" t="inlineStr">
        <is>
          <t>TCP-1</t>
        </is>
      </c>
      <c r="C46" s="9" t="inlineStr">
        <is>
          <t>A</t>
        </is>
      </c>
      <c r="D46" s="9" t="inlineStr">
        <is>
          <t>LV power feeder</t>
        </is>
      </c>
      <c r="E46" s="9" t="n">
        <v>480</v>
      </c>
      <c r="F46" s="9" t="n">
        <v>15</v>
      </c>
      <c r="G46" s="9" t="n">
        <v>21</v>
      </c>
      <c r="H46" s="9" t="inlineStr">
        <is>
          <t>R1 MCC-GT1</t>
        </is>
      </c>
      <c r="I46" s="9" t="inlineStr">
        <is>
          <t>LV 600 V</t>
        </is>
      </c>
      <c r="J46" s="9" t="inlineStr">
        <is>
          <t>4</t>
        </is>
      </c>
      <c r="K46" s="9" t="n">
        <v>1</v>
      </c>
    </row>
    <row r="47">
      <c r="A47" s="9" t="inlineStr">
        <is>
          <t>TCP-2: GT2 turbine control and protection cabinets</t>
        </is>
      </c>
      <c r="B47" s="9" t="inlineStr">
        <is>
          <t>TCP-2</t>
        </is>
      </c>
      <c r="C47" s="9" t="inlineStr">
        <is>
          <t>A</t>
        </is>
      </c>
      <c r="D47" s="9" t="inlineStr">
        <is>
          <t>LV power feeder</t>
        </is>
      </c>
      <c r="E47" s="9" t="n">
        <v>480</v>
      </c>
      <c r="F47" s="9" t="n">
        <v>15</v>
      </c>
      <c r="G47" s="9" t="n">
        <v>21</v>
      </c>
      <c r="H47" s="9" t="inlineStr">
        <is>
          <t>R1 MCC-GT2</t>
        </is>
      </c>
      <c r="I47" s="9" t="inlineStr">
        <is>
          <t>LV 600 V</t>
        </is>
      </c>
      <c r="J47" s="9" t="inlineStr">
        <is>
          <t>6</t>
        </is>
      </c>
      <c r="K47" s="9" t="n">
        <v>1</v>
      </c>
    </row>
    <row r="48">
      <c r="A48" s="9" t="inlineStr">
        <is>
          <t>TCP-3: GT3 turbine control and protection cabinets</t>
        </is>
      </c>
      <c r="B48" s="9" t="inlineStr">
        <is>
          <t>TCP-3</t>
        </is>
      </c>
      <c r="C48" s="9" t="inlineStr">
        <is>
          <t>A</t>
        </is>
      </c>
      <c r="D48" s="9" t="inlineStr">
        <is>
          <t>LV power feeder</t>
        </is>
      </c>
      <c r="E48" s="9" t="n">
        <v>480</v>
      </c>
      <c r="F48" s="9" t="n">
        <v>15</v>
      </c>
      <c r="G48" s="9" t="n">
        <v>21</v>
      </c>
      <c r="H48" s="9" t="inlineStr">
        <is>
          <t>R1 MCC-GT3</t>
        </is>
      </c>
      <c r="I48" s="9" t="inlineStr">
        <is>
          <t>LV 600 V</t>
        </is>
      </c>
      <c r="J48" s="9" t="inlineStr">
        <is>
          <t>4</t>
        </is>
      </c>
      <c r="K48" s="9" t="n">
        <v>1</v>
      </c>
    </row>
    <row r="49">
      <c r="A49" s="9" t="inlineStr">
        <is>
          <t>TCP-ST: ST turbine control and protection cabinets</t>
        </is>
      </c>
      <c r="B49" s="9" t="inlineStr">
        <is>
          <t>TCP-ST</t>
        </is>
      </c>
      <c r="C49" s="9" t="inlineStr">
        <is>
          <t>A</t>
        </is>
      </c>
      <c r="D49" s="9" t="inlineStr">
        <is>
          <t>LV power feeder</t>
        </is>
      </c>
      <c r="E49" s="9" t="n">
        <v>480</v>
      </c>
      <c r="F49" s="9" t="n">
        <v>15</v>
      </c>
      <c r="G49" s="9" t="n">
        <v>21</v>
      </c>
      <c r="H49" s="9" t="inlineStr">
        <is>
          <t>R3: ST auxiliary electrical e-house (40 x 65 ft)</t>
        </is>
      </c>
      <c r="I49" s="9" t="inlineStr">
        <is>
          <t>LV 600 V</t>
        </is>
      </c>
      <c r="J49" s="9" t="inlineStr">
        <is>
          <t>6</t>
        </is>
      </c>
      <c r="K49" s="9" t="n">
        <v>1</v>
      </c>
    </row>
    <row r="50">
      <c r="A50" s="9" t="inlineStr">
        <is>
          <t>WASH-GT1: compressor water-wash skid</t>
        </is>
      </c>
      <c r="B50" s="9" t="inlineStr">
        <is>
          <t>WASH-GT1</t>
        </is>
      </c>
      <c r="C50" s="9" t="inlineStr">
        <is>
          <t>A</t>
        </is>
      </c>
      <c r="D50" s="9" t="inlineStr">
        <is>
          <t>LV power feeder</t>
        </is>
      </c>
      <c r="E50" s="9" t="n">
        <v>480</v>
      </c>
      <c r="F50" s="9" t="n">
        <v>150</v>
      </c>
      <c r="G50" s="9" t="n">
        <v>212</v>
      </c>
      <c r="H50" s="9" t="inlineStr">
        <is>
          <t>R1 MCC-GT1</t>
        </is>
      </c>
      <c r="I50" s="9" t="inlineStr">
        <is>
          <t>LV 600 V</t>
        </is>
      </c>
      <c r="J50" s="9" t="inlineStr">
        <is>
          <t>500 kcmil</t>
        </is>
      </c>
      <c r="K50" s="9" t="n">
        <v>1</v>
      </c>
    </row>
    <row r="51">
      <c r="A51" s="9" t="inlineStr">
        <is>
          <t>WASH-GT2: compressor water-wash skid</t>
        </is>
      </c>
      <c r="B51" s="9" t="inlineStr">
        <is>
          <t>WASH-GT2</t>
        </is>
      </c>
      <c r="C51" s="9" t="inlineStr">
        <is>
          <t>A</t>
        </is>
      </c>
      <c r="D51" s="9" t="inlineStr">
        <is>
          <t>LV power feeder</t>
        </is>
      </c>
      <c r="E51" s="9" t="n">
        <v>480</v>
      </c>
      <c r="F51" s="9" t="n">
        <v>150</v>
      </c>
      <c r="G51" s="9" t="n">
        <v>212</v>
      </c>
      <c r="H51" s="9" t="inlineStr">
        <is>
          <t>R1 MCC-GT2</t>
        </is>
      </c>
      <c r="I51" s="9" t="inlineStr">
        <is>
          <t>LV 600 V</t>
        </is>
      </c>
      <c r="J51" s="9" t="inlineStr">
        <is>
          <t>350 kcmil</t>
        </is>
      </c>
      <c r="K51" s="9" t="n">
        <v>1</v>
      </c>
    </row>
    <row r="52">
      <c r="A52" s="9" t="inlineStr">
        <is>
          <t>WASH-GT3: compressor water-wash skid</t>
        </is>
      </c>
      <c r="B52" s="9" t="inlineStr">
        <is>
          <t>WASH-GT3</t>
        </is>
      </c>
      <c r="C52" s="9" t="inlineStr">
        <is>
          <t>A</t>
        </is>
      </c>
      <c r="D52" s="9" t="inlineStr">
        <is>
          <t>LV power feeder</t>
        </is>
      </c>
      <c r="E52" s="9" t="n">
        <v>480</v>
      </c>
      <c r="F52" s="9" t="n">
        <v>150</v>
      </c>
      <c r="G52" s="9" t="n">
        <v>212</v>
      </c>
      <c r="H52" s="9" t="inlineStr">
        <is>
          <t>R1 MCC-GT3</t>
        </is>
      </c>
      <c r="I52" s="9" t="inlineStr">
        <is>
          <t>LV 600 V</t>
        </is>
      </c>
      <c r="J52" s="9" t="inlineStr">
        <is>
          <t>350 kcmil</t>
        </is>
      </c>
      <c r="K52" s="9" t="n">
        <v>1</v>
      </c>
    </row>
    <row r="53">
      <c r="A53" s="9" t="inlineStr">
        <is>
          <t>BFP-1A/B: boiler feed pumps (13.8 kV DOL)</t>
        </is>
      </c>
      <c r="B53" s="9" t="inlineStr">
        <is>
          <t>BFP-1</t>
        </is>
      </c>
      <c r="C53" s="9" t="inlineStr">
        <is>
          <t>A</t>
        </is>
      </c>
      <c r="D53" s="9" t="inlineStr">
        <is>
          <t>Boiler feed pump BFP-1A / 1B</t>
        </is>
      </c>
      <c r="E53" s="9" t="n">
        <v>13800</v>
      </c>
      <c r="F53" s="9" t="n">
        <v>5000</v>
      </c>
      <c r="G53" s="9" t="n">
        <v>232</v>
      </c>
      <c r="H53" s="9" t="inlineStr">
        <is>
          <t>R1 SWGR-13.8-1 (11 x 36 in cubicles, 15 kV metal-clad)</t>
        </is>
      </c>
      <c r="I53" s="9" t="inlineStr">
        <is>
          <t>MV 15 kV</t>
        </is>
      </c>
      <c r="J53" s="9" t="inlineStr">
        <is>
          <t>250 kcmil</t>
        </is>
      </c>
      <c r="K53" s="9" t="n">
        <v>1</v>
      </c>
    </row>
    <row r="54">
      <c r="A54" s="9" t="inlineStr">
        <is>
          <t>BFP-1A/B: boiler feed pumps (13.8 kV DOL)</t>
        </is>
      </c>
      <c r="B54" s="9" t="inlineStr">
        <is>
          <t>BFP-1</t>
        </is>
      </c>
      <c r="C54" s="9" t="inlineStr">
        <is>
          <t>A</t>
        </is>
      </c>
      <c r="D54" s="9" t="inlineStr">
        <is>
          <t>Boiler feed pump BFP-1A / 1B</t>
        </is>
      </c>
      <c r="E54" s="9" t="n">
        <v>13800</v>
      </c>
      <c r="F54" s="9" t="n">
        <v>5000</v>
      </c>
      <c r="G54" s="9" t="n">
        <v>232</v>
      </c>
      <c r="H54" s="9" t="inlineStr">
        <is>
          <t>R1 SWGR-13.8-1 (11 x 36 in cubicles, 15 kV metal-clad)</t>
        </is>
      </c>
      <c r="I54" s="9" t="inlineStr">
        <is>
          <t>MV 15 kV</t>
        </is>
      </c>
      <c r="J54" s="9" t="inlineStr">
        <is>
          <t>250 kcmil</t>
        </is>
      </c>
      <c r="K54" s="9" t="n">
        <v>1</v>
      </c>
    </row>
    <row r="55">
      <c r="A55" s="9" t="inlineStr">
        <is>
          <t>BFP-2A/B: boiler feed pumps (13.8 kV DOL)</t>
        </is>
      </c>
      <c r="B55" s="9" t="inlineStr">
        <is>
          <t>BFP-2</t>
        </is>
      </c>
      <c r="C55" s="9" t="inlineStr">
        <is>
          <t>A</t>
        </is>
      </c>
      <c r="D55" s="9" t="inlineStr">
        <is>
          <t>Boiler feed pump BFP-2A / 2B</t>
        </is>
      </c>
      <c r="E55" s="9" t="n">
        <v>13800</v>
      </c>
      <c r="F55" s="9" t="n">
        <v>5000</v>
      </c>
      <c r="G55" s="9" t="n">
        <v>232</v>
      </c>
      <c r="H55" s="9" t="inlineStr">
        <is>
          <t>R1 SWGR-13.8-2 (11 x 36 in cubicles, 15 kV metal-clad)</t>
        </is>
      </c>
      <c r="I55" s="9" t="inlineStr">
        <is>
          <t>MV 15 kV</t>
        </is>
      </c>
      <c r="J55" s="9" t="inlineStr">
        <is>
          <t>250 kcmil</t>
        </is>
      </c>
      <c r="K55" s="9" t="n">
        <v>1</v>
      </c>
    </row>
    <row r="56">
      <c r="A56" s="9" t="inlineStr">
        <is>
          <t>BFP-2A/B: boiler feed pumps (13.8 kV DOL)</t>
        </is>
      </c>
      <c r="B56" s="9" t="inlineStr">
        <is>
          <t>BFP-2</t>
        </is>
      </c>
      <c r="C56" s="9" t="inlineStr">
        <is>
          <t>A</t>
        </is>
      </c>
      <c r="D56" s="9" t="inlineStr">
        <is>
          <t>Boiler feed pump BFP-2A / 2B</t>
        </is>
      </c>
      <c r="E56" s="9" t="n">
        <v>13800</v>
      </c>
      <c r="F56" s="9" t="n">
        <v>5000</v>
      </c>
      <c r="G56" s="9" t="n">
        <v>232</v>
      </c>
      <c r="H56" s="9" t="inlineStr">
        <is>
          <t>R1 SWGR-13.8-2 (11 x 36 in cubicles, 15 kV metal-clad)</t>
        </is>
      </c>
      <c r="I56" s="9" t="inlineStr">
        <is>
          <t>MV 15 kV</t>
        </is>
      </c>
      <c r="J56" s="9" t="inlineStr">
        <is>
          <t>250 kcmil</t>
        </is>
      </c>
      <c r="K56" s="9" t="n">
        <v>1</v>
      </c>
    </row>
    <row r="57">
      <c r="A57" s="9" t="inlineStr">
        <is>
          <t>BFP-3A/B: boiler feed pumps (13.8 kV DOL)</t>
        </is>
      </c>
      <c r="B57" s="9" t="inlineStr">
        <is>
          <t>BFP-3</t>
        </is>
      </c>
      <c r="C57" s="9" t="inlineStr">
        <is>
          <t>A</t>
        </is>
      </c>
      <c r="D57" s="9" t="inlineStr">
        <is>
          <t>Boiler feed pump BFP-3A / 3B</t>
        </is>
      </c>
      <c r="E57" s="9" t="n">
        <v>13800</v>
      </c>
      <c r="F57" s="9" t="n">
        <v>5000</v>
      </c>
      <c r="G57" s="9" t="n">
        <v>232</v>
      </c>
      <c r="H57" s="9" t="inlineStr">
        <is>
          <t>R1 SWGR-13.8-3 (11 x 36 in cubicles, 15 kV metal-clad)</t>
        </is>
      </c>
      <c r="I57" s="9" t="inlineStr">
        <is>
          <t>MV 15 kV</t>
        </is>
      </c>
      <c r="J57" s="9" t="inlineStr">
        <is>
          <t>250 kcmil</t>
        </is>
      </c>
      <c r="K57" s="9" t="n">
        <v>1</v>
      </c>
    </row>
    <row r="58">
      <c r="A58" s="9" t="inlineStr">
        <is>
          <t>BFP-3A/B: boiler feed pumps (13.8 kV DOL)</t>
        </is>
      </c>
      <c r="B58" s="9" t="inlineStr">
        <is>
          <t>BFP-3</t>
        </is>
      </c>
      <c r="C58" s="9" t="inlineStr">
        <is>
          <t>A</t>
        </is>
      </c>
      <c r="D58" s="9" t="inlineStr">
        <is>
          <t>Boiler feed pump BFP-3A / 3B</t>
        </is>
      </c>
      <c r="E58" s="9" t="n">
        <v>13800</v>
      </c>
      <c r="F58" s="9" t="n">
        <v>5000</v>
      </c>
      <c r="G58" s="9" t="n">
        <v>232</v>
      </c>
      <c r="H58" s="9" t="inlineStr">
        <is>
          <t>R1 SWGR-13.8-3 (11 x 36 in cubicles, 15 kV metal-clad)</t>
        </is>
      </c>
      <c r="I58" s="9" t="inlineStr">
        <is>
          <t>MV 15 kV</t>
        </is>
      </c>
      <c r="J58" s="9" t="inlineStr">
        <is>
          <t>250 kcmil</t>
        </is>
      </c>
      <c r="K58" s="9" t="n">
        <v>1</v>
      </c>
    </row>
    <row r="59">
      <c r="A59" s="9" t="inlineStr">
        <is>
          <t>LCT-A: 13.8/0.48 kV load-centre transformer</t>
        </is>
      </c>
      <c r="B59" s="9" t="inlineStr">
        <is>
          <t>LCT-A</t>
        </is>
      </c>
      <c r="C59" s="9" t="inlineStr">
        <is>
          <t>A</t>
        </is>
      </c>
      <c r="D59" s="9" t="inlineStr">
        <is>
          <t>LCT-A unit / load-centre transformer primary</t>
        </is>
      </c>
      <c r="E59" s="9" t="n">
        <v>13800</v>
      </c>
      <c r="F59" s="9" t="n">
        <v>3000</v>
      </c>
      <c r="G59" s="9" t="n">
        <v>126</v>
      </c>
      <c r="H59" s="9" t="inlineStr">
        <is>
          <t>R1 SWGR-13.8-1 (11 x 36 in cubicles, 15 kV metal-clad)</t>
        </is>
      </c>
      <c r="I59" s="9" t="inlineStr">
        <is>
          <t>MV 15 kV</t>
        </is>
      </c>
      <c r="J59" s="9" t="inlineStr">
        <is>
          <t>1/0</t>
        </is>
      </c>
      <c r="K59" s="9" t="n">
        <v>1</v>
      </c>
    </row>
    <row r="60">
      <c r="A60" s="9" t="inlineStr">
        <is>
          <t>LCT-B: 13.8/0.48 kV load-centre transformer</t>
        </is>
      </c>
      <c r="B60" s="9" t="inlineStr">
        <is>
          <t>LCT-B</t>
        </is>
      </c>
      <c r="C60" s="9" t="inlineStr">
        <is>
          <t>A</t>
        </is>
      </c>
      <c r="D60" s="9" t="inlineStr">
        <is>
          <t>LCT-B unit / load-centre transformer primary</t>
        </is>
      </c>
      <c r="E60" s="9" t="n">
        <v>13800</v>
      </c>
      <c r="F60" s="9" t="n">
        <v>3000</v>
      </c>
      <c r="G60" s="9" t="n">
        <v>126</v>
      </c>
      <c r="H60" s="9" t="inlineStr">
        <is>
          <t>R1 SWGR-13.8-3 (11 x 36 in cubicles, 15 kV metal-clad)</t>
        </is>
      </c>
      <c r="I60" s="9" t="inlineStr">
        <is>
          <t>MV 15 kV</t>
        </is>
      </c>
      <c r="J60" s="9" t="inlineStr">
        <is>
          <t>1/0</t>
        </is>
      </c>
      <c r="K60" s="9" t="n">
        <v>1</v>
      </c>
    </row>
    <row r="61">
      <c r="A61" s="9" t="inlineStr">
        <is>
          <t>R1 SWGR-13.8-1 (11 x 36 in cubicles, 15 kV metal-clad)</t>
        </is>
      </c>
      <c r="B61" s="9" t="inlineStr">
        <is>
          <t>SWGR-13.8-1</t>
        </is>
      </c>
      <c r="C61" s="9" t="inlineStr">
        <is>
          <t>A</t>
        </is>
      </c>
      <c r="D61" s="9" t="inlineStr">
        <is>
          <t>UAT-1 secondary to SWGR-13.8-1 incomer</t>
        </is>
      </c>
      <c r="E61" s="9" t="n">
        <v>13800</v>
      </c>
      <c r="F61" s="9" t="n">
        <v>40000</v>
      </c>
      <c r="G61" s="9" t="n">
        <v>1674</v>
      </c>
      <c r="H61" s="9" t="inlineStr">
        <is>
          <t>UAT-1: 21/13.8 kV unit auxiliary transformer</t>
        </is>
      </c>
      <c r="I61" s="9" t="inlineStr">
        <is>
          <t>MV 15 kV</t>
        </is>
      </c>
      <c r="J61" s="9" t="inlineStr">
        <is>
          <t>750 kcmil</t>
        </is>
      </c>
      <c r="K61" s="9" t="n">
        <v>4</v>
      </c>
    </row>
    <row r="62">
      <c r="A62" s="9" t="inlineStr">
        <is>
          <t>R1 SWGR-13.8-2 (11 x 36 in cubicles, 15 kV metal-clad)</t>
        </is>
      </c>
      <c r="B62" s="9" t="inlineStr">
        <is>
          <t>SWGR-13.8-2</t>
        </is>
      </c>
      <c r="C62" s="9" t="inlineStr">
        <is>
          <t>A</t>
        </is>
      </c>
      <c r="D62" s="9" t="inlineStr">
        <is>
          <t>UAT-2 secondary to SWGR-13.8-2 incomer</t>
        </is>
      </c>
      <c r="E62" s="9" t="n">
        <v>13800</v>
      </c>
      <c r="F62" s="9" t="n">
        <v>40000</v>
      </c>
      <c r="G62" s="9" t="n">
        <v>1674</v>
      </c>
      <c r="H62" s="9" t="inlineStr">
        <is>
          <t>UAT-2: 21/13.8 kV unit auxiliary transformer</t>
        </is>
      </c>
      <c r="I62" s="9" t="inlineStr">
        <is>
          <t>MV 15 kV</t>
        </is>
      </c>
      <c r="J62" s="9" t="inlineStr">
        <is>
          <t>750 kcmil</t>
        </is>
      </c>
      <c r="K62" s="9" t="n">
        <v>4</v>
      </c>
    </row>
    <row r="63">
      <c r="A63" s="9" t="inlineStr">
        <is>
          <t>R1 SWGR-13.8-3 (11 x 36 in cubicles, 15 kV metal-clad)</t>
        </is>
      </c>
      <c r="B63" s="9" t="inlineStr">
        <is>
          <t>SWGR-13.8-3</t>
        </is>
      </c>
      <c r="C63" s="9" t="inlineStr">
        <is>
          <t>A</t>
        </is>
      </c>
      <c r="D63" s="9" t="inlineStr">
        <is>
          <t>UAT-3 secondary to SWGR-13.8-3 incomer</t>
        </is>
      </c>
      <c r="E63" s="9" t="n">
        <v>13800</v>
      </c>
      <c r="F63" s="9" t="n">
        <v>40000</v>
      </c>
      <c r="G63" s="9" t="n">
        <v>1674</v>
      </c>
      <c r="H63" s="9" t="inlineStr">
        <is>
          <t>UAT-3: 21/13.8 kV unit auxiliary transformer</t>
        </is>
      </c>
      <c r="I63" s="9" t="inlineStr">
        <is>
          <t>MV 15 kV</t>
        </is>
      </c>
      <c r="J63" s="9" t="inlineStr">
        <is>
          <t>750 kcmil</t>
        </is>
      </c>
      <c r="K63" s="9" t="n">
        <v>4</v>
      </c>
    </row>
    <row r="64">
      <c r="A64" s="9" t="inlineStr">
        <is>
          <t>R1 TX-LCI-1 dry-type input transformer</t>
        </is>
      </c>
      <c r="B64" s="9" t="inlineStr">
        <is>
          <t>TX-LCI-1</t>
        </is>
      </c>
      <c r="C64" s="9" t="inlineStr">
        <is>
          <t>A</t>
        </is>
      </c>
      <c r="D64" s="9" t="inlineStr">
        <is>
          <t>Static starter LCI-1 input transformer</t>
        </is>
      </c>
      <c r="E64" s="9" t="n">
        <v>13800</v>
      </c>
      <c r="F64" s="9" t="n">
        <v>9000</v>
      </c>
      <c r="G64" s="9" t="n">
        <v>377</v>
      </c>
      <c r="H64" s="9" t="inlineStr">
        <is>
          <t>R1 SWGR-13.8-1 (11 x 36 in cubicles, 15 kV metal-clad)</t>
        </is>
      </c>
      <c r="I64" s="9" t="inlineStr">
        <is>
          <t>MV 15 kV</t>
        </is>
      </c>
      <c r="J64" s="9" t="inlineStr">
        <is>
          <t>750 kcmil</t>
        </is>
      </c>
      <c r="K64" s="9" t="n">
        <v>1</v>
      </c>
    </row>
    <row r="65">
      <c r="A65" s="9" t="inlineStr">
        <is>
          <t>R1 TX-LCI-2 dry-type input transformer</t>
        </is>
      </c>
      <c r="B65" s="9" t="inlineStr">
        <is>
          <t>TX-LCI-2</t>
        </is>
      </c>
      <c r="C65" s="9" t="inlineStr">
        <is>
          <t>A</t>
        </is>
      </c>
      <c r="D65" s="9" t="inlineStr">
        <is>
          <t>Static starter LCI-2 input transformer</t>
        </is>
      </c>
      <c r="E65" s="9" t="n">
        <v>13800</v>
      </c>
      <c r="F65" s="9" t="n">
        <v>9000</v>
      </c>
      <c r="G65" s="9" t="n">
        <v>377</v>
      </c>
      <c r="H65" s="9" t="inlineStr">
        <is>
          <t>R1 SWGR-13.8-2 (11 x 36 in cubicles, 15 kV metal-clad)</t>
        </is>
      </c>
      <c r="I65" s="9" t="inlineStr">
        <is>
          <t>MV 15 kV</t>
        </is>
      </c>
      <c r="J65" s="9" t="inlineStr">
        <is>
          <t>750 kcmil</t>
        </is>
      </c>
      <c r="K65" s="9" t="n">
        <v>1</v>
      </c>
    </row>
    <row r="66">
      <c r="A66" s="9" t="inlineStr">
        <is>
          <t>R1 TX-LCI-3 dry-type input transformer</t>
        </is>
      </c>
      <c r="B66" s="9" t="inlineStr">
        <is>
          <t>TX-LCI-3</t>
        </is>
      </c>
      <c r="C66" s="9" t="inlineStr">
        <is>
          <t>A</t>
        </is>
      </c>
      <c r="D66" s="9" t="inlineStr">
        <is>
          <t>Static starter LCI-3 input transformer</t>
        </is>
      </c>
      <c r="E66" s="9" t="n">
        <v>13800</v>
      </c>
      <c r="F66" s="9" t="n">
        <v>9000</v>
      </c>
      <c r="G66" s="9" t="n">
        <v>377</v>
      </c>
      <c r="H66" s="9" t="inlineStr">
        <is>
          <t>R1 SWGR-13.8-3 (11 x 36 in cubicles, 15 kV metal-clad)</t>
        </is>
      </c>
      <c r="I66" s="9" t="inlineStr">
        <is>
          <t>MV 15 kV</t>
        </is>
      </c>
      <c r="J66" s="9" t="inlineStr">
        <is>
          <t>750 kcmil</t>
        </is>
      </c>
      <c r="K66" s="9" t="n">
        <v>1</v>
      </c>
    </row>
    <row r="67">
      <c r="A67" s="9" t="inlineStr">
        <is>
          <t>T-R2A: 13.8/0.48 kV</t>
        </is>
      </c>
      <c r="B67" s="9" t="inlineStr"/>
      <c r="C67" s="9" t="inlineStr">
        <is>
          <t>A</t>
        </is>
      </c>
      <c r="D67" s="9" t="inlineStr">
        <is>
          <t>T-R2A unit / load-centre transformer primary</t>
        </is>
      </c>
      <c r="E67" s="9" t="n">
        <v>13800</v>
      </c>
      <c r="F67" s="9" t="n">
        <v>2500</v>
      </c>
      <c r="G67" s="9" t="n">
        <v>105</v>
      </c>
      <c r="H67" s="9" t="inlineStr">
        <is>
          <t>R1 SWGR-13.8-1 (11 x 36 in cubicles, 15 kV metal-clad)</t>
        </is>
      </c>
      <c r="I67" s="9" t="inlineStr">
        <is>
          <t>MV 15 kV</t>
        </is>
      </c>
      <c r="J67" s="9" t="inlineStr">
        <is>
          <t>2</t>
        </is>
      </c>
      <c r="K67" s="9" t="n">
        <v>1</v>
      </c>
    </row>
    <row r="68">
      <c r="A68" s="9" t="inlineStr">
        <is>
          <t>T-R2B: 13.8/0.48 kV</t>
        </is>
      </c>
      <c r="B68" s="9" t="inlineStr"/>
      <c r="C68" s="9" t="inlineStr">
        <is>
          <t>A</t>
        </is>
      </c>
      <c r="D68" s="9" t="inlineStr">
        <is>
          <t>T-R2B unit / load-centre transformer primary</t>
        </is>
      </c>
      <c r="E68" s="9" t="n">
        <v>13800</v>
      </c>
      <c r="F68" s="9" t="n">
        <v>2500</v>
      </c>
      <c r="G68" s="9" t="n">
        <v>105</v>
      </c>
      <c r="H68" s="9" t="inlineStr">
        <is>
          <t>R1 SWGR-13.8-2 (11 x 36 in cubicles, 15 kV metal-clad)</t>
        </is>
      </c>
      <c r="I68" s="9" t="inlineStr">
        <is>
          <t>MV 15 kV</t>
        </is>
      </c>
      <c r="J68" s="9" t="inlineStr">
        <is>
          <t>2</t>
        </is>
      </c>
      <c r="K68" s="9" t="n">
        <v>1</v>
      </c>
    </row>
    <row r="69">
      <c r="A69" s="9" t="inlineStr">
        <is>
          <t>T-R2C: 13.8/0.48 kV</t>
        </is>
      </c>
      <c r="B69" s="9" t="inlineStr"/>
      <c r="C69" s="9" t="inlineStr">
        <is>
          <t>A</t>
        </is>
      </c>
      <c r="D69" s="9" t="inlineStr">
        <is>
          <t>T-R2C unit / load-centre transformer primary</t>
        </is>
      </c>
      <c r="E69" s="9" t="n">
        <v>13800</v>
      </c>
      <c r="F69" s="9" t="n">
        <v>2500</v>
      </c>
      <c r="G69" s="9" t="n">
        <v>105</v>
      </c>
      <c r="H69" s="9" t="inlineStr">
        <is>
          <t>R1 SWGR-13.8-3 (11 x 36 in cubicles, 15 kV metal-clad)</t>
        </is>
      </c>
      <c r="I69" s="9" t="inlineStr">
        <is>
          <t>MV 15 kV</t>
        </is>
      </c>
      <c r="J69" s="9" t="inlineStr">
        <is>
          <t>2</t>
        </is>
      </c>
      <c r="K69" s="9" t="n">
        <v>1</v>
      </c>
    </row>
    <row r="70">
      <c r="A70" s="9" t="inlineStr">
        <is>
          <t>T-R3: 13.8/0.48 kV</t>
        </is>
      </c>
      <c r="B70" s="9" t="inlineStr"/>
      <c r="C70" s="9" t="inlineStr">
        <is>
          <t>A</t>
        </is>
      </c>
      <c r="D70" s="9" t="inlineStr">
        <is>
          <t>T-R3 unit / load-centre transformer primary</t>
        </is>
      </c>
      <c r="E70" s="9" t="n">
        <v>13800</v>
      </c>
      <c r="F70" s="9" t="n">
        <v>3000</v>
      </c>
      <c r="G70" s="9" t="n">
        <v>126</v>
      </c>
      <c r="H70" s="9" t="inlineStr">
        <is>
          <t>R1 SWGR-13.8-2 (11 x 36 in cubicles, 15 kV metal-clad)</t>
        </is>
      </c>
      <c r="I70" s="9" t="inlineStr">
        <is>
          <t>MV 15 kV</t>
        </is>
      </c>
      <c r="J70" s="9" t="inlineStr">
        <is>
          <t>1/0</t>
        </is>
      </c>
      <c r="K70" s="9" t="n">
        <v>1</v>
      </c>
    </row>
    <row r="71">
      <c r="A71" s="9" t="inlineStr">
        <is>
          <t>T4-A: 13.8/4.16 kV station transformer</t>
        </is>
      </c>
      <c r="B71" s="9" t="inlineStr">
        <is>
          <t>T4-A</t>
        </is>
      </c>
      <c r="C71" s="9" t="inlineStr">
        <is>
          <t>A</t>
        </is>
      </c>
      <c r="D71" s="9" t="inlineStr">
        <is>
          <t>T4-A station transformer primary</t>
        </is>
      </c>
      <c r="E71" s="9" t="n">
        <v>13800</v>
      </c>
      <c r="F71" s="9" t="n">
        <v>10000</v>
      </c>
      <c r="G71" s="9" t="n">
        <v>418</v>
      </c>
      <c r="H71" s="9" t="inlineStr">
        <is>
          <t>R1 SWGR-13.8-1 (11 x 36 in cubicles, 15 kV metal-clad)</t>
        </is>
      </c>
      <c r="I71" s="9" t="inlineStr">
        <is>
          <t>MV 15 kV</t>
        </is>
      </c>
      <c r="J71" s="9" t="inlineStr">
        <is>
          <t>750 kcmil</t>
        </is>
      </c>
      <c r="K71" s="9" t="n">
        <v>1</v>
      </c>
    </row>
    <row r="72">
      <c r="A72" s="9" t="inlineStr">
        <is>
          <t>T4-B: 13.8/4.16 kV station transformer</t>
        </is>
      </c>
      <c r="B72" s="9" t="inlineStr">
        <is>
          <t>T4-B</t>
        </is>
      </c>
      <c r="C72" s="9" t="inlineStr">
        <is>
          <t>A</t>
        </is>
      </c>
      <c r="D72" s="9" t="inlineStr">
        <is>
          <t>T4-B station transformer primary</t>
        </is>
      </c>
      <c r="E72" s="9" t="n">
        <v>13800</v>
      </c>
      <c r="F72" s="9" t="n">
        <v>10000</v>
      </c>
      <c r="G72" s="9" t="n">
        <v>418</v>
      </c>
      <c r="H72" s="9" t="inlineStr">
        <is>
          <t>R1 SWGR-13.8-3 (11 x 36 in cubicles, 15 kV metal-clad)</t>
        </is>
      </c>
      <c r="I72" s="9" t="inlineStr">
        <is>
          <t>MV 15 kV</t>
        </is>
      </c>
      <c r="J72" s="9" t="inlineStr">
        <is>
          <t>750 kcmil</t>
        </is>
      </c>
      <c r="K72" s="9" t="n">
        <v>1</v>
      </c>
    </row>
    <row r="73">
      <c r="A73" s="9" t="inlineStr">
        <is>
          <t>ET-1: excitation transformer (dry type, GTG-1 terminals)</t>
        </is>
      </c>
      <c r="B73" s="9" t="inlineStr">
        <is>
          <t>ET-1</t>
        </is>
      </c>
      <c r="C73" s="9" t="inlineStr">
        <is>
          <t>A</t>
        </is>
      </c>
      <c r="D73" s="9" t="inlineStr">
        <is>
          <t>Excitation transformer ET-1 from the IPB tap</t>
        </is>
      </c>
      <c r="E73" s="9" t="n">
        <v>21000</v>
      </c>
      <c r="F73" s="9" t="n">
        <v>3000</v>
      </c>
      <c r="G73" s="9" t="n">
        <v>82</v>
      </c>
      <c r="H73" s="9" t="inlineStr">
        <is>
          <t>GSU-1: 21/230 kV generator step-up transformer</t>
        </is>
      </c>
      <c r="I73" s="9" t="inlineStr">
        <is>
          <t>MV 25 kV</t>
        </is>
      </c>
      <c r="J73" s="9" t="inlineStr">
        <is>
          <t>2</t>
        </is>
      </c>
      <c r="K73" s="9" t="n">
        <v>1</v>
      </c>
    </row>
    <row r="74">
      <c r="A74" s="9" t="inlineStr">
        <is>
          <t>ET-2: excitation transformer (dry type, GTG-2 terminals)</t>
        </is>
      </c>
      <c r="B74" s="9" t="inlineStr">
        <is>
          <t>ET-2</t>
        </is>
      </c>
      <c r="C74" s="9" t="inlineStr">
        <is>
          <t>A</t>
        </is>
      </c>
      <c r="D74" s="9" t="inlineStr">
        <is>
          <t>Excitation transformer ET-2 from the IPB tap</t>
        </is>
      </c>
      <c r="E74" s="9" t="n">
        <v>21000</v>
      </c>
      <c r="F74" s="9" t="n">
        <v>3000</v>
      </c>
      <c r="G74" s="9" t="n">
        <v>82</v>
      </c>
      <c r="H74" s="9" t="inlineStr">
        <is>
          <t>GSU-2: 21/230 kV generator step-up transformer</t>
        </is>
      </c>
      <c r="I74" s="9" t="inlineStr">
        <is>
          <t>MV 25 kV</t>
        </is>
      </c>
      <c r="J74" s="9" t="inlineStr">
        <is>
          <t>2</t>
        </is>
      </c>
      <c r="K74" s="9" t="n">
        <v>1</v>
      </c>
    </row>
    <row r="75">
      <c r="A75" s="9" t="inlineStr">
        <is>
          <t>ET-3: excitation transformer (dry type, GTG-3 terminals)</t>
        </is>
      </c>
      <c r="B75" s="9" t="inlineStr">
        <is>
          <t>ET-3</t>
        </is>
      </c>
      <c r="C75" s="9" t="inlineStr">
        <is>
          <t>A</t>
        </is>
      </c>
      <c r="D75" s="9" t="inlineStr">
        <is>
          <t>Excitation transformer ET-3 from the IPB tap</t>
        </is>
      </c>
      <c r="E75" s="9" t="n">
        <v>21000</v>
      </c>
      <c r="F75" s="9" t="n">
        <v>3000</v>
      </c>
      <c r="G75" s="9" t="n">
        <v>82</v>
      </c>
      <c r="H75" s="9" t="inlineStr">
        <is>
          <t>GSU-3: 21/230 kV generator step-up transformer</t>
        </is>
      </c>
      <c r="I75" s="9" t="inlineStr">
        <is>
          <t>MV 25 kV</t>
        </is>
      </c>
      <c r="J75" s="9" t="inlineStr">
        <is>
          <t>2</t>
        </is>
      </c>
      <c r="K75" s="9" t="n">
        <v>1</v>
      </c>
    </row>
    <row r="76">
      <c r="A76" s="9" t="inlineStr">
        <is>
          <t>R1 SWGR-4.16-A (9 x 36 in cubicles, 5 kV metal-clad)</t>
        </is>
      </c>
      <c r="B76" s="9" t="inlineStr">
        <is>
          <t>SWGR-4.16-A</t>
        </is>
      </c>
      <c r="C76" s="9" t="inlineStr">
        <is>
          <t>A</t>
        </is>
      </c>
      <c r="D76" s="9" t="inlineStr">
        <is>
          <t>T4-A secondary to SWGR-4.16-A incomer</t>
        </is>
      </c>
      <c r="E76" s="9" t="n">
        <v>4160</v>
      </c>
      <c r="F76" s="9" t="n">
        <v>10000</v>
      </c>
      <c r="G76" s="9" t="n">
        <v>1388</v>
      </c>
      <c r="H76" s="9" t="inlineStr">
        <is>
          <t>T4-A: 13.8/4.16 kV station transformer</t>
        </is>
      </c>
      <c r="I76" s="9" t="inlineStr">
        <is>
          <t>MV 5 kV</t>
        </is>
      </c>
      <c r="J76" s="9" t="inlineStr">
        <is>
          <t>1000 kcmil</t>
        </is>
      </c>
      <c r="K76" s="9" t="n">
        <v>3</v>
      </c>
    </row>
    <row r="77">
      <c r="A77" s="9" t="inlineStr">
        <is>
          <t>R1 SWGR-4.16-B (5 kV metal-clad)</t>
        </is>
      </c>
      <c r="B77" s="9" t="inlineStr">
        <is>
          <t>SWGR-4.16-B</t>
        </is>
      </c>
      <c r="C77" s="9" t="inlineStr">
        <is>
          <t>A</t>
        </is>
      </c>
      <c r="D77" s="9" t="inlineStr">
        <is>
          <t>T4-B secondary to SWGR-4.16-B incomer</t>
        </is>
      </c>
      <c r="E77" s="9" t="n">
        <v>4160</v>
      </c>
      <c r="F77" s="9" t="n">
        <v>10000</v>
      </c>
      <c r="G77" s="9" t="n">
        <v>1388</v>
      </c>
      <c r="H77" s="9" t="inlineStr">
        <is>
          <t>T4-B: 13.8/4.16 kV station transformer</t>
        </is>
      </c>
      <c r="I77" s="9" t="inlineStr">
        <is>
          <t>MV 5 kV</t>
        </is>
      </c>
      <c r="J77" s="9" t="inlineStr">
        <is>
          <t>1000 kcmil</t>
        </is>
      </c>
      <c r="K77" s="9" t="n">
        <v>3</v>
      </c>
    </row>
    <row r="78">
      <c r="A78" s="9" t="inlineStr">
        <is>
          <t>ACC fan motor F01</t>
        </is>
      </c>
      <c r="B78" s="9" t="inlineStr">
        <is>
          <t>ACC-F01</t>
        </is>
      </c>
      <c r="C78" s="9" t="inlineStr">
        <is>
          <t>B</t>
        </is>
      </c>
      <c r="D78" s="9" t="inlineStr">
        <is>
          <t>ACC fan F01 motor (VFD output)</t>
        </is>
      </c>
      <c r="E78" s="9" t="n">
        <v>480</v>
      </c>
      <c r="F78" s="9" t="n">
        <v>150</v>
      </c>
      <c r="G78" s="9" t="n">
        <v>212</v>
      </c>
      <c r="H78" s="9" t="inlineStr">
        <is>
          <t>R4: ACC electrical (VFD) e-house (60 x 120 ft)</t>
        </is>
      </c>
      <c r="I78" s="9" t="inlineStr">
        <is>
          <t>LV 600 V</t>
        </is>
      </c>
      <c r="J78" s="9" t="inlineStr">
        <is>
          <t>350 kcmil</t>
        </is>
      </c>
      <c r="K78" s="9" t="n">
        <v>1</v>
      </c>
    </row>
    <row r="79">
      <c r="A79" s="9" t="inlineStr">
        <is>
          <t>ACC fan motor F02</t>
        </is>
      </c>
      <c r="B79" s="9" t="inlineStr">
        <is>
          <t>ACC-F02</t>
        </is>
      </c>
      <c r="C79" s="9" t="inlineStr">
        <is>
          <t>B</t>
        </is>
      </c>
      <c r="D79" s="9" t="inlineStr">
        <is>
          <t>ACC fan F02 motor (VFD output)</t>
        </is>
      </c>
      <c r="E79" s="9" t="n">
        <v>480</v>
      </c>
      <c r="F79" s="9" t="n">
        <v>150</v>
      </c>
      <c r="G79" s="9" t="n">
        <v>212</v>
      </c>
      <c r="H79" s="9" t="inlineStr">
        <is>
          <t>R4: ACC electrical (VFD) e-house (60 x 120 ft)</t>
        </is>
      </c>
      <c r="I79" s="9" t="inlineStr">
        <is>
          <t>LV 600 V</t>
        </is>
      </c>
      <c r="J79" s="9" t="inlineStr">
        <is>
          <t>350 kcmil</t>
        </is>
      </c>
      <c r="K79" s="9" t="n">
        <v>1</v>
      </c>
    </row>
    <row r="80">
      <c r="A80" s="9" t="inlineStr">
        <is>
          <t>ACC fan motor F03</t>
        </is>
      </c>
      <c r="B80" s="9" t="inlineStr">
        <is>
          <t>ACC-F03</t>
        </is>
      </c>
      <c r="C80" s="9" t="inlineStr">
        <is>
          <t>B</t>
        </is>
      </c>
      <c r="D80" s="9" t="inlineStr">
        <is>
          <t>ACC fan F03 motor (VFD output)</t>
        </is>
      </c>
      <c r="E80" s="9" t="n">
        <v>480</v>
      </c>
      <c r="F80" s="9" t="n">
        <v>150</v>
      </c>
      <c r="G80" s="9" t="n">
        <v>212</v>
      </c>
      <c r="H80" s="9" t="inlineStr">
        <is>
          <t>R4: ACC electrical (VFD) e-house (60 x 120 ft)</t>
        </is>
      </c>
      <c r="I80" s="9" t="inlineStr">
        <is>
          <t>LV 600 V</t>
        </is>
      </c>
      <c r="J80" s="9" t="inlineStr">
        <is>
          <t>350 kcmil</t>
        </is>
      </c>
      <c r="K80" s="9" t="n">
        <v>1</v>
      </c>
    </row>
    <row r="81">
      <c r="A81" s="9" t="inlineStr">
        <is>
          <t>ACC fan motor F04</t>
        </is>
      </c>
      <c r="B81" s="9" t="inlineStr">
        <is>
          <t>ACC-F04</t>
        </is>
      </c>
      <c r="C81" s="9" t="inlineStr">
        <is>
          <t>B</t>
        </is>
      </c>
      <c r="D81" s="9" t="inlineStr">
        <is>
          <t>ACC fan F04 motor (VFD output)</t>
        </is>
      </c>
      <c r="E81" s="9" t="n">
        <v>480</v>
      </c>
      <c r="F81" s="9" t="n">
        <v>150</v>
      </c>
      <c r="G81" s="9" t="n">
        <v>212</v>
      </c>
      <c r="H81" s="9" t="inlineStr">
        <is>
          <t>R4: ACC electrical (VFD) e-house (60 x 120 ft)</t>
        </is>
      </c>
      <c r="I81" s="9" t="inlineStr">
        <is>
          <t>LV 600 V</t>
        </is>
      </c>
      <c r="J81" s="9" t="inlineStr">
        <is>
          <t>350 kcmil</t>
        </is>
      </c>
      <c r="K81" s="9" t="n">
        <v>1</v>
      </c>
    </row>
    <row r="82">
      <c r="A82" s="9" t="inlineStr">
        <is>
          <t>ACC fan motor F05</t>
        </is>
      </c>
      <c r="B82" s="9" t="inlineStr">
        <is>
          <t>ACC-F05</t>
        </is>
      </c>
      <c r="C82" s="9" t="inlineStr">
        <is>
          <t>B</t>
        </is>
      </c>
      <c r="D82" s="9" t="inlineStr">
        <is>
          <t>ACC fan F05 motor (VFD output)</t>
        </is>
      </c>
      <c r="E82" s="9" t="n">
        <v>480</v>
      </c>
      <c r="F82" s="9" t="n">
        <v>150</v>
      </c>
      <c r="G82" s="9" t="n">
        <v>212</v>
      </c>
      <c r="H82" s="9" t="inlineStr">
        <is>
          <t>R4: ACC electrical (VFD) e-house (60 x 120 ft)</t>
        </is>
      </c>
      <c r="I82" s="9" t="inlineStr">
        <is>
          <t>LV 600 V</t>
        </is>
      </c>
      <c r="J82" s="9" t="inlineStr">
        <is>
          <t>350 kcmil</t>
        </is>
      </c>
      <c r="K82" s="9" t="n">
        <v>1</v>
      </c>
    </row>
    <row r="83">
      <c r="A83" s="9" t="inlineStr">
        <is>
          <t>ACC fan motor F06</t>
        </is>
      </c>
      <c r="B83" s="9" t="inlineStr">
        <is>
          <t>ACC-F06</t>
        </is>
      </c>
      <c r="C83" s="9" t="inlineStr">
        <is>
          <t>B</t>
        </is>
      </c>
      <c r="D83" s="9" t="inlineStr">
        <is>
          <t>ACC fan F06 motor (VFD output)</t>
        </is>
      </c>
      <c r="E83" s="9" t="n">
        <v>480</v>
      </c>
      <c r="F83" s="9" t="n">
        <v>150</v>
      </c>
      <c r="G83" s="9" t="n">
        <v>212</v>
      </c>
      <c r="H83" s="9" t="inlineStr">
        <is>
          <t>R4: ACC electrical (VFD) e-house (60 x 120 ft)</t>
        </is>
      </c>
      <c r="I83" s="9" t="inlineStr">
        <is>
          <t>LV 600 V</t>
        </is>
      </c>
      <c r="J83" s="9" t="inlineStr">
        <is>
          <t>350 kcmil</t>
        </is>
      </c>
      <c r="K83" s="9" t="n">
        <v>1</v>
      </c>
    </row>
    <row r="84">
      <c r="A84" s="9" t="inlineStr">
        <is>
          <t>ACC fan motor F07</t>
        </is>
      </c>
      <c r="B84" s="9" t="inlineStr">
        <is>
          <t>ACC-F07</t>
        </is>
      </c>
      <c r="C84" s="9" t="inlineStr">
        <is>
          <t>B</t>
        </is>
      </c>
      <c r="D84" s="9" t="inlineStr">
        <is>
          <t>ACC fan F07 motor (VFD output)</t>
        </is>
      </c>
      <c r="E84" s="9" t="n">
        <v>480</v>
      </c>
      <c r="F84" s="9" t="n">
        <v>150</v>
      </c>
      <c r="G84" s="9" t="n">
        <v>212</v>
      </c>
      <c r="H84" s="9" t="inlineStr">
        <is>
          <t>R4: ACC electrical (VFD) e-house (60 x 120 ft)</t>
        </is>
      </c>
      <c r="I84" s="9" t="inlineStr">
        <is>
          <t>LV 600 V</t>
        </is>
      </c>
      <c r="J84" s="9" t="inlineStr">
        <is>
          <t>350 kcmil</t>
        </is>
      </c>
      <c r="K84" s="9" t="n">
        <v>1</v>
      </c>
    </row>
    <row r="85">
      <c r="A85" s="9" t="inlineStr">
        <is>
          <t>ACC fan motor F08</t>
        </is>
      </c>
      <c r="B85" s="9" t="inlineStr">
        <is>
          <t>ACC-F08</t>
        </is>
      </c>
      <c r="C85" s="9" t="inlineStr">
        <is>
          <t>B</t>
        </is>
      </c>
      <c r="D85" s="9" t="inlineStr">
        <is>
          <t>ACC fan F08 motor (VFD output)</t>
        </is>
      </c>
      <c r="E85" s="9" t="n">
        <v>480</v>
      </c>
      <c r="F85" s="9" t="n">
        <v>150</v>
      </c>
      <c r="G85" s="9" t="n">
        <v>212</v>
      </c>
      <c r="H85" s="9" t="inlineStr">
        <is>
          <t>R4: ACC electrical (VFD) e-house (60 x 120 ft)</t>
        </is>
      </c>
      <c r="I85" s="9" t="inlineStr">
        <is>
          <t>LV 600 V</t>
        </is>
      </c>
      <c r="J85" s="9" t="inlineStr">
        <is>
          <t>350 kcmil</t>
        </is>
      </c>
      <c r="K85" s="9" t="n">
        <v>1</v>
      </c>
    </row>
    <row r="86">
      <c r="A86" s="9" t="inlineStr">
        <is>
          <t>ACC fan motor F09</t>
        </is>
      </c>
      <c r="B86" s="9" t="inlineStr">
        <is>
          <t>ACC-F09</t>
        </is>
      </c>
      <c r="C86" s="9" t="inlineStr">
        <is>
          <t>B</t>
        </is>
      </c>
      <c r="D86" s="9" t="inlineStr">
        <is>
          <t>ACC fan F09 motor (VFD output)</t>
        </is>
      </c>
      <c r="E86" s="9" t="n">
        <v>480</v>
      </c>
      <c r="F86" s="9" t="n">
        <v>150</v>
      </c>
      <c r="G86" s="9" t="n">
        <v>212</v>
      </c>
      <c r="H86" s="9" t="inlineStr">
        <is>
          <t>R4: ACC electrical (VFD) e-house (60 x 120 ft)</t>
        </is>
      </c>
      <c r="I86" s="9" t="inlineStr">
        <is>
          <t>LV 600 V</t>
        </is>
      </c>
      <c r="J86" s="9" t="inlineStr">
        <is>
          <t>350 kcmil</t>
        </is>
      </c>
      <c r="K86" s="9" t="n">
        <v>1</v>
      </c>
    </row>
    <row r="87">
      <c r="A87" s="9" t="inlineStr">
        <is>
          <t>ACC fan motor F10</t>
        </is>
      </c>
      <c r="B87" s="9" t="inlineStr">
        <is>
          <t>ACC-F10</t>
        </is>
      </c>
      <c r="C87" s="9" t="inlineStr">
        <is>
          <t>B</t>
        </is>
      </c>
      <c r="D87" s="9" t="inlineStr">
        <is>
          <t>ACC fan F10 motor (VFD output)</t>
        </is>
      </c>
      <c r="E87" s="9" t="n">
        <v>480</v>
      </c>
      <c r="F87" s="9" t="n">
        <v>150</v>
      </c>
      <c r="G87" s="9" t="n">
        <v>212</v>
      </c>
      <c r="H87" s="9" t="inlineStr">
        <is>
          <t>R4: ACC electrical (VFD) e-house (60 x 120 ft)</t>
        </is>
      </c>
      <c r="I87" s="9" t="inlineStr">
        <is>
          <t>LV 600 V</t>
        </is>
      </c>
      <c r="J87" s="9" t="inlineStr">
        <is>
          <t>350 kcmil</t>
        </is>
      </c>
      <c r="K87" s="9" t="n">
        <v>1</v>
      </c>
    </row>
    <row r="88">
      <c r="A88" s="9" t="inlineStr">
        <is>
          <t>ACC fan motor F11</t>
        </is>
      </c>
      <c r="B88" s="9" t="inlineStr">
        <is>
          <t>ACC-F11</t>
        </is>
      </c>
      <c r="C88" s="9" t="inlineStr">
        <is>
          <t>B</t>
        </is>
      </c>
      <c r="D88" s="9" t="inlineStr">
        <is>
          <t>ACC fan F11 motor (VFD output)</t>
        </is>
      </c>
      <c r="E88" s="9" t="n">
        <v>480</v>
      </c>
      <c r="F88" s="9" t="n">
        <v>150</v>
      </c>
      <c r="G88" s="9" t="n">
        <v>212</v>
      </c>
      <c r="H88" s="9" t="inlineStr">
        <is>
          <t>R4: ACC electrical (VFD) e-house (60 x 120 ft)</t>
        </is>
      </c>
      <c r="I88" s="9" t="inlineStr">
        <is>
          <t>LV 600 V</t>
        </is>
      </c>
      <c r="J88" s="9" t="inlineStr">
        <is>
          <t>350 kcmil</t>
        </is>
      </c>
      <c r="K88" s="9" t="n">
        <v>1</v>
      </c>
    </row>
    <row r="89">
      <c r="A89" s="9" t="inlineStr">
        <is>
          <t>ACC fan motor F12</t>
        </is>
      </c>
      <c r="B89" s="9" t="inlineStr">
        <is>
          <t>ACC-F12</t>
        </is>
      </c>
      <c r="C89" s="9" t="inlineStr">
        <is>
          <t>B</t>
        </is>
      </c>
      <c r="D89" s="9" t="inlineStr">
        <is>
          <t>ACC fan F12 motor (VFD output)</t>
        </is>
      </c>
      <c r="E89" s="9" t="n">
        <v>480</v>
      </c>
      <c r="F89" s="9" t="n">
        <v>150</v>
      </c>
      <c r="G89" s="9" t="n">
        <v>212</v>
      </c>
      <c r="H89" s="9" t="inlineStr">
        <is>
          <t>R4: ACC electrical (VFD) e-house (60 x 120 ft)</t>
        </is>
      </c>
      <c r="I89" s="9" t="inlineStr">
        <is>
          <t>LV 600 V</t>
        </is>
      </c>
      <c r="J89" s="9" t="inlineStr">
        <is>
          <t>350 kcmil</t>
        </is>
      </c>
      <c r="K89" s="9" t="n">
        <v>1</v>
      </c>
    </row>
    <row r="90">
      <c r="A90" s="9" t="inlineStr">
        <is>
          <t>ACC fan motor F13</t>
        </is>
      </c>
      <c r="B90" s="9" t="inlineStr">
        <is>
          <t>ACC-F13</t>
        </is>
      </c>
      <c r="C90" s="9" t="inlineStr">
        <is>
          <t>B</t>
        </is>
      </c>
      <c r="D90" s="9" t="inlineStr">
        <is>
          <t>ACC fan F13 motor (VFD output)</t>
        </is>
      </c>
      <c r="E90" s="9" t="n">
        <v>480</v>
      </c>
      <c r="F90" s="9" t="n">
        <v>150</v>
      </c>
      <c r="G90" s="9" t="n">
        <v>212</v>
      </c>
      <c r="H90" s="9" t="inlineStr">
        <is>
          <t>R4: ACC electrical (VFD) e-house (60 x 120 ft)</t>
        </is>
      </c>
      <c r="I90" s="9" t="inlineStr">
        <is>
          <t>LV 600 V</t>
        </is>
      </c>
      <c r="J90" s="9" t="inlineStr">
        <is>
          <t>350 kcmil</t>
        </is>
      </c>
      <c r="K90" s="9" t="n">
        <v>1</v>
      </c>
    </row>
    <row r="91">
      <c r="A91" s="9" t="inlineStr">
        <is>
          <t>ACC fan motor F14</t>
        </is>
      </c>
      <c r="B91" s="9" t="inlineStr">
        <is>
          <t>ACC-F14</t>
        </is>
      </c>
      <c r="C91" s="9" t="inlineStr">
        <is>
          <t>B</t>
        </is>
      </c>
      <c r="D91" s="9" t="inlineStr">
        <is>
          <t>ACC fan F14 motor (VFD output)</t>
        </is>
      </c>
      <c r="E91" s="9" t="n">
        <v>480</v>
      </c>
      <c r="F91" s="9" t="n">
        <v>150</v>
      </c>
      <c r="G91" s="9" t="n">
        <v>212</v>
      </c>
      <c r="H91" s="9" t="inlineStr">
        <is>
          <t>R4: ACC electrical (VFD) e-house (60 x 120 ft)</t>
        </is>
      </c>
      <c r="I91" s="9" t="inlineStr">
        <is>
          <t>LV 600 V</t>
        </is>
      </c>
      <c r="J91" s="9" t="inlineStr">
        <is>
          <t>350 kcmil</t>
        </is>
      </c>
      <c r="K91" s="9" t="n">
        <v>1</v>
      </c>
    </row>
    <row r="92">
      <c r="A92" s="9" t="inlineStr">
        <is>
          <t>ACC fan motor F15</t>
        </is>
      </c>
      <c r="B92" s="9" t="inlineStr">
        <is>
          <t>ACC-F15</t>
        </is>
      </c>
      <c r="C92" s="9" t="inlineStr">
        <is>
          <t>B</t>
        </is>
      </c>
      <c r="D92" s="9" t="inlineStr">
        <is>
          <t>ACC fan F15 motor (VFD output)</t>
        </is>
      </c>
      <c r="E92" s="9" t="n">
        <v>480</v>
      </c>
      <c r="F92" s="9" t="n">
        <v>150</v>
      </c>
      <c r="G92" s="9" t="n">
        <v>212</v>
      </c>
      <c r="H92" s="9" t="inlineStr">
        <is>
          <t>R4: ACC electrical (VFD) e-house (60 x 120 ft)</t>
        </is>
      </c>
      <c r="I92" s="9" t="inlineStr">
        <is>
          <t>LV 600 V</t>
        </is>
      </c>
      <c r="J92" s="9" t="inlineStr">
        <is>
          <t>350 kcmil</t>
        </is>
      </c>
      <c r="K92" s="9" t="n">
        <v>1</v>
      </c>
    </row>
    <row r="93">
      <c r="A93" s="9" t="inlineStr">
        <is>
          <t>ACC fan motor F16</t>
        </is>
      </c>
      <c r="B93" s="9" t="inlineStr">
        <is>
          <t>ACC-F16</t>
        </is>
      </c>
      <c r="C93" s="9" t="inlineStr">
        <is>
          <t>B</t>
        </is>
      </c>
      <c r="D93" s="9" t="inlineStr">
        <is>
          <t>ACC fan F16 motor (VFD output)</t>
        </is>
      </c>
      <c r="E93" s="9" t="n">
        <v>480</v>
      </c>
      <c r="F93" s="9" t="n">
        <v>150</v>
      </c>
      <c r="G93" s="9" t="n">
        <v>212</v>
      </c>
      <c r="H93" s="9" t="inlineStr">
        <is>
          <t>R4: ACC electrical (VFD) e-house (60 x 120 ft)</t>
        </is>
      </c>
      <c r="I93" s="9" t="inlineStr">
        <is>
          <t>LV 600 V</t>
        </is>
      </c>
      <c r="J93" s="9" t="inlineStr">
        <is>
          <t>350 kcmil</t>
        </is>
      </c>
      <c r="K93" s="9" t="n">
        <v>1</v>
      </c>
    </row>
    <row r="94">
      <c r="A94" s="9" t="inlineStr">
        <is>
          <t>ACC fan motor F17</t>
        </is>
      </c>
      <c r="B94" s="9" t="inlineStr">
        <is>
          <t>ACC-F17</t>
        </is>
      </c>
      <c r="C94" s="9" t="inlineStr">
        <is>
          <t>B</t>
        </is>
      </c>
      <c r="D94" s="9" t="inlineStr">
        <is>
          <t>ACC fan F17 motor (VFD output)</t>
        </is>
      </c>
      <c r="E94" s="9" t="n">
        <v>480</v>
      </c>
      <c r="F94" s="9" t="n">
        <v>150</v>
      </c>
      <c r="G94" s="9" t="n">
        <v>212</v>
      </c>
      <c r="H94" s="9" t="inlineStr">
        <is>
          <t>R4: ACC electrical (VFD) e-house (60 x 120 ft)</t>
        </is>
      </c>
      <c r="I94" s="9" t="inlineStr">
        <is>
          <t>LV 600 V</t>
        </is>
      </c>
      <c r="J94" s="9" t="inlineStr">
        <is>
          <t>350 kcmil</t>
        </is>
      </c>
      <c r="K94" s="9" t="n">
        <v>1</v>
      </c>
    </row>
    <row r="95">
      <c r="A95" s="9" t="inlineStr">
        <is>
          <t>ACC fan motor F18</t>
        </is>
      </c>
      <c r="B95" s="9" t="inlineStr">
        <is>
          <t>ACC-F18</t>
        </is>
      </c>
      <c r="C95" s="9" t="inlineStr">
        <is>
          <t>B</t>
        </is>
      </c>
      <c r="D95" s="9" t="inlineStr">
        <is>
          <t>ACC fan F18 motor (VFD output)</t>
        </is>
      </c>
      <c r="E95" s="9" t="n">
        <v>480</v>
      </c>
      <c r="F95" s="9" t="n">
        <v>150</v>
      </c>
      <c r="G95" s="9" t="n">
        <v>212</v>
      </c>
      <c r="H95" s="9" t="inlineStr">
        <is>
          <t>R4: ACC electrical (VFD) e-house (60 x 120 ft)</t>
        </is>
      </c>
      <c r="I95" s="9" t="inlineStr">
        <is>
          <t>LV 600 V</t>
        </is>
      </c>
      <c r="J95" s="9" t="inlineStr">
        <is>
          <t>350 kcmil</t>
        </is>
      </c>
      <c r="K95" s="9" t="n">
        <v>1</v>
      </c>
    </row>
    <row r="96">
      <c r="A96" s="9" t="inlineStr">
        <is>
          <t>ACC fan motor F19</t>
        </is>
      </c>
      <c r="B96" s="9" t="inlineStr">
        <is>
          <t>ACC-F19</t>
        </is>
      </c>
      <c r="C96" s="9" t="inlineStr">
        <is>
          <t>B</t>
        </is>
      </c>
      <c r="D96" s="9" t="inlineStr">
        <is>
          <t>ACC fan F19 motor (VFD output)</t>
        </is>
      </c>
      <c r="E96" s="9" t="n">
        <v>480</v>
      </c>
      <c r="F96" s="9" t="n">
        <v>150</v>
      </c>
      <c r="G96" s="9" t="n">
        <v>212</v>
      </c>
      <c r="H96" s="9" t="inlineStr">
        <is>
          <t>R4: ACC electrical (VFD) e-house (60 x 120 ft)</t>
        </is>
      </c>
      <c r="I96" s="9" t="inlineStr">
        <is>
          <t>LV 600 V</t>
        </is>
      </c>
      <c r="J96" s="9" t="inlineStr">
        <is>
          <t>350 kcmil</t>
        </is>
      </c>
      <c r="K96" s="9" t="n">
        <v>1</v>
      </c>
    </row>
    <row r="97">
      <c r="A97" s="9" t="inlineStr">
        <is>
          <t>ACC fan motor F20</t>
        </is>
      </c>
      <c r="B97" s="9" t="inlineStr">
        <is>
          <t>ACC-F20</t>
        </is>
      </c>
      <c r="C97" s="9" t="inlineStr">
        <is>
          <t>B</t>
        </is>
      </c>
      <c r="D97" s="9" t="inlineStr">
        <is>
          <t>ACC fan F20 motor (VFD output)</t>
        </is>
      </c>
      <c r="E97" s="9" t="n">
        <v>480</v>
      </c>
      <c r="F97" s="9" t="n">
        <v>150</v>
      </c>
      <c r="G97" s="9" t="n">
        <v>212</v>
      </c>
      <c r="H97" s="9" t="inlineStr">
        <is>
          <t>R4: ACC electrical (VFD) e-house (60 x 120 ft)</t>
        </is>
      </c>
      <c r="I97" s="9" t="inlineStr">
        <is>
          <t>LV 600 V</t>
        </is>
      </c>
      <c r="J97" s="9" t="inlineStr">
        <is>
          <t>350 kcmil</t>
        </is>
      </c>
      <c r="K97" s="9" t="n">
        <v>1</v>
      </c>
    </row>
    <row r="98">
      <c r="A98" s="9" t="inlineStr">
        <is>
          <t>ACC fan motor F21</t>
        </is>
      </c>
      <c r="B98" s="9" t="inlineStr">
        <is>
          <t>ACC-F21</t>
        </is>
      </c>
      <c r="C98" s="9" t="inlineStr">
        <is>
          <t>B</t>
        </is>
      </c>
      <c r="D98" s="9" t="inlineStr">
        <is>
          <t>ACC fan F21 motor (VFD output)</t>
        </is>
      </c>
      <c r="E98" s="9" t="n">
        <v>480</v>
      </c>
      <c r="F98" s="9" t="n">
        <v>150</v>
      </c>
      <c r="G98" s="9" t="n">
        <v>212</v>
      </c>
      <c r="H98" s="9" t="inlineStr">
        <is>
          <t>R4: ACC electrical (VFD) e-house (60 x 120 ft)</t>
        </is>
      </c>
      <c r="I98" s="9" t="inlineStr">
        <is>
          <t>LV 600 V</t>
        </is>
      </c>
      <c r="J98" s="9" t="inlineStr">
        <is>
          <t>350 kcmil</t>
        </is>
      </c>
      <c r="K98" s="9" t="n">
        <v>1</v>
      </c>
    </row>
    <row r="99">
      <c r="A99" s="9" t="inlineStr">
        <is>
          <t>ACC fan motor F22</t>
        </is>
      </c>
      <c r="B99" s="9" t="inlineStr">
        <is>
          <t>ACC-F22</t>
        </is>
      </c>
      <c r="C99" s="9" t="inlineStr">
        <is>
          <t>B</t>
        </is>
      </c>
      <c r="D99" s="9" t="inlineStr">
        <is>
          <t>ACC fan F22 motor (VFD output)</t>
        </is>
      </c>
      <c r="E99" s="9" t="n">
        <v>480</v>
      </c>
      <c r="F99" s="9" t="n">
        <v>150</v>
      </c>
      <c r="G99" s="9" t="n">
        <v>212</v>
      </c>
      <c r="H99" s="9" t="inlineStr">
        <is>
          <t>R4: ACC electrical (VFD) e-house (60 x 120 ft)</t>
        </is>
      </c>
      <c r="I99" s="9" t="inlineStr">
        <is>
          <t>LV 600 V</t>
        </is>
      </c>
      <c r="J99" s="9" t="inlineStr">
        <is>
          <t>350 kcmil</t>
        </is>
      </c>
      <c r="K99" s="9" t="n">
        <v>1</v>
      </c>
    </row>
    <row r="100">
      <c r="A100" s="9" t="inlineStr">
        <is>
          <t>ACC fan motor F23</t>
        </is>
      </c>
      <c r="B100" s="9" t="inlineStr">
        <is>
          <t>ACC-F23</t>
        </is>
      </c>
      <c r="C100" s="9" t="inlineStr">
        <is>
          <t>B</t>
        </is>
      </c>
      <c r="D100" s="9" t="inlineStr">
        <is>
          <t>ACC fan F23 motor (VFD output)</t>
        </is>
      </c>
      <c r="E100" s="9" t="n">
        <v>480</v>
      </c>
      <c r="F100" s="9" t="n">
        <v>150</v>
      </c>
      <c r="G100" s="9" t="n">
        <v>212</v>
      </c>
      <c r="H100" s="9" t="inlineStr">
        <is>
          <t>R4: ACC electrical (VFD) e-house (60 x 120 ft)</t>
        </is>
      </c>
      <c r="I100" s="9" t="inlineStr">
        <is>
          <t>LV 600 V</t>
        </is>
      </c>
      <c r="J100" s="9" t="inlineStr">
        <is>
          <t>350 kcmil</t>
        </is>
      </c>
      <c r="K100" s="9" t="n">
        <v>1</v>
      </c>
    </row>
    <row r="101">
      <c r="A101" s="9" t="inlineStr">
        <is>
          <t>ACC fan motor F24</t>
        </is>
      </c>
      <c r="B101" s="9" t="inlineStr">
        <is>
          <t>ACC-F24</t>
        </is>
      </c>
      <c r="C101" s="9" t="inlineStr">
        <is>
          <t>B</t>
        </is>
      </c>
      <c r="D101" s="9" t="inlineStr">
        <is>
          <t>ACC fan F24 motor (VFD output)</t>
        </is>
      </c>
      <c r="E101" s="9" t="n">
        <v>480</v>
      </c>
      <c r="F101" s="9" t="n">
        <v>150</v>
      </c>
      <c r="G101" s="9" t="n">
        <v>212</v>
      </c>
      <c r="H101" s="9" t="inlineStr">
        <is>
          <t>R4: ACC electrical (VFD) e-house (60 x 120 ft)</t>
        </is>
      </c>
      <c r="I101" s="9" t="inlineStr">
        <is>
          <t>LV 600 V</t>
        </is>
      </c>
      <c r="J101" s="9" t="inlineStr">
        <is>
          <t>350 kcmil</t>
        </is>
      </c>
      <c r="K101" s="9" t="n">
        <v>1</v>
      </c>
    </row>
    <row r="102">
      <c r="A102" s="9" t="inlineStr">
        <is>
          <t>ACC fan motor F25</t>
        </is>
      </c>
      <c r="B102" s="9" t="inlineStr">
        <is>
          <t>ACC-F25</t>
        </is>
      </c>
      <c r="C102" s="9" t="inlineStr">
        <is>
          <t>B</t>
        </is>
      </c>
      <c r="D102" s="9" t="inlineStr">
        <is>
          <t>ACC fan F25 motor (VFD output)</t>
        </is>
      </c>
      <c r="E102" s="9" t="n">
        <v>480</v>
      </c>
      <c r="F102" s="9" t="n">
        <v>150</v>
      </c>
      <c r="G102" s="9" t="n">
        <v>212</v>
      </c>
      <c r="H102" s="9" t="inlineStr">
        <is>
          <t>R4: ACC electrical (VFD) e-house (60 x 120 ft)</t>
        </is>
      </c>
      <c r="I102" s="9" t="inlineStr">
        <is>
          <t>LV 600 V</t>
        </is>
      </c>
      <c r="J102" s="9" t="inlineStr">
        <is>
          <t>350 kcmil</t>
        </is>
      </c>
      <c r="K102" s="9" t="n">
        <v>1</v>
      </c>
    </row>
    <row r="103">
      <c r="A103" s="9" t="inlineStr">
        <is>
          <t>ACC fan motor F26</t>
        </is>
      </c>
      <c r="B103" s="9" t="inlineStr">
        <is>
          <t>ACC-F26</t>
        </is>
      </c>
      <c r="C103" s="9" t="inlineStr">
        <is>
          <t>B</t>
        </is>
      </c>
      <c r="D103" s="9" t="inlineStr">
        <is>
          <t>ACC fan F26 motor (VFD output)</t>
        </is>
      </c>
      <c r="E103" s="9" t="n">
        <v>480</v>
      </c>
      <c r="F103" s="9" t="n">
        <v>150</v>
      </c>
      <c r="G103" s="9" t="n">
        <v>212</v>
      </c>
      <c r="H103" s="9" t="inlineStr">
        <is>
          <t>R4: ACC electrical (VFD) e-house (60 x 120 ft)</t>
        </is>
      </c>
      <c r="I103" s="9" t="inlineStr">
        <is>
          <t>LV 600 V</t>
        </is>
      </c>
      <c r="J103" s="9" t="inlineStr">
        <is>
          <t>350 kcmil</t>
        </is>
      </c>
      <c r="K103" s="9" t="n">
        <v>1</v>
      </c>
    </row>
    <row r="104">
      <c r="A104" s="9" t="inlineStr">
        <is>
          <t>ACC fan motor F27</t>
        </is>
      </c>
      <c r="B104" s="9" t="inlineStr">
        <is>
          <t>ACC-F27</t>
        </is>
      </c>
      <c r="C104" s="9" t="inlineStr">
        <is>
          <t>B</t>
        </is>
      </c>
      <c r="D104" s="9" t="inlineStr">
        <is>
          <t>ACC fan F27 motor (VFD output)</t>
        </is>
      </c>
      <c r="E104" s="9" t="n">
        <v>480</v>
      </c>
      <c r="F104" s="9" t="n">
        <v>150</v>
      </c>
      <c r="G104" s="9" t="n">
        <v>212</v>
      </c>
      <c r="H104" s="9" t="inlineStr">
        <is>
          <t>R4: ACC electrical (VFD) e-house (60 x 120 ft)</t>
        </is>
      </c>
      <c r="I104" s="9" t="inlineStr">
        <is>
          <t>LV 600 V</t>
        </is>
      </c>
      <c r="J104" s="9" t="inlineStr">
        <is>
          <t>350 kcmil</t>
        </is>
      </c>
      <c r="K104" s="9" t="n">
        <v>1</v>
      </c>
    </row>
    <row r="105">
      <c r="A105" s="9" t="inlineStr">
        <is>
          <t>ACC fan motor F28</t>
        </is>
      </c>
      <c r="B105" s="9" t="inlineStr">
        <is>
          <t>ACC-F28</t>
        </is>
      </c>
      <c r="C105" s="9" t="inlineStr">
        <is>
          <t>B</t>
        </is>
      </c>
      <c r="D105" s="9" t="inlineStr">
        <is>
          <t>ACC fan F28 motor (VFD output)</t>
        </is>
      </c>
      <c r="E105" s="9" t="n">
        <v>480</v>
      </c>
      <c r="F105" s="9" t="n">
        <v>150</v>
      </c>
      <c r="G105" s="9" t="n">
        <v>212</v>
      </c>
      <c r="H105" s="9" t="inlineStr">
        <is>
          <t>R4: ACC electrical (VFD) e-house (60 x 120 ft)</t>
        </is>
      </c>
      <c r="I105" s="9" t="inlineStr">
        <is>
          <t>LV 600 V</t>
        </is>
      </c>
      <c r="J105" s="9" t="inlineStr">
        <is>
          <t>350 kcmil</t>
        </is>
      </c>
      <c r="K105" s="9" t="n">
        <v>1</v>
      </c>
    </row>
    <row r="106">
      <c r="A106" s="9" t="inlineStr">
        <is>
          <t>ACC fan motor F29</t>
        </is>
      </c>
      <c r="B106" s="9" t="inlineStr">
        <is>
          <t>ACC-F29</t>
        </is>
      </c>
      <c r="C106" s="9" t="inlineStr">
        <is>
          <t>B</t>
        </is>
      </c>
      <c r="D106" s="9" t="inlineStr">
        <is>
          <t>ACC fan F29 motor (VFD output)</t>
        </is>
      </c>
      <c r="E106" s="9" t="n">
        <v>480</v>
      </c>
      <c r="F106" s="9" t="n">
        <v>150</v>
      </c>
      <c r="G106" s="9" t="n">
        <v>212</v>
      </c>
      <c r="H106" s="9" t="inlineStr">
        <is>
          <t>R4: ACC electrical (VFD) e-house (60 x 120 ft)</t>
        </is>
      </c>
      <c r="I106" s="9" t="inlineStr">
        <is>
          <t>LV 600 V</t>
        </is>
      </c>
      <c r="J106" s="9" t="inlineStr">
        <is>
          <t>350 kcmil</t>
        </is>
      </c>
      <c r="K106" s="9" t="n">
        <v>1</v>
      </c>
    </row>
    <row r="107">
      <c r="A107" s="9" t="inlineStr">
        <is>
          <t>ACC fan motor F30</t>
        </is>
      </c>
      <c r="B107" s="9" t="inlineStr">
        <is>
          <t>ACC-F30</t>
        </is>
      </c>
      <c r="C107" s="9" t="inlineStr">
        <is>
          <t>B</t>
        </is>
      </c>
      <c r="D107" s="9" t="inlineStr">
        <is>
          <t>ACC fan F30 motor (VFD output)</t>
        </is>
      </c>
      <c r="E107" s="9" t="n">
        <v>480</v>
      </c>
      <c r="F107" s="9" t="n">
        <v>150</v>
      </c>
      <c r="G107" s="9" t="n">
        <v>212</v>
      </c>
      <c r="H107" s="9" t="inlineStr">
        <is>
          <t>R4: ACC electrical (VFD) e-house (60 x 120 ft)</t>
        </is>
      </c>
      <c r="I107" s="9" t="inlineStr">
        <is>
          <t>LV 600 V</t>
        </is>
      </c>
      <c r="J107" s="9" t="inlineStr">
        <is>
          <t>350 kcmil</t>
        </is>
      </c>
      <c r="K107" s="9" t="n">
        <v>1</v>
      </c>
    </row>
    <row r="108">
      <c r="A108" s="9" t="inlineStr">
        <is>
          <t>ACC fan motor F31</t>
        </is>
      </c>
      <c r="B108" s="9" t="inlineStr">
        <is>
          <t>ACC-F31</t>
        </is>
      </c>
      <c r="C108" s="9" t="inlineStr">
        <is>
          <t>B</t>
        </is>
      </c>
      <c r="D108" s="9" t="inlineStr">
        <is>
          <t>ACC fan F31 motor (VFD output)</t>
        </is>
      </c>
      <c r="E108" s="9" t="n">
        <v>480</v>
      </c>
      <c r="F108" s="9" t="n">
        <v>150</v>
      </c>
      <c r="G108" s="9" t="n">
        <v>212</v>
      </c>
      <c r="H108" s="9" t="inlineStr">
        <is>
          <t>R4: ACC electrical (VFD) e-house (60 x 120 ft)</t>
        </is>
      </c>
      <c r="I108" s="9" t="inlineStr">
        <is>
          <t>LV 600 V</t>
        </is>
      </c>
      <c r="J108" s="9" t="inlineStr">
        <is>
          <t>350 kcmil</t>
        </is>
      </c>
      <c r="K108" s="9" t="n">
        <v>1</v>
      </c>
    </row>
    <row r="109">
      <c r="A109" s="9" t="inlineStr">
        <is>
          <t>ACC fan motor F32</t>
        </is>
      </c>
      <c r="B109" s="9" t="inlineStr">
        <is>
          <t>ACC-F32</t>
        </is>
      </c>
      <c r="C109" s="9" t="inlineStr">
        <is>
          <t>B</t>
        </is>
      </c>
      <c r="D109" s="9" t="inlineStr">
        <is>
          <t>ACC fan F32 motor (VFD output)</t>
        </is>
      </c>
      <c r="E109" s="9" t="n">
        <v>480</v>
      </c>
      <c r="F109" s="9" t="n">
        <v>150</v>
      </c>
      <c r="G109" s="9" t="n">
        <v>212</v>
      </c>
      <c r="H109" s="9" t="inlineStr">
        <is>
          <t>R4: ACC electrical (VFD) e-house (60 x 120 ft)</t>
        </is>
      </c>
      <c r="I109" s="9" t="inlineStr">
        <is>
          <t>LV 600 V</t>
        </is>
      </c>
      <c r="J109" s="9" t="inlineStr">
        <is>
          <t>350 kcmil</t>
        </is>
      </c>
      <c r="K109" s="9" t="n">
        <v>1</v>
      </c>
    </row>
    <row r="110">
      <c r="A110" s="9" t="inlineStr">
        <is>
          <t>ACC fan motor F33</t>
        </is>
      </c>
      <c r="B110" s="9" t="inlineStr">
        <is>
          <t>ACC-F33</t>
        </is>
      </c>
      <c r="C110" s="9" t="inlineStr">
        <is>
          <t>B</t>
        </is>
      </c>
      <c r="D110" s="9" t="inlineStr">
        <is>
          <t>ACC fan F33 motor (VFD output)</t>
        </is>
      </c>
      <c r="E110" s="9" t="n">
        <v>480</v>
      </c>
      <c r="F110" s="9" t="n">
        <v>150</v>
      </c>
      <c r="G110" s="9" t="n">
        <v>212</v>
      </c>
      <c r="H110" s="9" t="inlineStr">
        <is>
          <t>R4: ACC electrical (VFD) e-house (60 x 120 ft)</t>
        </is>
      </c>
      <c r="I110" s="9" t="inlineStr">
        <is>
          <t>LV 600 V</t>
        </is>
      </c>
      <c r="J110" s="9" t="inlineStr">
        <is>
          <t>350 kcmil</t>
        </is>
      </c>
      <c r="K110" s="9" t="n">
        <v>1</v>
      </c>
    </row>
    <row r="111">
      <c r="A111" s="9" t="inlineStr">
        <is>
          <t>ACC fan motor F34</t>
        </is>
      </c>
      <c r="B111" s="9" t="inlineStr">
        <is>
          <t>ACC-F34</t>
        </is>
      </c>
      <c r="C111" s="9" t="inlineStr">
        <is>
          <t>B</t>
        </is>
      </c>
      <c r="D111" s="9" t="inlineStr">
        <is>
          <t>ACC fan F34 motor (VFD output)</t>
        </is>
      </c>
      <c r="E111" s="9" t="n">
        <v>480</v>
      </c>
      <c r="F111" s="9" t="n">
        <v>150</v>
      </c>
      <c r="G111" s="9" t="n">
        <v>212</v>
      </c>
      <c r="H111" s="9" t="inlineStr">
        <is>
          <t>R4: ACC electrical (VFD) e-house (60 x 120 ft)</t>
        </is>
      </c>
      <c r="I111" s="9" t="inlineStr">
        <is>
          <t>LV 600 V</t>
        </is>
      </c>
      <c r="J111" s="9" t="inlineStr">
        <is>
          <t>350 kcmil</t>
        </is>
      </c>
      <c r="K111" s="9" t="n">
        <v>1</v>
      </c>
    </row>
    <row r="112">
      <c r="A112" s="9" t="inlineStr">
        <is>
          <t>ACC fan motor F35</t>
        </is>
      </c>
      <c r="B112" s="9" t="inlineStr">
        <is>
          <t>ACC-F35</t>
        </is>
      </c>
      <c r="C112" s="9" t="inlineStr">
        <is>
          <t>B</t>
        </is>
      </c>
      <c r="D112" s="9" t="inlineStr">
        <is>
          <t>ACC fan F35 motor (VFD output)</t>
        </is>
      </c>
      <c r="E112" s="9" t="n">
        <v>480</v>
      </c>
      <c r="F112" s="9" t="n">
        <v>150</v>
      </c>
      <c r="G112" s="9" t="n">
        <v>212</v>
      </c>
      <c r="H112" s="9" t="inlineStr">
        <is>
          <t>R4: ACC electrical (VFD) e-house (60 x 120 ft)</t>
        </is>
      </c>
      <c r="I112" s="9" t="inlineStr">
        <is>
          <t>LV 600 V</t>
        </is>
      </c>
      <c r="J112" s="9" t="inlineStr">
        <is>
          <t>350 kcmil</t>
        </is>
      </c>
      <c r="K112" s="9" t="n">
        <v>1</v>
      </c>
    </row>
    <row r="113">
      <c r="A113" s="9" t="inlineStr">
        <is>
          <t>ACC fan motor F36</t>
        </is>
      </c>
      <c r="B113" s="9" t="inlineStr">
        <is>
          <t>ACC-F36</t>
        </is>
      </c>
      <c r="C113" s="9" t="inlineStr">
        <is>
          <t>B</t>
        </is>
      </c>
      <c r="D113" s="9" t="inlineStr">
        <is>
          <t>ACC fan F36 motor (VFD output)</t>
        </is>
      </c>
      <c r="E113" s="9" t="n">
        <v>480</v>
      </c>
      <c r="F113" s="9" t="n">
        <v>150</v>
      </c>
      <c r="G113" s="9" t="n">
        <v>212</v>
      </c>
      <c r="H113" s="9" t="inlineStr">
        <is>
          <t>R4: ACC electrical (VFD) e-house (60 x 120 ft)</t>
        </is>
      </c>
      <c r="I113" s="9" t="inlineStr">
        <is>
          <t>LV 600 V</t>
        </is>
      </c>
      <c r="J113" s="9" t="inlineStr">
        <is>
          <t>350 kcmil</t>
        </is>
      </c>
      <c r="K113" s="9" t="n">
        <v>1</v>
      </c>
    </row>
    <row r="114">
      <c r="A114" s="9" t="inlineStr">
        <is>
          <t>ACC fan motor F37</t>
        </is>
      </c>
      <c r="B114" s="9" t="inlineStr">
        <is>
          <t>ACC-F37</t>
        </is>
      </c>
      <c r="C114" s="9" t="inlineStr">
        <is>
          <t>B</t>
        </is>
      </c>
      <c r="D114" s="9" t="inlineStr">
        <is>
          <t>ACC fan F37 motor (VFD output)</t>
        </is>
      </c>
      <c r="E114" s="9" t="n">
        <v>480</v>
      </c>
      <c r="F114" s="9" t="n">
        <v>150</v>
      </c>
      <c r="G114" s="9" t="n">
        <v>212</v>
      </c>
      <c r="H114" s="9" t="inlineStr">
        <is>
          <t>R4: ACC electrical (VFD) e-house (60 x 120 ft)</t>
        </is>
      </c>
      <c r="I114" s="9" t="inlineStr">
        <is>
          <t>LV 600 V</t>
        </is>
      </c>
      <c r="J114" s="9" t="inlineStr">
        <is>
          <t>350 kcmil</t>
        </is>
      </c>
      <c r="K114" s="9" t="n">
        <v>1</v>
      </c>
    </row>
    <row r="115">
      <c r="A115" s="9" t="inlineStr">
        <is>
          <t>ACC fan motor F38</t>
        </is>
      </c>
      <c r="B115" s="9" t="inlineStr">
        <is>
          <t>ACC-F38</t>
        </is>
      </c>
      <c r="C115" s="9" t="inlineStr">
        <is>
          <t>B</t>
        </is>
      </c>
      <c r="D115" s="9" t="inlineStr">
        <is>
          <t>ACC fan F38 motor (VFD output)</t>
        </is>
      </c>
      <c r="E115" s="9" t="n">
        <v>480</v>
      </c>
      <c r="F115" s="9" t="n">
        <v>150</v>
      </c>
      <c r="G115" s="9" t="n">
        <v>212</v>
      </c>
      <c r="H115" s="9" t="inlineStr">
        <is>
          <t>R4: ACC electrical (VFD) e-house (60 x 120 ft)</t>
        </is>
      </c>
      <c r="I115" s="9" t="inlineStr">
        <is>
          <t>LV 600 V</t>
        </is>
      </c>
      <c r="J115" s="9" t="inlineStr">
        <is>
          <t>350 kcmil</t>
        </is>
      </c>
      <c r="K115" s="9" t="n">
        <v>1</v>
      </c>
    </row>
    <row r="116">
      <c r="A116" s="9" t="inlineStr">
        <is>
          <t>ACC fan motor F39</t>
        </is>
      </c>
      <c r="B116" s="9" t="inlineStr">
        <is>
          <t>ACC-F39</t>
        </is>
      </c>
      <c r="C116" s="9" t="inlineStr">
        <is>
          <t>B</t>
        </is>
      </c>
      <c r="D116" s="9" t="inlineStr">
        <is>
          <t>ACC fan F39 motor (VFD output)</t>
        </is>
      </c>
      <c r="E116" s="9" t="n">
        <v>480</v>
      </c>
      <c r="F116" s="9" t="n">
        <v>150</v>
      </c>
      <c r="G116" s="9" t="n">
        <v>212</v>
      </c>
      <c r="H116" s="9" t="inlineStr">
        <is>
          <t>R4: ACC electrical (VFD) e-house (60 x 120 ft)</t>
        </is>
      </c>
      <c r="I116" s="9" t="inlineStr">
        <is>
          <t>LV 600 V</t>
        </is>
      </c>
      <c r="J116" s="9" t="inlineStr">
        <is>
          <t>350 kcmil</t>
        </is>
      </c>
      <c r="K116" s="9" t="n">
        <v>1</v>
      </c>
    </row>
    <row r="117">
      <c r="A117" s="9" t="inlineStr">
        <is>
          <t>ACC fan motor F40</t>
        </is>
      </c>
      <c r="B117" s="9" t="inlineStr">
        <is>
          <t>ACC-F40</t>
        </is>
      </c>
      <c r="C117" s="9" t="inlineStr">
        <is>
          <t>B</t>
        </is>
      </c>
      <c r="D117" s="9" t="inlineStr">
        <is>
          <t>ACC fan F40 motor (VFD output)</t>
        </is>
      </c>
      <c r="E117" s="9" t="n">
        <v>480</v>
      </c>
      <c r="F117" s="9" t="n">
        <v>150</v>
      </c>
      <c r="G117" s="9" t="n">
        <v>212</v>
      </c>
      <c r="H117" s="9" t="inlineStr">
        <is>
          <t>R4: ACC electrical (VFD) e-house (60 x 120 ft)</t>
        </is>
      </c>
      <c r="I117" s="9" t="inlineStr">
        <is>
          <t>LV 600 V</t>
        </is>
      </c>
      <c r="J117" s="9" t="inlineStr">
        <is>
          <t>350 kcmil</t>
        </is>
      </c>
      <c r="K117" s="9" t="n">
        <v>1</v>
      </c>
    </row>
    <row r="118">
      <c r="A118" s="9" t="inlineStr">
        <is>
          <t>ACC fan motor F41</t>
        </is>
      </c>
      <c r="B118" s="9" t="inlineStr">
        <is>
          <t>ACC-F41</t>
        </is>
      </c>
      <c r="C118" s="9" t="inlineStr">
        <is>
          <t>B</t>
        </is>
      </c>
      <c r="D118" s="9" t="inlineStr">
        <is>
          <t>ACC fan F41 motor (VFD output)</t>
        </is>
      </c>
      <c r="E118" s="9" t="n">
        <v>480</v>
      </c>
      <c r="F118" s="9" t="n">
        <v>150</v>
      </c>
      <c r="G118" s="9" t="n">
        <v>212</v>
      </c>
      <c r="H118" s="9" t="inlineStr">
        <is>
          <t>R4: ACC electrical (VFD) e-house (60 x 120 ft)</t>
        </is>
      </c>
      <c r="I118" s="9" t="inlineStr">
        <is>
          <t>LV 600 V</t>
        </is>
      </c>
      <c r="J118" s="9" t="inlineStr">
        <is>
          <t>350 kcmil</t>
        </is>
      </c>
      <c r="K118" s="9" t="n">
        <v>1</v>
      </c>
    </row>
    <row r="119">
      <c r="A119" s="9" t="inlineStr">
        <is>
          <t>ACC fan motor F42</t>
        </is>
      </c>
      <c r="B119" s="9" t="inlineStr">
        <is>
          <t>ACC-F42</t>
        </is>
      </c>
      <c r="C119" s="9" t="inlineStr">
        <is>
          <t>B</t>
        </is>
      </c>
      <c r="D119" s="9" t="inlineStr">
        <is>
          <t>ACC fan F42 motor (VFD output)</t>
        </is>
      </c>
      <c r="E119" s="9" t="n">
        <v>480</v>
      </c>
      <c r="F119" s="9" t="n">
        <v>150</v>
      </c>
      <c r="G119" s="9" t="n">
        <v>212</v>
      </c>
      <c r="H119" s="9" t="inlineStr">
        <is>
          <t>R4: ACC electrical (VFD) e-house (60 x 120 ft)</t>
        </is>
      </c>
      <c r="I119" s="9" t="inlineStr">
        <is>
          <t>LV 600 V</t>
        </is>
      </c>
      <c r="J119" s="9" t="inlineStr">
        <is>
          <t>350 kcmil</t>
        </is>
      </c>
      <c r="K119" s="9" t="n">
        <v>1</v>
      </c>
    </row>
    <row r="120">
      <c r="A120" s="9" t="inlineStr">
        <is>
          <t>ACC fan motor F43</t>
        </is>
      </c>
      <c r="B120" s="9" t="inlineStr">
        <is>
          <t>ACC-F43</t>
        </is>
      </c>
      <c r="C120" s="9" t="inlineStr">
        <is>
          <t>B</t>
        </is>
      </c>
      <c r="D120" s="9" t="inlineStr">
        <is>
          <t>ACC fan F43 motor (VFD output)</t>
        </is>
      </c>
      <c r="E120" s="9" t="n">
        <v>480</v>
      </c>
      <c r="F120" s="9" t="n">
        <v>150</v>
      </c>
      <c r="G120" s="9" t="n">
        <v>212</v>
      </c>
      <c r="H120" s="9" t="inlineStr">
        <is>
          <t>R4: ACC electrical (VFD) e-house (60 x 120 ft)</t>
        </is>
      </c>
      <c r="I120" s="9" t="inlineStr">
        <is>
          <t>LV 600 V</t>
        </is>
      </c>
      <c r="J120" s="9" t="inlineStr">
        <is>
          <t>350 kcmil</t>
        </is>
      </c>
      <c r="K120" s="9" t="n">
        <v>1</v>
      </c>
    </row>
    <row r="121">
      <c r="A121" s="9" t="inlineStr">
        <is>
          <t>ACC fan motor F44</t>
        </is>
      </c>
      <c r="B121" s="9" t="inlineStr">
        <is>
          <t>ACC-F44</t>
        </is>
      </c>
      <c r="C121" s="9" t="inlineStr">
        <is>
          <t>B</t>
        </is>
      </c>
      <c r="D121" s="9" t="inlineStr">
        <is>
          <t>ACC fan F44 motor (VFD output)</t>
        </is>
      </c>
      <c r="E121" s="9" t="n">
        <v>480</v>
      </c>
      <c r="F121" s="9" t="n">
        <v>150</v>
      </c>
      <c r="G121" s="9" t="n">
        <v>212</v>
      </c>
      <c r="H121" s="9" t="inlineStr">
        <is>
          <t>R4: ACC electrical (VFD) e-house (60 x 120 ft)</t>
        </is>
      </c>
      <c r="I121" s="9" t="inlineStr">
        <is>
          <t>LV 600 V</t>
        </is>
      </c>
      <c r="J121" s="9" t="inlineStr">
        <is>
          <t>350 kcmil</t>
        </is>
      </c>
      <c r="K121" s="9" t="n">
        <v>1</v>
      </c>
    </row>
    <row r="122">
      <c r="A122" s="9" t="inlineStr">
        <is>
          <t>ACC fan motor F45</t>
        </is>
      </c>
      <c r="B122" s="9" t="inlineStr">
        <is>
          <t>ACC-F45</t>
        </is>
      </c>
      <c r="C122" s="9" t="inlineStr">
        <is>
          <t>B</t>
        </is>
      </c>
      <c r="D122" s="9" t="inlineStr">
        <is>
          <t>ACC fan F45 motor (VFD output)</t>
        </is>
      </c>
      <c r="E122" s="9" t="n">
        <v>480</v>
      </c>
      <c r="F122" s="9" t="n">
        <v>150</v>
      </c>
      <c r="G122" s="9" t="n">
        <v>212</v>
      </c>
      <c r="H122" s="9" t="inlineStr">
        <is>
          <t>R4: ACC electrical (VFD) e-house (60 x 120 ft)</t>
        </is>
      </c>
      <c r="I122" s="9" t="inlineStr">
        <is>
          <t>LV 600 V</t>
        </is>
      </c>
      <c r="J122" s="9" t="inlineStr">
        <is>
          <t>350 kcmil</t>
        </is>
      </c>
      <c r="K122" s="9" t="n">
        <v>1</v>
      </c>
    </row>
    <row r="123">
      <c r="A123" s="9" t="inlineStr">
        <is>
          <t>ACC fan motor F46</t>
        </is>
      </c>
      <c r="B123" s="9" t="inlineStr">
        <is>
          <t>ACC-F46</t>
        </is>
      </c>
      <c r="C123" s="9" t="inlineStr">
        <is>
          <t>B</t>
        </is>
      </c>
      <c r="D123" s="9" t="inlineStr">
        <is>
          <t>ACC fan F46 motor (VFD output)</t>
        </is>
      </c>
      <c r="E123" s="9" t="n">
        <v>480</v>
      </c>
      <c r="F123" s="9" t="n">
        <v>150</v>
      </c>
      <c r="G123" s="9" t="n">
        <v>212</v>
      </c>
      <c r="H123" s="9" t="inlineStr">
        <is>
          <t>R4: ACC electrical (VFD) e-house (60 x 120 ft)</t>
        </is>
      </c>
      <c r="I123" s="9" t="inlineStr">
        <is>
          <t>LV 600 V</t>
        </is>
      </c>
      <c r="J123" s="9" t="inlineStr">
        <is>
          <t>350 kcmil</t>
        </is>
      </c>
      <c r="K123" s="9" t="n">
        <v>1</v>
      </c>
    </row>
    <row r="124">
      <c r="A124" s="9" t="inlineStr">
        <is>
          <t>ACC fan motor F47</t>
        </is>
      </c>
      <c r="B124" s="9" t="inlineStr">
        <is>
          <t>ACC-F47</t>
        </is>
      </c>
      <c r="C124" s="9" t="inlineStr">
        <is>
          <t>B</t>
        </is>
      </c>
      <c r="D124" s="9" t="inlineStr">
        <is>
          <t>ACC fan F47 motor (VFD output)</t>
        </is>
      </c>
      <c r="E124" s="9" t="n">
        <v>480</v>
      </c>
      <c r="F124" s="9" t="n">
        <v>150</v>
      </c>
      <c r="G124" s="9" t="n">
        <v>212</v>
      </c>
      <c r="H124" s="9" t="inlineStr">
        <is>
          <t>R4: ACC electrical (VFD) e-house (60 x 120 ft)</t>
        </is>
      </c>
      <c r="I124" s="9" t="inlineStr">
        <is>
          <t>LV 600 V</t>
        </is>
      </c>
      <c r="J124" s="9" t="inlineStr">
        <is>
          <t>350 kcmil</t>
        </is>
      </c>
      <c r="K124" s="9" t="n">
        <v>1</v>
      </c>
    </row>
    <row r="125">
      <c r="A125" s="9" t="inlineStr">
        <is>
          <t>ACC fan motor F48</t>
        </is>
      </c>
      <c r="B125" s="9" t="inlineStr">
        <is>
          <t>ACC-F48</t>
        </is>
      </c>
      <c r="C125" s="9" t="inlineStr">
        <is>
          <t>B</t>
        </is>
      </c>
      <c r="D125" s="9" t="inlineStr">
        <is>
          <t>ACC fan F48 motor (VFD output)</t>
        </is>
      </c>
      <c r="E125" s="9" t="n">
        <v>480</v>
      </c>
      <c r="F125" s="9" t="n">
        <v>150</v>
      </c>
      <c r="G125" s="9" t="n">
        <v>212</v>
      </c>
      <c r="H125" s="9" t="inlineStr">
        <is>
          <t>R4: ACC electrical (VFD) e-house (60 x 120 ft)</t>
        </is>
      </c>
      <c r="I125" s="9" t="inlineStr">
        <is>
          <t>LV 600 V</t>
        </is>
      </c>
      <c r="J125" s="9" t="inlineStr">
        <is>
          <t>350 kcmil</t>
        </is>
      </c>
      <c r="K125" s="9" t="n">
        <v>1</v>
      </c>
    </row>
    <row r="126">
      <c r="A126" s="9" t="inlineStr">
        <is>
          <t>ACC fan motor F49</t>
        </is>
      </c>
      <c r="B126" s="9" t="inlineStr">
        <is>
          <t>ACC-F49</t>
        </is>
      </c>
      <c r="C126" s="9" t="inlineStr">
        <is>
          <t>B</t>
        </is>
      </c>
      <c r="D126" s="9" t="inlineStr">
        <is>
          <t>ACC fan F49 motor (VFD output)</t>
        </is>
      </c>
      <c r="E126" s="9" t="n">
        <v>480</v>
      </c>
      <c r="F126" s="9" t="n">
        <v>150</v>
      </c>
      <c r="G126" s="9" t="n">
        <v>212</v>
      </c>
      <c r="H126" s="9" t="inlineStr">
        <is>
          <t>R4: ACC electrical (VFD) e-house (60 x 120 ft)</t>
        </is>
      </c>
      <c r="I126" s="9" t="inlineStr">
        <is>
          <t>LV 600 V</t>
        </is>
      </c>
      <c r="J126" s="9" t="inlineStr">
        <is>
          <t>350 kcmil</t>
        </is>
      </c>
      <c r="K126" s="9" t="n">
        <v>1</v>
      </c>
    </row>
    <row r="127">
      <c r="A127" s="9" t="inlineStr">
        <is>
          <t>ACC fan motor F50</t>
        </is>
      </c>
      <c r="B127" s="9" t="inlineStr">
        <is>
          <t>ACC-F50</t>
        </is>
      </c>
      <c r="C127" s="9" t="inlineStr">
        <is>
          <t>B</t>
        </is>
      </c>
      <c r="D127" s="9" t="inlineStr">
        <is>
          <t>ACC fan F50 motor (VFD output)</t>
        </is>
      </c>
      <c r="E127" s="9" t="n">
        <v>480</v>
      </c>
      <c r="F127" s="9" t="n">
        <v>150</v>
      </c>
      <c r="G127" s="9" t="n">
        <v>212</v>
      </c>
      <c r="H127" s="9" t="inlineStr">
        <is>
          <t>R4: ACC electrical (VFD) e-house (60 x 120 ft)</t>
        </is>
      </c>
      <c r="I127" s="9" t="inlineStr">
        <is>
          <t>LV 600 V</t>
        </is>
      </c>
      <c r="J127" s="9" t="inlineStr">
        <is>
          <t>350 kcmil</t>
        </is>
      </c>
      <c r="K127" s="9" t="n">
        <v>1</v>
      </c>
    </row>
    <row r="128">
      <c r="A128" s="9" t="inlineStr">
        <is>
          <t>ACC fan motor F51</t>
        </is>
      </c>
      <c r="B128" s="9" t="inlineStr">
        <is>
          <t>ACC-F51</t>
        </is>
      </c>
      <c r="C128" s="9" t="inlineStr">
        <is>
          <t>B</t>
        </is>
      </c>
      <c r="D128" s="9" t="inlineStr">
        <is>
          <t>ACC fan F51 motor (VFD output)</t>
        </is>
      </c>
      <c r="E128" s="9" t="n">
        <v>480</v>
      </c>
      <c r="F128" s="9" t="n">
        <v>150</v>
      </c>
      <c r="G128" s="9" t="n">
        <v>212</v>
      </c>
      <c r="H128" s="9" t="inlineStr">
        <is>
          <t>R4: ACC electrical (VFD) e-house (60 x 120 ft)</t>
        </is>
      </c>
      <c r="I128" s="9" t="inlineStr">
        <is>
          <t>LV 600 V</t>
        </is>
      </c>
      <c r="J128" s="9" t="inlineStr">
        <is>
          <t>350 kcmil</t>
        </is>
      </c>
      <c r="K128" s="9" t="n">
        <v>1</v>
      </c>
    </row>
    <row r="129">
      <c r="A129" s="9" t="inlineStr">
        <is>
          <t>ACC fan motor F52</t>
        </is>
      </c>
      <c r="B129" s="9" t="inlineStr">
        <is>
          <t>ACC-F52</t>
        </is>
      </c>
      <c r="C129" s="9" t="inlineStr">
        <is>
          <t>B</t>
        </is>
      </c>
      <c r="D129" s="9" t="inlineStr">
        <is>
          <t>ACC fan F52 motor (VFD output)</t>
        </is>
      </c>
      <c r="E129" s="9" t="n">
        <v>480</v>
      </c>
      <c r="F129" s="9" t="n">
        <v>150</v>
      </c>
      <c r="G129" s="9" t="n">
        <v>212</v>
      </c>
      <c r="H129" s="9" t="inlineStr">
        <is>
          <t>R4: ACC electrical (VFD) e-house (60 x 120 ft)</t>
        </is>
      </c>
      <c r="I129" s="9" t="inlineStr">
        <is>
          <t>LV 600 V</t>
        </is>
      </c>
      <c r="J129" s="9" t="inlineStr">
        <is>
          <t>350 kcmil</t>
        </is>
      </c>
      <c r="K129" s="9" t="n">
        <v>1</v>
      </c>
    </row>
    <row r="130">
      <c r="A130" s="9" t="inlineStr">
        <is>
          <t>ACC fan motor F53</t>
        </is>
      </c>
      <c r="B130" s="9" t="inlineStr">
        <is>
          <t>ACC-F53</t>
        </is>
      </c>
      <c r="C130" s="9" t="inlineStr">
        <is>
          <t>B</t>
        </is>
      </c>
      <c r="D130" s="9" t="inlineStr">
        <is>
          <t>ACC fan F53 motor (VFD output)</t>
        </is>
      </c>
      <c r="E130" s="9" t="n">
        <v>480</v>
      </c>
      <c r="F130" s="9" t="n">
        <v>150</v>
      </c>
      <c r="G130" s="9" t="n">
        <v>212</v>
      </c>
      <c r="H130" s="9" t="inlineStr">
        <is>
          <t>R4: ACC electrical (VFD) e-house (60 x 120 ft)</t>
        </is>
      </c>
      <c r="I130" s="9" t="inlineStr">
        <is>
          <t>LV 600 V</t>
        </is>
      </c>
      <c r="J130" s="9" t="inlineStr">
        <is>
          <t>350 kcmil</t>
        </is>
      </c>
      <c r="K130" s="9" t="n">
        <v>1</v>
      </c>
    </row>
    <row r="131">
      <c r="A131" s="9" t="inlineStr">
        <is>
          <t>ACC fan motor F54</t>
        </is>
      </c>
      <c r="B131" s="9" t="inlineStr">
        <is>
          <t>ACC-F54</t>
        </is>
      </c>
      <c r="C131" s="9" t="inlineStr">
        <is>
          <t>B</t>
        </is>
      </c>
      <c r="D131" s="9" t="inlineStr">
        <is>
          <t>ACC fan F54 motor (VFD output)</t>
        </is>
      </c>
      <c r="E131" s="9" t="n">
        <v>480</v>
      </c>
      <c r="F131" s="9" t="n">
        <v>150</v>
      </c>
      <c r="G131" s="9" t="n">
        <v>212</v>
      </c>
      <c r="H131" s="9" t="inlineStr">
        <is>
          <t>R4: ACC electrical (VFD) e-house (60 x 120 ft)</t>
        </is>
      </c>
      <c r="I131" s="9" t="inlineStr">
        <is>
          <t>LV 600 V</t>
        </is>
      </c>
      <c r="J131" s="9" t="inlineStr">
        <is>
          <t>350 kcmil</t>
        </is>
      </c>
      <c r="K131" s="9" t="n">
        <v>1</v>
      </c>
    </row>
    <row r="132">
      <c r="A132" s="9" t="inlineStr">
        <is>
          <t>ACC fan motor F55</t>
        </is>
      </c>
      <c r="B132" s="9" t="inlineStr">
        <is>
          <t>ACC-F55</t>
        </is>
      </c>
      <c r="C132" s="9" t="inlineStr">
        <is>
          <t>B</t>
        </is>
      </c>
      <c r="D132" s="9" t="inlineStr">
        <is>
          <t>ACC fan F55 motor (VFD output)</t>
        </is>
      </c>
      <c r="E132" s="9" t="n">
        <v>480</v>
      </c>
      <c r="F132" s="9" t="n">
        <v>150</v>
      </c>
      <c r="G132" s="9" t="n">
        <v>212</v>
      </c>
      <c r="H132" s="9" t="inlineStr">
        <is>
          <t>R4: ACC electrical (VFD) e-house (60 x 120 ft)</t>
        </is>
      </c>
      <c r="I132" s="9" t="inlineStr">
        <is>
          <t>LV 600 V</t>
        </is>
      </c>
      <c r="J132" s="9" t="inlineStr">
        <is>
          <t>350 kcmil</t>
        </is>
      </c>
      <c r="K132" s="9" t="n">
        <v>1</v>
      </c>
    </row>
    <row r="133">
      <c r="A133" s="9" t="inlineStr">
        <is>
          <t>ACC fan motor F56</t>
        </is>
      </c>
      <c r="B133" s="9" t="inlineStr">
        <is>
          <t>ACC-F56</t>
        </is>
      </c>
      <c r="C133" s="9" t="inlineStr">
        <is>
          <t>B</t>
        </is>
      </c>
      <c r="D133" s="9" t="inlineStr">
        <is>
          <t>ACC fan F56 motor (VFD output)</t>
        </is>
      </c>
      <c r="E133" s="9" t="n">
        <v>480</v>
      </c>
      <c r="F133" s="9" t="n">
        <v>150</v>
      </c>
      <c r="G133" s="9" t="n">
        <v>212</v>
      </c>
      <c r="H133" s="9" t="inlineStr">
        <is>
          <t>R4: ACC electrical (VFD) e-house (60 x 120 ft)</t>
        </is>
      </c>
      <c r="I133" s="9" t="inlineStr">
        <is>
          <t>LV 600 V</t>
        </is>
      </c>
      <c r="J133" s="9" t="inlineStr">
        <is>
          <t>350 kcmil</t>
        </is>
      </c>
      <c r="K133" s="9" t="n">
        <v>1</v>
      </c>
    </row>
    <row r="134">
      <c r="A134" s="9" t="inlineStr">
        <is>
          <t>ACC fan motor F57</t>
        </is>
      </c>
      <c r="B134" s="9" t="inlineStr">
        <is>
          <t>ACC-F57</t>
        </is>
      </c>
      <c r="C134" s="9" t="inlineStr">
        <is>
          <t>B</t>
        </is>
      </c>
      <c r="D134" s="9" t="inlineStr">
        <is>
          <t>ACC fan F57 motor (VFD output)</t>
        </is>
      </c>
      <c r="E134" s="9" t="n">
        <v>480</v>
      </c>
      <c r="F134" s="9" t="n">
        <v>150</v>
      </c>
      <c r="G134" s="9" t="n">
        <v>212</v>
      </c>
      <c r="H134" s="9" t="inlineStr">
        <is>
          <t>R4: ACC electrical (VFD) e-house (60 x 120 ft)</t>
        </is>
      </c>
      <c r="I134" s="9" t="inlineStr">
        <is>
          <t>LV 600 V</t>
        </is>
      </c>
      <c r="J134" s="9" t="inlineStr">
        <is>
          <t>350 kcmil</t>
        </is>
      </c>
      <c r="K134" s="9" t="n">
        <v>1</v>
      </c>
    </row>
    <row r="135">
      <c r="A135" s="9" t="inlineStr">
        <is>
          <t>ACC fan motor F58</t>
        </is>
      </c>
      <c r="B135" s="9" t="inlineStr">
        <is>
          <t>ACC-F58</t>
        </is>
      </c>
      <c r="C135" s="9" t="inlineStr">
        <is>
          <t>B</t>
        </is>
      </c>
      <c r="D135" s="9" t="inlineStr">
        <is>
          <t>ACC fan F58 motor (VFD output)</t>
        </is>
      </c>
      <c r="E135" s="9" t="n">
        <v>480</v>
      </c>
      <c r="F135" s="9" t="n">
        <v>150</v>
      </c>
      <c r="G135" s="9" t="n">
        <v>212</v>
      </c>
      <c r="H135" s="9" t="inlineStr">
        <is>
          <t>R4: ACC electrical (VFD) e-house (60 x 120 ft)</t>
        </is>
      </c>
      <c r="I135" s="9" t="inlineStr">
        <is>
          <t>LV 600 V</t>
        </is>
      </c>
      <c r="J135" s="9" t="inlineStr">
        <is>
          <t>350 kcmil</t>
        </is>
      </c>
      <c r="K135" s="9" t="n">
        <v>1</v>
      </c>
    </row>
    <row r="136">
      <c r="A136" s="9" t="inlineStr">
        <is>
          <t>ACC fan motor F59</t>
        </is>
      </c>
      <c r="B136" s="9" t="inlineStr">
        <is>
          <t>ACC-F59</t>
        </is>
      </c>
      <c r="C136" s="9" t="inlineStr">
        <is>
          <t>B</t>
        </is>
      </c>
      <c r="D136" s="9" t="inlineStr">
        <is>
          <t>ACC fan F59 motor (VFD output)</t>
        </is>
      </c>
      <c r="E136" s="9" t="n">
        <v>480</v>
      </c>
      <c r="F136" s="9" t="n">
        <v>150</v>
      </c>
      <c r="G136" s="9" t="n">
        <v>212</v>
      </c>
      <c r="H136" s="9" t="inlineStr">
        <is>
          <t>R4: ACC electrical (VFD) e-house (60 x 120 ft)</t>
        </is>
      </c>
      <c r="I136" s="9" t="inlineStr">
        <is>
          <t>LV 600 V</t>
        </is>
      </c>
      <c r="J136" s="9" t="inlineStr">
        <is>
          <t>350 kcmil</t>
        </is>
      </c>
      <c r="K136" s="9" t="n">
        <v>1</v>
      </c>
    </row>
    <row r="137">
      <c r="A137" s="9" t="inlineStr">
        <is>
          <t>ACC fan motor F60</t>
        </is>
      </c>
      <c r="B137" s="9" t="inlineStr">
        <is>
          <t>ACC-F60</t>
        </is>
      </c>
      <c r="C137" s="9" t="inlineStr">
        <is>
          <t>B</t>
        </is>
      </c>
      <c r="D137" s="9" t="inlineStr">
        <is>
          <t>ACC fan F60 motor (VFD output)</t>
        </is>
      </c>
      <c r="E137" s="9" t="n">
        <v>480</v>
      </c>
      <c r="F137" s="9" t="n">
        <v>150</v>
      </c>
      <c r="G137" s="9" t="n">
        <v>212</v>
      </c>
      <c r="H137" s="9" t="inlineStr">
        <is>
          <t>R4: ACC electrical (VFD) e-house (60 x 120 ft)</t>
        </is>
      </c>
      <c r="I137" s="9" t="inlineStr">
        <is>
          <t>LV 600 V</t>
        </is>
      </c>
      <c r="J137" s="9" t="inlineStr">
        <is>
          <t>350 kcmil</t>
        </is>
      </c>
      <c r="K137" s="9" t="n">
        <v>1</v>
      </c>
    </row>
    <row r="138">
      <c r="A138" s="9" t="inlineStr">
        <is>
          <t>ACC fan motor F61</t>
        </is>
      </c>
      <c r="B138" s="9" t="inlineStr">
        <is>
          <t>ACC-F61</t>
        </is>
      </c>
      <c r="C138" s="9" t="inlineStr">
        <is>
          <t>B</t>
        </is>
      </c>
      <c r="D138" s="9" t="inlineStr">
        <is>
          <t>ACC fan F61 motor (VFD output)</t>
        </is>
      </c>
      <c r="E138" s="9" t="n">
        <v>480</v>
      </c>
      <c r="F138" s="9" t="n">
        <v>150</v>
      </c>
      <c r="G138" s="9" t="n">
        <v>212</v>
      </c>
      <c r="H138" s="9" t="inlineStr">
        <is>
          <t>R4: ACC electrical (VFD) e-house (60 x 120 ft)</t>
        </is>
      </c>
      <c r="I138" s="9" t="inlineStr">
        <is>
          <t>LV 600 V</t>
        </is>
      </c>
      <c r="J138" s="9" t="inlineStr">
        <is>
          <t>350 kcmil</t>
        </is>
      </c>
      <c r="K138" s="9" t="n">
        <v>1</v>
      </c>
    </row>
    <row r="139">
      <c r="A139" s="9" t="inlineStr">
        <is>
          <t>ACC fan motor F62</t>
        </is>
      </c>
      <c r="B139" s="9" t="inlineStr">
        <is>
          <t>ACC-F62</t>
        </is>
      </c>
      <c r="C139" s="9" t="inlineStr">
        <is>
          <t>B</t>
        </is>
      </c>
      <c r="D139" s="9" t="inlineStr">
        <is>
          <t>ACC fan F62 motor (VFD output)</t>
        </is>
      </c>
      <c r="E139" s="9" t="n">
        <v>480</v>
      </c>
      <c r="F139" s="9" t="n">
        <v>150</v>
      </c>
      <c r="G139" s="9" t="n">
        <v>212</v>
      </c>
      <c r="H139" s="9" t="inlineStr">
        <is>
          <t>R4: ACC electrical (VFD) e-house (60 x 120 ft)</t>
        </is>
      </c>
      <c r="I139" s="9" t="inlineStr">
        <is>
          <t>LV 600 V</t>
        </is>
      </c>
      <c r="J139" s="9" t="inlineStr">
        <is>
          <t>350 kcmil</t>
        </is>
      </c>
      <c r="K139" s="9" t="n">
        <v>1</v>
      </c>
    </row>
    <row r="140">
      <c r="A140" s="9" t="inlineStr">
        <is>
          <t>ACC fan motor F63</t>
        </is>
      </c>
      <c r="B140" s="9" t="inlineStr">
        <is>
          <t>ACC-F63</t>
        </is>
      </c>
      <c r="C140" s="9" t="inlineStr">
        <is>
          <t>B</t>
        </is>
      </c>
      <c r="D140" s="9" t="inlineStr">
        <is>
          <t>ACC fan F63 motor (VFD output)</t>
        </is>
      </c>
      <c r="E140" s="9" t="n">
        <v>480</v>
      </c>
      <c r="F140" s="9" t="n">
        <v>150</v>
      </c>
      <c r="G140" s="9" t="n">
        <v>212</v>
      </c>
      <c r="H140" s="9" t="inlineStr">
        <is>
          <t>R4: ACC electrical (VFD) e-house (60 x 120 ft)</t>
        </is>
      </c>
      <c r="I140" s="9" t="inlineStr">
        <is>
          <t>LV 600 V</t>
        </is>
      </c>
      <c r="J140" s="9" t="inlineStr">
        <is>
          <t>350 kcmil</t>
        </is>
      </c>
      <c r="K140" s="9" t="n">
        <v>1</v>
      </c>
    </row>
    <row r="141">
      <c r="A141" s="9" t="inlineStr">
        <is>
          <t>ACC fan motor F64</t>
        </is>
      </c>
      <c r="B141" s="9" t="inlineStr">
        <is>
          <t>ACC-F64</t>
        </is>
      </c>
      <c r="C141" s="9" t="inlineStr">
        <is>
          <t>B</t>
        </is>
      </c>
      <c r="D141" s="9" t="inlineStr">
        <is>
          <t>ACC fan F64 motor (VFD output)</t>
        </is>
      </c>
      <c r="E141" s="9" t="n">
        <v>480</v>
      </c>
      <c r="F141" s="9" t="n">
        <v>150</v>
      </c>
      <c r="G141" s="9" t="n">
        <v>212</v>
      </c>
      <c r="H141" s="9" t="inlineStr">
        <is>
          <t>R4: ACC electrical (VFD) e-house (60 x 120 ft)</t>
        </is>
      </c>
      <c r="I141" s="9" t="inlineStr">
        <is>
          <t>LV 600 V</t>
        </is>
      </c>
      <c r="J141" s="9" t="inlineStr">
        <is>
          <t>350 kcmil</t>
        </is>
      </c>
      <c r="K141" s="9" t="n">
        <v>1</v>
      </c>
    </row>
    <row r="142">
      <c r="A142" s="9" t="inlineStr">
        <is>
          <t>ACC fan motor F65</t>
        </is>
      </c>
      <c r="B142" s="9" t="inlineStr">
        <is>
          <t>ACC-F65</t>
        </is>
      </c>
      <c r="C142" s="9" t="inlineStr">
        <is>
          <t>B</t>
        </is>
      </c>
      <c r="D142" s="9" t="inlineStr">
        <is>
          <t>ACC fan F65 motor (VFD output)</t>
        </is>
      </c>
      <c r="E142" s="9" t="n">
        <v>480</v>
      </c>
      <c r="F142" s="9" t="n">
        <v>150</v>
      </c>
      <c r="G142" s="9" t="n">
        <v>212</v>
      </c>
      <c r="H142" s="9" t="inlineStr">
        <is>
          <t>R4: ACC electrical (VFD) e-house (60 x 120 ft)</t>
        </is>
      </c>
      <c r="I142" s="9" t="inlineStr">
        <is>
          <t>LV 600 V</t>
        </is>
      </c>
      <c r="J142" s="9" t="inlineStr">
        <is>
          <t>350 kcmil</t>
        </is>
      </c>
      <c r="K142" s="9" t="n">
        <v>1</v>
      </c>
    </row>
    <row r="143">
      <c r="A143" s="9" t="inlineStr">
        <is>
          <t>ACC fan motor F66</t>
        </is>
      </c>
      <c r="B143" s="9" t="inlineStr">
        <is>
          <t>ACC-F66</t>
        </is>
      </c>
      <c r="C143" s="9" t="inlineStr">
        <is>
          <t>B</t>
        </is>
      </c>
      <c r="D143" s="9" t="inlineStr">
        <is>
          <t>ACC fan F66 motor (VFD output)</t>
        </is>
      </c>
      <c r="E143" s="9" t="n">
        <v>480</v>
      </c>
      <c r="F143" s="9" t="n">
        <v>150</v>
      </c>
      <c r="G143" s="9" t="n">
        <v>212</v>
      </c>
      <c r="H143" s="9" t="inlineStr">
        <is>
          <t>R4: ACC electrical (VFD) e-house (60 x 120 ft)</t>
        </is>
      </c>
      <c r="I143" s="9" t="inlineStr">
        <is>
          <t>LV 600 V</t>
        </is>
      </c>
      <c r="J143" s="9" t="inlineStr">
        <is>
          <t>350 kcmil</t>
        </is>
      </c>
      <c r="K143" s="9" t="n">
        <v>1</v>
      </c>
    </row>
    <row r="144">
      <c r="A144" s="9" t="inlineStr">
        <is>
          <t>ACC fan motor F67</t>
        </is>
      </c>
      <c r="B144" s="9" t="inlineStr">
        <is>
          <t>ACC-F67</t>
        </is>
      </c>
      <c r="C144" s="9" t="inlineStr">
        <is>
          <t>B</t>
        </is>
      </c>
      <c r="D144" s="9" t="inlineStr">
        <is>
          <t>ACC fan F67 motor (VFD output)</t>
        </is>
      </c>
      <c r="E144" s="9" t="n">
        <v>480</v>
      </c>
      <c r="F144" s="9" t="n">
        <v>150</v>
      </c>
      <c r="G144" s="9" t="n">
        <v>212</v>
      </c>
      <c r="H144" s="9" t="inlineStr">
        <is>
          <t>R4: ACC electrical (VFD) e-house (60 x 120 ft)</t>
        </is>
      </c>
      <c r="I144" s="9" t="inlineStr">
        <is>
          <t>LV 600 V</t>
        </is>
      </c>
      <c r="J144" s="9" t="inlineStr">
        <is>
          <t>350 kcmil</t>
        </is>
      </c>
      <c r="K144" s="9" t="n">
        <v>1</v>
      </c>
    </row>
    <row r="145">
      <c r="A145" s="9" t="inlineStr">
        <is>
          <t>ACC fan motor F68</t>
        </is>
      </c>
      <c r="B145" s="9" t="inlineStr">
        <is>
          <t>ACC-F68</t>
        </is>
      </c>
      <c r="C145" s="9" t="inlineStr">
        <is>
          <t>B</t>
        </is>
      </c>
      <c r="D145" s="9" t="inlineStr">
        <is>
          <t>ACC fan F68 motor (VFD output)</t>
        </is>
      </c>
      <c r="E145" s="9" t="n">
        <v>480</v>
      </c>
      <c r="F145" s="9" t="n">
        <v>150</v>
      </c>
      <c r="G145" s="9" t="n">
        <v>212</v>
      </c>
      <c r="H145" s="9" t="inlineStr">
        <is>
          <t>R4: ACC electrical (VFD) e-house (60 x 120 ft)</t>
        </is>
      </c>
      <c r="I145" s="9" t="inlineStr">
        <is>
          <t>LV 600 V</t>
        </is>
      </c>
      <c r="J145" s="9" t="inlineStr">
        <is>
          <t>350 kcmil</t>
        </is>
      </c>
      <c r="K145" s="9" t="n">
        <v>1</v>
      </c>
    </row>
    <row r="146">
      <c r="A146" s="9" t="inlineStr">
        <is>
          <t>ACC fan motor F69</t>
        </is>
      </c>
      <c r="B146" s="9" t="inlineStr">
        <is>
          <t>ACC-F69</t>
        </is>
      </c>
      <c r="C146" s="9" t="inlineStr">
        <is>
          <t>B</t>
        </is>
      </c>
      <c r="D146" s="9" t="inlineStr">
        <is>
          <t>ACC fan F69 motor (VFD output)</t>
        </is>
      </c>
      <c r="E146" s="9" t="n">
        <v>480</v>
      </c>
      <c r="F146" s="9" t="n">
        <v>150</v>
      </c>
      <c r="G146" s="9" t="n">
        <v>212</v>
      </c>
      <c r="H146" s="9" t="inlineStr">
        <is>
          <t>R4: ACC electrical (VFD) e-house (60 x 120 ft)</t>
        </is>
      </c>
      <c r="I146" s="9" t="inlineStr">
        <is>
          <t>LV 600 V</t>
        </is>
      </c>
      <c r="J146" s="9" t="inlineStr">
        <is>
          <t>350 kcmil</t>
        </is>
      </c>
      <c r="K146" s="9" t="n">
        <v>1</v>
      </c>
    </row>
    <row r="147">
      <c r="A147" s="9" t="inlineStr">
        <is>
          <t>ACC fan motor F70</t>
        </is>
      </c>
      <c r="B147" s="9" t="inlineStr">
        <is>
          <t>ACC-F70</t>
        </is>
      </c>
      <c r="C147" s="9" t="inlineStr">
        <is>
          <t>B</t>
        </is>
      </c>
      <c r="D147" s="9" t="inlineStr">
        <is>
          <t>ACC fan F70 motor (VFD output)</t>
        </is>
      </c>
      <c r="E147" s="9" t="n">
        <v>480</v>
      </c>
      <c r="F147" s="9" t="n">
        <v>150</v>
      </c>
      <c r="G147" s="9" t="n">
        <v>212</v>
      </c>
      <c r="H147" s="9" t="inlineStr">
        <is>
          <t>R4: ACC electrical (VFD) e-house (60 x 120 ft)</t>
        </is>
      </c>
      <c r="I147" s="9" t="inlineStr">
        <is>
          <t>LV 600 V</t>
        </is>
      </c>
      <c r="J147" s="9" t="inlineStr">
        <is>
          <t>350 kcmil</t>
        </is>
      </c>
      <c r="K147" s="9" t="n">
        <v>1</v>
      </c>
    </row>
    <row r="148">
      <c r="A148" s="9" t="inlineStr">
        <is>
          <t>ACC fan motor F71</t>
        </is>
      </c>
      <c r="B148" s="9" t="inlineStr">
        <is>
          <t>ACC-F71</t>
        </is>
      </c>
      <c r="C148" s="9" t="inlineStr">
        <is>
          <t>B</t>
        </is>
      </c>
      <c r="D148" s="9" t="inlineStr">
        <is>
          <t>ACC fan F71 motor (VFD output)</t>
        </is>
      </c>
      <c r="E148" s="9" t="n">
        <v>480</v>
      </c>
      <c r="F148" s="9" t="n">
        <v>150</v>
      </c>
      <c r="G148" s="9" t="n">
        <v>212</v>
      </c>
      <c r="H148" s="9" t="inlineStr">
        <is>
          <t>R4: ACC electrical (VFD) e-house (60 x 120 ft)</t>
        </is>
      </c>
      <c r="I148" s="9" t="inlineStr">
        <is>
          <t>LV 600 V</t>
        </is>
      </c>
      <c r="J148" s="9" t="inlineStr">
        <is>
          <t>350 kcmil</t>
        </is>
      </c>
      <c r="K148" s="9" t="n">
        <v>1</v>
      </c>
    </row>
    <row r="149">
      <c r="A149" s="9" t="inlineStr">
        <is>
          <t>ACC fan motor F72</t>
        </is>
      </c>
      <c r="B149" s="9" t="inlineStr">
        <is>
          <t>ACC-F72</t>
        </is>
      </c>
      <c r="C149" s="9" t="inlineStr">
        <is>
          <t>B</t>
        </is>
      </c>
      <c r="D149" s="9" t="inlineStr">
        <is>
          <t>ACC fan F72 motor (VFD output)</t>
        </is>
      </c>
      <c r="E149" s="9" t="n">
        <v>480</v>
      </c>
      <c r="F149" s="9" t="n">
        <v>150</v>
      </c>
      <c r="G149" s="9" t="n">
        <v>212</v>
      </c>
      <c r="H149" s="9" t="inlineStr">
        <is>
          <t>R4: ACC electrical (VFD) e-house (60 x 120 ft)</t>
        </is>
      </c>
      <c r="I149" s="9" t="inlineStr">
        <is>
          <t>LV 600 V</t>
        </is>
      </c>
      <c r="J149" s="9" t="inlineStr">
        <is>
          <t>350 kcmil</t>
        </is>
      </c>
      <c r="K149" s="9" t="n">
        <v>1</v>
      </c>
    </row>
    <row r="150">
      <c r="A150" s="9" t="inlineStr">
        <is>
          <t>ACC fan motor F73</t>
        </is>
      </c>
      <c r="B150" s="9" t="inlineStr">
        <is>
          <t>ACC-F73</t>
        </is>
      </c>
      <c r="C150" s="9" t="inlineStr">
        <is>
          <t>B</t>
        </is>
      </c>
      <c r="D150" s="9" t="inlineStr">
        <is>
          <t>ACC fan F73 motor (VFD output)</t>
        </is>
      </c>
      <c r="E150" s="9" t="n">
        <v>480</v>
      </c>
      <c r="F150" s="9" t="n">
        <v>150</v>
      </c>
      <c r="G150" s="9" t="n">
        <v>212</v>
      </c>
      <c r="H150" s="9" t="inlineStr">
        <is>
          <t>R4: ACC electrical (VFD) e-house (60 x 120 ft)</t>
        </is>
      </c>
      <c r="I150" s="9" t="inlineStr">
        <is>
          <t>LV 600 V</t>
        </is>
      </c>
      <c r="J150" s="9" t="inlineStr">
        <is>
          <t>350 kcmil</t>
        </is>
      </c>
      <c r="K150" s="9" t="n">
        <v>1</v>
      </c>
    </row>
    <row r="151">
      <c r="A151" s="9" t="inlineStr">
        <is>
          <t>ACC fan motor F74</t>
        </is>
      </c>
      <c r="B151" s="9" t="inlineStr">
        <is>
          <t>ACC-F74</t>
        </is>
      </c>
      <c r="C151" s="9" t="inlineStr">
        <is>
          <t>B</t>
        </is>
      </c>
      <c r="D151" s="9" t="inlineStr">
        <is>
          <t>ACC fan F74 motor (VFD output)</t>
        </is>
      </c>
      <c r="E151" s="9" t="n">
        <v>480</v>
      </c>
      <c r="F151" s="9" t="n">
        <v>150</v>
      </c>
      <c r="G151" s="9" t="n">
        <v>212</v>
      </c>
      <c r="H151" s="9" t="inlineStr">
        <is>
          <t>R4: ACC electrical (VFD) e-house (60 x 120 ft)</t>
        </is>
      </c>
      <c r="I151" s="9" t="inlineStr">
        <is>
          <t>LV 600 V</t>
        </is>
      </c>
      <c r="J151" s="9" t="inlineStr">
        <is>
          <t>350 kcmil</t>
        </is>
      </c>
      <c r="K151" s="9" t="n">
        <v>1</v>
      </c>
    </row>
    <row r="152">
      <c r="A152" s="9" t="inlineStr">
        <is>
          <t>ACC fan motor F75</t>
        </is>
      </c>
      <c r="B152" s="9" t="inlineStr">
        <is>
          <t>ACC-F75</t>
        </is>
      </c>
      <c r="C152" s="9" t="inlineStr">
        <is>
          <t>B</t>
        </is>
      </c>
      <c r="D152" s="9" t="inlineStr">
        <is>
          <t>ACC fan F75 motor (VFD output)</t>
        </is>
      </c>
      <c r="E152" s="9" t="n">
        <v>480</v>
      </c>
      <c r="F152" s="9" t="n">
        <v>150</v>
      </c>
      <c r="G152" s="9" t="n">
        <v>212</v>
      </c>
      <c r="H152" s="9" t="inlineStr">
        <is>
          <t>R4: ACC electrical (VFD) e-house (60 x 120 ft)</t>
        </is>
      </c>
      <c r="I152" s="9" t="inlineStr">
        <is>
          <t>LV 600 V</t>
        </is>
      </c>
      <c r="J152" s="9" t="inlineStr">
        <is>
          <t>350 kcmil</t>
        </is>
      </c>
      <c r="K152" s="9" t="n">
        <v>1</v>
      </c>
    </row>
    <row r="153">
      <c r="A153" s="9" t="inlineStr">
        <is>
          <t>ACC fan motor F76</t>
        </is>
      </c>
      <c r="B153" s="9" t="inlineStr">
        <is>
          <t>ACC-F76</t>
        </is>
      </c>
      <c r="C153" s="9" t="inlineStr">
        <is>
          <t>B</t>
        </is>
      </c>
      <c r="D153" s="9" t="inlineStr">
        <is>
          <t>ACC fan F76 motor (VFD output)</t>
        </is>
      </c>
      <c r="E153" s="9" t="n">
        <v>480</v>
      </c>
      <c r="F153" s="9" t="n">
        <v>150</v>
      </c>
      <c r="G153" s="9" t="n">
        <v>212</v>
      </c>
      <c r="H153" s="9" t="inlineStr">
        <is>
          <t>R4: ACC electrical (VFD) e-house (60 x 120 ft)</t>
        </is>
      </c>
      <c r="I153" s="9" t="inlineStr">
        <is>
          <t>LV 600 V</t>
        </is>
      </c>
      <c r="J153" s="9" t="inlineStr">
        <is>
          <t>350 kcmil</t>
        </is>
      </c>
      <c r="K153" s="9" t="n">
        <v>1</v>
      </c>
    </row>
    <row r="154">
      <c r="A154" s="9" t="inlineStr">
        <is>
          <t>ACC fan motor F77</t>
        </is>
      </c>
      <c r="B154" s="9" t="inlineStr">
        <is>
          <t>ACC-F77</t>
        </is>
      </c>
      <c r="C154" s="9" t="inlineStr">
        <is>
          <t>B</t>
        </is>
      </c>
      <c r="D154" s="9" t="inlineStr">
        <is>
          <t>ACC fan F77 motor (VFD output)</t>
        </is>
      </c>
      <c r="E154" s="9" t="n">
        <v>480</v>
      </c>
      <c r="F154" s="9" t="n">
        <v>150</v>
      </c>
      <c r="G154" s="9" t="n">
        <v>212</v>
      </c>
      <c r="H154" s="9" t="inlineStr">
        <is>
          <t>R4: ACC electrical (VFD) e-house (60 x 120 ft)</t>
        </is>
      </c>
      <c r="I154" s="9" t="inlineStr">
        <is>
          <t>LV 600 V</t>
        </is>
      </c>
      <c r="J154" s="9" t="inlineStr">
        <is>
          <t>350 kcmil</t>
        </is>
      </c>
      <c r="K154" s="9" t="n">
        <v>1</v>
      </c>
    </row>
    <row r="155">
      <c r="A155" s="9" t="inlineStr">
        <is>
          <t>ACC fan motor F78</t>
        </is>
      </c>
      <c r="B155" s="9" t="inlineStr">
        <is>
          <t>ACC-F78</t>
        </is>
      </c>
      <c r="C155" s="9" t="inlineStr">
        <is>
          <t>B</t>
        </is>
      </c>
      <c r="D155" s="9" t="inlineStr">
        <is>
          <t>ACC fan F78 motor (VFD output)</t>
        </is>
      </c>
      <c r="E155" s="9" t="n">
        <v>480</v>
      </c>
      <c r="F155" s="9" t="n">
        <v>150</v>
      </c>
      <c r="G155" s="9" t="n">
        <v>212</v>
      </c>
      <c r="H155" s="9" t="inlineStr">
        <is>
          <t>R4: ACC electrical (VFD) e-house (60 x 120 ft)</t>
        </is>
      </c>
      <c r="I155" s="9" t="inlineStr">
        <is>
          <t>LV 600 V</t>
        </is>
      </c>
      <c r="J155" s="9" t="inlineStr">
        <is>
          <t>350 kcmil</t>
        </is>
      </c>
      <c r="K155" s="9" t="n">
        <v>1</v>
      </c>
    </row>
    <row r="156">
      <c r="A156" s="9" t="inlineStr">
        <is>
          <t>ACC fan motor F79</t>
        </is>
      </c>
      <c r="B156" s="9" t="inlineStr">
        <is>
          <t>ACC-F79</t>
        </is>
      </c>
      <c r="C156" s="9" t="inlineStr">
        <is>
          <t>B</t>
        </is>
      </c>
      <c r="D156" s="9" t="inlineStr">
        <is>
          <t>ACC fan F79 motor (VFD output)</t>
        </is>
      </c>
      <c r="E156" s="9" t="n">
        <v>480</v>
      </c>
      <c r="F156" s="9" t="n">
        <v>150</v>
      </c>
      <c r="G156" s="9" t="n">
        <v>212</v>
      </c>
      <c r="H156" s="9" t="inlineStr">
        <is>
          <t>R4: ACC electrical (VFD) e-house (60 x 120 ft)</t>
        </is>
      </c>
      <c r="I156" s="9" t="inlineStr">
        <is>
          <t>LV 600 V</t>
        </is>
      </c>
      <c r="J156" s="9" t="inlineStr">
        <is>
          <t>350 kcmil</t>
        </is>
      </c>
      <c r="K156" s="9" t="n">
        <v>1</v>
      </c>
    </row>
    <row r="157">
      <c r="A157" s="9" t="inlineStr">
        <is>
          <t>ACC fan motor F80</t>
        </is>
      </c>
      <c r="B157" s="9" t="inlineStr">
        <is>
          <t>ACC-F80</t>
        </is>
      </c>
      <c r="C157" s="9" t="inlineStr">
        <is>
          <t>B</t>
        </is>
      </c>
      <c r="D157" s="9" t="inlineStr">
        <is>
          <t>ACC fan F80 motor (VFD output)</t>
        </is>
      </c>
      <c r="E157" s="9" t="n">
        <v>480</v>
      </c>
      <c r="F157" s="9" t="n">
        <v>150</v>
      </c>
      <c r="G157" s="9" t="n">
        <v>212</v>
      </c>
      <c r="H157" s="9" t="inlineStr">
        <is>
          <t>R4: ACC electrical (VFD) e-house (60 x 120 ft)</t>
        </is>
      </c>
      <c r="I157" s="9" t="inlineStr">
        <is>
          <t>LV 600 V</t>
        </is>
      </c>
      <c r="J157" s="9" t="inlineStr">
        <is>
          <t>350 kcmil</t>
        </is>
      </c>
      <c r="K157" s="9" t="n">
        <v>1</v>
      </c>
    </row>
    <row r="158">
      <c r="A158" s="9" t="inlineStr">
        <is>
          <t>Aux dry coolers AUXC-F01..12 (closed cooling water)</t>
        </is>
      </c>
      <c r="B158" s="9" t="inlineStr">
        <is>
          <t>AUXC</t>
        </is>
      </c>
      <c r="C158" s="9" t="inlineStr">
        <is>
          <t>B</t>
        </is>
      </c>
      <c r="D158" s="9" t="inlineStr">
        <is>
          <t>LV power feeder</t>
        </is>
      </c>
      <c r="E158" s="9" t="n">
        <v>480</v>
      </c>
      <c r="F158" s="9" t="n">
        <v>264</v>
      </c>
      <c r="G158" s="9" t="n">
        <v>374</v>
      </c>
      <c r="H158" s="9" t="inlineStr">
        <is>
          <t>R4 480 V switchgear + vacuum-pump MCC</t>
        </is>
      </c>
      <c r="I158" s="9" t="inlineStr">
        <is>
          <t>LV 600 V</t>
        </is>
      </c>
      <c r="J158" s="9" t="inlineStr">
        <is>
          <t>350 kcmil</t>
        </is>
      </c>
      <c r="K158" s="9" t="n">
        <v>2</v>
      </c>
    </row>
    <row r="159">
      <c r="A159" s="9" t="inlineStr">
        <is>
          <t>CCW-A/B: closed cooling water pumps</t>
        </is>
      </c>
      <c r="B159" s="9" t="inlineStr">
        <is>
          <t>CCW-A/B</t>
        </is>
      </c>
      <c r="C159" s="9" t="inlineStr">
        <is>
          <t>B</t>
        </is>
      </c>
      <c r="D159" s="9" t="inlineStr">
        <is>
          <t>LV power feeder</t>
        </is>
      </c>
      <c r="E159" s="9" t="n">
        <v>480</v>
      </c>
      <c r="F159" s="9" t="n">
        <v>300</v>
      </c>
      <c r="G159" s="9" t="n">
        <v>425</v>
      </c>
      <c r="H159" s="9" t="inlineStr">
        <is>
          <t>R4 480 V switchgear + vacuum-pump MCC</t>
        </is>
      </c>
      <c r="I159" s="9" t="inlineStr">
        <is>
          <t>LV 600 V</t>
        </is>
      </c>
      <c r="J159" s="9" t="inlineStr">
        <is>
          <t>350 kcmil</t>
        </is>
      </c>
      <c r="K159" s="9" t="n">
        <v>2</v>
      </c>
    </row>
    <row r="160">
      <c r="A160" s="9" t="inlineStr">
        <is>
          <t>Condensate storage tank</t>
        </is>
      </c>
      <c r="B160" s="9" t="inlineStr"/>
      <c r="C160" s="9" t="inlineStr">
        <is>
          <t>B</t>
        </is>
      </c>
      <c r="D160" s="9" t="inlineStr">
        <is>
          <t>LV power feeder</t>
        </is>
      </c>
      <c r="E160" s="9" t="n">
        <v>480</v>
      </c>
      <c r="F160" s="9" t="n">
        <v>10</v>
      </c>
      <c r="G160" s="9" t="n">
        <v>14</v>
      </c>
      <c r="H160" s="9" t="inlineStr">
        <is>
          <t>R4 480 V switchgear + vacuum-pump MCC</t>
        </is>
      </c>
      <c r="I160" s="9" t="inlineStr">
        <is>
          <t>LV 600 V</t>
        </is>
      </c>
      <c r="J160" s="9" t="inlineStr">
        <is>
          <t>8</t>
        </is>
      </c>
      <c r="K160" s="9" t="n">
        <v>1</v>
      </c>
    </row>
    <row r="161">
      <c r="A161" s="9" t="inlineStr">
        <is>
          <t>R4: ACC electrical (VFD) e-house (60 x 120 ft)</t>
        </is>
      </c>
      <c r="B161" s="9" t="inlineStr">
        <is>
          <t>R4</t>
        </is>
      </c>
      <c r="C161" s="9" t="inlineStr">
        <is>
          <t>B</t>
        </is>
      </c>
      <c r="D161" s="9" t="inlineStr">
        <is>
          <t>LV panel / distribution feeder</t>
        </is>
      </c>
      <c r="E161" s="9" t="n">
        <v>480</v>
      </c>
      <c r="F161" s="9" t="n">
        <v>86</v>
      </c>
      <c r="G161" s="9" t="n">
        <v>122</v>
      </c>
      <c r="H161" s="9" t="inlineStr">
        <is>
          <t>R4 480 V switchgear + vacuum-pump MCC</t>
        </is>
      </c>
      <c r="I161" s="9" t="inlineStr">
        <is>
          <t>LV 600 V</t>
        </is>
      </c>
      <c r="J161" s="9" t="inlineStr">
        <is>
          <t>2/0</t>
        </is>
      </c>
      <c r="K161" s="9" t="n">
        <v>1</v>
      </c>
    </row>
    <row r="162">
      <c r="A162" s="9" t="inlineStr">
        <is>
          <t>VAC-A/B: ACC air-removal vacuum pumps</t>
        </is>
      </c>
      <c r="B162" s="9" t="inlineStr">
        <is>
          <t>VAC-A/B</t>
        </is>
      </c>
      <c r="C162" s="9" t="inlineStr">
        <is>
          <t>B</t>
        </is>
      </c>
      <c r="D162" s="9" t="inlineStr">
        <is>
          <t>LV power feeder</t>
        </is>
      </c>
      <c r="E162" s="9" t="n">
        <v>480</v>
      </c>
      <c r="F162" s="9" t="n">
        <v>150</v>
      </c>
      <c r="G162" s="9" t="n">
        <v>212</v>
      </c>
      <c r="H162" s="9" t="inlineStr">
        <is>
          <t>R4 480 V switchgear + vacuum-pump MCC</t>
        </is>
      </c>
      <c r="I162" s="9" t="inlineStr">
        <is>
          <t>LV 600 V</t>
        </is>
      </c>
      <c r="J162" s="9" t="inlineStr">
        <is>
          <t>350 kcmil</t>
        </is>
      </c>
      <c r="K162" s="9" t="n">
        <v>1</v>
      </c>
    </row>
    <row r="163">
      <c r="A163" s="9" t="inlineStr">
        <is>
          <t>T-R4-1: 13.8/0.48 kV</t>
        </is>
      </c>
      <c r="B163" s="9" t="inlineStr"/>
      <c r="C163" s="9" t="inlineStr">
        <is>
          <t>B</t>
        </is>
      </c>
      <c r="D163" s="9" t="inlineStr">
        <is>
          <t>T-R4-1 ACC VFD transformer primary</t>
        </is>
      </c>
      <c r="E163" s="9" t="n">
        <v>13800</v>
      </c>
      <c r="F163" s="9" t="n">
        <v>3750</v>
      </c>
      <c r="G163" s="9" t="n">
        <v>157</v>
      </c>
      <c r="H163" s="9" t="inlineStr">
        <is>
          <t>R1 SWGR-13.8-1 (11 x 36 in cubicles, 15 kV metal-clad)</t>
        </is>
      </c>
      <c r="I163" s="9" t="inlineStr">
        <is>
          <t>MV 15 kV</t>
        </is>
      </c>
      <c r="J163" s="9" t="inlineStr">
        <is>
          <t>2/0</t>
        </is>
      </c>
      <c r="K163" s="9" t="n">
        <v>1</v>
      </c>
    </row>
    <row r="164">
      <c r="A164" s="9" t="inlineStr">
        <is>
          <t>T-R4-2: 13.8/0.48 kV</t>
        </is>
      </c>
      <c r="B164" s="9" t="inlineStr"/>
      <c r="C164" s="9" t="inlineStr">
        <is>
          <t>B</t>
        </is>
      </c>
      <c r="D164" s="9" t="inlineStr">
        <is>
          <t>T-R4-2 ACC VFD transformer primary</t>
        </is>
      </c>
      <c r="E164" s="9" t="n">
        <v>13800</v>
      </c>
      <c r="F164" s="9" t="n">
        <v>3750</v>
      </c>
      <c r="G164" s="9" t="n">
        <v>157</v>
      </c>
      <c r="H164" s="9" t="inlineStr">
        <is>
          <t>R1 SWGR-13.8-2 (11 x 36 in cubicles, 15 kV metal-clad)</t>
        </is>
      </c>
      <c r="I164" s="9" t="inlineStr">
        <is>
          <t>MV 15 kV</t>
        </is>
      </c>
      <c r="J164" s="9" t="inlineStr">
        <is>
          <t>2/0</t>
        </is>
      </c>
      <c r="K164" s="9" t="n">
        <v>1</v>
      </c>
    </row>
    <row r="165">
      <c r="A165" s="9" t="inlineStr">
        <is>
          <t>T-R4-3: 13.8/0.48 kV</t>
        </is>
      </c>
      <c r="B165" s="9" t="inlineStr"/>
      <c r="C165" s="9" t="inlineStr">
        <is>
          <t>B</t>
        </is>
      </c>
      <c r="D165" s="9" t="inlineStr">
        <is>
          <t>T-R4-3 ACC VFD transformer primary</t>
        </is>
      </c>
      <c r="E165" s="9" t="n">
        <v>13800</v>
      </c>
      <c r="F165" s="9" t="n">
        <v>3750</v>
      </c>
      <c r="G165" s="9" t="n">
        <v>157</v>
      </c>
      <c r="H165" s="9" t="inlineStr">
        <is>
          <t>R1 SWGR-13.8-3 (11 x 36 in cubicles, 15 kV metal-clad)</t>
        </is>
      </c>
      <c r="I165" s="9" t="inlineStr">
        <is>
          <t>MV 15 kV</t>
        </is>
      </c>
      <c r="J165" s="9" t="inlineStr">
        <is>
          <t>2/0</t>
        </is>
      </c>
      <c r="K165" s="9" t="n">
        <v>1</v>
      </c>
    </row>
    <row r="166">
      <c r="A166" s="9" t="inlineStr">
        <is>
          <t>T-R4-4: 13.8/0.48 kV</t>
        </is>
      </c>
      <c r="B166" s="9" t="inlineStr"/>
      <c r="C166" s="9" t="inlineStr">
        <is>
          <t>B</t>
        </is>
      </c>
      <c r="D166" s="9" t="inlineStr">
        <is>
          <t>T-R4-4 ACC VFD transformer primary</t>
        </is>
      </c>
      <c r="E166" s="9" t="n">
        <v>13800</v>
      </c>
      <c r="F166" s="9" t="n">
        <v>3750</v>
      </c>
      <c r="G166" s="9" t="n">
        <v>157</v>
      </c>
      <c r="H166" s="9" t="inlineStr">
        <is>
          <t>R1 SWGR-13.8-1 (11 x 36 in cubicles, 15 kV metal-clad)</t>
        </is>
      </c>
      <c r="I166" s="9" t="inlineStr">
        <is>
          <t>MV 15 kV</t>
        </is>
      </c>
      <c r="J166" s="9" t="inlineStr">
        <is>
          <t>2/0</t>
        </is>
      </c>
      <c r="K166" s="9" t="n">
        <v>1</v>
      </c>
    </row>
    <row r="167">
      <c r="A167" s="9" t="inlineStr">
        <is>
          <t>CP-A/B/C: condensate pumps (4.16 kV)</t>
        </is>
      </c>
      <c r="B167" s="9" t="inlineStr">
        <is>
          <t>CP-A/B/C</t>
        </is>
      </c>
      <c r="C167" s="9" t="inlineStr">
        <is>
          <t>B</t>
        </is>
      </c>
      <c r="D167" s="9" t="inlineStr">
        <is>
          <t>Condensate pump CP-A</t>
        </is>
      </c>
      <c r="E167" s="9" t="n">
        <v>4160</v>
      </c>
      <c r="F167" s="9" t="n">
        <v>900</v>
      </c>
      <c r="G167" s="9" t="n">
        <v>139</v>
      </c>
      <c r="H167" s="9" t="inlineStr">
        <is>
          <t>R1 SWGR-4.16-A (9 x 36 in cubicles, 5 kV metal-clad)</t>
        </is>
      </c>
      <c r="I167" s="9" t="inlineStr">
        <is>
          <t>MV 5 kV</t>
        </is>
      </c>
      <c r="J167" s="9" t="inlineStr">
        <is>
          <t>1/0</t>
        </is>
      </c>
      <c r="K167" s="9" t="n">
        <v>1</v>
      </c>
    </row>
    <row r="168">
      <c r="A168" s="9" t="inlineStr">
        <is>
          <t>CP-A/B/C: condensate pumps (4.16 kV)</t>
        </is>
      </c>
      <c r="B168" s="9" t="inlineStr">
        <is>
          <t>CP-A/B/C</t>
        </is>
      </c>
      <c r="C168" s="9" t="inlineStr">
        <is>
          <t>B</t>
        </is>
      </c>
      <c r="D168" s="9" t="inlineStr">
        <is>
          <t>Condensate pump CP-B</t>
        </is>
      </c>
      <c r="E168" s="9" t="n">
        <v>4160</v>
      </c>
      <c r="F168" s="9" t="n">
        <v>900</v>
      </c>
      <c r="G168" s="9" t="n">
        <v>139</v>
      </c>
      <c r="H168" s="9" t="inlineStr">
        <is>
          <t>R1 SWGR-4.16-B (5 kV metal-clad)</t>
        </is>
      </c>
      <c r="I168" s="9" t="inlineStr">
        <is>
          <t>MV 5 kV</t>
        </is>
      </c>
      <c r="J168" s="9" t="inlineStr">
        <is>
          <t>1/0</t>
        </is>
      </c>
      <c r="K168" s="9" t="n">
        <v>1</v>
      </c>
    </row>
    <row r="169">
      <c r="A169" s="9" t="inlineStr">
        <is>
          <t>CP-A/B/C: condensate pumps (4.16 kV)</t>
        </is>
      </c>
      <c r="B169" s="9" t="inlineStr">
        <is>
          <t>CP-A/B/C</t>
        </is>
      </c>
      <c r="C169" s="9" t="inlineStr">
        <is>
          <t>B</t>
        </is>
      </c>
      <c r="D169" s="9" t="inlineStr">
        <is>
          <t>Condensate pump CP-C</t>
        </is>
      </c>
      <c r="E169" s="9" t="n">
        <v>4160</v>
      </c>
      <c r="F169" s="9" t="n">
        <v>900</v>
      </c>
      <c r="G169" s="9" t="n">
        <v>139</v>
      </c>
      <c r="H169" s="9" t="inlineStr">
        <is>
          <t>R1 SWGR-4.16-A (9 x 36 in cubicles, 5 kV metal-clad)</t>
        </is>
      </c>
      <c r="I169" s="9" t="inlineStr">
        <is>
          <t>MV 5 kV</t>
        </is>
      </c>
      <c r="J169" s="9" t="inlineStr">
        <is>
          <t>1/0</t>
        </is>
      </c>
      <c r="K169" s="9" t="n">
        <v>1</v>
      </c>
    </row>
    <row r="170">
      <c r="A170" s="9" t="inlineStr">
        <is>
          <t>RH: switchyard relay / control house (52 x 70 ft)</t>
        </is>
      </c>
      <c r="B170" s="9" t="inlineStr">
        <is>
          <t>RH</t>
        </is>
      </c>
      <c r="C170" s="9" t="inlineStr">
        <is>
          <t>C</t>
        </is>
      </c>
      <c r="D170" s="9" t="inlineStr">
        <is>
          <t>LV panel / distribution feeder</t>
        </is>
      </c>
      <c r="E170" s="9" t="n">
        <v>480</v>
      </c>
      <c r="F170" s="9" t="n">
        <v>44</v>
      </c>
      <c r="G170" s="9" t="n">
        <v>62</v>
      </c>
      <c r="H170" s="9" t="inlineStr">
        <is>
          <t>RH: switchyard relay / control house (52 x 70 ft)</t>
        </is>
      </c>
      <c r="I170" s="9" t="inlineStr">
        <is>
          <t>LV 600 V</t>
        </is>
      </c>
      <c r="J170" s="9" t="inlineStr">
        <is>
          <t>4</t>
        </is>
      </c>
      <c r="K170" s="9" t="n">
        <v>1</v>
      </c>
    </row>
    <row r="171">
      <c r="A171" s="9" t="inlineStr">
        <is>
          <t>CONDITIONAL: ULSD backup fuel-oil tank</t>
        </is>
      </c>
      <c r="B171" s="9" t="inlineStr"/>
      <c r="C171" s="9" t="inlineStr">
        <is>
          <t>D</t>
        </is>
      </c>
      <c r="D171" s="9" t="inlineStr">
        <is>
          <t>LV power feeder</t>
        </is>
      </c>
      <c r="E171" s="9" t="n">
        <v>480</v>
      </c>
      <c r="F171" s="9" t="n">
        <v>10</v>
      </c>
      <c r="G171" s="9" t="n">
        <v>14</v>
      </c>
      <c r="H171" s="9" t="inlineStr">
        <is>
          <t>R1 MCC-C1</t>
        </is>
      </c>
      <c r="I171" s="9" t="inlineStr">
        <is>
          <t>LV 600 V</t>
        </is>
      </c>
      <c r="J171" s="9" t="inlineStr">
        <is>
          <t>2</t>
        </is>
      </c>
      <c r="K171" s="9" t="n">
        <v>1</v>
      </c>
    </row>
    <row r="172">
      <c r="A172" s="9" t="inlineStr">
        <is>
          <t>CONDITIONAL: ULSD truck unloading station (canopy, spill containment)</t>
        </is>
      </c>
      <c r="B172" s="9" t="inlineStr"/>
      <c r="C172" s="9" t="inlineStr">
        <is>
          <t>D</t>
        </is>
      </c>
      <c r="D172" s="9" t="inlineStr">
        <is>
          <t>LV power feeder</t>
        </is>
      </c>
      <c r="E172" s="9" t="n">
        <v>480</v>
      </c>
      <c r="F172" s="9" t="n">
        <v>15</v>
      </c>
      <c r="G172" s="9" t="n">
        <v>21</v>
      </c>
      <c r="H172" s="9" t="inlineStr">
        <is>
          <t>R1 MCC-C1</t>
        </is>
      </c>
      <c r="I172" s="9" t="inlineStr">
        <is>
          <t>LV 600 V</t>
        </is>
      </c>
      <c r="J172" s="9" t="inlineStr">
        <is>
          <t>1</t>
        </is>
      </c>
      <c r="K172" s="9" t="n">
        <v>1</v>
      </c>
    </row>
    <row r="173">
      <c r="A173" s="9" t="inlineStr">
        <is>
          <t>CONDITIONAL: ULSD unloading and forwarding pumps, duplex filters</t>
        </is>
      </c>
      <c r="B173" s="9" t="inlineStr"/>
      <c r="C173" s="9" t="inlineStr">
        <is>
          <t>D</t>
        </is>
      </c>
      <c r="D173" s="9" t="inlineStr">
        <is>
          <t>LV power feeder</t>
        </is>
      </c>
      <c r="E173" s="9" t="n">
        <v>480</v>
      </c>
      <c r="F173" s="9" t="n">
        <v>110</v>
      </c>
      <c r="G173" s="9" t="n">
        <v>156</v>
      </c>
      <c r="H173" s="9" t="inlineStr">
        <is>
          <t>R1 MCC-C1</t>
        </is>
      </c>
      <c r="I173" s="9" t="inlineStr">
        <is>
          <t>LV 600 V</t>
        </is>
      </c>
      <c r="J173" s="9" t="inlineStr">
        <is>
          <t>350 kcmil</t>
        </is>
      </c>
      <c r="K173" s="9" t="n">
        <v>2</v>
      </c>
    </row>
    <row r="174">
      <c r="A174" s="9" t="inlineStr">
        <is>
          <t>CONDITIONAL: backup fuel oil (ULSD) unloading and forwarding area</t>
        </is>
      </c>
      <c r="B174" s="9" t="inlineStr"/>
      <c r="C174" s="9" t="inlineStr">
        <is>
          <t>D</t>
        </is>
      </c>
      <c r="D174" s="9" t="inlineStr">
        <is>
          <t>LV power feeder</t>
        </is>
      </c>
      <c r="E174" s="9" t="n">
        <v>480</v>
      </c>
      <c r="F174" s="9" t="n">
        <v>15</v>
      </c>
      <c r="G174" s="9" t="n">
        <v>21</v>
      </c>
      <c r="H174" s="9" t="inlineStr">
        <is>
          <t>R1 MCC-C1</t>
        </is>
      </c>
      <c r="I174" s="9" t="inlineStr">
        <is>
          <t>LV 600 V</t>
        </is>
      </c>
      <c r="J174" s="9" t="inlineStr">
        <is>
          <t>1</t>
        </is>
      </c>
      <c r="K174" s="9" t="n">
        <v>1</v>
      </c>
    </row>
    <row r="175">
      <c r="A175" s="9" t="inlineStr">
        <is>
          <t>Fuel-gas performance heater</t>
        </is>
      </c>
      <c r="B175" s="9" t="inlineStr"/>
      <c r="C175" s="9" t="inlineStr">
        <is>
          <t>D</t>
        </is>
      </c>
      <c r="D175" s="9" t="inlineStr">
        <is>
          <t>LV power feeder</t>
        </is>
      </c>
      <c r="E175" s="9" t="n">
        <v>480</v>
      </c>
      <c r="F175" s="9" t="n">
        <v>60</v>
      </c>
      <c r="G175" s="9" t="n">
        <v>85</v>
      </c>
      <c r="H175" s="9" t="inlineStr">
        <is>
          <t>R1 MCC-C1</t>
        </is>
      </c>
      <c r="I175" s="9" t="inlineStr">
        <is>
          <t>LV 600 V</t>
        </is>
      </c>
      <c r="J175" s="9" t="inlineStr">
        <is>
          <t>350 kcmil</t>
        </is>
      </c>
      <c r="K175" s="9" t="n">
        <v>1</v>
      </c>
    </row>
    <row r="176">
      <c r="A176" s="9" t="inlineStr">
        <is>
          <t>Gas metering skid</t>
        </is>
      </c>
      <c r="B176" s="9" t="inlineStr"/>
      <c r="C176" s="9" t="inlineStr">
        <is>
          <t>D</t>
        </is>
      </c>
      <c r="D176" s="9" t="inlineStr">
        <is>
          <t>LV power feeder</t>
        </is>
      </c>
      <c r="E176" s="9" t="n">
        <v>480</v>
      </c>
      <c r="F176" s="9" t="n">
        <v>10</v>
      </c>
      <c r="G176" s="9" t="n">
        <v>14</v>
      </c>
      <c r="H176" s="9" t="inlineStr">
        <is>
          <t>R1 MCC-C1</t>
        </is>
      </c>
      <c r="I176" s="9" t="inlineStr">
        <is>
          <t>LV 600 V</t>
        </is>
      </c>
      <c r="J176" s="9" t="inlineStr">
        <is>
          <t>2</t>
        </is>
      </c>
      <c r="K176" s="9" t="n">
        <v>1</v>
      </c>
    </row>
    <row r="177">
      <c r="A177" s="9" t="inlineStr">
        <is>
          <t>Gas pressure regulation skid</t>
        </is>
      </c>
      <c r="B177" s="9" t="inlineStr"/>
      <c r="C177" s="9" t="inlineStr">
        <is>
          <t>D</t>
        </is>
      </c>
      <c r="D177" s="9" t="inlineStr">
        <is>
          <t>LV power feeder</t>
        </is>
      </c>
      <c r="E177" s="9" t="n">
        <v>480</v>
      </c>
      <c r="F177" s="9" t="n">
        <v>10</v>
      </c>
      <c r="G177" s="9" t="n">
        <v>14</v>
      </c>
      <c r="H177" s="9" t="inlineStr">
        <is>
          <t>R1 MCC-C1</t>
        </is>
      </c>
      <c r="I177" s="9" t="inlineStr">
        <is>
          <t>LV 600 V</t>
        </is>
      </c>
      <c r="J177" s="9" t="inlineStr">
        <is>
          <t>2</t>
        </is>
      </c>
      <c r="K177" s="9" t="n">
        <v>1</v>
      </c>
    </row>
    <row r="178">
      <c r="A178" s="9" t="inlineStr">
        <is>
          <t>Gas yard filter-separators</t>
        </is>
      </c>
      <c r="B178" s="9" t="inlineStr"/>
      <c r="C178" s="9" t="inlineStr">
        <is>
          <t>D</t>
        </is>
      </c>
      <c r="D178" s="9" t="inlineStr">
        <is>
          <t>LV power feeder</t>
        </is>
      </c>
      <c r="E178" s="9" t="n">
        <v>480</v>
      </c>
      <c r="F178" s="9" t="n">
        <v>10</v>
      </c>
      <c r="G178" s="9" t="n">
        <v>14</v>
      </c>
      <c r="H178" s="9" t="inlineStr">
        <is>
          <t>R1 MCC-C1</t>
        </is>
      </c>
      <c r="I178" s="9" t="inlineStr">
        <is>
          <t>LV 600 V</t>
        </is>
      </c>
      <c r="J178" s="9" t="inlineStr">
        <is>
          <t>2</t>
        </is>
      </c>
      <c r="K178" s="9" t="n">
        <v>1</v>
      </c>
    </row>
    <row r="179">
      <c r="A179" s="9" t="inlineStr">
        <is>
          <t>Gas yard inlet: ESD valve, block valve and insulating joint</t>
        </is>
      </c>
      <c r="B179" s="9" t="inlineStr"/>
      <c r="C179" s="9" t="inlineStr">
        <is>
          <t>D</t>
        </is>
      </c>
      <c r="D179" s="9" t="inlineStr">
        <is>
          <t>LV power feeder</t>
        </is>
      </c>
      <c r="E179" s="9" t="n">
        <v>480</v>
      </c>
      <c r="F179" s="9" t="n">
        <v>10</v>
      </c>
      <c r="G179" s="9" t="n">
        <v>14</v>
      </c>
      <c r="H179" s="9" t="inlineStr">
        <is>
          <t>R1 MCC-C1</t>
        </is>
      </c>
      <c r="I179" s="9" t="inlineStr">
        <is>
          <t>LV 600 V</t>
        </is>
      </c>
      <c r="J179" s="9" t="inlineStr">
        <is>
          <t>2</t>
        </is>
      </c>
      <c r="K179" s="9" t="n">
        <v>1</v>
      </c>
    </row>
    <row r="180">
      <c r="A180" s="9" t="inlineStr">
        <is>
          <t>Gas yard local control enclosure</t>
        </is>
      </c>
      <c r="B180" s="9" t="inlineStr"/>
      <c r="C180" s="9" t="inlineStr">
        <is>
          <t>D</t>
        </is>
      </c>
      <c r="D180" s="9" t="inlineStr">
        <is>
          <t>LV power feeder</t>
        </is>
      </c>
      <c r="E180" s="9" t="n">
        <v>480</v>
      </c>
      <c r="F180" s="9" t="n">
        <v>15</v>
      </c>
      <c r="G180" s="9" t="n">
        <v>21</v>
      </c>
      <c r="H180" s="9" t="inlineStr">
        <is>
          <t>R1 MCC-C1</t>
        </is>
      </c>
      <c r="I180" s="9" t="inlineStr">
        <is>
          <t>LV 600 V</t>
        </is>
      </c>
      <c r="J180" s="9" t="inlineStr">
        <is>
          <t>1</t>
        </is>
      </c>
      <c r="K180" s="9" t="n">
        <v>1</v>
      </c>
    </row>
    <row r="181">
      <c r="A181" s="9" t="inlineStr">
        <is>
          <t>HTP-4: heat-trace panel (gas)</t>
        </is>
      </c>
      <c r="B181" s="9" t="inlineStr">
        <is>
          <t>HTP-4</t>
        </is>
      </c>
      <c r="C181" s="9" t="inlineStr">
        <is>
          <t>D</t>
        </is>
      </c>
      <c r="D181" s="9" t="inlineStr">
        <is>
          <t>LV power feeder</t>
        </is>
      </c>
      <c r="E181" s="9" t="n">
        <v>480</v>
      </c>
      <c r="F181" s="9" t="n">
        <v>120</v>
      </c>
      <c r="G181" s="9" t="n">
        <v>170</v>
      </c>
      <c r="H181" s="9" t="inlineStr">
        <is>
          <t>R1 MCC-C1</t>
        </is>
      </c>
      <c r="I181" s="9" t="inlineStr">
        <is>
          <t>LV 600 V</t>
        </is>
      </c>
      <c r="J181" s="9" t="inlineStr">
        <is>
          <t>350 kcmil</t>
        </is>
      </c>
      <c r="K181" s="9" t="n">
        <v>2</v>
      </c>
    </row>
    <row r="182">
      <c r="A182" s="9" t="inlineStr">
        <is>
          <t>CONDITIONAL: fuel-gas compressors</t>
        </is>
      </c>
      <c r="B182" s="9" t="inlineStr"/>
      <c r="C182" s="9" t="inlineStr">
        <is>
          <t>D</t>
        </is>
      </c>
      <c r="D182" s="9" t="inlineStr">
        <is>
          <t>Fuel-gas compressor (conditional)</t>
        </is>
      </c>
      <c r="E182" s="9" t="n">
        <v>13800</v>
      </c>
      <c r="F182" s="9" t="n">
        <v>3000</v>
      </c>
      <c r="G182" s="9" t="n">
        <v>139</v>
      </c>
      <c r="H182" s="9" t="inlineStr">
        <is>
          <t>R1 SWGR-13.8-3 (11 x 36 in cubicles, 15 kV metal-clad)</t>
        </is>
      </c>
      <c r="I182" s="9" t="inlineStr">
        <is>
          <t>MV 15 kV</t>
        </is>
      </c>
      <c r="J182" s="9" t="inlineStr">
        <is>
          <t>1/0</t>
        </is>
      </c>
      <c r="K182" s="9" t="n">
        <v>1</v>
      </c>
    </row>
    <row r="183">
      <c r="A183" s="9" t="inlineStr">
        <is>
          <t>CONDITIONAL: fuel-gas compressors</t>
        </is>
      </c>
      <c r="B183" s="9" t="inlineStr"/>
      <c r="C183" s="9" t="inlineStr">
        <is>
          <t>D</t>
        </is>
      </c>
      <c r="D183" s="9" t="inlineStr">
        <is>
          <t>Fuel-gas compressor (conditional)</t>
        </is>
      </c>
      <c r="E183" s="9" t="n">
        <v>13800</v>
      </c>
      <c r="F183" s="9" t="n">
        <v>3000</v>
      </c>
      <c r="G183" s="9" t="n">
        <v>139</v>
      </c>
      <c r="H183" s="9" t="inlineStr">
        <is>
          <t>R1 SWGR-13.8-3 (11 x 36 in cubicles, 15 kV metal-clad)</t>
        </is>
      </c>
      <c r="I183" s="9" t="inlineStr">
        <is>
          <t>MV 15 kV</t>
        </is>
      </c>
      <c r="J183" s="9" t="inlineStr">
        <is>
          <t>1/0</t>
        </is>
      </c>
      <c r="K183" s="9" t="n">
        <v>1</v>
      </c>
    </row>
    <row r="184">
      <c r="A184" s="9" t="inlineStr">
        <is>
          <t>CONDITIONAL: fuel-gas compressors</t>
        </is>
      </c>
      <c r="B184" s="9" t="inlineStr"/>
      <c r="C184" s="9" t="inlineStr">
        <is>
          <t>D</t>
        </is>
      </c>
      <c r="D184" s="9" t="inlineStr">
        <is>
          <t>Fuel-gas compressor (conditional)</t>
        </is>
      </c>
      <c r="E184" s="9" t="n">
        <v>13800</v>
      </c>
      <c r="F184" s="9" t="n">
        <v>3000</v>
      </c>
      <c r="G184" s="9" t="n">
        <v>139</v>
      </c>
      <c r="H184" s="9" t="inlineStr">
        <is>
          <t>R1 SWGR-13.8-3 (11 x 36 in cubicles, 15 kV metal-clad)</t>
        </is>
      </c>
      <c r="I184" s="9" t="inlineStr">
        <is>
          <t>MV 15 kV</t>
        </is>
      </c>
      <c r="J184" s="9" t="inlineStr">
        <is>
          <t>1/0</t>
        </is>
      </c>
      <c r="K184" s="9" t="n">
        <v>1</v>
      </c>
    </row>
    <row r="185">
      <c r="A185" s="9" t="inlineStr">
        <is>
          <t>Ammonia storage (aqueous, SCR reagent)</t>
        </is>
      </c>
      <c r="B185" s="9" t="inlineStr"/>
      <c r="C185" s="9" t="inlineStr">
        <is>
          <t>E</t>
        </is>
      </c>
      <c r="D185" s="9" t="inlineStr">
        <is>
          <t>LV power feeder</t>
        </is>
      </c>
      <c r="E185" s="9" t="n">
        <v>480</v>
      </c>
      <c r="F185" s="9" t="n">
        <v>15</v>
      </c>
      <c r="G185" s="9" t="n">
        <v>21</v>
      </c>
      <c r="H185" s="9" t="inlineStr">
        <is>
          <t>R1 MCC-C2</t>
        </is>
      </c>
      <c r="I185" s="9" t="inlineStr">
        <is>
          <t>LV 600 V</t>
        </is>
      </c>
      <c r="J185" s="9" t="inlineStr">
        <is>
          <t>2</t>
        </is>
      </c>
      <c r="K185" s="9" t="n">
        <v>1</v>
      </c>
    </row>
    <row r="186">
      <c r="A186" s="9" t="inlineStr">
        <is>
          <t>Auxiliary boiler</t>
        </is>
      </c>
      <c r="B186" s="9" t="inlineStr"/>
      <c r="C186" s="9" t="inlineStr">
        <is>
          <t>E</t>
        </is>
      </c>
      <c r="D186" s="9" t="inlineStr">
        <is>
          <t>LV power feeder</t>
        </is>
      </c>
      <c r="E186" s="9" t="n">
        <v>480</v>
      </c>
      <c r="F186" s="9" t="n">
        <v>75</v>
      </c>
      <c r="G186" s="9" t="n">
        <v>106</v>
      </c>
      <c r="H186" s="9" t="inlineStr">
        <is>
          <t>R1 MCC-C2</t>
        </is>
      </c>
      <c r="I186" s="9" t="inlineStr">
        <is>
          <t>LV 600 V</t>
        </is>
      </c>
      <c r="J186" s="9" t="inlineStr">
        <is>
          <t>250 kcmil</t>
        </is>
      </c>
      <c r="K186" s="9" t="n">
        <v>1</v>
      </c>
    </row>
    <row r="187">
      <c r="A187" s="9" t="inlineStr">
        <is>
          <t>Demineralised water tank</t>
        </is>
      </c>
      <c r="B187" s="9" t="inlineStr"/>
      <c r="C187" s="9" t="inlineStr">
        <is>
          <t>E</t>
        </is>
      </c>
      <c r="D187" s="9" t="inlineStr">
        <is>
          <t>LV power feeder</t>
        </is>
      </c>
      <c r="E187" s="9" t="n">
        <v>480</v>
      </c>
      <c r="F187" s="9" t="n">
        <v>10</v>
      </c>
      <c r="G187" s="9" t="n">
        <v>14</v>
      </c>
      <c r="H187" s="9" t="inlineStr">
        <is>
          <t>R1 MCC-C2</t>
        </is>
      </c>
      <c r="I187" s="9" t="inlineStr">
        <is>
          <t>LV 600 V</t>
        </is>
      </c>
      <c r="J187" s="9" t="inlineStr">
        <is>
          <t>6</t>
        </is>
      </c>
      <c r="K187" s="9" t="n">
        <v>1</v>
      </c>
    </row>
    <row r="188">
      <c r="A188" s="9" t="inlineStr">
        <is>
          <t>Fire / service water tank</t>
        </is>
      </c>
      <c r="B188" s="9" t="inlineStr"/>
      <c r="C188" s="9" t="inlineStr">
        <is>
          <t>E</t>
        </is>
      </c>
      <c r="D188" s="9" t="inlineStr">
        <is>
          <t>LV power feeder</t>
        </is>
      </c>
      <c r="E188" s="9" t="n">
        <v>480</v>
      </c>
      <c r="F188" s="9" t="n">
        <v>10</v>
      </c>
      <c r="G188" s="9" t="n">
        <v>14</v>
      </c>
      <c r="H188" s="9" t="inlineStr">
        <is>
          <t>R1 MCC-C2</t>
        </is>
      </c>
      <c r="I188" s="9" t="inlineStr">
        <is>
          <t>LV 600 V</t>
        </is>
      </c>
      <c r="J188" s="9" t="inlineStr">
        <is>
          <t>2</t>
        </is>
      </c>
      <c r="K188" s="9" t="n">
        <v>1</v>
      </c>
    </row>
    <row r="189">
      <c r="A189" s="9" t="inlineStr">
        <is>
          <t>Fire pump house</t>
        </is>
      </c>
      <c r="B189" s="9" t="inlineStr"/>
      <c r="C189" s="9" t="inlineStr">
        <is>
          <t>E</t>
        </is>
      </c>
      <c r="D189" s="9" t="inlineStr">
        <is>
          <t>LV power feeder</t>
        </is>
      </c>
      <c r="E189" s="9" t="n">
        <v>480</v>
      </c>
      <c r="F189" s="9" t="n">
        <v>60</v>
      </c>
      <c r="G189" s="9" t="n">
        <v>85</v>
      </c>
      <c r="H189" s="9" t="inlineStr">
        <is>
          <t>R1 MCC-C2</t>
        </is>
      </c>
      <c r="I189" s="9" t="inlineStr">
        <is>
          <t>LV 600 V</t>
        </is>
      </c>
      <c r="J189" s="9" t="inlineStr">
        <is>
          <t>4/0</t>
        </is>
      </c>
      <c r="K189" s="9" t="n">
        <v>1</v>
      </c>
    </row>
    <row r="190">
      <c r="A190" s="9" t="inlineStr">
        <is>
          <t>H2 / CO2 storage (generator gas)</t>
        </is>
      </c>
      <c r="B190" s="9" t="inlineStr"/>
      <c r="C190" s="9" t="inlineStr">
        <is>
          <t>E</t>
        </is>
      </c>
      <c r="D190" s="9" t="inlineStr">
        <is>
          <t>LV power feeder</t>
        </is>
      </c>
      <c r="E190" s="9" t="n">
        <v>480</v>
      </c>
      <c r="F190" s="9" t="n">
        <v>15</v>
      </c>
      <c r="G190" s="9" t="n">
        <v>21</v>
      </c>
      <c r="H190" s="9" t="inlineStr">
        <is>
          <t>R1 MCC-C2</t>
        </is>
      </c>
      <c r="I190" s="9" t="inlineStr">
        <is>
          <t>LV 600 V</t>
        </is>
      </c>
      <c r="J190" s="9" t="inlineStr">
        <is>
          <t>2</t>
        </is>
      </c>
      <c r="K190" s="9" t="n">
        <v>1</v>
      </c>
    </row>
    <row r="191">
      <c r="A191" s="9" t="inlineStr">
        <is>
          <t>HTP-2: heat-trace panel (NH3)</t>
        </is>
      </c>
      <c r="B191" s="9" t="inlineStr">
        <is>
          <t>HTP-2</t>
        </is>
      </c>
      <c r="C191" s="9" t="inlineStr">
        <is>
          <t>E</t>
        </is>
      </c>
      <c r="D191" s="9" t="inlineStr">
        <is>
          <t>LV power feeder</t>
        </is>
      </c>
      <c r="E191" s="9" t="n">
        <v>480</v>
      </c>
      <c r="F191" s="9" t="n">
        <v>120</v>
      </c>
      <c r="G191" s="9" t="n">
        <v>170</v>
      </c>
      <c r="H191" s="9" t="inlineStr">
        <is>
          <t>R1 MCC-C2</t>
        </is>
      </c>
      <c r="I191" s="9" t="inlineStr">
        <is>
          <t>LV 600 V</t>
        </is>
      </c>
      <c r="J191" s="9" t="inlineStr">
        <is>
          <t>500 kcmil</t>
        </is>
      </c>
      <c r="K191" s="9" t="n">
        <v>1</v>
      </c>
    </row>
    <row r="192">
      <c r="A192" s="9" t="inlineStr">
        <is>
          <t>HTP-3: heat-trace panel (tanks)</t>
        </is>
      </c>
      <c r="B192" s="9" t="inlineStr">
        <is>
          <t>HTP-3</t>
        </is>
      </c>
      <c r="C192" s="9" t="inlineStr">
        <is>
          <t>E</t>
        </is>
      </c>
      <c r="D192" s="9" t="inlineStr">
        <is>
          <t>LV power feeder</t>
        </is>
      </c>
      <c r="E192" s="9" t="n">
        <v>480</v>
      </c>
      <c r="F192" s="9" t="n">
        <v>10</v>
      </c>
      <c r="G192" s="9" t="n">
        <v>14</v>
      </c>
      <c r="H192" s="9" t="inlineStr">
        <is>
          <t>R1 MCC-C2</t>
        </is>
      </c>
      <c r="I192" s="9" t="inlineStr">
        <is>
          <t>LV 600 V</t>
        </is>
      </c>
      <c r="J192" s="9" t="inlineStr">
        <is>
          <t>6</t>
        </is>
      </c>
      <c r="K192" s="9" t="n">
        <v>1</v>
      </c>
    </row>
    <row r="193">
      <c r="A193" s="9" t="inlineStr">
        <is>
          <t>Oil-water separator</t>
        </is>
      </c>
      <c r="B193" s="9" t="inlineStr"/>
      <c r="C193" s="9" t="inlineStr">
        <is>
          <t>E</t>
        </is>
      </c>
      <c r="D193" s="9" t="inlineStr">
        <is>
          <t>LV power feeder</t>
        </is>
      </c>
      <c r="E193" s="9" t="n">
        <v>480</v>
      </c>
      <c r="F193" s="9" t="n">
        <v>15</v>
      </c>
      <c r="G193" s="9" t="n">
        <v>21</v>
      </c>
      <c r="H193" s="9" t="inlineStr">
        <is>
          <t>R1 MCC-C2</t>
        </is>
      </c>
      <c r="I193" s="9" t="inlineStr">
        <is>
          <t>LV 600 V</t>
        </is>
      </c>
      <c r="J193" s="9" t="inlineStr">
        <is>
          <t>1/0</t>
        </is>
      </c>
      <c r="K193" s="9" t="n">
        <v>1</v>
      </c>
    </row>
    <row r="194">
      <c r="A194" s="9" t="inlineStr">
        <is>
          <t>Raw water tank</t>
        </is>
      </c>
      <c r="B194" s="9" t="inlineStr"/>
      <c r="C194" s="9" t="inlineStr">
        <is>
          <t>E</t>
        </is>
      </c>
      <c r="D194" s="9" t="inlineStr">
        <is>
          <t>LV power feeder</t>
        </is>
      </c>
      <c r="E194" s="9" t="n">
        <v>480</v>
      </c>
      <c r="F194" s="9" t="n">
        <v>10</v>
      </c>
      <c r="G194" s="9" t="n">
        <v>14</v>
      </c>
      <c r="H194" s="9" t="inlineStr">
        <is>
          <t>R1 MCC-C2</t>
        </is>
      </c>
      <c r="I194" s="9" t="inlineStr">
        <is>
          <t>LV 600 V</t>
        </is>
      </c>
      <c r="J194" s="9" t="inlineStr">
        <is>
          <t>2</t>
        </is>
      </c>
      <c r="K194" s="9" t="n">
        <v>1</v>
      </c>
    </row>
    <row r="195">
      <c r="A195" s="9" t="inlineStr">
        <is>
          <t>Wastewater treatment</t>
        </is>
      </c>
      <c r="B195" s="9" t="inlineStr"/>
      <c r="C195" s="9" t="inlineStr">
        <is>
          <t>E</t>
        </is>
      </c>
      <c r="D195" s="9" t="inlineStr">
        <is>
          <t>LV power feeder</t>
        </is>
      </c>
      <c r="E195" s="9" t="n">
        <v>480</v>
      </c>
      <c r="F195" s="9" t="n">
        <v>60</v>
      </c>
      <c r="G195" s="9" t="n">
        <v>85</v>
      </c>
      <c r="H195" s="9" t="inlineStr">
        <is>
          <t>R1 MCC-C2</t>
        </is>
      </c>
      <c r="I195" s="9" t="inlineStr">
        <is>
          <t>LV 600 V</t>
        </is>
      </c>
      <c r="J195" s="9" t="inlineStr">
        <is>
          <t>3/0</t>
        </is>
      </c>
      <c r="K195" s="9" t="n">
        <v>1</v>
      </c>
    </row>
    <row r="196">
      <c r="A196" s="9" t="inlineStr">
        <is>
          <t>Water treatment building (incl. R-WT electrical room)</t>
        </is>
      </c>
      <c r="B196" s="9" t="inlineStr">
        <is>
          <t>R-WT</t>
        </is>
      </c>
      <c r="C196" s="9" t="inlineStr">
        <is>
          <t>E</t>
        </is>
      </c>
      <c r="D196" s="9" t="inlineStr">
        <is>
          <t>LV panel / distribution feeder</t>
        </is>
      </c>
      <c r="E196" s="9" t="n">
        <v>480</v>
      </c>
      <c r="F196" s="9" t="n">
        <v>163</v>
      </c>
      <c r="G196" s="9" t="n">
        <v>231</v>
      </c>
      <c r="H196" s="9" t="inlineStr">
        <is>
          <t>R1 MCC-C2</t>
        </is>
      </c>
      <c r="I196" s="9" t="inlineStr">
        <is>
          <t>LV 600 V</t>
        </is>
      </c>
      <c r="J196" s="9" t="inlineStr">
        <is>
          <t>500 kcmil</t>
        </is>
      </c>
      <c r="K196" s="9" t="n">
        <v>2</v>
      </c>
    </row>
    <row r="197">
      <c r="A197" s="9" t="inlineStr">
        <is>
          <t>Comms tower (lattice)</t>
        </is>
      </c>
      <c r="B197" s="9" t="inlineStr">
        <is>
          <t>COMMS</t>
        </is>
      </c>
      <c r="C197" s="9" t="inlineStr">
        <is>
          <t>F</t>
        </is>
      </c>
      <c r="D197" s="9" t="inlineStr">
        <is>
          <t>LV power feeder</t>
        </is>
      </c>
      <c r="E197" s="9" t="n">
        <v>480</v>
      </c>
      <c r="F197" s="9" t="n">
        <v>10</v>
      </c>
      <c r="G197" s="9" t="n">
        <v>14</v>
      </c>
      <c r="H197" s="9" t="inlineStr">
        <is>
          <t>R1 MCC-C2</t>
        </is>
      </c>
      <c r="I197" s="9" t="inlineStr">
        <is>
          <t>LV 600 V</t>
        </is>
      </c>
      <c r="J197" s="9" t="inlineStr">
        <is>
          <t>4</t>
        </is>
      </c>
      <c r="K197" s="9" t="n">
        <v>1</v>
      </c>
    </row>
    <row r="198">
      <c r="A198" s="9" t="inlineStr">
        <is>
          <t>Control / admin building (main control room)</t>
        </is>
      </c>
      <c r="B198" s="9" t="inlineStr">
        <is>
          <t>CR</t>
        </is>
      </c>
      <c r="C198" s="9" t="inlineStr">
        <is>
          <t>F</t>
        </is>
      </c>
      <c r="D198" s="9" t="inlineStr">
        <is>
          <t>LV panel / distribution feeder</t>
        </is>
      </c>
      <c r="E198" s="9" t="n">
        <v>480</v>
      </c>
      <c r="F198" s="9" t="n">
        <v>145</v>
      </c>
      <c r="G198" s="9" t="n">
        <v>205</v>
      </c>
      <c r="H198" s="9" t="inlineStr">
        <is>
          <t>R1 MCC-C2</t>
        </is>
      </c>
      <c r="I198" s="9" t="inlineStr">
        <is>
          <t>LV 600 V</t>
        </is>
      </c>
      <c r="J198" s="9" t="inlineStr">
        <is>
          <t>350 kcmil</t>
        </is>
      </c>
      <c r="K198" s="9" t="n">
        <v>2</v>
      </c>
    </row>
    <row r="199">
      <c r="A199" s="9" t="inlineStr">
        <is>
          <t>EDG-1: 3 MW emergency diesel generator (480 V)</t>
        </is>
      </c>
      <c r="B199" s="9" t="inlineStr">
        <is>
          <t>EDG-1</t>
        </is>
      </c>
      <c r="C199" s="9" t="inlineStr">
        <is>
          <t>F</t>
        </is>
      </c>
      <c r="D199" s="9" t="inlineStr">
        <is>
          <t>LV power feeder</t>
        </is>
      </c>
      <c r="E199" s="9" t="n">
        <v>480</v>
      </c>
      <c r="F199" s="9" t="n">
        <v>15</v>
      </c>
      <c r="G199" s="9" t="n">
        <v>21</v>
      </c>
      <c r="H199" s="9" t="inlineStr">
        <is>
          <t>R1 MCC-C2</t>
        </is>
      </c>
      <c r="I199" s="9" t="inlineStr">
        <is>
          <t>LV 600 V</t>
        </is>
      </c>
      <c r="J199" s="9" t="inlineStr">
        <is>
          <t>4</t>
        </is>
      </c>
      <c r="K199" s="9" t="n">
        <v>1</v>
      </c>
    </row>
    <row r="200">
      <c r="A200" s="9" t="inlineStr">
        <is>
          <t>EDG-2: 3 MW emergency diesel generator (480 V)</t>
        </is>
      </c>
      <c r="B200" s="9" t="inlineStr">
        <is>
          <t>EDG-2</t>
        </is>
      </c>
      <c r="C200" s="9" t="inlineStr">
        <is>
          <t>F</t>
        </is>
      </c>
      <c r="D200" s="9" t="inlineStr">
        <is>
          <t>LV power feeder</t>
        </is>
      </c>
      <c r="E200" s="9" t="n">
        <v>480</v>
      </c>
      <c r="F200" s="9" t="n">
        <v>15</v>
      </c>
      <c r="G200" s="9" t="n">
        <v>21</v>
      </c>
      <c r="H200" s="9" t="inlineStr">
        <is>
          <t>R1 MCC-C2</t>
        </is>
      </c>
      <c r="I200" s="9" t="inlineStr">
        <is>
          <t>LV 600 V</t>
        </is>
      </c>
      <c r="J200" s="9" t="inlineStr">
        <is>
          <t>2</t>
        </is>
      </c>
      <c r="K200" s="9" t="n">
        <v>1</v>
      </c>
    </row>
    <row r="201">
      <c r="A201" s="9" t="inlineStr">
        <is>
          <t>Gatehouse</t>
        </is>
      </c>
      <c r="B201" s="9" t="inlineStr"/>
      <c r="C201" s="9" t="inlineStr">
        <is>
          <t>F</t>
        </is>
      </c>
      <c r="D201" s="9" t="inlineStr">
        <is>
          <t>LV panel / distribution feeder</t>
        </is>
      </c>
      <c r="E201" s="9" t="n">
        <v>480</v>
      </c>
      <c r="F201" s="9" t="n">
        <v>30</v>
      </c>
      <c r="G201" s="9" t="n">
        <v>42</v>
      </c>
      <c r="H201" s="9" t="inlineStr">
        <is>
          <t>R1 MCC-C2</t>
        </is>
      </c>
      <c r="I201" s="9" t="inlineStr">
        <is>
          <t>LV 600 V</t>
        </is>
      </c>
      <c r="J201" s="9" t="inlineStr">
        <is>
          <t>2/0</t>
        </is>
      </c>
      <c r="K201" s="9" t="n">
        <v>1</v>
      </c>
    </row>
    <row r="202">
      <c r="A202" s="9" t="inlineStr">
        <is>
          <t>LS-1: sanitary lift station (packaged duplex)</t>
        </is>
      </c>
      <c r="B202" s="9" t="inlineStr">
        <is>
          <t>LS-1</t>
        </is>
      </c>
      <c r="C202" s="9" t="inlineStr">
        <is>
          <t>F</t>
        </is>
      </c>
      <c r="D202" s="9" t="inlineStr">
        <is>
          <t>LV power feeder</t>
        </is>
      </c>
      <c r="E202" s="9" t="n">
        <v>480</v>
      </c>
      <c r="F202" s="9" t="n">
        <v>30</v>
      </c>
      <c r="G202" s="9" t="n">
        <v>42</v>
      </c>
      <c r="H202" s="9" t="inlineStr">
        <is>
          <t>R1 MCC-C2</t>
        </is>
      </c>
      <c r="I202" s="9" t="inlineStr">
        <is>
          <t>LV 600 V</t>
        </is>
      </c>
      <c r="J202" s="9" t="inlineStr">
        <is>
          <t>2/0</t>
        </is>
      </c>
      <c r="K202" s="9" t="n">
        <v>1</v>
      </c>
    </row>
    <row r="203">
      <c r="A203" s="9" t="inlineStr">
        <is>
          <t>Maintenance building / workshop</t>
        </is>
      </c>
      <c r="B203" s="9" t="inlineStr"/>
      <c r="C203" s="9" t="inlineStr">
        <is>
          <t>F</t>
        </is>
      </c>
      <c r="D203" s="9" t="inlineStr">
        <is>
          <t>LV panel / distribution feeder</t>
        </is>
      </c>
      <c r="E203" s="9" t="n">
        <v>480</v>
      </c>
      <c r="F203" s="9" t="n">
        <v>60</v>
      </c>
      <c r="G203" s="9" t="n">
        <v>85</v>
      </c>
      <c r="H203" s="9" t="inlineStr">
        <is>
          <t>R1 MCC-C2</t>
        </is>
      </c>
      <c r="I203" s="9" t="inlineStr">
        <is>
          <t>LV 600 V</t>
        </is>
      </c>
      <c r="J203" s="9" t="inlineStr">
        <is>
          <t>250 kcmil</t>
        </is>
      </c>
      <c r="K203" s="9" t="n">
        <v>1</v>
      </c>
    </row>
    <row r="204">
      <c r="A204" s="9" t="inlineStr">
        <is>
          <t>Stormwater pump station (2 x 100% submersible pumps)</t>
        </is>
      </c>
      <c r="B204" s="9" t="inlineStr"/>
      <c r="C204" s="9" t="inlineStr">
        <is>
          <t>F</t>
        </is>
      </c>
      <c r="D204" s="9" t="inlineStr">
        <is>
          <t>LV power feeder</t>
        </is>
      </c>
      <c r="E204" s="9" t="n">
        <v>480</v>
      </c>
      <c r="F204" s="9" t="n">
        <v>150</v>
      </c>
      <c r="G204" s="9" t="n">
        <v>212</v>
      </c>
      <c r="H204" s="9" t="inlineStr">
        <is>
          <t>R1 MCC-C2</t>
        </is>
      </c>
      <c r="I204" s="9" t="inlineStr">
        <is>
          <t>LV 600 V</t>
        </is>
      </c>
      <c r="J204" s="9" t="inlineStr">
        <is>
          <t>500 kcmil</t>
        </is>
      </c>
      <c r="K204" s="9" t="n">
        <v>2</v>
      </c>
    </row>
    <row r="205">
      <c r="A205" s="9" t="inlineStr">
        <is>
          <t>Warehouse</t>
        </is>
      </c>
      <c r="B205" s="9" t="inlineStr"/>
      <c r="C205" s="9" t="inlineStr">
        <is>
          <t>F</t>
        </is>
      </c>
      <c r="D205" s="9" t="inlineStr">
        <is>
          <t>LV panel / distribution feeder</t>
        </is>
      </c>
      <c r="E205" s="9" t="n">
        <v>480</v>
      </c>
      <c r="F205" s="9" t="n">
        <v>204</v>
      </c>
      <c r="G205" s="9" t="n">
        <v>289</v>
      </c>
      <c r="H205" s="9" t="inlineStr">
        <is>
          <t>R1 MCC-C2</t>
        </is>
      </c>
      <c r="I205" s="9" t="inlineStr">
        <is>
          <t>LV 600 V</t>
        </is>
      </c>
      <c r="J205" s="9" t="inlineStr">
        <is>
          <t>500 kcmil</t>
        </is>
      </c>
      <c r="K205" s="9" t="n">
        <v>2</v>
      </c>
    </row>
    <row r="206">
      <c r="A206" s="9" t="inlineStr">
        <is>
          <t>Absorber A (62 ft dia x 262 ft, stack to 313 ft)</t>
        </is>
      </c>
      <c r="B206" s="9" t="inlineStr">
        <is>
          <t>ABS-A</t>
        </is>
      </c>
      <c r="C206" s="9" t="inlineStr">
        <is>
          <t>G</t>
        </is>
      </c>
      <c r="D206" s="9" t="inlineStr">
        <is>
          <t>LV power feeder</t>
        </is>
      </c>
      <c r="E206" s="9" t="n">
        <v>480</v>
      </c>
      <c r="F206" s="9" t="n">
        <v>40</v>
      </c>
      <c r="G206" s="9" t="n">
        <v>57</v>
      </c>
      <c r="H206" s="9" t="inlineStr">
        <is>
          <t>CT MCC / VFD e-house</t>
        </is>
      </c>
      <c r="I206" s="9" t="inlineStr">
        <is>
          <t>LV 600 V</t>
        </is>
      </c>
      <c r="J206" s="9" t="inlineStr">
        <is>
          <t>3/0</t>
        </is>
      </c>
      <c r="K206" s="9" t="n">
        <v>1</v>
      </c>
    </row>
    <row r="207">
      <c r="A207" s="9" t="inlineStr">
        <is>
          <t>Absorber A intercooler (pumps + plate exchanger)</t>
        </is>
      </c>
      <c r="B207" s="9" t="inlineStr"/>
      <c r="C207" s="9" t="inlineStr">
        <is>
          <t>G</t>
        </is>
      </c>
      <c r="D207" s="9" t="inlineStr">
        <is>
          <t>LV power feeder</t>
        </is>
      </c>
      <c r="E207" s="9" t="n">
        <v>480</v>
      </c>
      <c r="F207" s="9" t="n">
        <v>300</v>
      </c>
      <c r="G207" s="9" t="n">
        <v>425</v>
      </c>
      <c r="H207" s="9" t="inlineStr">
        <is>
          <t>CT MCC / VFD e-house</t>
        </is>
      </c>
      <c r="I207" s="9" t="inlineStr">
        <is>
          <t>LV 600 V</t>
        </is>
      </c>
      <c r="J207" s="9" t="inlineStr">
        <is>
          <t>500 kcmil</t>
        </is>
      </c>
      <c r="K207" s="9" t="n">
        <v>3</v>
      </c>
    </row>
    <row r="208">
      <c r="A208" s="9" t="inlineStr">
        <is>
          <t>Absorber B (62 ft dia x 262 ft, stack to 313 ft)</t>
        </is>
      </c>
      <c r="B208" s="9" t="inlineStr">
        <is>
          <t>ABS-B</t>
        </is>
      </c>
      <c r="C208" s="9" t="inlineStr">
        <is>
          <t>G</t>
        </is>
      </c>
      <c r="D208" s="9" t="inlineStr">
        <is>
          <t>LV power feeder</t>
        </is>
      </c>
      <c r="E208" s="9" t="n">
        <v>480</v>
      </c>
      <c r="F208" s="9" t="n">
        <v>40</v>
      </c>
      <c r="G208" s="9" t="n">
        <v>57</v>
      </c>
      <c r="H208" s="9" t="inlineStr">
        <is>
          <t>CT MCC / VFD e-house</t>
        </is>
      </c>
      <c r="I208" s="9" t="inlineStr">
        <is>
          <t>LV 600 V</t>
        </is>
      </c>
      <c r="J208" s="9" t="inlineStr">
        <is>
          <t>3/0</t>
        </is>
      </c>
      <c r="K208" s="9" t="n">
        <v>1</v>
      </c>
    </row>
    <row r="209">
      <c r="A209" s="9" t="inlineStr">
        <is>
          <t>Absorber B intercooler (pumps + plate exchanger)</t>
        </is>
      </c>
      <c r="B209" s="9" t="inlineStr"/>
      <c r="C209" s="9" t="inlineStr">
        <is>
          <t>G</t>
        </is>
      </c>
      <c r="D209" s="9" t="inlineStr">
        <is>
          <t>LV power feeder</t>
        </is>
      </c>
      <c r="E209" s="9" t="n">
        <v>480</v>
      </c>
      <c r="F209" s="9" t="n">
        <v>300</v>
      </c>
      <c r="G209" s="9" t="n">
        <v>425</v>
      </c>
      <c r="H209" s="9" t="inlineStr">
        <is>
          <t>CT MCC / VFD e-house</t>
        </is>
      </c>
      <c r="I209" s="9" t="inlineStr">
        <is>
          <t>LV 600 V</t>
        </is>
      </c>
      <c r="J209" s="9" t="inlineStr">
        <is>
          <t>500 kcmil</t>
        </is>
      </c>
      <c r="K209" s="9" t="n">
        <v>3</v>
      </c>
    </row>
    <row r="210">
      <c r="A210" s="9" t="inlineStr">
        <is>
          <t>Absorber C (62 ft dia x 262 ft, stack to 313 ft)</t>
        </is>
      </c>
      <c r="B210" s="9" t="inlineStr">
        <is>
          <t>ABS-C</t>
        </is>
      </c>
      <c r="C210" s="9" t="inlineStr">
        <is>
          <t>G</t>
        </is>
      </c>
      <c r="D210" s="9" t="inlineStr">
        <is>
          <t>LV power feeder</t>
        </is>
      </c>
      <c r="E210" s="9" t="n">
        <v>480</v>
      </c>
      <c r="F210" s="9" t="n">
        <v>40</v>
      </c>
      <c r="G210" s="9" t="n">
        <v>57</v>
      </c>
      <c r="H210" s="9" t="inlineStr">
        <is>
          <t>CT MCC / VFD e-house</t>
        </is>
      </c>
      <c r="I210" s="9" t="inlineStr">
        <is>
          <t>LV 600 V</t>
        </is>
      </c>
      <c r="J210" s="9" t="inlineStr">
        <is>
          <t>3/0</t>
        </is>
      </c>
      <c r="K210" s="9" t="n">
        <v>1</v>
      </c>
    </row>
    <row r="211">
      <c r="A211" s="9" t="inlineStr">
        <is>
          <t>Absorber C intercooler (pumps + plate exchanger)</t>
        </is>
      </c>
      <c r="B211" s="9" t="inlineStr"/>
      <c r="C211" s="9" t="inlineStr">
        <is>
          <t>G</t>
        </is>
      </c>
      <c r="D211" s="9" t="inlineStr">
        <is>
          <t>LV power feeder</t>
        </is>
      </c>
      <c r="E211" s="9" t="n">
        <v>480</v>
      </c>
      <c r="F211" s="9" t="n">
        <v>300</v>
      </c>
      <c r="G211" s="9" t="n">
        <v>425</v>
      </c>
      <c r="H211" s="9" t="inlineStr">
        <is>
          <t>CT MCC / VFD e-house</t>
        </is>
      </c>
      <c r="I211" s="9" t="inlineStr">
        <is>
          <t>LV 600 V</t>
        </is>
      </c>
      <c r="J211" s="9" t="inlineStr">
        <is>
          <t>500 kcmil</t>
        </is>
      </c>
      <c r="K211" s="9" t="n">
        <v>2</v>
      </c>
    </row>
    <row r="212">
      <c r="A212" s="9" t="inlineStr">
        <is>
          <t>Activated-carbon filter</t>
        </is>
      </c>
      <c r="B212" s="9" t="inlineStr"/>
      <c r="C212" s="9" t="inlineStr">
        <is>
          <t>G</t>
        </is>
      </c>
      <c r="D212" s="9" t="inlineStr">
        <is>
          <t>LV power feeder</t>
        </is>
      </c>
      <c r="E212" s="9" t="n">
        <v>480</v>
      </c>
      <c r="F212" s="9" t="n">
        <v>15</v>
      </c>
      <c r="G212" s="9" t="n">
        <v>21</v>
      </c>
      <c r="H212" s="9" t="inlineStr">
        <is>
          <t>CT MCC / VFD e-house</t>
        </is>
      </c>
      <c r="I212" s="9" t="inlineStr">
        <is>
          <t>LV 600 V</t>
        </is>
      </c>
      <c r="J212" s="9" t="inlineStr">
        <is>
          <t>6</t>
        </is>
      </c>
      <c r="K212" s="9" t="n">
        <v>1</v>
      </c>
    </row>
    <row r="213">
      <c r="A213" s="9" t="inlineStr">
        <is>
          <t>CCS F&amp;G / control</t>
        </is>
      </c>
      <c r="B213" s="9" t="inlineStr"/>
      <c r="C213" s="9" t="inlineStr">
        <is>
          <t>G</t>
        </is>
      </c>
      <c r="D213" s="9" t="inlineStr">
        <is>
          <t>LV panel / distribution feeder</t>
        </is>
      </c>
      <c r="E213" s="9" t="n">
        <v>480</v>
      </c>
      <c r="F213" s="9" t="n">
        <v>40</v>
      </c>
      <c r="G213" s="9" t="n">
        <v>57</v>
      </c>
      <c r="H213" s="9" t="inlineStr">
        <is>
          <t>CT MCC / VFD e-house</t>
        </is>
      </c>
      <c r="I213" s="9" t="inlineStr">
        <is>
          <t>LV 600 V</t>
        </is>
      </c>
      <c r="J213" s="9" t="inlineStr">
        <is>
          <t>1/0</t>
        </is>
      </c>
      <c r="K213" s="9" t="n">
        <v>1</v>
      </c>
    </row>
    <row r="214">
      <c r="A214" s="9" t="inlineStr">
        <is>
          <t>CCS MV switchgear building (VFDs)</t>
        </is>
      </c>
      <c r="B214" s="9" t="inlineStr"/>
      <c r="C214" s="9" t="inlineStr">
        <is>
          <t>G</t>
        </is>
      </c>
      <c r="D214" s="9" t="inlineStr">
        <is>
          <t>LV panel / distribution feeder</t>
        </is>
      </c>
      <c r="E214" s="9" t="n">
        <v>480</v>
      </c>
      <c r="F214" s="9" t="n">
        <v>109</v>
      </c>
      <c r="G214" s="9" t="n">
        <v>154</v>
      </c>
      <c r="H214" s="9" t="inlineStr">
        <is>
          <t>CT MCC / VFD e-house</t>
        </is>
      </c>
      <c r="I214" s="9" t="inlineStr">
        <is>
          <t>LV 600 V</t>
        </is>
      </c>
      <c r="J214" s="9" t="inlineStr">
        <is>
          <t>250 kcmil</t>
        </is>
      </c>
      <c r="K214" s="9" t="n">
        <v>1</v>
      </c>
    </row>
    <row r="215">
      <c r="A215" s="9" t="inlineStr">
        <is>
          <t>CCS cooling tower (~30 cells): CCS process cooling only</t>
        </is>
      </c>
      <c r="B215" s="9" t="inlineStr">
        <is>
          <t>CCS-CT</t>
        </is>
      </c>
      <c r="C215" s="9" t="inlineStr">
        <is>
          <t>G</t>
        </is>
      </c>
      <c r="D215" s="9" t="inlineStr">
        <is>
          <t>LV power feeder</t>
        </is>
      </c>
      <c r="E215" s="9" t="n">
        <v>480</v>
      </c>
      <c r="F215" s="9" t="n">
        <v>3300</v>
      </c>
      <c r="G215" s="9" t="n">
        <v>4670</v>
      </c>
      <c r="H215" s="9" t="inlineStr">
        <is>
          <t>CT MCC / VFD e-house</t>
        </is>
      </c>
      <c r="I215" s="9" t="inlineStr">
        <is>
          <t>LV 600 V</t>
        </is>
      </c>
      <c r="J215" s="9" t="inlineStr">
        <is>
          <t>500 kcmil</t>
        </is>
      </c>
      <c r="K215" s="9" t="n">
        <v>12</v>
      </c>
    </row>
    <row r="216">
      <c r="A216" s="9" t="inlineStr">
        <is>
          <t>CCS instrument air</t>
        </is>
      </c>
      <c r="B216" s="9" t="inlineStr"/>
      <c r="C216" s="9" t="inlineStr">
        <is>
          <t>G</t>
        </is>
      </c>
      <c r="D216" s="9" t="inlineStr">
        <is>
          <t>LV power feeder</t>
        </is>
      </c>
      <c r="E216" s="9" t="n">
        <v>480</v>
      </c>
      <c r="F216" s="9" t="n">
        <v>500</v>
      </c>
      <c r="G216" s="9" t="n">
        <v>708</v>
      </c>
      <c r="H216" s="9" t="inlineStr">
        <is>
          <t>CT MCC / VFD e-house</t>
        </is>
      </c>
      <c r="I216" s="9" t="inlineStr">
        <is>
          <t>LV 600 V</t>
        </is>
      </c>
      <c r="J216" s="9" t="inlineStr">
        <is>
          <t>350 kcmil</t>
        </is>
      </c>
      <c r="K216" s="9" t="n">
        <v>3</v>
      </c>
    </row>
    <row r="217">
      <c r="A217" s="9" t="inlineStr">
        <is>
          <t>CCS wastewater (DCC + tower blowdown)</t>
        </is>
      </c>
      <c r="B217" s="9" t="inlineStr"/>
      <c r="C217" s="9" t="inlineStr">
        <is>
          <t>G</t>
        </is>
      </c>
      <c r="D217" s="9" t="inlineStr">
        <is>
          <t>LV power feeder</t>
        </is>
      </c>
      <c r="E217" s="9" t="n">
        <v>480</v>
      </c>
      <c r="F217" s="9" t="n">
        <v>60</v>
      </c>
      <c r="G217" s="9" t="n">
        <v>85</v>
      </c>
      <c r="H217" s="9" t="inlineStr">
        <is>
          <t>CT MCC / VFD e-house</t>
        </is>
      </c>
      <c r="I217" s="9" t="inlineStr">
        <is>
          <t>LV 600 V</t>
        </is>
      </c>
      <c r="J217" s="9" t="inlineStr">
        <is>
          <t>2</t>
        </is>
      </c>
      <c r="K217" s="9" t="n">
        <v>1</v>
      </c>
    </row>
    <row r="218">
      <c r="A218" s="9" t="inlineStr">
        <is>
          <t>CO2 dehydration: molecular-sieve towers and regeneration heater</t>
        </is>
      </c>
      <c r="B218" s="9" t="inlineStr"/>
      <c r="C218" s="9" t="inlineStr">
        <is>
          <t>G</t>
        </is>
      </c>
      <c r="D218" s="9" t="inlineStr">
        <is>
          <t>LV power feeder</t>
        </is>
      </c>
      <c r="E218" s="9" t="n">
        <v>480</v>
      </c>
      <c r="F218" s="9" t="n">
        <v>150</v>
      </c>
      <c r="G218" s="9" t="n">
        <v>212</v>
      </c>
      <c r="H218" s="9" t="inlineStr">
        <is>
          <t>CT MCC / VFD e-house</t>
        </is>
      </c>
      <c r="I218" s="9" t="inlineStr">
        <is>
          <t>LV 600 V</t>
        </is>
      </c>
      <c r="J218" s="9" t="inlineStr">
        <is>
          <t>350 kcmil</t>
        </is>
      </c>
      <c r="K218" s="9" t="n">
        <v>1</v>
      </c>
    </row>
    <row r="219">
      <c r="A219" s="9" t="inlineStr">
        <is>
          <t>DCC-A pumps + water filter</t>
        </is>
      </c>
      <c r="B219" s="9" t="inlineStr"/>
      <c r="C219" s="9" t="inlineStr">
        <is>
          <t>G</t>
        </is>
      </c>
      <c r="D219" s="9" t="inlineStr">
        <is>
          <t>LV power feeder</t>
        </is>
      </c>
      <c r="E219" s="9" t="n">
        <v>480</v>
      </c>
      <c r="F219" s="9" t="n">
        <v>400</v>
      </c>
      <c r="G219" s="9" t="n">
        <v>566</v>
      </c>
      <c r="H219" s="9" t="inlineStr">
        <is>
          <t>CT MCC / VFD e-house</t>
        </is>
      </c>
      <c r="I219" s="9" t="inlineStr">
        <is>
          <t>LV 600 V</t>
        </is>
      </c>
      <c r="J219" s="9" t="inlineStr">
        <is>
          <t>500 kcmil</t>
        </is>
      </c>
      <c r="K219" s="9" t="n">
        <v>4</v>
      </c>
    </row>
    <row r="220">
      <c r="A220" s="9" t="inlineStr">
        <is>
          <t>DCC-A: direct-contact cooler (quench)</t>
        </is>
      </c>
      <c r="B220" s="9" t="inlineStr">
        <is>
          <t>DCC-A</t>
        </is>
      </c>
      <c r="C220" s="9" t="inlineStr">
        <is>
          <t>G</t>
        </is>
      </c>
      <c r="D220" s="9" t="inlineStr">
        <is>
          <t>LV power feeder</t>
        </is>
      </c>
      <c r="E220" s="9" t="n">
        <v>480</v>
      </c>
      <c r="F220" s="9" t="n">
        <v>15</v>
      </c>
      <c r="G220" s="9" t="n">
        <v>21</v>
      </c>
      <c r="H220" s="9" t="inlineStr">
        <is>
          <t>CT MCC / VFD e-house</t>
        </is>
      </c>
      <c r="I220" s="9" t="inlineStr">
        <is>
          <t>LV 600 V</t>
        </is>
      </c>
      <c r="J220" s="9" t="inlineStr">
        <is>
          <t>2</t>
        </is>
      </c>
      <c r="K220" s="9" t="n">
        <v>1</v>
      </c>
    </row>
    <row r="221">
      <c r="A221" s="9" t="inlineStr">
        <is>
          <t>DCC-B pumps + water filter</t>
        </is>
      </c>
      <c r="B221" s="9" t="inlineStr"/>
      <c r="C221" s="9" t="inlineStr">
        <is>
          <t>G</t>
        </is>
      </c>
      <c r="D221" s="9" t="inlineStr">
        <is>
          <t>LV power feeder</t>
        </is>
      </c>
      <c r="E221" s="9" t="n">
        <v>480</v>
      </c>
      <c r="F221" s="9" t="n">
        <v>400</v>
      </c>
      <c r="G221" s="9" t="n">
        <v>566</v>
      </c>
      <c r="H221" s="9" t="inlineStr">
        <is>
          <t>CT MCC / VFD e-house</t>
        </is>
      </c>
      <c r="I221" s="9" t="inlineStr">
        <is>
          <t>LV 600 V</t>
        </is>
      </c>
      <c r="J221" s="9" t="inlineStr">
        <is>
          <t>500 kcmil</t>
        </is>
      </c>
      <c r="K221" s="9" t="n">
        <v>4</v>
      </c>
    </row>
    <row r="222">
      <c r="A222" s="9" t="inlineStr">
        <is>
          <t>DCC-B: direct-contact cooler (quench)</t>
        </is>
      </c>
      <c r="B222" s="9" t="inlineStr">
        <is>
          <t>DCC-B</t>
        </is>
      </c>
      <c r="C222" s="9" t="inlineStr">
        <is>
          <t>G</t>
        </is>
      </c>
      <c r="D222" s="9" t="inlineStr">
        <is>
          <t>LV power feeder</t>
        </is>
      </c>
      <c r="E222" s="9" t="n">
        <v>480</v>
      </c>
      <c r="F222" s="9" t="n">
        <v>15</v>
      </c>
      <c r="G222" s="9" t="n">
        <v>21</v>
      </c>
      <c r="H222" s="9" t="inlineStr">
        <is>
          <t>CT MCC / VFD e-house</t>
        </is>
      </c>
      <c r="I222" s="9" t="inlineStr">
        <is>
          <t>LV 600 V</t>
        </is>
      </c>
      <c r="J222" s="9" t="inlineStr">
        <is>
          <t>2</t>
        </is>
      </c>
      <c r="K222" s="9" t="n">
        <v>1</v>
      </c>
    </row>
    <row r="223">
      <c r="A223" s="9" t="inlineStr">
        <is>
          <t>DCC-C pumps + water filter</t>
        </is>
      </c>
      <c r="B223" s="9" t="inlineStr"/>
      <c r="C223" s="9" t="inlineStr">
        <is>
          <t>G</t>
        </is>
      </c>
      <c r="D223" s="9" t="inlineStr">
        <is>
          <t>LV power feeder</t>
        </is>
      </c>
      <c r="E223" s="9" t="n">
        <v>480</v>
      </c>
      <c r="F223" s="9" t="n">
        <v>400</v>
      </c>
      <c r="G223" s="9" t="n">
        <v>566</v>
      </c>
      <c r="H223" s="9" t="inlineStr">
        <is>
          <t>CT MCC / VFD e-house</t>
        </is>
      </c>
      <c r="I223" s="9" t="inlineStr">
        <is>
          <t>LV 600 V</t>
        </is>
      </c>
      <c r="J223" s="9" t="inlineStr">
        <is>
          <t>500 kcmil</t>
        </is>
      </c>
      <c r="K223" s="9" t="n">
        <v>3</v>
      </c>
    </row>
    <row r="224">
      <c r="A224" s="9" t="inlineStr">
        <is>
          <t>DCC-C: direct-contact cooler (quench)</t>
        </is>
      </c>
      <c r="B224" s="9" t="inlineStr">
        <is>
          <t>DCC-C</t>
        </is>
      </c>
      <c r="C224" s="9" t="inlineStr">
        <is>
          <t>G</t>
        </is>
      </c>
      <c r="D224" s="9" t="inlineStr">
        <is>
          <t>LV power feeder</t>
        </is>
      </c>
      <c r="E224" s="9" t="n">
        <v>480</v>
      </c>
      <c r="F224" s="9" t="n">
        <v>15</v>
      </c>
      <c r="G224" s="9" t="n">
        <v>21</v>
      </c>
      <c r="H224" s="9" t="inlineStr">
        <is>
          <t>CT MCC / VFD e-house</t>
        </is>
      </c>
      <c r="I224" s="9" t="inlineStr">
        <is>
          <t>LV 600 V</t>
        </is>
      </c>
      <c r="J224" s="9" t="inlineStr">
        <is>
          <t>2</t>
        </is>
      </c>
      <c r="K224" s="9" t="n">
        <v>1</v>
      </c>
    </row>
    <row r="225">
      <c r="A225" s="9" t="inlineStr">
        <is>
          <t>DMP-A: diverter / bypass damper</t>
        </is>
      </c>
      <c r="B225" s="9" t="inlineStr">
        <is>
          <t>DMP-A</t>
        </is>
      </c>
      <c r="C225" s="9" t="inlineStr">
        <is>
          <t>G</t>
        </is>
      </c>
      <c r="D225" s="9" t="inlineStr">
        <is>
          <t>LV power feeder</t>
        </is>
      </c>
      <c r="E225" s="9" t="n">
        <v>480</v>
      </c>
      <c r="F225" s="9" t="n">
        <v>20</v>
      </c>
      <c r="G225" s="9" t="n">
        <v>28</v>
      </c>
      <c r="H225" s="9" t="inlineStr">
        <is>
          <t>CT MCC / VFD e-house</t>
        </is>
      </c>
      <c r="I225" s="9" t="inlineStr">
        <is>
          <t>LV 600 V</t>
        </is>
      </c>
      <c r="J225" s="9" t="inlineStr">
        <is>
          <t>1</t>
        </is>
      </c>
      <c r="K225" s="9" t="n">
        <v>1</v>
      </c>
    </row>
    <row r="226">
      <c r="A226" s="9" t="inlineStr">
        <is>
          <t>DMP-B: diverter / bypass damper</t>
        </is>
      </c>
      <c r="B226" s="9" t="inlineStr">
        <is>
          <t>DMP-B</t>
        </is>
      </c>
      <c r="C226" s="9" t="inlineStr">
        <is>
          <t>G</t>
        </is>
      </c>
      <c r="D226" s="9" t="inlineStr">
        <is>
          <t>LV power feeder</t>
        </is>
      </c>
      <c r="E226" s="9" t="n">
        <v>480</v>
      </c>
      <c r="F226" s="9" t="n">
        <v>20</v>
      </c>
      <c r="G226" s="9" t="n">
        <v>28</v>
      </c>
      <c r="H226" s="9" t="inlineStr">
        <is>
          <t>CT MCC / VFD e-house</t>
        </is>
      </c>
      <c r="I226" s="9" t="inlineStr">
        <is>
          <t>LV 600 V</t>
        </is>
      </c>
      <c r="J226" s="9" t="inlineStr">
        <is>
          <t>1</t>
        </is>
      </c>
      <c r="K226" s="9" t="n">
        <v>1</v>
      </c>
    </row>
    <row r="227">
      <c r="A227" s="9" t="inlineStr">
        <is>
          <t>DMP-C: diverter / bypass damper</t>
        </is>
      </c>
      <c r="B227" s="9" t="inlineStr">
        <is>
          <t>DMP-C</t>
        </is>
      </c>
      <c r="C227" s="9" t="inlineStr">
        <is>
          <t>G</t>
        </is>
      </c>
      <c r="D227" s="9" t="inlineStr">
        <is>
          <t>LV power feeder</t>
        </is>
      </c>
      <c r="E227" s="9" t="n">
        <v>480</v>
      </c>
      <c r="F227" s="9" t="n">
        <v>20</v>
      </c>
      <c r="G227" s="9" t="n">
        <v>28</v>
      </c>
      <c r="H227" s="9" t="inlineStr">
        <is>
          <t>CT MCC / VFD e-house</t>
        </is>
      </c>
      <c r="I227" s="9" t="inlineStr">
        <is>
          <t>LV 600 V</t>
        </is>
      </c>
      <c r="J227" s="9" t="inlineStr">
        <is>
          <t>1</t>
        </is>
      </c>
      <c r="K227" s="9" t="n">
        <v>1</v>
      </c>
    </row>
    <row r="228">
      <c r="A228" s="9" t="inlineStr">
        <is>
          <t>RB-A: reboiler (LP steam from ST extraction)</t>
        </is>
      </c>
      <c r="B228" s="9" t="inlineStr"/>
      <c r="C228" s="9" t="inlineStr">
        <is>
          <t>G</t>
        </is>
      </c>
      <c r="D228" s="9" t="inlineStr">
        <is>
          <t>LV power feeder</t>
        </is>
      </c>
      <c r="E228" s="9" t="n">
        <v>480</v>
      </c>
      <c r="F228" s="9" t="n">
        <v>10</v>
      </c>
      <c r="G228" s="9" t="n">
        <v>14</v>
      </c>
      <c r="H228" s="9" t="inlineStr">
        <is>
          <t>CT MCC / VFD e-house</t>
        </is>
      </c>
      <c r="I228" s="9" t="inlineStr">
        <is>
          <t>LV 600 V</t>
        </is>
      </c>
      <c r="J228" s="9" t="inlineStr">
        <is>
          <t>6</t>
        </is>
      </c>
      <c r="K228" s="9" t="n">
        <v>1</v>
      </c>
    </row>
    <row r="229">
      <c r="A229" s="9" t="inlineStr">
        <is>
          <t>RB-B: reboiler (LP steam from ST extraction)</t>
        </is>
      </c>
      <c r="B229" s="9" t="inlineStr"/>
      <c r="C229" s="9" t="inlineStr">
        <is>
          <t>G</t>
        </is>
      </c>
      <c r="D229" s="9" t="inlineStr">
        <is>
          <t>LV power feeder</t>
        </is>
      </c>
      <c r="E229" s="9" t="n">
        <v>480</v>
      </c>
      <c r="F229" s="9" t="n">
        <v>10</v>
      </c>
      <c r="G229" s="9" t="n">
        <v>14</v>
      </c>
      <c r="H229" s="9" t="inlineStr">
        <is>
          <t>CT MCC / VFD e-house</t>
        </is>
      </c>
      <c r="I229" s="9" t="inlineStr">
        <is>
          <t>LV 600 V</t>
        </is>
      </c>
      <c r="J229" s="9" t="inlineStr">
        <is>
          <t>6</t>
        </is>
      </c>
      <c r="K229" s="9" t="n">
        <v>1</v>
      </c>
    </row>
    <row r="230">
      <c r="A230" s="9" t="inlineStr">
        <is>
          <t>RB-C: reboiler (LP steam from ST extraction)</t>
        </is>
      </c>
      <c r="B230" s="9" t="inlineStr"/>
      <c r="C230" s="9" t="inlineStr">
        <is>
          <t>G</t>
        </is>
      </c>
      <c r="D230" s="9" t="inlineStr">
        <is>
          <t>LV power feeder</t>
        </is>
      </c>
      <c r="E230" s="9" t="n">
        <v>480</v>
      </c>
      <c r="F230" s="9" t="n">
        <v>10</v>
      </c>
      <c r="G230" s="9" t="n">
        <v>14</v>
      </c>
      <c r="H230" s="9" t="inlineStr">
        <is>
          <t>CT MCC / VFD e-house</t>
        </is>
      </c>
      <c r="I230" s="9" t="inlineStr">
        <is>
          <t>LV 600 V</t>
        </is>
      </c>
      <c r="J230" s="9" t="inlineStr">
        <is>
          <t>6</t>
        </is>
      </c>
      <c r="K230" s="9" t="n">
        <v>1</v>
      </c>
    </row>
    <row r="231">
      <c r="A231" s="9" t="inlineStr">
        <is>
          <t>Reclaimer (thermal, intermittent)</t>
        </is>
      </c>
      <c r="B231" s="9" t="inlineStr"/>
      <c r="C231" s="9" t="inlineStr">
        <is>
          <t>G</t>
        </is>
      </c>
      <c r="D231" s="9" t="inlineStr">
        <is>
          <t>LV power feeder</t>
        </is>
      </c>
      <c r="E231" s="9" t="n">
        <v>480</v>
      </c>
      <c r="F231" s="9" t="n">
        <v>75</v>
      </c>
      <c r="G231" s="9" t="n">
        <v>106</v>
      </c>
      <c r="H231" s="9" t="inlineStr">
        <is>
          <t>CT MCC / VFD e-house</t>
        </is>
      </c>
      <c r="I231" s="9" t="inlineStr">
        <is>
          <t>LV 600 V</t>
        </is>
      </c>
      <c r="J231" s="9" t="inlineStr">
        <is>
          <t>3/0</t>
        </is>
      </c>
      <c r="K231" s="9" t="n">
        <v>1</v>
      </c>
    </row>
    <row r="232">
      <c r="A232" s="9" t="inlineStr">
        <is>
          <t>STR-A: stripper / regenerator (45 ft dia x 207 ft)</t>
        </is>
      </c>
      <c r="B232" s="9" t="inlineStr">
        <is>
          <t>STR-A</t>
        </is>
      </c>
      <c r="C232" s="9" t="inlineStr">
        <is>
          <t>G</t>
        </is>
      </c>
      <c r="D232" s="9" t="inlineStr">
        <is>
          <t>LV power feeder</t>
        </is>
      </c>
      <c r="E232" s="9" t="n">
        <v>480</v>
      </c>
      <c r="F232" s="9" t="n">
        <v>30</v>
      </c>
      <c r="G232" s="9" t="n">
        <v>42</v>
      </c>
      <c r="H232" s="9" t="inlineStr">
        <is>
          <t>CT MCC / VFD e-house</t>
        </is>
      </c>
      <c r="I232" s="9" t="inlineStr">
        <is>
          <t>LV 600 V</t>
        </is>
      </c>
      <c r="J232" s="9" t="inlineStr">
        <is>
          <t>1</t>
        </is>
      </c>
      <c r="K232" s="9" t="n">
        <v>1</v>
      </c>
    </row>
    <row r="233">
      <c r="A233" s="9" t="inlineStr">
        <is>
          <t>STR-B: stripper / regenerator (45 ft dia x 207 ft)</t>
        </is>
      </c>
      <c r="B233" s="9" t="inlineStr">
        <is>
          <t>STR-B</t>
        </is>
      </c>
      <c r="C233" s="9" t="inlineStr">
        <is>
          <t>G</t>
        </is>
      </c>
      <c r="D233" s="9" t="inlineStr">
        <is>
          <t>LV power feeder</t>
        </is>
      </c>
      <c r="E233" s="9" t="n">
        <v>480</v>
      </c>
      <c r="F233" s="9" t="n">
        <v>30</v>
      </c>
      <c r="G233" s="9" t="n">
        <v>42</v>
      </c>
      <c r="H233" s="9" t="inlineStr">
        <is>
          <t>CT MCC / VFD e-house</t>
        </is>
      </c>
      <c r="I233" s="9" t="inlineStr">
        <is>
          <t>LV 600 V</t>
        </is>
      </c>
      <c r="J233" s="9" t="inlineStr">
        <is>
          <t>1</t>
        </is>
      </c>
      <c r="K233" s="9" t="n">
        <v>1</v>
      </c>
    </row>
    <row r="234">
      <c r="A234" s="9" t="inlineStr">
        <is>
          <t>STR-C: stripper / regenerator (45 ft dia x 207 ft)</t>
        </is>
      </c>
      <c r="B234" s="9" t="inlineStr">
        <is>
          <t>STR-C</t>
        </is>
      </c>
      <c r="C234" s="9" t="inlineStr">
        <is>
          <t>G</t>
        </is>
      </c>
      <c r="D234" s="9" t="inlineStr">
        <is>
          <t>LV power feeder</t>
        </is>
      </c>
      <c r="E234" s="9" t="n">
        <v>480</v>
      </c>
      <c r="F234" s="9" t="n">
        <v>30</v>
      </c>
      <c r="G234" s="9" t="n">
        <v>42</v>
      </c>
      <c r="H234" s="9" t="inlineStr">
        <is>
          <t>CT MCC / VFD e-house</t>
        </is>
      </c>
      <c r="I234" s="9" t="inlineStr">
        <is>
          <t>LV 600 V</t>
        </is>
      </c>
      <c r="J234" s="9" t="inlineStr">
        <is>
          <t>1</t>
        </is>
      </c>
      <c r="K234" s="9" t="n">
        <v>1</v>
      </c>
    </row>
    <row r="235">
      <c r="A235" s="9" t="inlineStr">
        <is>
          <t>Solvent + NaOH storage</t>
        </is>
      </c>
      <c r="B235" s="9" t="inlineStr"/>
      <c r="C235" s="9" t="inlineStr">
        <is>
          <t>G</t>
        </is>
      </c>
      <c r="D235" s="9" t="inlineStr">
        <is>
          <t>LV power feeder</t>
        </is>
      </c>
      <c r="E235" s="9" t="n">
        <v>480</v>
      </c>
      <c r="F235" s="9" t="n">
        <v>20</v>
      </c>
      <c r="G235" s="9" t="n">
        <v>28</v>
      </c>
      <c r="H235" s="9" t="inlineStr">
        <is>
          <t>CT MCC / VFD e-house</t>
        </is>
      </c>
      <c r="I235" s="9" t="inlineStr">
        <is>
          <t>LV 600 V</t>
        </is>
      </c>
      <c r="J235" s="9" t="inlineStr">
        <is>
          <t>4</t>
        </is>
      </c>
      <c r="K235" s="9" t="n">
        <v>1</v>
      </c>
    </row>
    <row r="236">
      <c r="A236" s="9" t="inlineStr">
        <is>
          <t>Water-wash pumps A</t>
        </is>
      </c>
      <c r="B236" s="9" t="inlineStr"/>
      <c r="C236" s="9" t="inlineStr">
        <is>
          <t>G</t>
        </is>
      </c>
      <c r="D236" s="9" t="inlineStr">
        <is>
          <t>LV power feeder</t>
        </is>
      </c>
      <c r="E236" s="9" t="n">
        <v>480</v>
      </c>
      <c r="F236" s="9" t="n">
        <v>220</v>
      </c>
      <c r="G236" s="9" t="n">
        <v>311</v>
      </c>
      <c r="H236" s="9" t="inlineStr">
        <is>
          <t>CT MCC / VFD e-house</t>
        </is>
      </c>
      <c r="I236" s="9" t="inlineStr">
        <is>
          <t>LV 600 V</t>
        </is>
      </c>
      <c r="J236" s="9" t="inlineStr">
        <is>
          <t>500 kcmil</t>
        </is>
      </c>
      <c r="K236" s="9" t="n">
        <v>2</v>
      </c>
    </row>
    <row r="237">
      <c r="A237" s="9" t="inlineStr">
        <is>
          <t>Water-wash pumps B</t>
        </is>
      </c>
      <c r="B237" s="9" t="inlineStr"/>
      <c r="C237" s="9" t="inlineStr">
        <is>
          <t>G</t>
        </is>
      </c>
      <c r="D237" s="9" t="inlineStr">
        <is>
          <t>LV power feeder</t>
        </is>
      </c>
      <c r="E237" s="9" t="n">
        <v>480</v>
      </c>
      <c r="F237" s="9" t="n">
        <v>220</v>
      </c>
      <c r="G237" s="9" t="n">
        <v>311</v>
      </c>
      <c r="H237" s="9" t="inlineStr">
        <is>
          <t>CT MCC / VFD e-house</t>
        </is>
      </c>
      <c r="I237" s="9" t="inlineStr">
        <is>
          <t>LV 600 V</t>
        </is>
      </c>
      <c r="J237" s="9" t="inlineStr">
        <is>
          <t>500 kcmil</t>
        </is>
      </c>
      <c r="K237" s="9" t="n">
        <v>2</v>
      </c>
    </row>
    <row r="238">
      <c r="A238" s="9" t="inlineStr">
        <is>
          <t>Water-wash pumps C</t>
        </is>
      </c>
      <c r="B238" s="9" t="inlineStr"/>
      <c r="C238" s="9" t="inlineStr">
        <is>
          <t>G</t>
        </is>
      </c>
      <c r="D238" s="9" t="inlineStr">
        <is>
          <t>LV power feeder</t>
        </is>
      </c>
      <c r="E238" s="9" t="n">
        <v>480</v>
      </c>
      <c r="F238" s="9" t="n">
        <v>220</v>
      </c>
      <c r="G238" s="9" t="n">
        <v>311</v>
      </c>
      <c r="H238" s="9" t="inlineStr">
        <is>
          <t>CT MCC / VFD e-house</t>
        </is>
      </c>
      <c r="I238" s="9" t="inlineStr">
        <is>
          <t>LV 600 V</t>
        </is>
      </c>
      <c r="J238" s="9" t="inlineStr">
        <is>
          <t>350 kcmil</t>
        </is>
      </c>
      <c r="K238" s="9" t="n">
        <v>2</v>
      </c>
    </row>
    <row r="239">
      <c r="A239" s="9" t="inlineStr">
        <is>
          <t>BF-A: booster fan (~16 MW)</t>
        </is>
      </c>
      <c r="B239" s="9" t="inlineStr">
        <is>
          <t>BF-A</t>
        </is>
      </c>
      <c r="C239" s="9" t="inlineStr">
        <is>
          <t>G</t>
        </is>
      </c>
      <c r="D239" s="9" t="inlineStr">
        <is>
          <t>Booster fan BF-A (MV VFD output)</t>
        </is>
      </c>
      <c r="E239" s="9" t="n">
        <v>13800</v>
      </c>
      <c r="F239" s="9" t="n">
        <v>16000</v>
      </c>
      <c r="G239" s="9" t="n">
        <v>744</v>
      </c>
      <c r="H239" s="9" t="inlineStr">
        <is>
          <t>CCS MV switchgear building (VFDs)</t>
        </is>
      </c>
      <c r="I239" s="9" t="inlineStr">
        <is>
          <t>MV 15 kV</t>
        </is>
      </c>
      <c r="J239" s="9" t="inlineStr">
        <is>
          <t>750 kcmil</t>
        </is>
      </c>
      <c r="K239" s="9" t="n">
        <v>2</v>
      </c>
    </row>
    <row r="240">
      <c r="A240" s="9" t="inlineStr">
        <is>
          <t>BF-B: booster fan (~16 MW)</t>
        </is>
      </c>
      <c r="B240" s="9" t="inlineStr">
        <is>
          <t>BF-B</t>
        </is>
      </c>
      <c r="C240" s="9" t="inlineStr">
        <is>
          <t>G</t>
        </is>
      </c>
      <c r="D240" s="9" t="inlineStr">
        <is>
          <t>Booster fan BF-B (MV VFD output)</t>
        </is>
      </c>
      <c r="E240" s="9" t="n">
        <v>13800</v>
      </c>
      <c r="F240" s="9" t="n">
        <v>16000</v>
      </c>
      <c r="G240" s="9" t="n">
        <v>744</v>
      </c>
      <c r="H240" s="9" t="inlineStr">
        <is>
          <t>CCS MV switchgear building (VFDs)</t>
        </is>
      </c>
      <c r="I240" s="9" t="inlineStr">
        <is>
          <t>MV 15 kV</t>
        </is>
      </c>
      <c r="J240" s="9" t="inlineStr">
        <is>
          <t>750 kcmil</t>
        </is>
      </c>
      <c r="K240" s="9" t="n">
        <v>2</v>
      </c>
    </row>
    <row r="241">
      <c r="A241" s="9" t="inlineStr">
        <is>
          <t>BF-C: booster fan (~16 MW)</t>
        </is>
      </c>
      <c r="B241" s="9" t="inlineStr">
        <is>
          <t>BF-C</t>
        </is>
      </c>
      <c r="C241" s="9" t="inlineStr">
        <is>
          <t>G</t>
        </is>
      </c>
      <c r="D241" s="9" t="inlineStr">
        <is>
          <t>Booster fan BF-C (MV VFD output)</t>
        </is>
      </c>
      <c r="E241" s="9" t="n">
        <v>13800</v>
      </c>
      <c r="F241" s="9" t="n">
        <v>16000</v>
      </c>
      <c r="G241" s="9" t="n">
        <v>744</v>
      </c>
      <c r="H241" s="9" t="inlineStr">
        <is>
          <t>CCS MV switchgear building (VFDs)</t>
        </is>
      </c>
      <c r="I241" s="9" t="inlineStr">
        <is>
          <t>MV 15 kV</t>
        </is>
      </c>
      <c r="J241" s="9" t="inlineStr">
        <is>
          <t>750 kcmil</t>
        </is>
      </c>
      <c r="K241" s="9" t="n">
        <v>2</v>
      </c>
    </row>
    <row r="242">
      <c r="A242" s="9" t="inlineStr">
        <is>
          <t>CCS MV switchgear building (VFDs)</t>
        </is>
      </c>
      <c r="B242" s="9" t="inlineStr"/>
      <c r="C242" s="9" t="inlineStr">
        <is>
          <t>G</t>
        </is>
      </c>
      <c r="D242" s="9" t="inlineStr">
        <is>
          <t>CCS T-1 secondary to CCS 13.8 kV switchgear</t>
        </is>
      </c>
      <c r="E242" s="9" t="n">
        <v>13800</v>
      </c>
      <c r="F242" s="9" t="n">
        <v>60000</v>
      </c>
      <c r="G242" s="9" t="n">
        <v>2510</v>
      </c>
      <c r="H242" s="9" t="inlineStr">
        <is>
          <t>CCS T-1: 230/13.8 kV</t>
        </is>
      </c>
      <c r="I242" s="9" t="inlineStr">
        <is>
          <t>MV 15 kV</t>
        </is>
      </c>
      <c r="J242" s="9" t="inlineStr">
        <is>
          <t>1000 kcmil</t>
        </is>
      </c>
      <c r="K242" s="9" t="n">
        <v>5</v>
      </c>
    </row>
    <row r="243">
      <c r="A243" s="9" t="inlineStr">
        <is>
          <t>CCS MV switchgear building (VFDs)</t>
        </is>
      </c>
      <c r="B243" s="9" t="inlineStr"/>
      <c r="C243" s="9" t="inlineStr">
        <is>
          <t>G</t>
        </is>
      </c>
      <c r="D243" s="9" t="inlineStr">
        <is>
          <t>CCS T-2 secondary to CCS 13.8 kV switchgear</t>
        </is>
      </c>
      <c r="E243" s="9" t="n">
        <v>13800</v>
      </c>
      <c r="F243" s="9" t="n">
        <v>60000</v>
      </c>
      <c r="G243" s="9" t="n">
        <v>2510</v>
      </c>
      <c r="H243" s="9" t="inlineStr">
        <is>
          <t>CCS T-2: 230/13.8 kV</t>
        </is>
      </c>
      <c r="I243" s="9" t="inlineStr">
        <is>
          <t>MV 15 kV</t>
        </is>
      </c>
      <c r="J243" s="9" t="inlineStr">
        <is>
          <t>1000 kcmil</t>
        </is>
      </c>
      <c r="K243" s="9" t="n">
        <v>5</v>
      </c>
    </row>
    <row r="244">
      <c r="A244" s="9" t="inlineStr">
        <is>
          <t>CO2 compression 3 x ~19 MW + dehydration</t>
        </is>
      </c>
      <c r="B244" s="9" t="inlineStr"/>
      <c r="C244" s="9" t="inlineStr">
        <is>
          <t>G</t>
        </is>
      </c>
      <c r="D244" s="9" t="inlineStr">
        <is>
          <t>CO2 compressor train 1</t>
        </is>
      </c>
      <c r="E244" s="9" t="n">
        <v>13800</v>
      </c>
      <c r="F244" s="9" t="n">
        <v>19000</v>
      </c>
      <c r="G244" s="9" t="n">
        <v>883</v>
      </c>
      <c r="H244" s="9" t="inlineStr">
        <is>
          <t>CCS MV switchgear building (VFDs)</t>
        </is>
      </c>
      <c r="I244" s="9" t="inlineStr">
        <is>
          <t>MV 15 kV</t>
        </is>
      </c>
      <c r="J244" s="9" t="inlineStr">
        <is>
          <t>750 kcmil</t>
        </is>
      </c>
      <c r="K244" s="9" t="n">
        <v>2</v>
      </c>
    </row>
    <row r="245">
      <c r="A245" s="9" t="inlineStr">
        <is>
          <t>CO2 compression 3 x ~19 MW + dehydration</t>
        </is>
      </c>
      <c r="B245" s="9" t="inlineStr"/>
      <c r="C245" s="9" t="inlineStr">
        <is>
          <t>G</t>
        </is>
      </c>
      <c r="D245" s="9" t="inlineStr">
        <is>
          <t>CO2 compressor train 2</t>
        </is>
      </c>
      <c r="E245" s="9" t="n">
        <v>13800</v>
      </c>
      <c r="F245" s="9" t="n">
        <v>19000</v>
      </c>
      <c r="G245" s="9" t="n">
        <v>883</v>
      </c>
      <c r="H245" s="9" t="inlineStr">
        <is>
          <t>CCS MV switchgear building (VFDs)</t>
        </is>
      </c>
      <c r="I245" s="9" t="inlineStr">
        <is>
          <t>MV 15 kV</t>
        </is>
      </c>
      <c r="J245" s="9" t="inlineStr">
        <is>
          <t>750 kcmil</t>
        </is>
      </c>
      <c r="K245" s="9" t="n">
        <v>2</v>
      </c>
    </row>
    <row r="246">
      <c r="A246" s="9" t="inlineStr">
        <is>
          <t>CO2 compression 3 x ~19 MW + dehydration</t>
        </is>
      </c>
      <c r="B246" s="9" t="inlineStr"/>
      <c r="C246" s="9" t="inlineStr">
        <is>
          <t>G</t>
        </is>
      </c>
      <c r="D246" s="9" t="inlineStr">
        <is>
          <t>CO2 compressor train 3</t>
        </is>
      </c>
      <c r="E246" s="9" t="n">
        <v>13800</v>
      </c>
      <c r="F246" s="9" t="n">
        <v>19000</v>
      </c>
      <c r="G246" s="9" t="n">
        <v>883</v>
      </c>
      <c r="H246" s="9" t="inlineStr">
        <is>
          <t>CCS MV switchgear building (VFDs)</t>
        </is>
      </c>
      <c r="I246" s="9" t="inlineStr">
        <is>
          <t>MV 15 kV</t>
        </is>
      </c>
      <c r="J246" s="9" t="inlineStr">
        <is>
          <t>750 kcmil</t>
        </is>
      </c>
      <c r="K246" s="9" t="n">
        <v>2</v>
      </c>
    </row>
    <row r="247">
      <c r="A247" s="9" t="inlineStr">
        <is>
          <t>CONDITIONAL: HP export compressor + metering</t>
        </is>
      </c>
      <c r="B247" s="9" t="inlineStr"/>
      <c r="C247" s="9" t="inlineStr">
        <is>
          <t>G</t>
        </is>
      </c>
      <c r="D247" s="9" t="inlineStr">
        <is>
          <t>HP CO2 export compressor (conditional)</t>
        </is>
      </c>
      <c r="E247" s="9" t="n">
        <v>13800</v>
      </c>
      <c r="F247" s="9" t="n">
        <v>8000</v>
      </c>
      <c r="G247" s="9" t="n">
        <v>372</v>
      </c>
      <c r="H247" s="9" t="inlineStr">
        <is>
          <t>CCS MV switchgear building (VFDs)</t>
        </is>
      </c>
      <c r="I247" s="9" t="inlineStr">
        <is>
          <t>MV 15 kV</t>
        </is>
      </c>
      <c r="J247" s="9" t="inlineStr">
        <is>
          <t>750 kcmil</t>
        </is>
      </c>
      <c r="K247" s="9" t="n">
        <v>1</v>
      </c>
    </row>
    <row r="248">
      <c r="A248" s="9" t="inlineStr">
        <is>
          <t>CT MCC / VFD e-house</t>
        </is>
      </c>
      <c r="B248" s="9" t="inlineStr"/>
      <c r="C248" s="9" t="inlineStr">
        <is>
          <t>G</t>
        </is>
      </c>
      <c r="D248" s="9" t="inlineStr">
        <is>
          <t>CT MCC / VFD e-house transformer</t>
        </is>
      </c>
      <c r="E248" s="9" t="n">
        <v>13800</v>
      </c>
      <c r="F248" s="9" t="n">
        <v>3000</v>
      </c>
      <c r="G248" s="9" t="n">
        <v>126</v>
      </c>
      <c r="H248" s="9" t="inlineStr">
        <is>
          <t>CCS MV switchgear building (VFDs)</t>
        </is>
      </c>
      <c r="I248" s="9" t="inlineStr">
        <is>
          <t>MV 15 kV</t>
        </is>
      </c>
      <c r="J248" s="9" t="inlineStr">
        <is>
          <t>1/0</t>
        </is>
      </c>
      <c r="K248" s="9" t="n">
        <v>1</v>
      </c>
    </row>
    <row r="249">
      <c r="A249" s="9" t="inlineStr">
        <is>
          <t>CT MCC / VFD e-house</t>
        </is>
      </c>
      <c r="B249" s="9" t="inlineStr"/>
      <c r="C249" s="9" t="inlineStr">
        <is>
          <t>G</t>
        </is>
      </c>
      <c r="D249" s="9" t="inlineStr">
        <is>
          <t>CT MCC / VFD e-house transformer</t>
        </is>
      </c>
      <c r="E249" s="9" t="n">
        <v>13800</v>
      </c>
      <c r="F249" s="9" t="n">
        <v>3000</v>
      </c>
      <c r="G249" s="9" t="n">
        <v>126</v>
      </c>
      <c r="H249" s="9" t="inlineStr">
        <is>
          <t>CCS MV switchgear building (VFDs)</t>
        </is>
      </c>
      <c r="I249" s="9" t="inlineStr">
        <is>
          <t>MV 15 kV</t>
        </is>
      </c>
      <c r="J249" s="9" t="inlineStr">
        <is>
          <t>1/0</t>
        </is>
      </c>
      <c r="K249" s="9" t="n">
        <v>1</v>
      </c>
    </row>
    <row r="250">
      <c r="A250" s="9" t="inlineStr">
        <is>
          <t>CCS circulating-water pumps</t>
        </is>
      </c>
      <c r="B250" s="9" t="inlineStr"/>
      <c r="C250" s="9" t="inlineStr">
        <is>
          <t>G</t>
        </is>
      </c>
      <c r="D250" s="9" t="inlineStr">
        <is>
          <t>CCS circulating-water pump 1</t>
        </is>
      </c>
      <c r="E250" s="9" t="n">
        <v>4160</v>
      </c>
      <c r="F250" s="9" t="n">
        <v>1200</v>
      </c>
      <c r="G250" s="9" t="n">
        <v>185</v>
      </c>
      <c r="H250" s="9" t="inlineStr">
        <is>
          <t>CCS MV switchgear building (VFDs)</t>
        </is>
      </c>
      <c r="I250" s="9" t="inlineStr">
        <is>
          <t>MV 5 kV</t>
        </is>
      </c>
      <c r="J250" s="9" t="inlineStr">
        <is>
          <t>4/0</t>
        </is>
      </c>
      <c r="K250" s="9" t="n">
        <v>1</v>
      </c>
    </row>
    <row r="251">
      <c r="A251" s="9" t="inlineStr">
        <is>
          <t>CCS circulating-water pumps</t>
        </is>
      </c>
      <c r="B251" s="9" t="inlineStr"/>
      <c r="C251" s="9" t="inlineStr">
        <is>
          <t>G</t>
        </is>
      </c>
      <c r="D251" s="9" t="inlineStr">
        <is>
          <t>CCS circulating-water pump 2</t>
        </is>
      </c>
      <c r="E251" s="9" t="n">
        <v>4160</v>
      </c>
      <c r="F251" s="9" t="n">
        <v>1200</v>
      </c>
      <c r="G251" s="9" t="n">
        <v>185</v>
      </c>
      <c r="H251" s="9" t="inlineStr">
        <is>
          <t>CCS MV switchgear building (VFDs)</t>
        </is>
      </c>
      <c r="I251" s="9" t="inlineStr">
        <is>
          <t>MV 5 kV</t>
        </is>
      </c>
      <c r="J251" s="9" t="inlineStr">
        <is>
          <t>4/0</t>
        </is>
      </c>
      <c r="K251" s="9" t="n">
        <v>1</v>
      </c>
    </row>
    <row r="252">
      <c r="A252" s="9" t="inlineStr">
        <is>
          <t>CCS circulating-water pumps</t>
        </is>
      </c>
      <c r="B252" s="9" t="inlineStr"/>
      <c r="C252" s="9" t="inlineStr">
        <is>
          <t>G</t>
        </is>
      </c>
      <c r="D252" s="9" t="inlineStr">
        <is>
          <t>CCS circulating-water pump 3</t>
        </is>
      </c>
      <c r="E252" s="9" t="n">
        <v>4160</v>
      </c>
      <c r="F252" s="9" t="n">
        <v>1200</v>
      </c>
      <c r="G252" s="9" t="n">
        <v>185</v>
      </c>
      <c r="H252" s="9" t="inlineStr">
        <is>
          <t>CCS MV switchgear building (VFDs)</t>
        </is>
      </c>
      <c r="I252" s="9" t="inlineStr">
        <is>
          <t>MV 5 kV</t>
        </is>
      </c>
      <c r="J252" s="9" t="inlineStr">
        <is>
          <t>4/0</t>
        </is>
      </c>
      <c r="K252" s="9" t="n">
        <v>1</v>
      </c>
    </row>
    <row r="253">
      <c r="A253" s="9" t="inlineStr">
        <is>
          <t>CCS circulating-water pumps</t>
        </is>
      </c>
      <c r="B253" s="9" t="inlineStr"/>
      <c r="C253" s="9" t="inlineStr">
        <is>
          <t>G</t>
        </is>
      </c>
      <c r="D253" s="9" t="inlineStr">
        <is>
          <t>CCS circulating-water pump 4</t>
        </is>
      </c>
      <c r="E253" s="9" t="n">
        <v>4160</v>
      </c>
      <c r="F253" s="9" t="n">
        <v>1200</v>
      </c>
      <c r="G253" s="9" t="n">
        <v>185</v>
      </c>
      <c r="H253" s="9" t="inlineStr">
        <is>
          <t>CCS MV switchgear building (VFDs)</t>
        </is>
      </c>
      <c r="I253" s="9" t="inlineStr">
        <is>
          <t>MV 5 kV</t>
        </is>
      </c>
      <c r="J253" s="9" t="inlineStr">
        <is>
          <t>4/0</t>
        </is>
      </c>
      <c r="K253" s="9" t="n">
        <v>1</v>
      </c>
    </row>
    <row r="254">
      <c r="A254" s="9" t="inlineStr">
        <is>
          <t>Rich/lean pumps, cross exchanger, lean cooler A</t>
        </is>
      </c>
      <c r="B254" s="9" t="inlineStr"/>
      <c r="C254" s="9" t="inlineStr">
        <is>
          <t>G</t>
        </is>
      </c>
      <c r="D254" s="9" t="inlineStr">
        <is>
          <t>Rich / lean amine pumps (A)</t>
        </is>
      </c>
      <c r="E254" s="9" t="n">
        <v>4160</v>
      </c>
      <c r="F254" s="9" t="n">
        <v>450</v>
      </c>
      <c r="G254" s="9" t="n">
        <v>69</v>
      </c>
      <c r="H254" s="9" t="inlineStr">
        <is>
          <t>CCS MV switchgear building (VFDs)</t>
        </is>
      </c>
      <c r="I254" s="9" t="inlineStr">
        <is>
          <t>MV 5 kV</t>
        </is>
      </c>
      <c r="J254" s="9" t="inlineStr">
        <is>
          <t>2</t>
        </is>
      </c>
      <c r="K254" s="9" t="n">
        <v>1</v>
      </c>
    </row>
    <row r="255">
      <c r="A255" s="9" t="inlineStr">
        <is>
          <t>Rich/lean pumps, cross exchanger, lean cooler A</t>
        </is>
      </c>
      <c r="B255" s="9" t="inlineStr"/>
      <c r="C255" s="9" t="inlineStr">
        <is>
          <t>G</t>
        </is>
      </c>
      <c r="D255" s="9" t="inlineStr">
        <is>
          <t>Rich / lean amine pumps (A)</t>
        </is>
      </c>
      <c r="E255" s="9" t="n">
        <v>4160</v>
      </c>
      <c r="F255" s="9" t="n">
        <v>450</v>
      </c>
      <c r="G255" s="9" t="n">
        <v>69</v>
      </c>
      <c r="H255" s="9" t="inlineStr">
        <is>
          <t>CCS MV switchgear building (VFDs)</t>
        </is>
      </c>
      <c r="I255" s="9" t="inlineStr">
        <is>
          <t>MV 5 kV</t>
        </is>
      </c>
      <c r="J255" s="9" t="inlineStr">
        <is>
          <t>2</t>
        </is>
      </c>
      <c r="K255" s="9" t="n">
        <v>1</v>
      </c>
    </row>
    <row r="256">
      <c r="A256" s="9" t="inlineStr">
        <is>
          <t>Rich/lean pumps, cross exchanger, lean cooler B</t>
        </is>
      </c>
      <c r="B256" s="9" t="inlineStr"/>
      <c r="C256" s="9" t="inlineStr">
        <is>
          <t>G</t>
        </is>
      </c>
      <c r="D256" s="9" t="inlineStr">
        <is>
          <t>Rich / lean amine pumps (B)</t>
        </is>
      </c>
      <c r="E256" s="9" t="n">
        <v>4160</v>
      </c>
      <c r="F256" s="9" t="n">
        <v>450</v>
      </c>
      <c r="G256" s="9" t="n">
        <v>69</v>
      </c>
      <c r="H256" s="9" t="inlineStr">
        <is>
          <t>CCS MV switchgear building (VFDs)</t>
        </is>
      </c>
      <c r="I256" s="9" t="inlineStr">
        <is>
          <t>MV 5 kV</t>
        </is>
      </c>
      <c r="J256" s="9" t="inlineStr">
        <is>
          <t>2</t>
        </is>
      </c>
      <c r="K256" s="9" t="n">
        <v>1</v>
      </c>
    </row>
    <row r="257">
      <c r="A257" s="9" t="inlineStr">
        <is>
          <t>Rich/lean pumps, cross exchanger, lean cooler B</t>
        </is>
      </c>
      <c r="B257" s="9" t="inlineStr"/>
      <c r="C257" s="9" t="inlineStr">
        <is>
          <t>G</t>
        </is>
      </c>
      <c r="D257" s="9" t="inlineStr">
        <is>
          <t>Rich / lean amine pumps (B)</t>
        </is>
      </c>
      <c r="E257" s="9" t="n">
        <v>4160</v>
      </c>
      <c r="F257" s="9" t="n">
        <v>450</v>
      </c>
      <c r="G257" s="9" t="n">
        <v>69</v>
      </c>
      <c r="H257" s="9" t="inlineStr">
        <is>
          <t>CCS MV switchgear building (VFDs)</t>
        </is>
      </c>
      <c r="I257" s="9" t="inlineStr">
        <is>
          <t>MV 5 kV</t>
        </is>
      </c>
      <c r="J257" s="9" t="inlineStr">
        <is>
          <t>2</t>
        </is>
      </c>
      <c r="K257" s="9" t="n">
        <v>1</v>
      </c>
    </row>
    <row r="258">
      <c r="A258" s="9" t="inlineStr">
        <is>
          <t>Rich/lean pumps, cross exchanger, lean cooler C</t>
        </is>
      </c>
      <c r="B258" s="9" t="inlineStr"/>
      <c r="C258" s="9" t="inlineStr">
        <is>
          <t>G</t>
        </is>
      </c>
      <c r="D258" s="9" t="inlineStr">
        <is>
          <t>Rich / lean amine pumps (C)</t>
        </is>
      </c>
      <c r="E258" s="9" t="n">
        <v>4160</v>
      </c>
      <c r="F258" s="9" t="n">
        <v>450</v>
      </c>
      <c r="G258" s="9" t="n">
        <v>69</v>
      </c>
      <c r="H258" s="9" t="inlineStr">
        <is>
          <t>CCS MV switchgear building (VFDs)</t>
        </is>
      </c>
      <c r="I258" s="9" t="inlineStr">
        <is>
          <t>MV 5 kV</t>
        </is>
      </c>
      <c r="J258" s="9" t="inlineStr">
        <is>
          <t>2</t>
        </is>
      </c>
      <c r="K258" s="9" t="n">
        <v>1</v>
      </c>
    </row>
    <row r="259">
      <c r="A259" s="9" t="inlineStr">
        <is>
          <t>Rich/lean pumps, cross exchanger, lean cooler C</t>
        </is>
      </c>
      <c r="B259" s="9" t="inlineStr"/>
      <c r="C259" s="9" t="inlineStr">
        <is>
          <t>G</t>
        </is>
      </c>
      <c r="D259" s="9" t="inlineStr">
        <is>
          <t>Rich / lean amine pumps (C)</t>
        </is>
      </c>
      <c r="E259" s="9" t="n">
        <v>4160</v>
      </c>
      <c r="F259" s="9" t="n">
        <v>450</v>
      </c>
      <c r="G259" s="9" t="n">
        <v>69</v>
      </c>
      <c r="H259" s="9" t="inlineStr">
        <is>
          <t>CCS MV switchgear building (VFDs)</t>
        </is>
      </c>
      <c r="I259" s="9" t="inlineStr">
        <is>
          <t>MV 5 kV</t>
        </is>
      </c>
      <c r="J259" s="9" t="inlineStr">
        <is>
          <t>2</t>
        </is>
      </c>
      <c r="K259" s="9" t="n">
        <v>1</v>
      </c>
    </row>
    <row r="260">
      <c r="A260" s="9" t="inlineStr">
        <is>
          <t>BESS PCS / MV skid</t>
        </is>
      </c>
      <c r="B260" s="9" t="inlineStr"/>
      <c r="C260" s="9" t="inlineStr">
        <is>
          <t>H</t>
        </is>
      </c>
      <c r="D260" s="9" t="inlineStr">
        <is>
          <t>DC 1,500 V: container to PCS (2 x 1/C per pole pair)</t>
        </is>
      </c>
      <c r="E260" s="9" t="n">
        <v>1500</v>
      </c>
      <c r="F260" s="9" t="n">
        <v>4000</v>
      </c>
      <c r="G260" s="9" t="n"/>
      <c r="H260" s="9" t="inlineStr">
        <is>
          <t>BESS container (ISO 40 ft high cube)</t>
        </is>
      </c>
      <c r="I260" s="9" t="inlineStr">
        <is>
          <t>DC 2 kV</t>
        </is>
      </c>
      <c r="J260" s="9" t="inlineStr">
        <is>
          <t>500 kcmil</t>
        </is>
      </c>
      <c r="K260" s="9" t="n">
        <v>4</v>
      </c>
    </row>
    <row r="261">
      <c r="A261" s="9" t="inlineStr">
        <is>
          <t>BESS PCS / MV skid</t>
        </is>
      </c>
      <c r="B261" s="9" t="inlineStr"/>
      <c r="C261" s="9" t="inlineStr">
        <is>
          <t>H</t>
        </is>
      </c>
      <c r="D261" s="9" t="inlineStr">
        <is>
          <t>DC 1,500 V: container to PCS (2 x 1/C per pole pair)</t>
        </is>
      </c>
      <c r="E261" s="9" t="n">
        <v>1500</v>
      </c>
      <c r="F261" s="9" t="n">
        <v>4000</v>
      </c>
      <c r="G261" s="9" t="n"/>
      <c r="H261" s="9" t="inlineStr">
        <is>
          <t>BESS container (ISO 40 ft high cube)</t>
        </is>
      </c>
      <c r="I261" s="9" t="inlineStr">
        <is>
          <t>DC 2 kV</t>
        </is>
      </c>
      <c r="J261" s="9" t="inlineStr">
        <is>
          <t>500 kcmil</t>
        </is>
      </c>
      <c r="K261" s="9" t="n">
        <v>4</v>
      </c>
    </row>
    <row r="262">
      <c r="A262" s="9" t="inlineStr">
        <is>
          <t>BESS PCS / MV skid</t>
        </is>
      </c>
      <c r="B262" s="9" t="inlineStr"/>
      <c r="C262" s="9" t="inlineStr">
        <is>
          <t>H</t>
        </is>
      </c>
      <c r="D262" s="9" t="inlineStr">
        <is>
          <t>DC 1,500 V: container to PCS (2 x 1/C per pole pair)</t>
        </is>
      </c>
      <c r="E262" s="9" t="n">
        <v>1500</v>
      </c>
      <c r="F262" s="9" t="n">
        <v>4000</v>
      </c>
      <c r="G262" s="9" t="n"/>
      <c r="H262" s="9" t="inlineStr">
        <is>
          <t>BESS container (ISO 40 ft high cube)</t>
        </is>
      </c>
      <c r="I262" s="9" t="inlineStr">
        <is>
          <t>DC 2 kV</t>
        </is>
      </c>
      <c r="J262" s="9" t="inlineStr">
        <is>
          <t>500 kcmil</t>
        </is>
      </c>
      <c r="K262" s="9" t="n">
        <v>4</v>
      </c>
    </row>
    <row r="263">
      <c r="A263" s="9" t="inlineStr">
        <is>
          <t>BESS PCS / MV skid</t>
        </is>
      </c>
      <c r="B263" s="9" t="inlineStr"/>
      <c r="C263" s="9" t="inlineStr">
        <is>
          <t>H</t>
        </is>
      </c>
      <c r="D263" s="9" t="inlineStr">
        <is>
          <t>DC 1,500 V: container to PCS (2 x 1/C per pole pair)</t>
        </is>
      </c>
      <c r="E263" s="9" t="n">
        <v>1500</v>
      </c>
      <c r="F263" s="9" t="n">
        <v>4000</v>
      </c>
      <c r="G263" s="9" t="n"/>
      <c r="H263" s="9" t="inlineStr">
        <is>
          <t>BESS container (ISO 40 ft high cube)</t>
        </is>
      </c>
      <c r="I263" s="9" t="inlineStr">
        <is>
          <t>DC 2 kV</t>
        </is>
      </c>
      <c r="J263" s="9" t="inlineStr">
        <is>
          <t>500 kcmil</t>
        </is>
      </c>
      <c r="K263" s="9" t="n">
        <v>4</v>
      </c>
    </row>
    <row r="264">
      <c r="A264" s="9" t="inlineStr">
        <is>
          <t>BESS PCS / MV skid</t>
        </is>
      </c>
      <c r="B264" s="9" t="inlineStr"/>
      <c r="C264" s="9" t="inlineStr">
        <is>
          <t>H</t>
        </is>
      </c>
      <c r="D264" s="9" t="inlineStr">
        <is>
          <t>DC 1,500 V: container to PCS (2 x 1/C per pole pair)</t>
        </is>
      </c>
      <c r="E264" s="9" t="n">
        <v>1500</v>
      </c>
      <c r="F264" s="9" t="n">
        <v>4000</v>
      </c>
      <c r="G264" s="9" t="n"/>
      <c r="H264" s="9" t="inlineStr">
        <is>
          <t>BESS container (ISO 40 ft high cube)</t>
        </is>
      </c>
      <c r="I264" s="9" t="inlineStr">
        <is>
          <t>DC 2 kV</t>
        </is>
      </c>
      <c r="J264" s="9" t="inlineStr">
        <is>
          <t>500 kcmil</t>
        </is>
      </c>
      <c r="K264" s="9" t="n">
        <v>4</v>
      </c>
    </row>
    <row r="265">
      <c r="A265" s="9" t="inlineStr">
        <is>
          <t>BESS PCS / MV skid</t>
        </is>
      </c>
      <c r="B265" s="9" t="inlineStr"/>
      <c r="C265" s="9" t="inlineStr">
        <is>
          <t>H</t>
        </is>
      </c>
      <c r="D265" s="9" t="inlineStr">
        <is>
          <t>DC 1,500 V: container to PCS (2 x 1/C per pole pair)</t>
        </is>
      </c>
      <c r="E265" s="9" t="n">
        <v>1500</v>
      </c>
      <c r="F265" s="9" t="n">
        <v>4000</v>
      </c>
      <c r="G265" s="9" t="n"/>
      <c r="H265" s="9" t="inlineStr">
        <is>
          <t>BESS container (ISO 40 ft high cube)</t>
        </is>
      </c>
      <c r="I265" s="9" t="inlineStr">
        <is>
          <t>DC 2 kV</t>
        </is>
      </c>
      <c r="J265" s="9" t="inlineStr">
        <is>
          <t>500 kcmil</t>
        </is>
      </c>
      <c r="K265" s="9" t="n">
        <v>4</v>
      </c>
    </row>
    <row r="266">
      <c r="A266" s="9" t="inlineStr">
        <is>
          <t>BESS PCS / MV skid</t>
        </is>
      </c>
      <c r="B266" s="9" t="inlineStr"/>
      <c r="C266" s="9" t="inlineStr">
        <is>
          <t>H</t>
        </is>
      </c>
      <c r="D266" s="9" t="inlineStr">
        <is>
          <t>DC 1,500 V: container to PCS (2 x 1/C per pole pair)</t>
        </is>
      </c>
      <c r="E266" s="9" t="n">
        <v>1500</v>
      </c>
      <c r="F266" s="9" t="n">
        <v>4000</v>
      </c>
      <c r="G266" s="9" t="n"/>
      <c r="H266" s="9" t="inlineStr">
        <is>
          <t>BESS container (ISO 40 ft high cube)</t>
        </is>
      </c>
      <c r="I266" s="9" t="inlineStr">
        <is>
          <t>DC 2 kV</t>
        </is>
      </c>
      <c r="J266" s="9" t="inlineStr">
        <is>
          <t>500 kcmil</t>
        </is>
      </c>
      <c r="K266" s="9" t="n">
        <v>4</v>
      </c>
    </row>
    <row r="267">
      <c r="A267" s="9" t="inlineStr">
        <is>
          <t>BESS PCS / MV skid</t>
        </is>
      </c>
      <c r="B267" s="9" t="inlineStr"/>
      <c r="C267" s="9" t="inlineStr">
        <is>
          <t>H</t>
        </is>
      </c>
      <c r="D267" s="9" t="inlineStr">
        <is>
          <t>DC 1,500 V: container to PCS (2 x 1/C per pole pair)</t>
        </is>
      </c>
      <c r="E267" s="9" t="n">
        <v>1500</v>
      </c>
      <c r="F267" s="9" t="n">
        <v>4000</v>
      </c>
      <c r="G267" s="9" t="n"/>
      <c r="H267" s="9" t="inlineStr">
        <is>
          <t>BESS container (ISO 40 ft high cube)</t>
        </is>
      </c>
      <c r="I267" s="9" t="inlineStr">
        <is>
          <t>DC 2 kV</t>
        </is>
      </c>
      <c r="J267" s="9" t="inlineStr">
        <is>
          <t>500 kcmil</t>
        </is>
      </c>
      <c r="K267" s="9" t="n">
        <v>4</v>
      </c>
    </row>
    <row r="268">
      <c r="A268" s="9" t="inlineStr">
        <is>
          <t>BESS PCS / MV skid</t>
        </is>
      </c>
      <c r="B268" s="9" t="inlineStr"/>
      <c r="C268" s="9" t="inlineStr">
        <is>
          <t>H</t>
        </is>
      </c>
      <c r="D268" s="9" t="inlineStr">
        <is>
          <t>DC 1,500 V: container to PCS (2 x 1/C per pole pair)</t>
        </is>
      </c>
      <c r="E268" s="9" t="n">
        <v>1500</v>
      </c>
      <c r="F268" s="9" t="n">
        <v>4000</v>
      </c>
      <c r="G268" s="9" t="n"/>
      <c r="H268" s="9" t="inlineStr">
        <is>
          <t>BESS container (ISO 40 ft high cube)</t>
        </is>
      </c>
      <c r="I268" s="9" t="inlineStr">
        <is>
          <t>DC 2 kV</t>
        </is>
      </c>
      <c r="J268" s="9" t="inlineStr">
        <is>
          <t>500 kcmil</t>
        </is>
      </c>
      <c r="K268" s="9" t="n">
        <v>4</v>
      </c>
    </row>
    <row r="269">
      <c r="A269" s="9" t="inlineStr">
        <is>
          <t>BESS PCS / MV skid</t>
        </is>
      </c>
      <c r="B269" s="9" t="inlineStr"/>
      <c r="C269" s="9" t="inlineStr">
        <is>
          <t>H</t>
        </is>
      </c>
      <c r="D269" s="9" t="inlineStr">
        <is>
          <t>DC 1,500 V: container to PCS (2 x 1/C per pole pair)</t>
        </is>
      </c>
      <c r="E269" s="9" t="n">
        <v>1500</v>
      </c>
      <c r="F269" s="9" t="n">
        <v>4000</v>
      </c>
      <c r="G269" s="9" t="n"/>
      <c r="H269" s="9" t="inlineStr">
        <is>
          <t>BESS container (ISO 40 ft high cube)</t>
        </is>
      </c>
      <c r="I269" s="9" t="inlineStr">
        <is>
          <t>DC 2 kV</t>
        </is>
      </c>
      <c r="J269" s="9" t="inlineStr">
        <is>
          <t>500 kcmil</t>
        </is>
      </c>
      <c r="K269" s="9" t="n">
        <v>4</v>
      </c>
    </row>
    <row r="270">
      <c r="A270" s="9" t="inlineStr">
        <is>
          <t>BESS PCS / MV skid</t>
        </is>
      </c>
      <c r="B270" s="9" t="inlineStr"/>
      <c r="C270" s="9" t="inlineStr">
        <is>
          <t>H</t>
        </is>
      </c>
      <c r="D270" s="9" t="inlineStr">
        <is>
          <t>DC 1,500 V: container to PCS (2 x 1/C per pole pair)</t>
        </is>
      </c>
      <c r="E270" s="9" t="n">
        <v>1500</v>
      </c>
      <c r="F270" s="9" t="n">
        <v>4000</v>
      </c>
      <c r="G270" s="9" t="n"/>
      <c r="H270" s="9" t="inlineStr">
        <is>
          <t>BESS container (ISO 40 ft high cube)</t>
        </is>
      </c>
      <c r="I270" s="9" t="inlineStr">
        <is>
          <t>DC 2 kV</t>
        </is>
      </c>
      <c r="J270" s="9" t="inlineStr">
        <is>
          <t>500 kcmil</t>
        </is>
      </c>
      <c r="K270" s="9" t="n">
        <v>4</v>
      </c>
    </row>
    <row r="271">
      <c r="A271" s="9" t="inlineStr">
        <is>
          <t>BESS PCS / MV skid</t>
        </is>
      </c>
      <c r="B271" s="9" t="inlineStr"/>
      <c r="C271" s="9" t="inlineStr">
        <is>
          <t>H</t>
        </is>
      </c>
      <c r="D271" s="9" t="inlineStr">
        <is>
          <t>DC 1,500 V: container to PCS (2 x 1/C per pole pair)</t>
        </is>
      </c>
      <c r="E271" s="9" t="n">
        <v>1500</v>
      </c>
      <c r="F271" s="9" t="n">
        <v>4000</v>
      </c>
      <c r="G271" s="9" t="n"/>
      <c r="H271" s="9" t="inlineStr">
        <is>
          <t>BESS container (ISO 40 ft high cube)</t>
        </is>
      </c>
      <c r="I271" s="9" t="inlineStr">
        <is>
          <t>DC 2 kV</t>
        </is>
      </c>
      <c r="J271" s="9" t="inlineStr">
        <is>
          <t>500 kcmil</t>
        </is>
      </c>
      <c r="K271" s="9" t="n">
        <v>4</v>
      </c>
    </row>
    <row r="272">
      <c r="A272" s="9" t="inlineStr">
        <is>
          <t>BESS PCS / MV skid</t>
        </is>
      </c>
      <c r="B272" s="9" t="inlineStr"/>
      <c r="C272" s="9" t="inlineStr">
        <is>
          <t>H</t>
        </is>
      </c>
      <c r="D272" s="9" t="inlineStr">
        <is>
          <t>DC 1,500 V: container to PCS (2 x 1/C per pole pair)</t>
        </is>
      </c>
      <c r="E272" s="9" t="n">
        <v>1500</v>
      </c>
      <c r="F272" s="9" t="n">
        <v>4000</v>
      </c>
      <c r="G272" s="9" t="n"/>
      <c r="H272" s="9" t="inlineStr">
        <is>
          <t>BESS container (ISO 40 ft high cube)</t>
        </is>
      </c>
      <c r="I272" s="9" t="inlineStr">
        <is>
          <t>DC 2 kV</t>
        </is>
      </c>
      <c r="J272" s="9" t="inlineStr">
        <is>
          <t>500 kcmil</t>
        </is>
      </c>
      <c r="K272" s="9" t="n">
        <v>4</v>
      </c>
    </row>
    <row r="273">
      <c r="A273" s="9" t="inlineStr">
        <is>
          <t>BESS PCS / MV skid</t>
        </is>
      </c>
      <c r="B273" s="9" t="inlineStr"/>
      <c r="C273" s="9" t="inlineStr">
        <is>
          <t>H</t>
        </is>
      </c>
      <c r="D273" s="9" t="inlineStr">
        <is>
          <t>DC 1,500 V: container to PCS (2 x 1/C per pole pair)</t>
        </is>
      </c>
      <c r="E273" s="9" t="n">
        <v>1500</v>
      </c>
      <c r="F273" s="9" t="n">
        <v>4000</v>
      </c>
      <c r="G273" s="9" t="n"/>
      <c r="H273" s="9" t="inlineStr">
        <is>
          <t>BESS container (ISO 40 ft high cube)</t>
        </is>
      </c>
      <c r="I273" s="9" t="inlineStr">
        <is>
          <t>DC 2 kV</t>
        </is>
      </c>
      <c r="J273" s="9" t="inlineStr">
        <is>
          <t>500 kcmil</t>
        </is>
      </c>
      <c r="K273" s="9" t="n">
        <v>4</v>
      </c>
    </row>
    <row r="274">
      <c r="A274" s="9" t="inlineStr">
        <is>
          <t>BESS PCS / MV skid</t>
        </is>
      </c>
      <c r="B274" s="9" t="inlineStr"/>
      <c r="C274" s="9" t="inlineStr">
        <is>
          <t>H</t>
        </is>
      </c>
      <c r="D274" s="9" t="inlineStr">
        <is>
          <t>DC 1,500 V: container to PCS (2 x 1/C per pole pair)</t>
        </is>
      </c>
      <c r="E274" s="9" t="n">
        <v>1500</v>
      </c>
      <c r="F274" s="9" t="n">
        <v>4000</v>
      </c>
      <c r="G274" s="9" t="n"/>
      <c r="H274" s="9" t="inlineStr">
        <is>
          <t>BESS container (ISO 40 ft high cube)</t>
        </is>
      </c>
      <c r="I274" s="9" t="inlineStr">
        <is>
          <t>DC 2 kV</t>
        </is>
      </c>
      <c r="J274" s="9" t="inlineStr">
        <is>
          <t>500 kcmil</t>
        </is>
      </c>
      <c r="K274" s="9" t="n">
        <v>4</v>
      </c>
    </row>
    <row r="275">
      <c r="A275" s="9" t="inlineStr">
        <is>
          <t>BESS PCS / MV skid</t>
        </is>
      </c>
      <c r="B275" s="9" t="inlineStr"/>
      <c r="C275" s="9" t="inlineStr">
        <is>
          <t>H</t>
        </is>
      </c>
      <c r="D275" s="9" t="inlineStr">
        <is>
          <t>DC 1,500 V: container to PCS (2 x 1/C per pole pair)</t>
        </is>
      </c>
      <c r="E275" s="9" t="n">
        <v>1500</v>
      </c>
      <c r="F275" s="9" t="n">
        <v>4000</v>
      </c>
      <c r="G275" s="9" t="n"/>
      <c r="H275" s="9" t="inlineStr">
        <is>
          <t>BESS container (ISO 40 ft high cube)</t>
        </is>
      </c>
      <c r="I275" s="9" t="inlineStr">
        <is>
          <t>DC 2 kV</t>
        </is>
      </c>
      <c r="J275" s="9" t="inlineStr">
        <is>
          <t>500 kcmil</t>
        </is>
      </c>
      <c r="K275" s="9" t="n">
        <v>4</v>
      </c>
    </row>
    <row r="276">
      <c r="A276" s="9" t="inlineStr">
        <is>
          <t>BESS PCS / MV skid</t>
        </is>
      </c>
      <c r="B276" s="9" t="inlineStr"/>
      <c r="C276" s="9" t="inlineStr">
        <is>
          <t>H</t>
        </is>
      </c>
      <c r="D276" s="9" t="inlineStr">
        <is>
          <t>DC 1,500 V: container to PCS (2 x 1/C per pole pair)</t>
        </is>
      </c>
      <c r="E276" s="9" t="n">
        <v>1500</v>
      </c>
      <c r="F276" s="9" t="n">
        <v>4000</v>
      </c>
      <c r="G276" s="9" t="n"/>
      <c r="H276" s="9" t="inlineStr">
        <is>
          <t>BESS container (ISO 40 ft high cube)</t>
        </is>
      </c>
      <c r="I276" s="9" t="inlineStr">
        <is>
          <t>DC 2 kV</t>
        </is>
      </c>
      <c r="J276" s="9" t="inlineStr">
        <is>
          <t>500 kcmil</t>
        </is>
      </c>
      <c r="K276" s="9" t="n">
        <v>4</v>
      </c>
    </row>
    <row r="277">
      <c r="A277" s="9" t="inlineStr">
        <is>
          <t>BESS PCS / MV skid</t>
        </is>
      </c>
      <c r="B277" s="9" t="inlineStr"/>
      <c r="C277" s="9" t="inlineStr">
        <is>
          <t>H</t>
        </is>
      </c>
      <c r="D277" s="9" t="inlineStr">
        <is>
          <t>DC 1,500 V: container to PCS (2 x 1/C per pole pair)</t>
        </is>
      </c>
      <c r="E277" s="9" t="n">
        <v>1500</v>
      </c>
      <c r="F277" s="9" t="n">
        <v>4000</v>
      </c>
      <c r="G277" s="9" t="n"/>
      <c r="H277" s="9" t="inlineStr">
        <is>
          <t>BESS container (ISO 40 ft high cube)</t>
        </is>
      </c>
      <c r="I277" s="9" t="inlineStr">
        <is>
          <t>DC 2 kV</t>
        </is>
      </c>
      <c r="J277" s="9" t="inlineStr">
        <is>
          <t>500 kcmil</t>
        </is>
      </c>
      <c r="K277" s="9" t="n">
        <v>4</v>
      </c>
    </row>
    <row r="278">
      <c r="A278" s="9" t="inlineStr">
        <is>
          <t>BESS PCS / MV skid</t>
        </is>
      </c>
      <c r="B278" s="9" t="inlineStr"/>
      <c r="C278" s="9" t="inlineStr">
        <is>
          <t>H</t>
        </is>
      </c>
      <c r="D278" s="9" t="inlineStr">
        <is>
          <t>DC 1,500 V: container to PCS (2 x 1/C per pole pair)</t>
        </is>
      </c>
      <c r="E278" s="9" t="n">
        <v>1500</v>
      </c>
      <c r="F278" s="9" t="n">
        <v>4000</v>
      </c>
      <c r="G278" s="9" t="n"/>
      <c r="H278" s="9" t="inlineStr">
        <is>
          <t>BESS container (ISO 40 ft high cube)</t>
        </is>
      </c>
      <c r="I278" s="9" t="inlineStr">
        <is>
          <t>DC 2 kV</t>
        </is>
      </c>
      <c r="J278" s="9" t="inlineStr">
        <is>
          <t>500 kcmil</t>
        </is>
      </c>
      <c r="K278" s="9" t="n">
        <v>4</v>
      </c>
    </row>
    <row r="279">
      <c r="A279" s="9" t="inlineStr">
        <is>
          <t>BESS PCS / MV skid</t>
        </is>
      </c>
      <c r="B279" s="9" t="inlineStr"/>
      <c r="C279" s="9" t="inlineStr">
        <is>
          <t>H</t>
        </is>
      </c>
      <c r="D279" s="9" t="inlineStr">
        <is>
          <t>DC 1,500 V: container to PCS (2 x 1/C per pole pair)</t>
        </is>
      </c>
      <c r="E279" s="9" t="n">
        <v>1500</v>
      </c>
      <c r="F279" s="9" t="n">
        <v>4000</v>
      </c>
      <c r="G279" s="9" t="n"/>
      <c r="H279" s="9" t="inlineStr">
        <is>
          <t>BESS container (ISO 40 ft high cube)</t>
        </is>
      </c>
      <c r="I279" s="9" t="inlineStr">
        <is>
          <t>DC 2 kV</t>
        </is>
      </c>
      <c r="J279" s="9" t="inlineStr">
        <is>
          <t>500 kcmil</t>
        </is>
      </c>
      <c r="K279" s="9" t="n">
        <v>4</v>
      </c>
    </row>
    <row r="280">
      <c r="A280" s="9" t="inlineStr">
        <is>
          <t>BESS PCS / MV skid</t>
        </is>
      </c>
      <c r="B280" s="9" t="inlineStr"/>
      <c r="C280" s="9" t="inlineStr">
        <is>
          <t>H</t>
        </is>
      </c>
      <c r="D280" s="9" t="inlineStr">
        <is>
          <t>DC 1,500 V: container to PCS (2 x 1/C per pole pair)</t>
        </is>
      </c>
      <c r="E280" s="9" t="n">
        <v>1500</v>
      </c>
      <c r="F280" s="9" t="n">
        <v>4000</v>
      </c>
      <c r="G280" s="9" t="n"/>
      <c r="H280" s="9" t="inlineStr">
        <is>
          <t>BESS container (ISO 40 ft high cube)</t>
        </is>
      </c>
      <c r="I280" s="9" t="inlineStr">
        <is>
          <t>DC 2 kV</t>
        </is>
      </c>
      <c r="J280" s="9" t="inlineStr">
        <is>
          <t>500 kcmil</t>
        </is>
      </c>
      <c r="K280" s="9" t="n">
        <v>4</v>
      </c>
    </row>
    <row r="281">
      <c r="A281" s="9" t="inlineStr">
        <is>
          <t>BESS PCS / MV skid</t>
        </is>
      </c>
      <c r="B281" s="9" t="inlineStr"/>
      <c r="C281" s="9" t="inlineStr">
        <is>
          <t>H</t>
        </is>
      </c>
      <c r="D281" s="9" t="inlineStr">
        <is>
          <t>DC 1,500 V: container to PCS (2 x 1/C per pole pair)</t>
        </is>
      </c>
      <c r="E281" s="9" t="n">
        <v>1500</v>
      </c>
      <c r="F281" s="9" t="n">
        <v>4000</v>
      </c>
      <c r="G281" s="9" t="n"/>
      <c r="H281" s="9" t="inlineStr">
        <is>
          <t>BESS container (ISO 40 ft high cube)</t>
        </is>
      </c>
      <c r="I281" s="9" t="inlineStr">
        <is>
          <t>DC 2 kV</t>
        </is>
      </c>
      <c r="J281" s="9" t="inlineStr">
        <is>
          <t>500 kcmil</t>
        </is>
      </c>
      <c r="K281" s="9" t="n">
        <v>4</v>
      </c>
    </row>
    <row r="282">
      <c r="A282" s="9" t="inlineStr">
        <is>
          <t>BESS PCS / MV skid</t>
        </is>
      </c>
      <c r="B282" s="9" t="inlineStr"/>
      <c r="C282" s="9" t="inlineStr">
        <is>
          <t>H</t>
        </is>
      </c>
      <c r="D282" s="9" t="inlineStr">
        <is>
          <t>DC 1,500 V: container to PCS (2 x 1/C per pole pair)</t>
        </is>
      </c>
      <c r="E282" s="9" t="n">
        <v>1500</v>
      </c>
      <c r="F282" s="9" t="n">
        <v>4000</v>
      </c>
      <c r="G282" s="9" t="n"/>
      <c r="H282" s="9" t="inlineStr">
        <is>
          <t>BESS container (ISO 40 ft high cube)</t>
        </is>
      </c>
      <c r="I282" s="9" t="inlineStr">
        <is>
          <t>DC 2 kV</t>
        </is>
      </c>
      <c r="J282" s="9" t="inlineStr">
        <is>
          <t>500 kcmil</t>
        </is>
      </c>
      <c r="K282" s="9" t="n">
        <v>4</v>
      </c>
    </row>
    <row r="283">
      <c r="A283" s="9" t="inlineStr">
        <is>
          <t>BESS PCS / MV skid</t>
        </is>
      </c>
      <c r="B283" s="9" t="inlineStr"/>
      <c r="C283" s="9" t="inlineStr">
        <is>
          <t>H</t>
        </is>
      </c>
      <c r="D283" s="9" t="inlineStr">
        <is>
          <t>DC 1,500 V: container to PCS (2 x 1/C per pole pair)</t>
        </is>
      </c>
      <c r="E283" s="9" t="n">
        <v>1500</v>
      </c>
      <c r="F283" s="9" t="n">
        <v>4000</v>
      </c>
      <c r="G283" s="9" t="n"/>
      <c r="H283" s="9" t="inlineStr">
        <is>
          <t>BESS container (ISO 40 ft high cube)</t>
        </is>
      </c>
      <c r="I283" s="9" t="inlineStr">
        <is>
          <t>DC 2 kV</t>
        </is>
      </c>
      <c r="J283" s="9" t="inlineStr">
        <is>
          <t>500 kcmil</t>
        </is>
      </c>
      <c r="K283" s="9" t="n">
        <v>4</v>
      </c>
    </row>
    <row r="284">
      <c r="A284" s="9" t="inlineStr">
        <is>
          <t>BESS PCS / MV skid</t>
        </is>
      </c>
      <c r="B284" s="9" t="inlineStr"/>
      <c r="C284" s="9" t="inlineStr">
        <is>
          <t>H</t>
        </is>
      </c>
      <c r="D284" s="9" t="inlineStr">
        <is>
          <t>DC 1,500 V: container to PCS (2 x 1/C per pole pair)</t>
        </is>
      </c>
      <c r="E284" s="9" t="n">
        <v>1500</v>
      </c>
      <c r="F284" s="9" t="n">
        <v>4000</v>
      </c>
      <c r="G284" s="9" t="n"/>
      <c r="H284" s="9" t="inlineStr">
        <is>
          <t>BESS container (ISO 40 ft high cube)</t>
        </is>
      </c>
      <c r="I284" s="9" t="inlineStr">
        <is>
          <t>DC 2 kV</t>
        </is>
      </c>
      <c r="J284" s="9" t="inlineStr">
        <is>
          <t>500 kcmil</t>
        </is>
      </c>
      <c r="K284" s="9" t="n">
        <v>4</v>
      </c>
    </row>
    <row r="285">
      <c r="A285" s="9" t="inlineStr">
        <is>
          <t>BESS PCS / MV skid</t>
        </is>
      </c>
      <c r="B285" s="9" t="inlineStr"/>
      <c r="C285" s="9" t="inlineStr">
        <is>
          <t>H</t>
        </is>
      </c>
      <c r="D285" s="9" t="inlineStr">
        <is>
          <t>DC 1,500 V: container to PCS (2 x 1/C per pole pair)</t>
        </is>
      </c>
      <c r="E285" s="9" t="n">
        <v>1500</v>
      </c>
      <c r="F285" s="9" t="n">
        <v>4000</v>
      </c>
      <c r="G285" s="9" t="n"/>
      <c r="H285" s="9" t="inlineStr">
        <is>
          <t>BESS container (ISO 40 ft high cube)</t>
        </is>
      </c>
      <c r="I285" s="9" t="inlineStr">
        <is>
          <t>DC 2 kV</t>
        </is>
      </c>
      <c r="J285" s="9" t="inlineStr">
        <is>
          <t>500 kcmil</t>
        </is>
      </c>
      <c r="K285" s="9" t="n">
        <v>4</v>
      </c>
    </row>
    <row r="286">
      <c r="A286" s="9" t="inlineStr">
        <is>
          <t>BESS PCS / MV skid</t>
        </is>
      </c>
      <c r="B286" s="9" t="inlineStr"/>
      <c r="C286" s="9" t="inlineStr">
        <is>
          <t>H</t>
        </is>
      </c>
      <c r="D286" s="9" t="inlineStr">
        <is>
          <t>DC 1,500 V: container to PCS (2 x 1/C per pole pair)</t>
        </is>
      </c>
      <c r="E286" s="9" t="n">
        <v>1500</v>
      </c>
      <c r="F286" s="9" t="n">
        <v>4000</v>
      </c>
      <c r="G286" s="9" t="n"/>
      <c r="H286" s="9" t="inlineStr">
        <is>
          <t>BESS container (ISO 40 ft high cube)</t>
        </is>
      </c>
      <c r="I286" s="9" t="inlineStr">
        <is>
          <t>DC 2 kV</t>
        </is>
      </c>
      <c r="J286" s="9" t="inlineStr">
        <is>
          <t>500 kcmil</t>
        </is>
      </c>
      <c r="K286" s="9" t="n">
        <v>4</v>
      </c>
    </row>
    <row r="287">
      <c r="A287" s="9" t="inlineStr">
        <is>
          <t>BESS PCS / MV skid</t>
        </is>
      </c>
      <c r="B287" s="9" t="inlineStr"/>
      <c r="C287" s="9" t="inlineStr">
        <is>
          <t>H</t>
        </is>
      </c>
      <c r="D287" s="9" t="inlineStr">
        <is>
          <t>DC 1,500 V: container to PCS (2 x 1/C per pole pair)</t>
        </is>
      </c>
      <c r="E287" s="9" t="n">
        <v>1500</v>
      </c>
      <c r="F287" s="9" t="n">
        <v>4000</v>
      </c>
      <c r="G287" s="9" t="n"/>
      <c r="H287" s="9" t="inlineStr">
        <is>
          <t>BESS container (ISO 40 ft high cube)</t>
        </is>
      </c>
      <c r="I287" s="9" t="inlineStr">
        <is>
          <t>DC 2 kV</t>
        </is>
      </c>
      <c r="J287" s="9" t="inlineStr">
        <is>
          <t>500 kcmil</t>
        </is>
      </c>
      <c r="K287" s="9" t="n">
        <v>4</v>
      </c>
    </row>
    <row r="288">
      <c r="A288" s="9" t="inlineStr">
        <is>
          <t>BESS PCS / MV skid</t>
        </is>
      </c>
      <c r="B288" s="9" t="inlineStr"/>
      <c r="C288" s="9" t="inlineStr">
        <is>
          <t>H</t>
        </is>
      </c>
      <c r="D288" s="9" t="inlineStr">
        <is>
          <t>DC 1,500 V: container to PCS (2 x 1/C per pole pair)</t>
        </is>
      </c>
      <c r="E288" s="9" t="n">
        <v>1500</v>
      </c>
      <c r="F288" s="9" t="n">
        <v>4000</v>
      </c>
      <c r="G288" s="9" t="n"/>
      <c r="H288" s="9" t="inlineStr">
        <is>
          <t>BESS container (ISO 40 ft high cube)</t>
        </is>
      </c>
      <c r="I288" s="9" t="inlineStr">
        <is>
          <t>DC 2 kV</t>
        </is>
      </c>
      <c r="J288" s="9" t="inlineStr">
        <is>
          <t>500 kcmil</t>
        </is>
      </c>
      <c r="K288" s="9" t="n">
        <v>4</v>
      </c>
    </row>
    <row r="289">
      <c r="A289" s="9" t="inlineStr">
        <is>
          <t>BESS PCS / MV skid</t>
        </is>
      </c>
      <c r="B289" s="9" t="inlineStr"/>
      <c r="C289" s="9" t="inlineStr">
        <is>
          <t>H</t>
        </is>
      </c>
      <c r="D289" s="9" t="inlineStr">
        <is>
          <t>DC 1,500 V: container to PCS (2 x 1/C per pole pair)</t>
        </is>
      </c>
      <c r="E289" s="9" t="n">
        <v>1500</v>
      </c>
      <c r="F289" s="9" t="n">
        <v>4000</v>
      </c>
      <c r="G289" s="9" t="n"/>
      <c r="H289" s="9" t="inlineStr">
        <is>
          <t>BESS container (ISO 40 ft high cube)</t>
        </is>
      </c>
      <c r="I289" s="9" t="inlineStr">
        <is>
          <t>DC 2 kV</t>
        </is>
      </c>
      <c r="J289" s="9" t="inlineStr">
        <is>
          <t>500 kcmil</t>
        </is>
      </c>
      <c r="K289" s="9" t="n">
        <v>4</v>
      </c>
    </row>
    <row r="290">
      <c r="A290" s="9" t="inlineStr">
        <is>
          <t>34.5 kV collector e-house (arc-resistant)</t>
        </is>
      </c>
      <c r="B290" s="9" t="inlineStr"/>
      <c r="C290" s="9" t="inlineStr">
        <is>
          <t>H</t>
        </is>
      </c>
      <c r="D290" s="9" t="inlineStr">
        <is>
          <t>LV panel / distribution feeder</t>
        </is>
      </c>
      <c r="E290" s="9" t="n">
        <v>480</v>
      </c>
      <c r="F290" s="9" t="n">
        <v>30</v>
      </c>
      <c r="G290" s="9" t="n">
        <v>42</v>
      </c>
      <c r="H290" s="9" t="inlineStr">
        <is>
          <t>BESS auxiliary transformer</t>
        </is>
      </c>
      <c r="I290" s="9" t="inlineStr">
        <is>
          <t>LV 600 V</t>
        </is>
      </c>
      <c r="J290" s="9" t="inlineStr">
        <is>
          <t>6</t>
        </is>
      </c>
      <c r="K290" s="9" t="n">
        <v>1</v>
      </c>
    </row>
    <row r="291">
      <c r="A291" s="9" t="inlineStr">
        <is>
          <t>BESS EMS / SCADA and revenue metering</t>
        </is>
      </c>
      <c r="B291" s="9" t="inlineStr"/>
      <c r="C291" s="9" t="inlineStr">
        <is>
          <t>H</t>
        </is>
      </c>
      <c r="D291" s="9" t="inlineStr">
        <is>
          <t>LV panel / distribution feeder</t>
        </is>
      </c>
      <c r="E291" s="9" t="n">
        <v>480</v>
      </c>
      <c r="F291" s="9" t="n">
        <v>30</v>
      </c>
      <c r="G291" s="9" t="n">
        <v>42</v>
      </c>
      <c r="H291" s="9" t="inlineStr">
        <is>
          <t>BESS auxiliary transformer</t>
        </is>
      </c>
      <c r="I291" s="9" t="inlineStr">
        <is>
          <t>LV 600 V</t>
        </is>
      </c>
      <c r="J291" s="9" t="inlineStr">
        <is>
          <t>6</t>
        </is>
      </c>
      <c r="K291" s="9" t="n">
        <v>1</v>
      </c>
    </row>
    <row r="292">
      <c r="A292" s="9" t="inlineStr">
        <is>
          <t>BESS container (ISO 40 ft high cube)</t>
        </is>
      </c>
      <c r="B292" s="9" t="inlineStr"/>
      <c r="C292" s="9" t="inlineStr">
        <is>
          <t>H</t>
        </is>
      </c>
      <c r="D292" s="9" t="inlineStr">
        <is>
          <t>Container auxiliary 480 V</t>
        </is>
      </c>
      <c r="E292" s="9" t="n">
        <v>480</v>
      </c>
      <c r="F292" s="9" t="n">
        <v>60</v>
      </c>
      <c r="G292" s="9" t="n">
        <v>85</v>
      </c>
      <c r="H292" s="9" t="inlineStr">
        <is>
          <t>BESS PCS / MV skid</t>
        </is>
      </c>
      <c r="I292" s="9" t="inlineStr">
        <is>
          <t>LV 600 V</t>
        </is>
      </c>
      <c r="J292" s="9" t="inlineStr">
        <is>
          <t>2</t>
        </is>
      </c>
      <c r="K292" s="9" t="n">
        <v>1</v>
      </c>
    </row>
    <row r="293">
      <c r="A293" s="9" t="inlineStr">
        <is>
          <t>BESS container (ISO 40 ft high cube)</t>
        </is>
      </c>
      <c r="B293" s="9" t="inlineStr"/>
      <c r="C293" s="9" t="inlineStr">
        <is>
          <t>H</t>
        </is>
      </c>
      <c r="D293" s="9" t="inlineStr">
        <is>
          <t>Container auxiliary 480 V</t>
        </is>
      </c>
      <c r="E293" s="9" t="n">
        <v>480</v>
      </c>
      <c r="F293" s="9" t="n">
        <v>60</v>
      </c>
      <c r="G293" s="9" t="n">
        <v>85</v>
      </c>
      <c r="H293" s="9" t="inlineStr">
        <is>
          <t>BESS PCS / MV skid</t>
        </is>
      </c>
      <c r="I293" s="9" t="inlineStr">
        <is>
          <t>LV 600 V</t>
        </is>
      </c>
      <c r="J293" s="9" t="inlineStr">
        <is>
          <t>2</t>
        </is>
      </c>
      <c r="K293" s="9" t="n">
        <v>1</v>
      </c>
    </row>
    <row r="294">
      <c r="A294" s="9" t="inlineStr">
        <is>
          <t>BESS container (ISO 40 ft high cube)</t>
        </is>
      </c>
      <c r="B294" s="9" t="inlineStr"/>
      <c r="C294" s="9" t="inlineStr">
        <is>
          <t>H</t>
        </is>
      </c>
      <c r="D294" s="9" t="inlineStr">
        <is>
          <t>Container auxiliary 480 V</t>
        </is>
      </c>
      <c r="E294" s="9" t="n">
        <v>480</v>
      </c>
      <c r="F294" s="9" t="n">
        <v>60</v>
      </c>
      <c r="G294" s="9" t="n">
        <v>85</v>
      </c>
      <c r="H294" s="9" t="inlineStr">
        <is>
          <t>BESS PCS / MV skid</t>
        </is>
      </c>
      <c r="I294" s="9" t="inlineStr">
        <is>
          <t>LV 600 V</t>
        </is>
      </c>
      <c r="J294" s="9" t="inlineStr">
        <is>
          <t>2</t>
        </is>
      </c>
      <c r="K294" s="9" t="n">
        <v>1</v>
      </c>
    </row>
    <row r="295">
      <c r="A295" s="9" t="inlineStr">
        <is>
          <t>BESS container (ISO 40 ft high cube)</t>
        </is>
      </c>
      <c r="B295" s="9" t="inlineStr"/>
      <c r="C295" s="9" t="inlineStr">
        <is>
          <t>H</t>
        </is>
      </c>
      <c r="D295" s="9" t="inlineStr">
        <is>
          <t>Container auxiliary 480 V</t>
        </is>
      </c>
      <c r="E295" s="9" t="n">
        <v>480</v>
      </c>
      <c r="F295" s="9" t="n">
        <v>60</v>
      </c>
      <c r="G295" s="9" t="n">
        <v>85</v>
      </c>
      <c r="H295" s="9" t="inlineStr">
        <is>
          <t>BESS PCS / MV skid</t>
        </is>
      </c>
      <c r="I295" s="9" t="inlineStr">
        <is>
          <t>LV 600 V</t>
        </is>
      </c>
      <c r="J295" s="9" t="inlineStr">
        <is>
          <t>2</t>
        </is>
      </c>
      <c r="K295" s="9" t="n">
        <v>1</v>
      </c>
    </row>
    <row r="296">
      <c r="A296" s="9" t="inlineStr">
        <is>
          <t>BESS container (ISO 40 ft high cube)</t>
        </is>
      </c>
      <c r="B296" s="9" t="inlineStr"/>
      <c r="C296" s="9" t="inlineStr">
        <is>
          <t>H</t>
        </is>
      </c>
      <c r="D296" s="9" t="inlineStr">
        <is>
          <t>Container auxiliary 480 V</t>
        </is>
      </c>
      <c r="E296" s="9" t="n">
        <v>480</v>
      </c>
      <c r="F296" s="9" t="n">
        <v>60</v>
      </c>
      <c r="G296" s="9" t="n">
        <v>85</v>
      </c>
      <c r="H296" s="9" t="inlineStr">
        <is>
          <t>BESS PCS / MV skid</t>
        </is>
      </c>
      <c r="I296" s="9" t="inlineStr">
        <is>
          <t>LV 600 V</t>
        </is>
      </c>
      <c r="J296" s="9" t="inlineStr">
        <is>
          <t>2</t>
        </is>
      </c>
      <c r="K296" s="9" t="n">
        <v>1</v>
      </c>
    </row>
    <row r="297">
      <c r="A297" s="9" t="inlineStr">
        <is>
          <t>BESS container (ISO 40 ft high cube)</t>
        </is>
      </c>
      <c r="B297" s="9" t="inlineStr"/>
      <c r="C297" s="9" t="inlineStr">
        <is>
          <t>H</t>
        </is>
      </c>
      <c r="D297" s="9" t="inlineStr">
        <is>
          <t>Container auxiliary 480 V</t>
        </is>
      </c>
      <c r="E297" s="9" t="n">
        <v>480</v>
      </c>
      <c r="F297" s="9" t="n">
        <v>60</v>
      </c>
      <c r="G297" s="9" t="n">
        <v>85</v>
      </c>
      <c r="H297" s="9" t="inlineStr">
        <is>
          <t>BESS PCS / MV skid</t>
        </is>
      </c>
      <c r="I297" s="9" t="inlineStr">
        <is>
          <t>LV 600 V</t>
        </is>
      </c>
      <c r="J297" s="9" t="inlineStr">
        <is>
          <t>2</t>
        </is>
      </c>
      <c r="K297" s="9" t="n">
        <v>1</v>
      </c>
    </row>
    <row r="298">
      <c r="A298" s="9" t="inlineStr">
        <is>
          <t>BESS container (ISO 40 ft high cube)</t>
        </is>
      </c>
      <c r="B298" s="9" t="inlineStr"/>
      <c r="C298" s="9" t="inlineStr">
        <is>
          <t>H</t>
        </is>
      </c>
      <c r="D298" s="9" t="inlineStr">
        <is>
          <t>Container auxiliary 480 V</t>
        </is>
      </c>
      <c r="E298" s="9" t="n">
        <v>480</v>
      </c>
      <c r="F298" s="9" t="n">
        <v>60</v>
      </c>
      <c r="G298" s="9" t="n">
        <v>85</v>
      </c>
      <c r="H298" s="9" t="inlineStr">
        <is>
          <t>BESS PCS / MV skid</t>
        </is>
      </c>
      <c r="I298" s="9" t="inlineStr">
        <is>
          <t>LV 600 V</t>
        </is>
      </c>
      <c r="J298" s="9" t="inlineStr">
        <is>
          <t>2</t>
        </is>
      </c>
      <c r="K298" s="9" t="n">
        <v>1</v>
      </c>
    </row>
    <row r="299">
      <c r="A299" s="9" t="inlineStr">
        <is>
          <t>BESS container (ISO 40 ft high cube)</t>
        </is>
      </c>
      <c r="B299" s="9" t="inlineStr"/>
      <c r="C299" s="9" t="inlineStr">
        <is>
          <t>H</t>
        </is>
      </c>
      <c r="D299" s="9" t="inlineStr">
        <is>
          <t>Container auxiliary 480 V</t>
        </is>
      </c>
      <c r="E299" s="9" t="n">
        <v>480</v>
      </c>
      <c r="F299" s="9" t="n">
        <v>60</v>
      </c>
      <c r="G299" s="9" t="n">
        <v>85</v>
      </c>
      <c r="H299" s="9" t="inlineStr">
        <is>
          <t>BESS PCS / MV skid</t>
        </is>
      </c>
      <c r="I299" s="9" t="inlineStr">
        <is>
          <t>LV 600 V</t>
        </is>
      </c>
      <c r="J299" s="9" t="inlineStr">
        <is>
          <t>2</t>
        </is>
      </c>
      <c r="K299" s="9" t="n">
        <v>1</v>
      </c>
    </row>
    <row r="300">
      <c r="A300" s="9" t="inlineStr">
        <is>
          <t>BESS container (ISO 40 ft high cube)</t>
        </is>
      </c>
      <c r="B300" s="9" t="inlineStr"/>
      <c r="C300" s="9" t="inlineStr">
        <is>
          <t>H</t>
        </is>
      </c>
      <c r="D300" s="9" t="inlineStr">
        <is>
          <t>Container auxiliary 480 V</t>
        </is>
      </c>
      <c r="E300" s="9" t="n">
        <v>480</v>
      </c>
      <c r="F300" s="9" t="n">
        <v>60</v>
      </c>
      <c r="G300" s="9" t="n">
        <v>85</v>
      </c>
      <c r="H300" s="9" t="inlineStr">
        <is>
          <t>BESS PCS / MV skid</t>
        </is>
      </c>
      <c r="I300" s="9" t="inlineStr">
        <is>
          <t>LV 600 V</t>
        </is>
      </c>
      <c r="J300" s="9" t="inlineStr">
        <is>
          <t>2</t>
        </is>
      </c>
      <c r="K300" s="9" t="n">
        <v>1</v>
      </c>
    </row>
    <row r="301">
      <c r="A301" s="9" t="inlineStr">
        <is>
          <t>BESS container (ISO 40 ft high cube)</t>
        </is>
      </c>
      <c r="B301" s="9" t="inlineStr"/>
      <c r="C301" s="9" t="inlineStr">
        <is>
          <t>H</t>
        </is>
      </c>
      <c r="D301" s="9" t="inlineStr">
        <is>
          <t>Container auxiliary 480 V</t>
        </is>
      </c>
      <c r="E301" s="9" t="n">
        <v>480</v>
      </c>
      <c r="F301" s="9" t="n">
        <v>60</v>
      </c>
      <c r="G301" s="9" t="n">
        <v>85</v>
      </c>
      <c r="H301" s="9" t="inlineStr">
        <is>
          <t>BESS PCS / MV skid</t>
        </is>
      </c>
      <c r="I301" s="9" t="inlineStr">
        <is>
          <t>LV 600 V</t>
        </is>
      </c>
      <c r="J301" s="9" t="inlineStr">
        <is>
          <t>2</t>
        </is>
      </c>
      <c r="K301" s="9" t="n">
        <v>1</v>
      </c>
    </row>
    <row r="302">
      <c r="A302" s="9" t="inlineStr">
        <is>
          <t>BESS container (ISO 40 ft high cube)</t>
        </is>
      </c>
      <c r="B302" s="9" t="inlineStr"/>
      <c r="C302" s="9" t="inlineStr">
        <is>
          <t>H</t>
        </is>
      </c>
      <c r="D302" s="9" t="inlineStr">
        <is>
          <t>Container auxiliary 480 V</t>
        </is>
      </c>
      <c r="E302" s="9" t="n">
        <v>480</v>
      </c>
      <c r="F302" s="9" t="n">
        <v>60</v>
      </c>
      <c r="G302" s="9" t="n">
        <v>85</v>
      </c>
      <c r="H302" s="9" t="inlineStr">
        <is>
          <t>BESS PCS / MV skid</t>
        </is>
      </c>
      <c r="I302" s="9" t="inlineStr">
        <is>
          <t>LV 600 V</t>
        </is>
      </c>
      <c r="J302" s="9" t="inlineStr">
        <is>
          <t>2</t>
        </is>
      </c>
      <c r="K302" s="9" t="n">
        <v>1</v>
      </c>
    </row>
    <row r="303">
      <c r="A303" s="9" t="inlineStr">
        <is>
          <t>BESS container (ISO 40 ft high cube)</t>
        </is>
      </c>
      <c r="B303" s="9" t="inlineStr"/>
      <c r="C303" s="9" t="inlineStr">
        <is>
          <t>H</t>
        </is>
      </c>
      <c r="D303" s="9" t="inlineStr">
        <is>
          <t>Container auxiliary 480 V</t>
        </is>
      </c>
      <c r="E303" s="9" t="n">
        <v>480</v>
      </c>
      <c r="F303" s="9" t="n">
        <v>60</v>
      </c>
      <c r="G303" s="9" t="n">
        <v>85</v>
      </c>
      <c r="H303" s="9" t="inlineStr">
        <is>
          <t>BESS PCS / MV skid</t>
        </is>
      </c>
      <c r="I303" s="9" t="inlineStr">
        <is>
          <t>LV 600 V</t>
        </is>
      </c>
      <c r="J303" s="9" t="inlineStr">
        <is>
          <t>2</t>
        </is>
      </c>
      <c r="K303" s="9" t="n">
        <v>1</v>
      </c>
    </row>
    <row r="304">
      <c r="A304" s="9" t="inlineStr">
        <is>
          <t>BESS container (ISO 40 ft high cube)</t>
        </is>
      </c>
      <c r="B304" s="9" t="inlineStr"/>
      <c r="C304" s="9" t="inlineStr">
        <is>
          <t>H</t>
        </is>
      </c>
      <c r="D304" s="9" t="inlineStr">
        <is>
          <t>Container auxiliary 480 V</t>
        </is>
      </c>
      <c r="E304" s="9" t="n">
        <v>480</v>
      </c>
      <c r="F304" s="9" t="n">
        <v>60</v>
      </c>
      <c r="G304" s="9" t="n">
        <v>85</v>
      </c>
      <c r="H304" s="9" t="inlineStr">
        <is>
          <t>BESS PCS / MV skid</t>
        </is>
      </c>
      <c r="I304" s="9" t="inlineStr">
        <is>
          <t>LV 600 V</t>
        </is>
      </c>
      <c r="J304" s="9" t="inlineStr">
        <is>
          <t>2</t>
        </is>
      </c>
      <c r="K304" s="9" t="n">
        <v>1</v>
      </c>
    </row>
    <row r="305">
      <c r="A305" s="9" t="inlineStr">
        <is>
          <t>BESS container (ISO 40 ft high cube)</t>
        </is>
      </c>
      <c r="B305" s="9" t="inlineStr"/>
      <c r="C305" s="9" t="inlineStr">
        <is>
          <t>H</t>
        </is>
      </c>
      <c r="D305" s="9" t="inlineStr">
        <is>
          <t>Container auxiliary 480 V</t>
        </is>
      </c>
      <c r="E305" s="9" t="n">
        <v>480</v>
      </c>
      <c r="F305" s="9" t="n">
        <v>60</v>
      </c>
      <c r="G305" s="9" t="n">
        <v>85</v>
      </c>
      <c r="H305" s="9" t="inlineStr">
        <is>
          <t>BESS PCS / MV skid</t>
        </is>
      </c>
      <c r="I305" s="9" t="inlineStr">
        <is>
          <t>LV 600 V</t>
        </is>
      </c>
      <c r="J305" s="9" t="inlineStr">
        <is>
          <t>2</t>
        </is>
      </c>
      <c r="K305" s="9" t="n">
        <v>1</v>
      </c>
    </row>
    <row r="306">
      <c r="A306" s="9" t="inlineStr">
        <is>
          <t>BESS container (ISO 40 ft high cube)</t>
        </is>
      </c>
      <c r="B306" s="9" t="inlineStr"/>
      <c r="C306" s="9" t="inlineStr">
        <is>
          <t>H</t>
        </is>
      </c>
      <c r="D306" s="9" t="inlineStr">
        <is>
          <t>Container auxiliary 480 V</t>
        </is>
      </c>
      <c r="E306" s="9" t="n">
        <v>480</v>
      </c>
      <c r="F306" s="9" t="n">
        <v>60</v>
      </c>
      <c r="G306" s="9" t="n">
        <v>85</v>
      </c>
      <c r="H306" s="9" t="inlineStr">
        <is>
          <t>BESS PCS / MV skid</t>
        </is>
      </c>
      <c r="I306" s="9" t="inlineStr">
        <is>
          <t>LV 600 V</t>
        </is>
      </c>
      <c r="J306" s="9" t="inlineStr">
        <is>
          <t>2</t>
        </is>
      </c>
      <c r="K306" s="9" t="n">
        <v>1</v>
      </c>
    </row>
    <row r="307">
      <c r="A307" s="9" t="inlineStr">
        <is>
          <t>BESS container (ISO 40 ft high cube)</t>
        </is>
      </c>
      <c r="B307" s="9" t="inlineStr"/>
      <c r="C307" s="9" t="inlineStr">
        <is>
          <t>H</t>
        </is>
      </c>
      <c r="D307" s="9" t="inlineStr">
        <is>
          <t>Container auxiliary 480 V</t>
        </is>
      </c>
      <c r="E307" s="9" t="n">
        <v>480</v>
      </c>
      <c r="F307" s="9" t="n">
        <v>60</v>
      </c>
      <c r="G307" s="9" t="n">
        <v>85</v>
      </c>
      <c r="H307" s="9" t="inlineStr">
        <is>
          <t>BESS PCS / MV skid</t>
        </is>
      </c>
      <c r="I307" s="9" t="inlineStr">
        <is>
          <t>LV 600 V</t>
        </is>
      </c>
      <c r="J307" s="9" t="inlineStr">
        <is>
          <t>2</t>
        </is>
      </c>
      <c r="K307" s="9" t="n">
        <v>1</v>
      </c>
    </row>
    <row r="308">
      <c r="A308" s="9" t="inlineStr">
        <is>
          <t>BESS container (ISO 40 ft high cube)</t>
        </is>
      </c>
      <c r="B308" s="9" t="inlineStr"/>
      <c r="C308" s="9" t="inlineStr">
        <is>
          <t>H</t>
        </is>
      </c>
      <c r="D308" s="9" t="inlineStr">
        <is>
          <t>Container auxiliary 480 V</t>
        </is>
      </c>
      <c r="E308" s="9" t="n">
        <v>480</v>
      </c>
      <c r="F308" s="9" t="n">
        <v>60</v>
      </c>
      <c r="G308" s="9" t="n">
        <v>85</v>
      </c>
      <c r="H308" s="9" t="inlineStr">
        <is>
          <t>BESS PCS / MV skid</t>
        </is>
      </c>
      <c r="I308" s="9" t="inlineStr">
        <is>
          <t>LV 600 V</t>
        </is>
      </c>
      <c r="J308" s="9" t="inlineStr">
        <is>
          <t>2</t>
        </is>
      </c>
      <c r="K308" s="9" t="n">
        <v>1</v>
      </c>
    </row>
    <row r="309">
      <c r="A309" s="9" t="inlineStr">
        <is>
          <t>BESS container (ISO 40 ft high cube)</t>
        </is>
      </c>
      <c r="B309" s="9" t="inlineStr"/>
      <c r="C309" s="9" t="inlineStr">
        <is>
          <t>H</t>
        </is>
      </c>
      <c r="D309" s="9" t="inlineStr">
        <is>
          <t>Container auxiliary 480 V</t>
        </is>
      </c>
      <c r="E309" s="9" t="n">
        <v>480</v>
      </c>
      <c r="F309" s="9" t="n">
        <v>60</v>
      </c>
      <c r="G309" s="9" t="n">
        <v>85</v>
      </c>
      <c r="H309" s="9" t="inlineStr">
        <is>
          <t>BESS PCS / MV skid</t>
        </is>
      </c>
      <c r="I309" s="9" t="inlineStr">
        <is>
          <t>LV 600 V</t>
        </is>
      </c>
      <c r="J309" s="9" t="inlineStr">
        <is>
          <t>2</t>
        </is>
      </c>
      <c r="K309" s="9" t="n">
        <v>1</v>
      </c>
    </row>
    <row r="310">
      <c r="A310" s="9" t="inlineStr">
        <is>
          <t>BESS container (ISO 40 ft high cube)</t>
        </is>
      </c>
      <c r="B310" s="9" t="inlineStr"/>
      <c r="C310" s="9" t="inlineStr">
        <is>
          <t>H</t>
        </is>
      </c>
      <c r="D310" s="9" t="inlineStr">
        <is>
          <t>Container auxiliary 480 V</t>
        </is>
      </c>
      <c r="E310" s="9" t="n">
        <v>480</v>
      </c>
      <c r="F310" s="9" t="n">
        <v>60</v>
      </c>
      <c r="G310" s="9" t="n">
        <v>85</v>
      </c>
      <c r="H310" s="9" t="inlineStr">
        <is>
          <t>BESS PCS / MV skid</t>
        </is>
      </c>
      <c r="I310" s="9" t="inlineStr">
        <is>
          <t>LV 600 V</t>
        </is>
      </c>
      <c r="J310" s="9" t="inlineStr">
        <is>
          <t>2</t>
        </is>
      </c>
      <c r="K310" s="9" t="n">
        <v>1</v>
      </c>
    </row>
    <row r="311">
      <c r="A311" s="9" t="inlineStr">
        <is>
          <t>BESS container (ISO 40 ft high cube)</t>
        </is>
      </c>
      <c r="B311" s="9" t="inlineStr"/>
      <c r="C311" s="9" t="inlineStr">
        <is>
          <t>H</t>
        </is>
      </c>
      <c r="D311" s="9" t="inlineStr">
        <is>
          <t>Container auxiliary 480 V</t>
        </is>
      </c>
      <c r="E311" s="9" t="n">
        <v>480</v>
      </c>
      <c r="F311" s="9" t="n">
        <v>60</v>
      </c>
      <c r="G311" s="9" t="n">
        <v>85</v>
      </c>
      <c r="H311" s="9" t="inlineStr">
        <is>
          <t>BESS PCS / MV skid</t>
        </is>
      </c>
      <c r="I311" s="9" t="inlineStr">
        <is>
          <t>LV 600 V</t>
        </is>
      </c>
      <c r="J311" s="9" t="inlineStr">
        <is>
          <t>2</t>
        </is>
      </c>
      <c r="K311" s="9" t="n">
        <v>1</v>
      </c>
    </row>
    <row r="312">
      <c r="A312" s="9" t="inlineStr">
        <is>
          <t>BESS container (ISO 40 ft high cube)</t>
        </is>
      </c>
      <c r="B312" s="9" t="inlineStr"/>
      <c r="C312" s="9" t="inlineStr">
        <is>
          <t>H</t>
        </is>
      </c>
      <c r="D312" s="9" t="inlineStr">
        <is>
          <t>Container auxiliary 480 V</t>
        </is>
      </c>
      <c r="E312" s="9" t="n">
        <v>480</v>
      </c>
      <c r="F312" s="9" t="n">
        <v>60</v>
      </c>
      <c r="G312" s="9" t="n">
        <v>85</v>
      </c>
      <c r="H312" s="9" t="inlineStr">
        <is>
          <t>BESS PCS / MV skid</t>
        </is>
      </c>
      <c r="I312" s="9" t="inlineStr">
        <is>
          <t>LV 600 V</t>
        </is>
      </c>
      <c r="J312" s="9" t="inlineStr">
        <is>
          <t>2</t>
        </is>
      </c>
      <c r="K312" s="9" t="n">
        <v>1</v>
      </c>
    </row>
    <row r="313">
      <c r="A313" s="9" t="inlineStr">
        <is>
          <t>BESS container (ISO 40 ft high cube)</t>
        </is>
      </c>
      <c r="B313" s="9" t="inlineStr"/>
      <c r="C313" s="9" t="inlineStr">
        <is>
          <t>H</t>
        </is>
      </c>
      <c r="D313" s="9" t="inlineStr">
        <is>
          <t>Container auxiliary 480 V</t>
        </is>
      </c>
      <c r="E313" s="9" t="n">
        <v>480</v>
      </c>
      <c r="F313" s="9" t="n">
        <v>60</v>
      </c>
      <c r="G313" s="9" t="n">
        <v>85</v>
      </c>
      <c r="H313" s="9" t="inlineStr">
        <is>
          <t>BESS PCS / MV skid</t>
        </is>
      </c>
      <c r="I313" s="9" t="inlineStr">
        <is>
          <t>LV 600 V</t>
        </is>
      </c>
      <c r="J313" s="9" t="inlineStr">
        <is>
          <t>2</t>
        </is>
      </c>
      <c r="K313" s="9" t="n">
        <v>1</v>
      </c>
    </row>
    <row r="314">
      <c r="A314" s="9" t="inlineStr">
        <is>
          <t>BESS container (ISO 40 ft high cube)</t>
        </is>
      </c>
      <c r="B314" s="9" t="inlineStr"/>
      <c r="C314" s="9" t="inlineStr">
        <is>
          <t>H</t>
        </is>
      </c>
      <c r="D314" s="9" t="inlineStr">
        <is>
          <t>Container auxiliary 480 V</t>
        </is>
      </c>
      <c r="E314" s="9" t="n">
        <v>480</v>
      </c>
      <c r="F314" s="9" t="n">
        <v>60</v>
      </c>
      <c r="G314" s="9" t="n">
        <v>85</v>
      </c>
      <c r="H314" s="9" t="inlineStr">
        <is>
          <t>BESS PCS / MV skid</t>
        </is>
      </c>
      <c r="I314" s="9" t="inlineStr">
        <is>
          <t>LV 600 V</t>
        </is>
      </c>
      <c r="J314" s="9" t="inlineStr">
        <is>
          <t>2</t>
        </is>
      </c>
      <c r="K314" s="9" t="n">
        <v>1</v>
      </c>
    </row>
    <row r="315">
      <c r="A315" s="9" t="inlineStr">
        <is>
          <t>BESS container (ISO 40 ft high cube)</t>
        </is>
      </c>
      <c r="B315" s="9" t="inlineStr"/>
      <c r="C315" s="9" t="inlineStr">
        <is>
          <t>H</t>
        </is>
      </c>
      <c r="D315" s="9" t="inlineStr">
        <is>
          <t>Container auxiliary 480 V</t>
        </is>
      </c>
      <c r="E315" s="9" t="n">
        <v>480</v>
      </c>
      <c r="F315" s="9" t="n">
        <v>60</v>
      </c>
      <c r="G315" s="9" t="n">
        <v>85</v>
      </c>
      <c r="H315" s="9" t="inlineStr">
        <is>
          <t>BESS PCS / MV skid</t>
        </is>
      </c>
      <c r="I315" s="9" t="inlineStr">
        <is>
          <t>LV 600 V</t>
        </is>
      </c>
      <c r="J315" s="9" t="inlineStr">
        <is>
          <t>2</t>
        </is>
      </c>
      <c r="K315" s="9" t="n">
        <v>1</v>
      </c>
    </row>
    <row r="316">
      <c r="A316" s="9" t="inlineStr">
        <is>
          <t>BESS container (ISO 40 ft high cube)</t>
        </is>
      </c>
      <c r="B316" s="9" t="inlineStr"/>
      <c r="C316" s="9" t="inlineStr">
        <is>
          <t>H</t>
        </is>
      </c>
      <c r="D316" s="9" t="inlineStr">
        <is>
          <t>Container auxiliary 480 V</t>
        </is>
      </c>
      <c r="E316" s="9" t="n">
        <v>480</v>
      </c>
      <c r="F316" s="9" t="n">
        <v>60</v>
      </c>
      <c r="G316" s="9" t="n">
        <v>85</v>
      </c>
      <c r="H316" s="9" t="inlineStr">
        <is>
          <t>BESS PCS / MV skid</t>
        </is>
      </c>
      <c r="I316" s="9" t="inlineStr">
        <is>
          <t>LV 600 V</t>
        </is>
      </c>
      <c r="J316" s="9" t="inlineStr">
        <is>
          <t>2</t>
        </is>
      </c>
      <c r="K316" s="9" t="n">
        <v>1</v>
      </c>
    </row>
    <row r="317">
      <c r="A317" s="9" t="inlineStr">
        <is>
          <t>BESS container (ISO 40 ft high cube)</t>
        </is>
      </c>
      <c r="B317" s="9" t="inlineStr"/>
      <c r="C317" s="9" t="inlineStr">
        <is>
          <t>H</t>
        </is>
      </c>
      <c r="D317" s="9" t="inlineStr">
        <is>
          <t>Container auxiliary 480 V</t>
        </is>
      </c>
      <c r="E317" s="9" t="n">
        <v>480</v>
      </c>
      <c r="F317" s="9" t="n">
        <v>60</v>
      </c>
      <c r="G317" s="9" t="n">
        <v>85</v>
      </c>
      <c r="H317" s="9" t="inlineStr">
        <is>
          <t>BESS PCS / MV skid</t>
        </is>
      </c>
      <c r="I317" s="9" t="inlineStr">
        <is>
          <t>LV 600 V</t>
        </is>
      </c>
      <c r="J317" s="9" t="inlineStr">
        <is>
          <t>2</t>
        </is>
      </c>
      <c r="K317" s="9" t="n">
        <v>1</v>
      </c>
    </row>
    <row r="318">
      <c r="A318" s="9" t="inlineStr">
        <is>
          <t>BESS container (ISO 40 ft high cube)</t>
        </is>
      </c>
      <c r="B318" s="9" t="inlineStr"/>
      <c r="C318" s="9" t="inlineStr">
        <is>
          <t>H</t>
        </is>
      </c>
      <c r="D318" s="9" t="inlineStr">
        <is>
          <t>Container auxiliary 480 V</t>
        </is>
      </c>
      <c r="E318" s="9" t="n">
        <v>480</v>
      </c>
      <c r="F318" s="9" t="n">
        <v>60</v>
      </c>
      <c r="G318" s="9" t="n">
        <v>85</v>
      </c>
      <c r="H318" s="9" t="inlineStr">
        <is>
          <t>BESS PCS / MV skid</t>
        </is>
      </c>
      <c r="I318" s="9" t="inlineStr">
        <is>
          <t>LV 600 V</t>
        </is>
      </c>
      <c r="J318" s="9" t="inlineStr">
        <is>
          <t>2</t>
        </is>
      </c>
      <c r="K318" s="9" t="n">
        <v>1</v>
      </c>
    </row>
    <row r="319">
      <c r="A319" s="9" t="inlineStr">
        <is>
          <t>BESS container (ISO 40 ft high cube)</t>
        </is>
      </c>
      <c r="B319" s="9" t="inlineStr"/>
      <c r="C319" s="9" t="inlineStr">
        <is>
          <t>H</t>
        </is>
      </c>
      <c r="D319" s="9" t="inlineStr">
        <is>
          <t>Container auxiliary 480 V</t>
        </is>
      </c>
      <c r="E319" s="9" t="n">
        <v>480</v>
      </c>
      <c r="F319" s="9" t="n">
        <v>60</v>
      </c>
      <c r="G319" s="9" t="n">
        <v>85</v>
      </c>
      <c r="H319" s="9" t="inlineStr">
        <is>
          <t>BESS PCS / MV skid</t>
        </is>
      </c>
      <c r="I319" s="9" t="inlineStr">
        <is>
          <t>LV 600 V</t>
        </is>
      </c>
      <c r="J319" s="9" t="inlineStr">
        <is>
          <t>2</t>
        </is>
      </c>
      <c r="K319" s="9" t="n">
        <v>1</v>
      </c>
    </row>
    <row r="320">
      <c r="A320" s="9" t="inlineStr">
        <is>
          <t>BESS container (ISO 40 ft high cube)</t>
        </is>
      </c>
      <c r="B320" s="9" t="inlineStr"/>
      <c r="C320" s="9" t="inlineStr">
        <is>
          <t>H</t>
        </is>
      </c>
      <c r="D320" s="9" t="inlineStr">
        <is>
          <t>Container auxiliary 480 V</t>
        </is>
      </c>
      <c r="E320" s="9" t="n">
        <v>480</v>
      </c>
      <c r="F320" s="9" t="n">
        <v>60</v>
      </c>
      <c r="G320" s="9" t="n">
        <v>85</v>
      </c>
      <c r="H320" s="9" t="inlineStr">
        <is>
          <t>BESS PCS / MV skid</t>
        </is>
      </c>
      <c r="I320" s="9" t="inlineStr">
        <is>
          <t>LV 600 V</t>
        </is>
      </c>
      <c r="J320" s="9" t="inlineStr">
        <is>
          <t>2</t>
        </is>
      </c>
      <c r="K320" s="9" t="n">
        <v>1</v>
      </c>
    </row>
    <row r="321">
      <c r="A321" s="9" t="inlineStr">
        <is>
          <t>BESS container (ISO 40 ft high cube)</t>
        </is>
      </c>
      <c r="B321" s="9" t="inlineStr"/>
      <c r="C321" s="9" t="inlineStr">
        <is>
          <t>H</t>
        </is>
      </c>
      <c r="D321" s="9" t="inlineStr">
        <is>
          <t>Container auxiliary 480 V</t>
        </is>
      </c>
      <c r="E321" s="9" t="n">
        <v>480</v>
      </c>
      <c r="F321" s="9" t="n">
        <v>60</v>
      </c>
      <c r="G321" s="9" t="n">
        <v>85</v>
      </c>
      <c r="H321" s="9" t="inlineStr">
        <is>
          <t>BESS PCS / MV skid</t>
        </is>
      </c>
      <c r="I321" s="9" t="inlineStr">
        <is>
          <t>LV 600 V</t>
        </is>
      </c>
      <c r="J321" s="9" t="inlineStr">
        <is>
          <t>2</t>
        </is>
      </c>
      <c r="K321" s="9" t="n">
        <v>1</v>
      </c>
    </row>
    <row r="322">
      <c r="A322" s="9" t="inlineStr">
        <is>
          <t>34.5 kV collector e-house (arc-resistant)</t>
        </is>
      </c>
      <c r="B322" s="9" t="inlineStr"/>
      <c r="C322" s="9" t="inlineStr">
        <is>
          <t>H</t>
        </is>
      </c>
      <c r="D322" s="9" t="inlineStr">
        <is>
          <t>34.5 kV collection loop 1</t>
        </is>
      </c>
      <c r="E322" s="9" t="n">
        <v>34500</v>
      </c>
      <c r="F322" s="9" t="n">
        <v>25000</v>
      </c>
      <c r="G322" s="9" t="n">
        <v>418</v>
      </c>
      <c r="H322" s="9" t="inlineStr">
        <is>
          <t>BESS PCS / MV skid</t>
        </is>
      </c>
      <c r="I322" s="9" t="inlineStr">
        <is>
          <t>MV 35 kV</t>
        </is>
      </c>
      <c r="J322" s="9" t="inlineStr">
        <is>
          <t>350 kcmil</t>
        </is>
      </c>
      <c r="K322" s="9" t="n">
        <v>2</v>
      </c>
    </row>
    <row r="323">
      <c r="A323" s="9" t="inlineStr">
        <is>
          <t>34.5 kV collector e-house (arc-resistant)</t>
        </is>
      </c>
      <c r="B323" s="9" t="inlineStr"/>
      <c r="C323" s="9" t="inlineStr">
        <is>
          <t>H</t>
        </is>
      </c>
      <c r="D323" s="9" t="inlineStr">
        <is>
          <t>34.5 kV collection loop 2</t>
        </is>
      </c>
      <c r="E323" s="9" t="n">
        <v>34500</v>
      </c>
      <c r="F323" s="9" t="n">
        <v>25000</v>
      </c>
      <c r="G323" s="9" t="n">
        <v>418</v>
      </c>
      <c r="H323" s="9" t="inlineStr">
        <is>
          <t>BESS PCS / MV skid</t>
        </is>
      </c>
      <c r="I323" s="9" t="inlineStr">
        <is>
          <t>MV 35 kV</t>
        </is>
      </c>
      <c r="J323" s="9" t="inlineStr">
        <is>
          <t>350 kcmil</t>
        </is>
      </c>
      <c r="K323" s="9" t="n">
        <v>2</v>
      </c>
    </row>
    <row r="324">
      <c r="A324" s="9" t="inlineStr">
        <is>
          <t>34.5 kV collector e-house (arc-resistant)</t>
        </is>
      </c>
      <c r="B324" s="9" t="inlineStr"/>
      <c r="C324" s="9" t="inlineStr">
        <is>
          <t>H</t>
        </is>
      </c>
      <c r="D324" s="9" t="inlineStr">
        <is>
          <t>34.5 kV collection loop 3</t>
        </is>
      </c>
      <c r="E324" s="9" t="n">
        <v>34500</v>
      </c>
      <c r="F324" s="9" t="n">
        <v>25000</v>
      </c>
      <c r="G324" s="9" t="n">
        <v>418</v>
      </c>
      <c r="H324" s="9" t="inlineStr">
        <is>
          <t>BESS PCS / MV skid</t>
        </is>
      </c>
      <c r="I324" s="9" t="inlineStr">
        <is>
          <t>MV 35 kV</t>
        </is>
      </c>
      <c r="J324" s="9" t="inlineStr">
        <is>
          <t>350 kcmil</t>
        </is>
      </c>
      <c r="K324" s="9" t="n">
        <v>2</v>
      </c>
    </row>
    <row r="325">
      <c r="A325" s="9" t="inlineStr">
        <is>
          <t>BESS PCS / MV skid</t>
        </is>
      </c>
      <c r="B325" s="9" t="inlineStr"/>
      <c r="C325" s="9" t="inlineStr">
        <is>
          <t>H</t>
        </is>
      </c>
      <c r="D325" s="9" t="inlineStr">
        <is>
          <t>34.5 kV collection loop 1</t>
        </is>
      </c>
      <c r="E325" s="9" t="n">
        <v>34500</v>
      </c>
      <c r="F325" s="9" t="n">
        <v>25000</v>
      </c>
      <c r="G325" s="9" t="n">
        <v>418</v>
      </c>
      <c r="H325" s="9" t="inlineStr">
        <is>
          <t>34.5 kV collector e-house (arc-resistant)</t>
        </is>
      </c>
      <c r="I325" s="9" t="inlineStr">
        <is>
          <t>MV 35 kV</t>
        </is>
      </c>
      <c r="J325" s="9" t="inlineStr">
        <is>
          <t>350 kcmil</t>
        </is>
      </c>
      <c r="K325" s="9" t="n">
        <v>2</v>
      </c>
    </row>
    <row r="326">
      <c r="A326" s="9" t="inlineStr">
        <is>
          <t>BESS PCS / MV skid</t>
        </is>
      </c>
      <c r="B326" s="9" t="inlineStr"/>
      <c r="C326" s="9" t="inlineStr">
        <is>
          <t>H</t>
        </is>
      </c>
      <c r="D326" s="9" t="inlineStr">
        <is>
          <t>34.5 kV collection loop 1</t>
        </is>
      </c>
      <c r="E326" s="9" t="n">
        <v>34500</v>
      </c>
      <c r="F326" s="9" t="n">
        <v>25000</v>
      </c>
      <c r="G326" s="9" t="n">
        <v>418</v>
      </c>
      <c r="H326" s="9" t="inlineStr">
        <is>
          <t>BESS PCS / MV skid</t>
        </is>
      </c>
      <c r="I326" s="9" t="inlineStr">
        <is>
          <t>MV 35 kV</t>
        </is>
      </c>
      <c r="J326" s="9" t="inlineStr">
        <is>
          <t>350 kcmil</t>
        </is>
      </c>
      <c r="K326" s="9" t="n">
        <v>2</v>
      </c>
    </row>
    <row r="327">
      <c r="A327" s="9" t="inlineStr">
        <is>
          <t>BESS PCS / MV skid</t>
        </is>
      </c>
      <c r="B327" s="9" t="inlineStr"/>
      <c r="C327" s="9" t="inlineStr">
        <is>
          <t>H</t>
        </is>
      </c>
      <c r="D327" s="9" t="inlineStr">
        <is>
          <t>34.5 kV collection loop 1</t>
        </is>
      </c>
      <c r="E327" s="9" t="n">
        <v>34500</v>
      </c>
      <c r="F327" s="9" t="n">
        <v>25000</v>
      </c>
      <c r="G327" s="9" t="n">
        <v>418</v>
      </c>
      <c r="H327" s="9" t="inlineStr">
        <is>
          <t>BESS PCS / MV skid</t>
        </is>
      </c>
      <c r="I327" s="9" t="inlineStr">
        <is>
          <t>MV 35 kV</t>
        </is>
      </c>
      <c r="J327" s="9" t="inlineStr">
        <is>
          <t>350 kcmil</t>
        </is>
      </c>
      <c r="K327" s="9" t="n">
        <v>2</v>
      </c>
    </row>
    <row r="328">
      <c r="A328" s="9" t="inlineStr">
        <is>
          <t>BESS PCS / MV skid</t>
        </is>
      </c>
      <c r="B328" s="9" t="inlineStr"/>
      <c r="C328" s="9" t="inlineStr">
        <is>
          <t>H</t>
        </is>
      </c>
      <c r="D328" s="9" t="inlineStr">
        <is>
          <t>34.5 kV collection loop 1</t>
        </is>
      </c>
      <c r="E328" s="9" t="n">
        <v>34500</v>
      </c>
      <c r="F328" s="9" t="n">
        <v>25000</v>
      </c>
      <c r="G328" s="9" t="n">
        <v>418</v>
      </c>
      <c r="H328" s="9" t="inlineStr">
        <is>
          <t>BESS PCS / MV skid</t>
        </is>
      </c>
      <c r="I328" s="9" t="inlineStr">
        <is>
          <t>MV 35 kV</t>
        </is>
      </c>
      <c r="J328" s="9" t="inlineStr">
        <is>
          <t>350 kcmil</t>
        </is>
      </c>
      <c r="K328" s="9" t="n">
        <v>2</v>
      </c>
    </row>
    <row r="329">
      <c r="A329" s="9" t="inlineStr">
        <is>
          <t>BESS PCS / MV skid</t>
        </is>
      </c>
      <c r="B329" s="9" t="inlineStr"/>
      <c r="C329" s="9" t="inlineStr">
        <is>
          <t>H</t>
        </is>
      </c>
      <c r="D329" s="9" t="inlineStr">
        <is>
          <t>34.5 kV collection loop 1</t>
        </is>
      </c>
      <c r="E329" s="9" t="n">
        <v>34500</v>
      </c>
      <c r="F329" s="9" t="n">
        <v>25000</v>
      </c>
      <c r="G329" s="9" t="n">
        <v>418</v>
      </c>
      <c r="H329" s="9" t="inlineStr">
        <is>
          <t>BESS PCS / MV skid</t>
        </is>
      </c>
      <c r="I329" s="9" t="inlineStr">
        <is>
          <t>MV 35 kV</t>
        </is>
      </c>
      <c r="J329" s="9" t="inlineStr">
        <is>
          <t>350 kcmil</t>
        </is>
      </c>
      <c r="K329" s="9" t="n">
        <v>2</v>
      </c>
    </row>
    <row r="330">
      <c r="A330" s="9" t="inlineStr">
        <is>
          <t>BESS PCS / MV skid</t>
        </is>
      </c>
      <c r="B330" s="9" t="inlineStr"/>
      <c r="C330" s="9" t="inlineStr">
        <is>
          <t>H</t>
        </is>
      </c>
      <c r="D330" s="9" t="inlineStr">
        <is>
          <t>34.5 kV collection loop 2</t>
        </is>
      </c>
      <c r="E330" s="9" t="n">
        <v>34500</v>
      </c>
      <c r="F330" s="9" t="n">
        <v>25000</v>
      </c>
      <c r="G330" s="9" t="n">
        <v>418</v>
      </c>
      <c r="H330" s="9" t="inlineStr">
        <is>
          <t>34.5 kV collector e-house (arc-resistant)</t>
        </is>
      </c>
      <c r="I330" s="9" t="inlineStr">
        <is>
          <t>MV 35 kV</t>
        </is>
      </c>
      <c r="J330" s="9" t="inlineStr">
        <is>
          <t>350 kcmil</t>
        </is>
      </c>
      <c r="K330" s="9" t="n">
        <v>2</v>
      </c>
    </row>
    <row r="331">
      <c r="A331" s="9" t="inlineStr">
        <is>
          <t>BESS PCS / MV skid</t>
        </is>
      </c>
      <c r="B331" s="9" t="inlineStr"/>
      <c r="C331" s="9" t="inlineStr">
        <is>
          <t>H</t>
        </is>
      </c>
      <c r="D331" s="9" t="inlineStr">
        <is>
          <t>34.5 kV collection loop 2</t>
        </is>
      </c>
      <c r="E331" s="9" t="n">
        <v>34500</v>
      </c>
      <c r="F331" s="9" t="n">
        <v>25000</v>
      </c>
      <c r="G331" s="9" t="n">
        <v>418</v>
      </c>
      <c r="H331" s="9" t="inlineStr">
        <is>
          <t>BESS PCS / MV skid</t>
        </is>
      </c>
      <c r="I331" s="9" t="inlineStr">
        <is>
          <t>MV 35 kV</t>
        </is>
      </c>
      <c r="J331" s="9" t="inlineStr">
        <is>
          <t>350 kcmil</t>
        </is>
      </c>
      <c r="K331" s="9" t="n">
        <v>2</v>
      </c>
    </row>
    <row r="332">
      <c r="A332" s="9" t="inlineStr">
        <is>
          <t>BESS PCS / MV skid</t>
        </is>
      </c>
      <c r="B332" s="9" t="inlineStr"/>
      <c r="C332" s="9" t="inlineStr">
        <is>
          <t>H</t>
        </is>
      </c>
      <c r="D332" s="9" t="inlineStr">
        <is>
          <t>34.5 kV collection loop 2</t>
        </is>
      </c>
      <c r="E332" s="9" t="n">
        <v>34500</v>
      </c>
      <c r="F332" s="9" t="n">
        <v>25000</v>
      </c>
      <c r="G332" s="9" t="n">
        <v>418</v>
      </c>
      <c r="H332" s="9" t="inlineStr">
        <is>
          <t>BESS PCS / MV skid</t>
        </is>
      </c>
      <c r="I332" s="9" t="inlineStr">
        <is>
          <t>MV 35 kV</t>
        </is>
      </c>
      <c r="J332" s="9" t="inlineStr">
        <is>
          <t>350 kcmil</t>
        </is>
      </c>
      <c r="K332" s="9" t="n">
        <v>2</v>
      </c>
    </row>
    <row r="333">
      <c r="A333" s="9" t="inlineStr">
        <is>
          <t>BESS PCS / MV skid</t>
        </is>
      </c>
      <c r="B333" s="9" t="inlineStr"/>
      <c r="C333" s="9" t="inlineStr">
        <is>
          <t>H</t>
        </is>
      </c>
      <c r="D333" s="9" t="inlineStr">
        <is>
          <t>34.5 kV collection loop 2</t>
        </is>
      </c>
      <c r="E333" s="9" t="n">
        <v>34500</v>
      </c>
      <c r="F333" s="9" t="n">
        <v>25000</v>
      </c>
      <c r="G333" s="9" t="n">
        <v>418</v>
      </c>
      <c r="H333" s="9" t="inlineStr">
        <is>
          <t>BESS PCS / MV skid</t>
        </is>
      </c>
      <c r="I333" s="9" t="inlineStr">
        <is>
          <t>MV 35 kV</t>
        </is>
      </c>
      <c r="J333" s="9" t="inlineStr">
        <is>
          <t>350 kcmil</t>
        </is>
      </c>
      <c r="K333" s="9" t="n">
        <v>2</v>
      </c>
    </row>
    <row r="334">
      <c r="A334" s="9" t="inlineStr">
        <is>
          <t>BESS PCS / MV skid</t>
        </is>
      </c>
      <c r="B334" s="9" t="inlineStr"/>
      <c r="C334" s="9" t="inlineStr">
        <is>
          <t>H</t>
        </is>
      </c>
      <c r="D334" s="9" t="inlineStr">
        <is>
          <t>34.5 kV collection loop 2</t>
        </is>
      </c>
      <c r="E334" s="9" t="n">
        <v>34500</v>
      </c>
      <c r="F334" s="9" t="n">
        <v>25000</v>
      </c>
      <c r="G334" s="9" t="n">
        <v>418</v>
      </c>
      <c r="H334" s="9" t="inlineStr">
        <is>
          <t>BESS PCS / MV skid</t>
        </is>
      </c>
      <c r="I334" s="9" t="inlineStr">
        <is>
          <t>MV 35 kV</t>
        </is>
      </c>
      <c r="J334" s="9" t="inlineStr">
        <is>
          <t>350 kcmil</t>
        </is>
      </c>
      <c r="K334" s="9" t="n">
        <v>2</v>
      </c>
    </row>
    <row r="335">
      <c r="A335" s="9" t="inlineStr">
        <is>
          <t>BESS PCS / MV skid</t>
        </is>
      </c>
      <c r="B335" s="9" t="inlineStr"/>
      <c r="C335" s="9" t="inlineStr">
        <is>
          <t>H</t>
        </is>
      </c>
      <c r="D335" s="9" t="inlineStr">
        <is>
          <t>34.5 kV collection loop 3</t>
        </is>
      </c>
      <c r="E335" s="9" t="n">
        <v>34500</v>
      </c>
      <c r="F335" s="9" t="n">
        <v>25000</v>
      </c>
      <c r="G335" s="9" t="n">
        <v>418</v>
      </c>
      <c r="H335" s="9" t="inlineStr">
        <is>
          <t>34.5 kV collector e-house (arc-resistant)</t>
        </is>
      </c>
      <c r="I335" s="9" t="inlineStr">
        <is>
          <t>MV 35 kV</t>
        </is>
      </c>
      <c r="J335" s="9" t="inlineStr">
        <is>
          <t>350 kcmil</t>
        </is>
      </c>
      <c r="K335" s="9" t="n">
        <v>2</v>
      </c>
    </row>
    <row r="336">
      <c r="A336" s="9" t="inlineStr">
        <is>
          <t>BESS PCS / MV skid</t>
        </is>
      </c>
      <c r="B336" s="9" t="inlineStr"/>
      <c r="C336" s="9" t="inlineStr">
        <is>
          <t>H</t>
        </is>
      </c>
      <c r="D336" s="9" t="inlineStr">
        <is>
          <t>34.5 kV collection loop 3</t>
        </is>
      </c>
      <c r="E336" s="9" t="n">
        <v>34500</v>
      </c>
      <c r="F336" s="9" t="n">
        <v>25000</v>
      </c>
      <c r="G336" s="9" t="n">
        <v>418</v>
      </c>
      <c r="H336" s="9" t="inlineStr">
        <is>
          <t>BESS PCS / MV skid</t>
        </is>
      </c>
      <c r="I336" s="9" t="inlineStr">
        <is>
          <t>MV 35 kV</t>
        </is>
      </c>
      <c r="J336" s="9" t="inlineStr">
        <is>
          <t>350 kcmil</t>
        </is>
      </c>
      <c r="K336" s="9" t="n">
        <v>2</v>
      </c>
    </row>
    <row r="337">
      <c r="A337" s="9" t="inlineStr">
        <is>
          <t>BESS PCS / MV skid</t>
        </is>
      </c>
      <c r="B337" s="9" t="inlineStr"/>
      <c r="C337" s="9" t="inlineStr">
        <is>
          <t>H</t>
        </is>
      </c>
      <c r="D337" s="9" t="inlineStr">
        <is>
          <t>34.5 kV collection loop 3</t>
        </is>
      </c>
      <c r="E337" s="9" t="n">
        <v>34500</v>
      </c>
      <c r="F337" s="9" t="n">
        <v>25000</v>
      </c>
      <c r="G337" s="9" t="n">
        <v>418</v>
      </c>
      <c r="H337" s="9" t="inlineStr">
        <is>
          <t>BESS PCS / MV skid</t>
        </is>
      </c>
      <c r="I337" s="9" t="inlineStr">
        <is>
          <t>MV 35 kV</t>
        </is>
      </c>
      <c r="J337" s="9" t="inlineStr">
        <is>
          <t>350 kcmil</t>
        </is>
      </c>
      <c r="K337" s="9" t="n">
        <v>2</v>
      </c>
    </row>
    <row r="338">
      <c r="A338" s="9" t="inlineStr">
        <is>
          <t>BESS PCS / MV skid</t>
        </is>
      </c>
      <c r="B338" s="9" t="inlineStr"/>
      <c r="C338" s="9" t="inlineStr">
        <is>
          <t>H</t>
        </is>
      </c>
      <c r="D338" s="9" t="inlineStr">
        <is>
          <t>34.5 kV collection loop 3</t>
        </is>
      </c>
      <c r="E338" s="9" t="n">
        <v>34500</v>
      </c>
      <c r="F338" s="9" t="n">
        <v>25000</v>
      </c>
      <c r="G338" s="9" t="n">
        <v>418</v>
      </c>
      <c r="H338" s="9" t="inlineStr">
        <is>
          <t>BESS PCS / MV skid</t>
        </is>
      </c>
      <c r="I338" s="9" t="inlineStr">
        <is>
          <t>MV 35 kV</t>
        </is>
      </c>
      <c r="J338" s="9" t="inlineStr">
        <is>
          <t>350 kcmil</t>
        </is>
      </c>
      <c r="K338" s="9" t="n">
        <v>2</v>
      </c>
    </row>
    <row r="339">
      <c r="A339" s="9" t="inlineStr">
        <is>
          <t>BESS PCS / MV skid</t>
        </is>
      </c>
      <c r="B339" s="9" t="inlineStr"/>
      <c r="C339" s="9" t="inlineStr">
        <is>
          <t>H</t>
        </is>
      </c>
      <c r="D339" s="9" t="inlineStr">
        <is>
          <t>34.5 kV collection loop 3</t>
        </is>
      </c>
      <c r="E339" s="9" t="n">
        <v>34500</v>
      </c>
      <c r="F339" s="9" t="n">
        <v>25000</v>
      </c>
      <c r="G339" s="9" t="n">
        <v>418</v>
      </c>
      <c r="H339" s="9" t="inlineStr">
        <is>
          <t>BESS PCS / MV skid</t>
        </is>
      </c>
      <c r="I339" s="9" t="inlineStr">
        <is>
          <t>MV 35 kV</t>
        </is>
      </c>
      <c r="J339" s="9" t="inlineStr">
        <is>
          <t>350 kcmil</t>
        </is>
      </c>
      <c r="K339" s="9" t="n">
        <v>2</v>
      </c>
    </row>
    <row r="340">
      <c r="A340" s="9" t="inlineStr">
        <is>
          <t>BESS main power transformer 34.5/230 kV (to D4 upper)</t>
        </is>
      </c>
      <c r="B340" s="9" t="inlineStr">
        <is>
          <t>BESS MPT</t>
        </is>
      </c>
      <c r="C340" s="9" t="inlineStr">
        <is>
          <t>H</t>
        </is>
      </c>
      <c r="D340" s="9" t="inlineStr">
        <is>
          <t>BESS MPT 34.5 kV side</t>
        </is>
      </c>
      <c r="E340" s="9" t="n">
        <v>34500</v>
      </c>
      <c r="F340" s="9" t="n">
        <v>100000</v>
      </c>
      <c r="G340" s="9" t="n">
        <v>1674</v>
      </c>
      <c r="H340" s="9" t="inlineStr">
        <is>
          <t>34.5 kV collector e-house (arc-resistant)</t>
        </is>
      </c>
      <c r="I340" s="9" t="inlineStr">
        <is>
          <t>MV 35 kV</t>
        </is>
      </c>
      <c r="J340" s="9" t="inlineStr">
        <is>
          <t>750 kcmil</t>
        </is>
      </c>
      <c r="K340" s="9" t="n">
        <v>5</v>
      </c>
    </row>
    <row r="341">
      <c r="A341" s="9" t="inlineStr">
        <is>
          <t>Aqueous ammonia (SC units)</t>
        </is>
      </c>
      <c r="B341" s="9" t="inlineStr"/>
      <c r="C341" s="9" t="inlineStr">
        <is>
          <t>I</t>
        </is>
      </c>
      <c r="D341" s="9" t="inlineStr">
        <is>
          <t>LV power feeder</t>
        </is>
      </c>
      <c r="E341" s="9" t="n">
        <v>480</v>
      </c>
      <c r="F341" s="9" t="n">
        <v>10</v>
      </c>
      <c r="G341" s="9" t="n">
        <v>14</v>
      </c>
      <c r="H341" s="9" t="inlineStr">
        <is>
          <t>MOD-LV 480 V board + 480 V : 13.8 kV step-up</t>
        </is>
      </c>
      <c r="I341" s="9" t="inlineStr">
        <is>
          <t>LV 600 V</t>
        </is>
      </c>
      <c r="J341" s="9" t="inlineStr">
        <is>
          <t>10</t>
        </is>
      </c>
      <c r="K341" s="9" t="n">
        <v>1</v>
      </c>
    </row>
    <row r="342">
      <c r="A342" s="9" t="inlineStr">
        <is>
          <t>BS black-start switchgear</t>
        </is>
      </c>
      <c r="B342" s="9" t="inlineStr"/>
      <c r="C342" s="9" t="inlineStr">
        <is>
          <t>I</t>
        </is>
      </c>
      <c r="D342" s="9" t="inlineStr">
        <is>
          <t>Black-start genset output</t>
        </is>
      </c>
      <c r="E342" s="9" t="n">
        <v>480</v>
      </c>
      <c r="F342" s="9" t="n">
        <v>2000</v>
      </c>
      <c r="G342" s="9" t="n">
        <v>2532</v>
      </c>
      <c r="H342" s="9" t="inlineStr">
        <is>
          <t>Black-start genset (proposed; requires study)</t>
        </is>
      </c>
      <c r="I342" s="9" t="inlineStr">
        <is>
          <t>LV 600 V</t>
        </is>
      </c>
      <c r="J342" s="9" t="inlineStr">
        <is>
          <t>500 kcmil</t>
        </is>
      </c>
      <c r="K342" s="9" t="n">
        <v>10</v>
      </c>
    </row>
    <row r="343">
      <c r="A343" s="9" t="inlineStr">
        <is>
          <t>BS black-start switchgear</t>
        </is>
      </c>
      <c r="B343" s="9" t="inlineStr"/>
      <c r="C343" s="9" t="inlineStr">
        <is>
          <t>I</t>
        </is>
      </c>
      <c r="D343" s="9" t="inlineStr">
        <is>
          <t>Black-start genset output</t>
        </is>
      </c>
      <c r="E343" s="9" t="n">
        <v>480</v>
      </c>
      <c r="F343" s="9" t="n">
        <v>2000</v>
      </c>
      <c r="G343" s="9" t="n">
        <v>2532</v>
      </c>
      <c r="H343" s="9" t="inlineStr">
        <is>
          <t>Black-start genset (proposed; requires study)</t>
        </is>
      </c>
      <c r="I343" s="9" t="inlineStr">
        <is>
          <t>LV 600 V</t>
        </is>
      </c>
      <c r="J343" s="9" t="inlineStr">
        <is>
          <t>500 kcmil</t>
        </is>
      </c>
      <c r="K343" s="9" t="n">
        <v>10</v>
      </c>
    </row>
    <row r="344">
      <c r="A344" s="9" t="inlineStr">
        <is>
          <t>BS black-start switchgear</t>
        </is>
      </c>
      <c r="B344" s="9" t="inlineStr"/>
      <c r="C344" s="9" t="inlineStr">
        <is>
          <t>I</t>
        </is>
      </c>
      <c r="D344" s="9" t="inlineStr">
        <is>
          <t>LV power feeder</t>
        </is>
      </c>
      <c r="E344" s="9" t="n">
        <v>480</v>
      </c>
      <c r="F344" s="9" t="n">
        <v>15</v>
      </c>
      <c r="G344" s="9" t="n">
        <v>21</v>
      </c>
      <c r="H344" s="9" t="inlineStr">
        <is>
          <t>PCM: power control module</t>
        </is>
      </c>
      <c r="I344" s="9" t="inlineStr">
        <is>
          <t>LV 600 V</t>
        </is>
      </c>
      <c r="J344" s="9" t="inlineStr">
        <is>
          <t>6</t>
        </is>
      </c>
      <c r="K344" s="9" t="n">
        <v>1</v>
      </c>
    </row>
    <row r="345">
      <c r="A345" s="9" t="inlineStr">
        <is>
          <t>CONDITIONAL: BESS black-start alternative</t>
        </is>
      </c>
      <c r="B345" s="9" t="inlineStr"/>
      <c r="C345" s="9" t="inlineStr">
        <is>
          <t>I</t>
        </is>
      </c>
      <c r="D345" s="9" t="inlineStr">
        <is>
          <t>LV power feeder</t>
        </is>
      </c>
      <c r="E345" s="9" t="n">
        <v>480</v>
      </c>
      <c r="F345" s="9" t="n">
        <v>15</v>
      </c>
      <c r="G345" s="9" t="n">
        <v>21</v>
      </c>
      <c r="H345" s="9" t="inlineStr">
        <is>
          <t>PCM: power control module</t>
        </is>
      </c>
      <c r="I345" s="9" t="inlineStr">
        <is>
          <t>LV 600 V</t>
        </is>
      </c>
      <c r="J345" s="9" t="inlineStr">
        <is>
          <t>6</t>
        </is>
      </c>
      <c r="K345" s="9" t="n">
        <v>1</v>
      </c>
    </row>
    <row r="346">
      <c r="A346" s="9" t="inlineStr">
        <is>
          <t>CONDITIONAL: SC-1 inlet chiller / evaporative cooler</t>
        </is>
      </c>
      <c r="B346" s="9" t="inlineStr"/>
      <c r="C346" s="9" t="inlineStr">
        <is>
          <t>I</t>
        </is>
      </c>
      <c r="D346" s="9" t="inlineStr">
        <is>
          <t>LV power feeder</t>
        </is>
      </c>
      <c r="E346" s="9" t="n">
        <v>480</v>
      </c>
      <c r="F346" s="9" t="n">
        <v>500</v>
      </c>
      <c r="G346" s="9" t="n">
        <v>708</v>
      </c>
      <c r="H346" s="9" t="inlineStr">
        <is>
          <t>PCM: power control module</t>
        </is>
      </c>
      <c r="I346" s="9" t="inlineStr">
        <is>
          <t>LV 600 V</t>
        </is>
      </c>
      <c r="J346" s="9" t="inlineStr">
        <is>
          <t>350 kcmil</t>
        </is>
      </c>
      <c r="K346" s="9" t="n">
        <v>3</v>
      </c>
    </row>
    <row r="347">
      <c r="A347" s="9" t="inlineStr">
        <is>
          <t>CONDITIONAL: SC-2 inlet chiller / evaporative cooler</t>
        </is>
      </c>
      <c r="B347" s="9" t="inlineStr"/>
      <c r="C347" s="9" t="inlineStr">
        <is>
          <t>I</t>
        </is>
      </c>
      <c r="D347" s="9" t="inlineStr">
        <is>
          <t>LV power feeder</t>
        </is>
      </c>
      <c r="E347" s="9" t="n">
        <v>480</v>
      </c>
      <c r="F347" s="9" t="n">
        <v>500</v>
      </c>
      <c r="G347" s="9" t="n">
        <v>708</v>
      </c>
      <c r="H347" s="9" t="inlineStr">
        <is>
          <t>MOD-LV 480 V board + 480 V : 13.8 kV step-up</t>
        </is>
      </c>
      <c r="I347" s="9" t="inlineStr">
        <is>
          <t>LV 600 V</t>
        </is>
      </c>
      <c r="J347" s="9" t="inlineStr">
        <is>
          <t>350 kcmil</t>
        </is>
      </c>
      <c r="K347" s="9" t="n">
        <v>3</v>
      </c>
    </row>
    <row r="348">
      <c r="A348" s="9" t="inlineStr">
        <is>
          <t>CONT paralleling switchgear e-house</t>
        </is>
      </c>
      <c r="B348" s="9" t="inlineStr">
        <is>
          <t>CONT-EH</t>
        </is>
      </c>
      <c r="C348" s="9" t="inlineStr">
        <is>
          <t>I</t>
        </is>
      </c>
      <c r="D348" s="9" t="inlineStr">
        <is>
          <t>LV panel / distribution feeder</t>
        </is>
      </c>
      <c r="E348" s="9" t="n">
        <v>480</v>
      </c>
      <c r="F348" s="9" t="n">
        <v>30</v>
      </c>
      <c r="G348" s="9" t="n">
        <v>42</v>
      </c>
      <c r="H348" s="9" t="inlineStr">
        <is>
          <t>PAD-LV 480 V paralleling switchboard</t>
        </is>
      </c>
      <c r="I348" s="9" t="inlineStr">
        <is>
          <t>LV 600 V</t>
        </is>
      </c>
      <c r="J348" s="9" t="inlineStr">
        <is>
          <t>6</t>
        </is>
      </c>
      <c r="K348" s="9" t="n">
        <v>1</v>
      </c>
    </row>
    <row r="349">
      <c r="A349" s="9" t="inlineStr">
        <is>
          <t>FC-5..12 inverter / AC cabinet / desulfurizer</t>
        </is>
      </c>
      <c r="B349" s="9" t="inlineStr"/>
      <c r="C349" s="9" t="inlineStr">
        <is>
          <t>I</t>
        </is>
      </c>
      <c r="D349" s="9" t="inlineStr">
        <is>
          <t>FC-5 SOFC output to inverter / AC cabinet</t>
        </is>
      </c>
      <c r="E349" s="9" t="n">
        <v>480</v>
      </c>
      <c r="F349" s="9" t="n">
        <v>250</v>
      </c>
      <c r="G349" s="9" t="n">
        <v>317</v>
      </c>
      <c r="H349" s="9" t="inlineStr">
        <is>
          <t>FC-5: SOFC module (Bloom ES5 class, 200-300 kW)</t>
        </is>
      </c>
      <c r="I349" s="9" t="inlineStr">
        <is>
          <t>LV 600 V</t>
        </is>
      </c>
      <c r="J349" s="9" t="inlineStr">
        <is>
          <t>3/0</t>
        </is>
      </c>
      <c r="K349" s="9" t="n">
        <v>2</v>
      </c>
    </row>
    <row r="350">
      <c r="A350" s="9" t="inlineStr">
        <is>
          <t>FC-5..12 inverter / AC cabinet / desulfurizer</t>
        </is>
      </c>
      <c r="B350" s="9" t="inlineStr"/>
      <c r="C350" s="9" t="inlineStr">
        <is>
          <t>I</t>
        </is>
      </c>
      <c r="D350" s="9" t="inlineStr">
        <is>
          <t>FC-6 SOFC output to inverter / AC cabinet</t>
        </is>
      </c>
      <c r="E350" s="9" t="n">
        <v>480</v>
      </c>
      <c r="F350" s="9" t="n">
        <v>250</v>
      </c>
      <c r="G350" s="9" t="n">
        <v>317</v>
      </c>
      <c r="H350" s="9" t="inlineStr">
        <is>
          <t>FC-6: SOFC module (Bloom ES5 class, 200-300 kW)</t>
        </is>
      </c>
      <c r="I350" s="9" t="inlineStr">
        <is>
          <t>LV 600 V</t>
        </is>
      </c>
      <c r="J350" s="9" t="inlineStr">
        <is>
          <t>3/0</t>
        </is>
      </c>
      <c r="K350" s="9" t="n">
        <v>2</v>
      </c>
    </row>
    <row r="351">
      <c r="A351" s="9" t="inlineStr">
        <is>
          <t>FC-5..12 inverter / AC cabinet / desulfurizer</t>
        </is>
      </c>
      <c r="B351" s="9" t="inlineStr"/>
      <c r="C351" s="9" t="inlineStr">
        <is>
          <t>I</t>
        </is>
      </c>
      <c r="D351" s="9" t="inlineStr">
        <is>
          <t>FC-7 SOFC output to inverter / AC cabinet</t>
        </is>
      </c>
      <c r="E351" s="9" t="n">
        <v>480</v>
      </c>
      <c r="F351" s="9" t="n">
        <v>250</v>
      </c>
      <c r="G351" s="9" t="n">
        <v>317</v>
      </c>
      <c r="H351" s="9" t="inlineStr">
        <is>
          <t>FC-7: SOFC module (Bloom ES5 class, 200-300 kW)</t>
        </is>
      </c>
      <c r="I351" s="9" t="inlineStr">
        <is>
          <t>LV 600 V</t>
        </is>
      </c>
      <c r="J351" s="9" t="inlineStr">
        <is>
          <t>3/0</t>
        </is>
      </c>
      <c r="K351" s="9" t="n">
        <v>2</v>
      </c>
    </row>
    <row r="352">
      <c r="A352" s="9" t="inlineStr">
        <is>
          <t>FC-5..12 inverter / AC cabinet / desulfurizer</t>
        </is>
      </c>
      <c r="B352" s="9" t="inlineStr"/>
      <c r="C352" s="9" t="inlineStr">
        <is>
          <t>I</t>
        </is>
      </c>
      <c r="D352" s="9" t="inlineStr">
        <is>
          <t>FC-8 SOFC output to inverter / AC cabinet</t>
        </is>
      </c>
      <c r="E352" s="9" t="n">
        <v>480</v>
      </c>
      <c r="F352" s="9" t="n">
        <v>250</v>
      </c>
      <c r="G352" s="9" t="n">
        <v>317</v>
      </c>
      <c r="H352" s="9" t="inlineStr">
        <is>
          <t>FC-8: SOFC module (Bloom ES5 class, 200-300 kW)</t>
        </is>
      </c>
      <c r="I352" s="9" t="inlineStr">
        <is>
          <t>LV 600 V</t>
        </is>
      </c>
      <c r="J352" s="9" t="inlineStr">
        <is>
          <t>3/0</t>
        </is>
      </c>
      <c r="K352" s="9" t="n">
        <v>2</v>
      </c>
    </row>
    <row r="353">
      <c r="A353" s="9" t="inlineStr">
        <is>
          <t>FC-5..12 inverter / AC cabinet / desulfurizer</t>
        </is>
      </c>
      <c r="B353" s="9" t="inlineStr"/>
      <c r="C353" s="9" t="inlineStr">
        <is>
          <t>I</t>
        </is>
      </c>
      <c r="D353" s="9" t="inlineStr">
        <is>
          <t>FC-9 SOFC output to inverter / AC cabinet</t>
        </is>
      </c>
      <c r="E353" s="9" t="n">
        <v>480</v>
      </c>
      <c r="F353" s="9" t="n">
        <v>250</v>
      </c>
      <c r="G353" s="9" t="n">
        <v>317</v>
      </c>
      <c r="H353" s="9" t="inlineStr">
        <is>
          <t>FC-9: SOFC module (Bloom ES5 class, 200-300 kW)</t>
        </is>
      </c>
      <c r="I353" s="9" t="inlineStr">
        <is>
          <t>LV 600 V</t>
        </is>
      </c>
      <c r="J353" s="9" t="inlineStr">
        <is>
          <t>3/0</t>
        </is>
      </c>
      <c r="K353" s="9" t="n">
        <v>2</v>
      </c>
    </row>
    <row r="354">
      <c r="A354" s="9" t="inlineStr">
        <is>
          <t>FC-5..12 inverter / AC cabinet / desulfurizer</t>
        </is>
      </c>
      <c r="B354" s="9" t="inlineStr"/>
      <c r="C354" s="9" t="inlineStr">
        <is>
          <t>I</t>
        </is>
      </c>
      <c r="D354" s="9" t="inlineStr">
        <is>
          <t>FC-10 SOFC output to inverter / AC cabinet</t>
        </is>
      </c>
      <c r="E354" s="9" t="n">
        <v>480</v>
      </c>
      <c r="F354" s="9" t="n">
        <v>250</v>
      </c>
      <c r="G354" s="9" t="n">
        <v>317</v>
      </c>
      <c r="H354" s="9" t="inlineStr">
        <is>
          <t>FC-10: SOFC module (Bloom ES5 class, 200-300 kW)</t>
        </is>
      </c>
      <c r="I354" s="9" t="inlineStr">
        <is>
          <t>LV 600 V</t>
        </is>
      </c>
      <c r="J354" s="9" t="inlineStr">
        <is>
          <t>3/0</t>
        </is>
      </c>
      <c r="K354" s="9" t="n">
        <v>2</v>
      </c>
    </row>
    <row r="355">
      <c r="A355" s="9" t="inlineStr">
        <is>
          <t>FC-5..12 inverter / AC cabinet / desulfurizer</t>
        </is>
      </c>
      <c r="B355" s="9" t="inlineStr"/>
      <c r="C355" s="9" t="inlineStr">
        <is>
          <t>I</t>
        </is>
      </c>
      <c r="D355" s="9" t="inlineStr">
        <is>
          <t>FC-11 SOFC output to inverter / AC cabinet</t>
        </is>
      </c>
      <c r="E355" s="9" t="n">
        <v>480</v>
      </c>
      <c r="F355" s="9" t="n">
        <v>250</v>
      </c>
      <c r="G355" s="9" t="n">
        <v>317</v>
      </c>
      <c r="H355" s="9" t="inlineStr">
        <is>
          <t>FC-11: SOFC module (Bloom ES5 class, 200-300 kW)</t>
        </is>
      </c>
      <c r="I355" s="9" t="inlineStr">
        <is>
          <t>LV 600 V</t>
        </is>
      </c>
      <c r="J355" s="9" t="inlineStr">
        <is>
          <t>3/0</t>
        </is>
      </c>
      <c r="K355" s="9" t="n">
        <v>2</v>
      </c>
    </row>
    <row r="356">
      <c r="A356" s="9" t="inlineStr">
        <is>
          <t>FC-5..12 inverter / AC cabinet / desulfurizer</t>
        </is>
      </c>
      <c r="B356" s="9" t="inlineStr"/>
      <c r="C356" s="9" t="inlineStr">
        <is>
          <t>I</t>
        </is>
      </c>
      <c r="D356" s="9" t="inlineStr">
        <is>
          <t>FC-12 SOFC output to inverter / AC cabinet</t>
        </is>
      </c>
      <c r="E356" s="9" t="n">
        <v>480</v>
      </c>
      <c r="F356" s="9" t="n">
        <v>250</v>
      </c>
      <c r="G356" s="9" t="n">
        <v>317</v>
      </c>
      <c r="H356" s="9" t="inlineStr">
        <is>
          <t>FC-12: SOFC module (Bloom ES5 class, 200-300 kW)</t>
        </is>
      </c>
      <c r="I356" s="9" t="inlineStr">
        <is>
          <t>LV 600 V</t>
        </is>
      </c>
      <c r="J356" s="9" t="inlineStr">
        <is>
          <t>3/0</t>
        </is>
      </c>
      <c r="K356" s="9" t="n">
        <v>2</v>
      </c>
    </row>
    <row r="357">
      <c r="A357" s="9" t="inlineStr">
        <is>
          <t>Fuel-cell inverter / AC cabinet / desulfurizer</t>
        </is>
      </c>
      <c r="B357" s="9" t="inlineStr"/>
      <c r="C357" s="9" t="inlineStr">
        <is>
          <t>I</t>
        </is>
      </c>
      <c r="D357" s="9" t="inlineStr">
        <is>
          <t>FC-1 SOFC output to inverter / AC cabinet</t>
        </is>
      </c>
      <c r="E357" s="9" t="n">
        <v>480</v>
      </c>
      <c r="F357" s="9" t="n">
        <v>250</v>
      </c>
      <c r="G357" s="9" t="n">
        <v>317</v>
      </c>
      <c r="H357" s="9" t="inlineStr">
        <is>
          <t>FC-1: SOFC module (Bloom ES5 class, 200-300 kW)</t>
        </is>
      </c>
      <c r="I357" s="9" t="inlineStr">
        <is>
          <t>LV 600 V</t>
        </is>
      </c>
      <c r="J357" s="9" t="inlineStr">
        <is>
          <t>3/0</t>
        </is>
      </c>
      <c r="K357" s="9" t="n">
        <v>2</v>
      </c>
    </row>
    <row r="358">
      <c r="A358" s="9" t="inlineStr">
        <is>
          <t>Fuel-cell inverter / AC cabinet / desulfurizer</t>
        </is>
      </c>
      <c r="B358" s="9" t="inlineStr"/>
      <c r="C358" s="9" t="inlineStr">
        <is>
          <t>I</t>
        </is>
      </c>
      <c r="D358" s="9" t="inlineStr">
        <is>
          <t>FC-2 SOFC output to inverter / AC cabinet</t>
        </is>
      </c>
      <c r="E358" s="9" t="n">
        <v>480</v>
      </c>
      <c r="F358" s="9" t="n">
        <v>250</v>
      </c>
      <c r="G358" s="9" t="n">
        <v>317</v>
      </c>
      <c r="H358" s="9" t="inlineStr">
        <is>
          <t>FC-2: SOFC module (Bloom ES5 class, 200-300 kW)</t>
        </is>
      </c>
      <c r="I358" s="9" t="inlineStr">
        <is>
          <t>LV 600 V</t>
        </is>
      </c>
      <c r="J358" s="9" t="inlineStr">
        <is>
          <t>3/0</t>
        </is>
      </c>
      <c r="K358" s="9" t="n">
        <v>2</v>
      </c>
    </row>
    <row r="359">
      <c r="A359" s="9" t="inlineStr">
        <is>
          <t>Fuel-cell inverter / AC cabinet / desulfurizer</t>
        </is>
      </c>
      <c r="B359" s="9" t="inlineStr"/>
      <c r="C359" s="9" t="inlineStr">
        <is>
          <t>I</t>
        </is>
      </c>
      <c r="D359" s="9" t="inlineStr">
        <is>
          <t>FC-3 SOFC output to inverter / AC cabinet</t>
        </is>
      </c>
      <c r="E359" s="9" t="n">
        <v>480</v>
      </c>
      <c r="F359" s="9" t="n">
        <v>250</v>
      </c>
      <c r="G359" s="9" t="n">
        <v>317</v>
      </c>
      <c r="H359" s="9" t="inlineStr">
        <is>
          <t>FC-3: SOFC module (Bloom ES5 class, 200-300 kW)</t>
        </is>
      </c>
      <c r="I359" s="9" t="inlineStr">
        <is>
          <t>LV 600 V</t>
        </is>
      </c>
      <c r="J359" s="9" t="inlineStr">
        <is>
          <t>3/0</t>
        </is>
      </c>
      <c r="K359" s="9" t="n">
        <v>2</v>
      </c>
    </row>
    <row r="360">
      <c r="A360" s="9" t="inlineStr">
        <is>
          <t>Fuel-cell inverter / AC cabinet / desulfurizer</t>
        </is>
      </c>
      <c r="B360" s="9" t="inlineStr"/>
      <c r="C360" s="9" t="inlineStr">
        <is>
          <t>I</t>
        </is>
      </c>
      <c r="D360" s="9" t="inlineStr">
        <is>
          <t>FC-4 SOFC output to inverter / AC cabinet</t>
        </is>
      </c>
      <c r="E360" s="9" t="n">
        <v>480</v>
      </c>
      <c r="F360" s="9" t="n">
        <v>250</v>
      </c>
      <c r="G360" s="9" t="n">
        <v>317</v>
      </c>
      <c r="H360" s="9" t="inlineStr">
        <is>
          <t>FC-4: SOFC module (Bloom ES5 class, 200-300 kW)</t>
        </is>
      </c>
      <c r="I360" s="9" t="inlineStr">
        <is>
          <t>LV 600 V</t>
        </is>
      </c>
      <c r="J360" s="9" t="inlineStr">
        <is>
          <t>3/0</t>
        </is>
      </c>
      <c r="K360" s="9" t="n">
        <v>2</v>
      </c>
    </row>
    <row r="361">
      <c r="A361" s="9" t="inlineStr">
        <is>
          <t>Gas conditioning skid</t>
        </is>
      </c>
      <c r="B361" s="9" t="inlineStr"/>
      <c r="C361" s="9" t="inlineStr">
        <is>
          <t>I</t>
        </is>
      </c>
      <c r="D361" s="9" t="inlineStr">
        <is>
          <t>LV power feeder</t>
        </is>
      </c>
      <c r="E361" s="9" t="n">
        <v>480</v>
      </c>
      <c r="F361" s="9" t="n">
        <v>30</v>
      </c>
      <c r="G361" s="9" t="n">
        <v>42</v>
      </c>
      <c r="H361" s="9" t="inlineStr">
        <is>
          <t>PCM: power control module</t>
        </is>
      </c>
      <c r="I361" s="9" t="inlineStr">
        <is>
          <t>LV 600 V</t>
        </is>
      </c>
      <c r="J361" s="9" t="inlineStr">
        <is>
          <t>6</t>
        </is>
      </c>
      <c r="K361" s="9" t="n">
        <v>1</v>
      </c>
    </row>
    <row r="362">
      <c r="A362" s="9" t="inlineStr">
        <is>
          <t>Lube oil / starting air / oily water building</t>
        </is>
      </c>
      <c r="B362" s="9" t="inlineStr"/>
      <c r="C362" s="9" t="inlineStr">
        <is>
          <t>I</t>
        </is>
      </c>
      <c r="D362" s="9" t="inlineStr">
        <is>
          <t>LV panel / distribution feeder</t>
        </is>
      </c>
      <c r="E362" s="9" t="n">
        <v>480</v>
      </c>
      <c r="F362" s="9" t="n">
        <v>79</v>
      </c>
      <c r="G362" s="9" t="n">
        <v>112</v>
      </c>
      <c r="H362" s="9" t="inlineStr">
        <is>
          <t>PCM: power control module</t>
        </is>
      </c>
      <c r="I362" s="9" t="inlineStr">
        <is>
          <t>LV 600 V</t>
        </is>
      </c>
      <c r="J362" s="9" t="inlineStr">
        <is>
          <t>1/0</t>
        </is>
      </c>
      <c r="K362" s="9" t="n">
        <v>1</v>
      </c>
    </row>
    <row r="363">
      <c r="A363" s="9" t="inlineStr">
        <is>
          <t>MOD-EH: 13.8 kV modular collector e-house</t>
        </is>
      </c>
      <c r="B363" s="9" t="inlineStr">
        <is>
          <t>MOD-EH</t>
        </is>
      </c>
      <c r="C363" s="9" t="inlineStr">
        <is>
          <t>I</t>
        </is>
      </c>
      <c r="D363" s="9" t="inlineStr">
        <is>
          <t>LV panel / distribution feeder</t>
        </is>
      </c>
      <c r="E363" s="9" t="n">
        <v>480</v>
      </c>
      <c r="F363" s="9" t="n">
        <v>30</v>
      </c>
      <c r="G363" s="9" t="n">
        <v>42</v>
      </c>
      <c r="H363" s="9" t="inlineStr">
        <is>
          <t>MOD-LV 480 V board + 480 V : 13.8 kV step-up</t>
        </is>
      </c>
      <c r="I363" s="9" t="inlineStr">
        <is>
          <t>LV 600 V</t>
        </is>
      </c>
      <c r="J363" s="9" t="inlineStr">
        <is>
          <t>4</t>
        </is>
      </c>
      <c r="K363" s="9" t="n">
        <v>1</v>
      </c>
    </row>
    <row r="364">
      <c r="A364" s="9" t="inlineStr">
        <is>
          <t>MOD-LV 480 V board + 480 V : 13.8 kV step-up</t>
        </is>
      </c>
      <c r="B364" s="9" t="inlineStr"/>
      <c r="C364" s="9" t="inlineStr">
        <is>
          <t>I</t>
        </is>
      </c>
      <c r="D364" s="9" t="inlineStr">
        <is>
          <t>Fuel-cell AC cabinet to MOD-LV</t>
        </is>
      </c>
      <c r="E364" s="9" t="n">
        <v>480</v>
      </c>
      <c r="F364" s="9" t="n">
        <v>1000</v>
      </c>
      <c r="G364" s="9" t="n">
        <v>1266</v>
      </c>
      <c r="H364" s="9" t="inlineStr">
        <is>
          <t>Fuel-cell inverter / AC cabinet / desulfurizer</t>
        </is>
      </c>
      <c r="I364" s="9" t="inlineStr">
        <is>
          <t>LV 600 V</t>
        </is>
      </c>
      <c r="J364" s="9" t="inlineStr">
        <is>
          <t>350 kcmil</t>
        </is>
      </c>
      <c r="K364" s="9" t="n">
        <v>6</v>
      </c>
    </row>
    <row r="365">
      <c r="A365" s="9" t="inlineStr">
        <is>
          <t>MOD-LV 480 V board + 480 V : 13.8 kV step-up</t>
        </is>
      </c>
      <c r="B365" s="9" t="inlineStr"/>
      <c r="C365" s="9" t="inlineStr">
        <is>
          <t>I</t>
        </is>
      </c>
      <c r="D365" s="9" t="inlineStr">
        <is>
          <t>Fuel-cell AC cabinet to MOD-LV</t>
        </is>
      </c>
      <c r="E365" s="9" t="n">
        <v>480</v>
      </c>
      <c r="F365" s="9" t="n">
        <v>2000</v>
      </c>
      <c r="G365" s="9" t="n">
        <v>2532</v>
      </c>
      <c r="H365" s="9" t="inlineStr">
        <is>
          <t>FC-5..12 inverter / AC cabinet / desulfurizer</t>
        </is>
      </c>
      <c r="I365" s="9" t="inlineStr">
        <is>
          <t>LV 600 V</t>
        </is>
      </c>
      <c r="J365" s="9" t="inlineStr">
        <is>
          <t>500 kcmil</t>
        </is>
      </c>
      <c r="K365" s="9" t="n">
        <v>10</v>
      </c>
    </row>
    <row r="366">
      <c r="A366" s="9" t="inlineStr">
        <is>
          <t>MOD-LV 480 V board + 480 V : 13.8 kV step-up</t>
        </is>
      </c>
      <c r="B366" s="9" t="inlineStr"/>
      <c r="C366" s="9" t="inlineStr">
        <is>
          <t>I</t>
        </is>
      </c>
      <c r="D366" s="9" t="inlineStr">
        <is>
          <t>MT-1 microturbine output</t>
        </is>
      </c>
      <c r="E366" s="9" t="n">
        <v>480</v>
      </c>
      <c r="F366" s="9" t="n">
        <v>1000</v>
      </c>
      <c r="G366" s="9" t="n">
        <v>1266</v>
      </c>
      <c r="H366" s="9" t="inlineStr">
        <is>
          <t>MT-1: microturbine 1 MW (Capstone C1000 class)</t>
        </is>
      </c>
      <c r="I366" s="9" t="inlineStr">
        <is>
          <t>LV 600 V</t>
        </is>
      </c>
      <c r="J366" s="9" t="inlineStr">
        <is>
          <t>350 kcmil</t>
        </is>
      </c>
      <c r="K366" s="9" t="n">
        <v>6</v>
      </c>
    </row>
    <row r="367">
      <c r="A367" s="9" t="inlineStr">
        <is>
          <t>MOD-LV 480 V board + 480 V : 13.8 kV step-up</t>
        </is>
      </c>
      <c r="B367" s="9" t="inlineStr"/>
      <c r="C367" s="9" t="inlineStr">
        <is>
          <t>I</t>
        </is>
      </c>
      <c r="D367" s="9" t="inlineStr">
        <is>
          <t>MT-2 microturbine output</t>
        </is>
      </c>
      <c r="E367" s="9" t="n">
        <v>480</v>
      </c>
      <c r="F367" s="9" t="n">
        <v>1000</v>
      </c>
      <c r="G367" s="9" t="n">
        <v>1266</v>
      </c>
      <c r="H367" s="9" t="inlineStr">
        <is>
          <t>MT-2: microturbine 1 MW (Capstone C1000 class)</t>
        </is>
      </c>
      <c r="I367" s="9" t="inlineStr">
        <is>
          <t>LV 600 V</t>
        </is>
      </c>
      <c r="J367" s="9" t="inlineStr">
        <is>
          <t>350 kcmil</t>
        </is>
      </c>
      <c r="K367" s="9" t="n">
        <v>6</v>
      </c>
    </row>
    <row r="368">
      <c r="A368" s="9" t="inlineStr">
        <is>
          <t>MOD-LV 480 V board + 480 V : 13.8 kV step-up</t>
        </is>
      </c>
      <c r="B368" s="9" t="inlineStr"/>
      <c r="C368" s="9" t="inlineStr">
        <is>
          <t>I</t>
        </is>
      </c>
      <c r="D368" s="9" t="inlineStr">
        <is>
          <t>MT-3 microturbine output</t>
        </is>
      </c>
      <c r="E368" s="9" t="n">
        <v>480</v>
      </c>
      <c r="F368" s="9" t="n">
        <v>1000</v>
      </c>
      <c r="G368" s="9" t="n">
        <v>1266</v>
      </c>
      <c r="H368" s="9" t="inlineStr">
        <is>
          <t>MT-3: microturbine 1 MW (Capstone C1000 class)</t>
        </is>
      </c>
      <c r="I368" s="9" t="inlineStr">
        <is>
          <t>LV 600 V</t>
        </is>
      </c>
      <c r="J368" s="9" t="inlineStr">
        <is>
          <t>350 kcmil</t>
        </is>
      </c>
      <c r="K368" s="9" t="n">
        <v>6</v>
      </c>
    </row>
    <row r="369">
      <c r="A369" s="9" t="inlineStr">
        <is>
          <t>MOD-LV 480 V board + 480 V : 13.8 kV step-up</t>
        </is>
      </c>
      <c r="B369" s="9" t="inlineStr"/>
      <c r="C369" s="9" t="inlineStr">
        <is>
          <t>I</t>
        </is>
      </c>
      <c r="D369" s="9" t="inlineStr">
        <is>
          <t>MT-4 microturbine output</t>
        </is>
      </c>
      <c r="E369" s="9" t="n">
        <v>480</v>
      </c>
      <c r="F369" s="9" t="n">
        <v>1000</v>
      </c>
      <c r="G369" s="9" t="n">
        <v>1266</v>
      </c>
      <c r="H369" s="9" t="inlineStr">
        <is>
          <t>MT-4: microturbine 1 MW (Capstone C1000 class)</t>
        </is>
      </c>
      <c r="I369" s="9" t="inlineStr">
        <is>
          <t>LV 600 V</t>
        </is>
      </c>
      <c r="J369" s="9" t="inlineStr">
        <is>
          <t>350 kcmil</t>
        </is>
      </c>
      <c r="K369" s="9" t="n">
        <v>6</v>
      </c>
    </row>
    <row r="370">
      <c r="A370" s="9" t="inlineStr">
        <is>
          <t>MOD-LV 480 V board + 480 V : 13.8 kV step-up</t>
        </is>
      </c>
      <c r="B370" s="9" t="inlineStr"/>
      <c r="C370" s="9" t="inlineStr">
        <is>
          <t>I</t>
        </is>
      </c>
      <c r="D370" s="9" t="inlineStr">
        <is>
          <t>MT-5 microturbine output</t>
        </is>
      </c>
      <c r="E370" s="9" t="n">
        <v>480</v>
      </c>
      <c r="F370" s="9" t="n">
        <v>1000</v>
      </c>
      <c r="G370" s="9" t="n">
        <v>1266</v>
      </c>
      <c r="H370" s="9" t="inlineStr">
        <is>
          <t>MT-5: microturbine 1 MW (Capstone C1000 class)</t>
        </is>
      </c>
      <c r="I370" s="9" t="inlineStr">
        <is>
          <t>LV 600 V</t>
        </is>
      </c>
      <c r="J370" s="9" t="inlineStr">
        <is>
          <t>350 kcmil</t>
        </is>
      </c>
      <c r="K370" s="9" t="n">
        <v>6</v>
      </c>
    </row>
    <row r="371">
      <c r="A371" s="9" t="inlineStr">
        <is>
          <t>MOD-LV 480 V board + 480 V : 13.8 kV step-up</t>
        </is>
      </c>
      <c r="B371" s="9" t="inlineStr"/>
      <c r="C371" s="9" t="inlineStr">
        <is>
          <t>I</t>
        </is>
      </c>
      <c r="D371" s="9" t="inlineStr">
        <is>
          <t>MT-6 microturbine output</t>
        </is>
      </c>
      <c r="E371" s="9" t="n">
        <v>480</v>
      </c>
      <c r="F371" s="9" t="n">
        <v>1000</v>
      </c>
      <c r="G371" s="9" t="n">
        <v>1266</v>
      </c>
      <c r="H371" s="9" t="inlineStr">
        <is>
          <t>MT-6: microturbine 1 MW (Capstone C1000 class)</t>
        </is>
      </c>
      <c r="I371" s="9" t="inlineStr">
        <is>
          <t>LV 600 V</t>
        </is>
      </c>
      <c r="J371" s="9" t="inlineStr">
        <is>
          <t>350 kcmil</t>
        </is>
      </c>
      <c r="K371" s="9" t="n">
        <v>6</v>
      </c>
    </row>
    <row r="372">
      <c r="A372" s="9" t="inlineStr">
        <is>
          <t>PAD-TX 480 V : 13.8 kV</t>
        </is>
      </c>
      <c r="B372" s="9" t="inlineStr">
        <is>
          <t>PAD-TX</t>
        </is>
      </c>
      <c r="C372" s="9" t="inlineStr">
        <is>
          <t>I</t>
        </is>
      </c>
      <c r="D372" s="9" t="inlineStr">
        <is>
          <t>PAD-LV to PAD-TX</t>
        </is>
      </c>
      <c r="E372" s="9" t="n">
        <v>480</v>
      </c>
      <c r="F372" s="9" t="n">
        <v>3000</v>
      </c>
      <c r="G372" s="9" t="n">
        <v>3600</v>
      </c>
      <c r="H372" s="9" t="inlineStr">
        <is>
          <t>PAD-LV 480 V paralleling switchboard</t>
        </is>
      </c>
      <c r="I372" s="9" t="inlineStr">
        <is>
          <t>LV 600 V</t>
        </is>
      </c>
      <c r="J372" s="9" t="inlineStr">
        <is>
          <t>500 kcmil</t>
        </is>
      </c>
      <c r="K372" s="9" t="n">
        <v>8</v>
      </c>
    </row>
    <row r="373">
      <c r="A373" s="9" t="inlineStr">
        <is>
          <t>PCM: power control module</t>
        </is>
      </c>
      <c r="B373" s="9" t="inlineStr"/>
      <c r="C373" s="9" t="inlineStr">
        <is>
          <t>I</t>
        </is>
      </c>
      <c r="D373" s="9" t="inlineStr">
        <is>
          <t>LV panel / distribution feeder</t>
        </is>
      </c>
      <c r="E373" s="9" t="n">
        <v>480</v>
      </c>
      <c r="F373" s="9" t="n">
        <v>38</v>
      </c>
      <c r="G373" s="9" t="n">
        <v>54</v>
      </c>
      <c r="H373" s="9" t="inlineStr">
        <is>
          <t>PCM: power control module</t>
        </is>
      </c>
      <c r="I373" s="9" t="inlineStr">
        <is>
          <t>LV 600 V</t>
        </is>
      </c>
      <c r="J373" s="9" t="inlineStr">
        <is>
          <t>4</t>
        </is>
      </c>
      <c r="K373" s="9" t="n">
        <v>1</v>
      </c>
    </row>
    <row r="374">
      <c r="A374" s="9" t="inlineStr">
        <is>
          <t>RICE CEMS</t>
        </is>
      </c>
      <c r="B374" s="9" t="inlineStr"/>
      <c r="C374" s="9" t="inlineStr">
        <is>
          <t>I</t>
        </is>
      </c>
      <c r="D374" s="9" t="inlineStr">
        <is>
          <t>LV panel / distribution feeder</t>
        </is>
      </c>
      <c r="E374" s="9" t="n">
        <v>480</v>
      </c>
      <c r="F374" s="9" t="n">
        <v>30</v>
      </c>
      <c r="G374" s="9" t="n">
        <v>42</v>
      </c>
      <c r="H374" s="9" t="inlineStr">
        <is>
          <t>PCM: power control module</t>
        </is>
      </c>
      <c r="I374" s="9" t="inlineStr">
        <is>
          <t>LV 600 V</t>
        </is>
      </c>
      <c r="J374" s="9" t="inlineStr">
        <is>
          <t>4</t>
        </is>
      </c>
      <c r="K374" s="9" t="n">
        <v>1</v>
      </c>
    </row>
    <row r="375">
      <c r="A375" s="9" t="inlineStr">
        <is>
          <t>RICE engine hall (8 engines)</t>
        </is>
      </c>
      <c r="B375" s="9" t="inlineStr">
        <is>
          <t>RICE</t>
        </is>
      </c>
      <c r="C375" s="9" t="inlineStr">
        <is>
          <t>I</t>
        </is>
      </c>
      <c r="D375" s="9" t="inlineStr">
        <is>
          <t>LV power feeder</t>
        </is>
      </c>
      <c r="E375" s="9" t="n">
        <v>480</v>
      </c>
      <c r="F375" s="9" t="n">
        <v>15</v>
      </c>
      <c r="G375" s="9" t="n">
        <v>21</v>
      </c>
      <c r="H375" s="9" t="inlineStr">
        <is>
          <t>PCM: power control module</t>
        </is>
      </c>
      <c r="I375" s="9" t="inlineStr">
        <is>
          <t>LV 600 V</t>
        </is>
      </c>
      <c r="J375" s="9" t="inlineStr">
        <is>
          <t>8</t>
        </is>
      </c>
      <c r="K375" s="9" t="n">
        <v>1</v>
      </c>
    </row>
    <row r="376">
      <c r="A376" s="9" t="inlineStr">
        <is>
          <t>Reagent storage</t>
        </is>
      </c>
      <c r="B376" s="9" t="inlineStr"/>
      <c r="C376" s="9" t="inlineStr">
        <is>
          <t>I</t>
        </is>
      </c>
      <c r="D376" s="9" t="inlineStr">
        <is>
          <t>LV power feeder</t>
        </is>
      </c>
      <c r="E376" s="9" t="n">
        <v>480</v>
      </c>
      <c r="F376" s="9" t="n">
        <v>15</v>
      </c>
      <c r="G376" s="9" t="n">
        <v>21</v>
      </c>
      <c r="H376" s="9" t="inlineStr">
        <is>
          <t>PCM: power control module</t>
        </is>
      </c>
      <c r="I376" s="9" t="inlineStr">
        <is>
          <t>LV 600 V</t>
        </is>
      </c>
      <c r="J376" s="9" t="inlineStr">
        <is>
          <t>10</t>
        </is>
      </c>
      <c r="K376" s="9" t="n">
        <v>1</v>
      </c>
    </row>
    <row r="377">
      <c r="A377" s="9" t="inlineStr">
        <is>
          <t>Water-injection skid</t>
        </is>
      </c>
      <c r="B377" s="9" t="inlineStr"/>
      <c r="C377" s="9" t="inlineStr">
        <is>
          <t>I</t>
        </is>
      </c>
      <c r="D377" s="9" t="inlineStr">
        <is>
          <t>LV power feeder</t>
        </is>
      </c>
      <c r="E377" s="9" t="n">
        <v>480</v>
      </c>
      <c r="F377" s="9" t="n">
        <v>15</v>
      </c>
      <c r="G377" s="9" t="n">
        <v>21</v>
      </c>
      <c r="H377" s="9" t="inlineStr">
        <is>
          <t>MOD-LV 480 V board + 480 V : 13.8 kV step-up</t>
        </is>
      </c>
      <c r="I377" s="9" t="inlineStr">
        <is>
          <t>LV 600 V</t>
        </is>
      </c>
      <c r="J377" s="9" t="inlineStr">
        <is>
          <t>8</t>
        </is>
      </c>
      <c r="K377" s="9" t="n">
        <v>1</v>
      </c>
    </row>
    <row r="378">
      <c r="A378" s="9" t="inlineStr">
        <is>
          <t>CONT paralleling switchgear e-house</t>
        </is>
      </c>
      <c r="B378" s="9" t="inlineStr">
        <is>
          <t>CONT-EH</t>
        </is>
      </c>
      <c r="C378" s="9" t="inlineStr">
        <is>
          <t>I</t>
        </is>
      </c>
      <c r="D378" s="9" t="inlineStr">
        <is>
          <t>CONT-3 13.8 kV to CONT-EH (ground tray)</t>
        </is>
      </c>
      <c r="E378" s="9" t="n">
        <v>13800</v>
      </c>
      <c r="F378" s="9" t="n">
        <v>2000</v>
      </c>
      <c r="G378" s="9" t="n">
        <v>93</v>
      </c>
      <c r="H378" s="9" t="inlineStr">
        <is>
          <t>CONT-3: containerized gas genset 13.8 kV (40 ft)</t>
        </is>
      </c>
      <c r="I378" s="9" t="inlineStr">
        <is>
          <t>MV 15 kV</t>
        </is>
      </c>
      <c r="J378" s="9" t="inlineStr">
        <is>
          <t>2</t>
        </is>
      </c>
      <c r="K378" s="9" t="n">
        <v>1</v>
      </c>
    </row>
    <row r="379">
      <c r="A379" s="9" t="inlineStr">
        <is>
          <t>CONT paralleling switchgear e-house</t>
        </is>
      </c>
      <c r="B379" s="9" t="inlineStr">
        <is>
          <t>CONT-EH</t>
        </is>
      </c>
      <c r="C379" s="9" t="inlineStr">
        <is>
          <t>I</t>
        </is>
      </c>
      <c r="D379" s="9" t="inlineStr">
        <is>
          <t>CONT-4 13.8 kV to CONT-EH (ground tray)</t>
        </is>
      </c>
      <c r="E379" s="9" t="n">
        <v>13800</v>
      </c>
      <c r="F379" s="9" t="n">
        <v>2000</v>
      </c>
      <c r="G379" s="9" t="n">
        <v>93</v>
      </c>
      <c r="H379" s="9" t="inlineStr">
        <is>
          <t>CONT-4: containerized gas genset 13.8 kV (40 ft)</t>
        </is>
      </c>
      <c r="I379" s="9" t="inlineStr">
        <is>
          <t>MV 15 kV</t>
        </is>
      </c>
      <c r="J379" s="9" t="inlineStr">
        <is>
          <t>2</t>
        </is>
      </c>
      <c r="K379" s="9" t="n">
        <v>1</v>
      </c>
    </row>
    <row r="380">
      <c r="A380" s="9" t="inlineStr">
        <is>
          <t>CONT paralleling switchgear e-house</t>
        </is>
      </c>
      <c r="B380" s="9" t="inlineStr">
        <is>
          <t>CONT-EH</t>
        </is>
      </c>
      <c r="C380" s="9" t="inlineStr">
        <is>
          <t>I</t>
        </is>
      </c>
      <c r="D380" s="9" t="inlineStr">
        <is>
          <t>CONT-5 13.8 kV to CONT-EH (ground tray)</t>
        </is>
      </c>
      <c r="E380" s="9" t="n">
        <v>13800</v>
      </c>
      <c r="F380" s="9" t="n">
        <v>2000</v>
      </c>
      <c r="G380" s="9" t="n">
        <v>93</v>
      </c>
      <c r="H380" s="9" t="inlineStr">
        <is>
          <t>CONT-5: containerized gas genset 13.8 kV (40 ft)</t>
        </is>
      </c>
      <c r="I380" s="9" t="inlineStr">
        <is>
          <t>MV 15 kV</t>
        </is>
      </c>
      <c r="J380" s="9" t="inlineStr">
        <is>
          <t>2</t>
        </is>
      </c>
      <c r="K380" s="9" t="n">
        <v>1</v>
      </c>
    </row>
    <row r="381">
      <c r="A381" s="9" t="inlineStr">
        <is>
          <t>CONT paralleling switchgear e-house</t>
        </is>
      </c>
      <c r="B381" s="9" t="inlineStr">
        <is>
          <t>CONT-EH</t>
        </is>
      </c>
      <c r="C381" s="9" t="inlineStr">
        <is>
          <t>I</t>
        </is>
      </c>
      <c r="D381" s="9" t="inlineStr">
        <is>
          <t>CONT-6 13.8 kV to CONT-EH (ground tray)</t>
        </is>
      </c>
      <c r="E381" s="9" t="n">
        <v>13800</v>
      </c>
      <c r="F381" s="9" t="n">
        <v>2000</v>
      </c>
      <c r="G381" s="9" t="n">
        <v>93</v>
      </c>
      <c r="H381" s="9" t="inlineStr">
        <is>
          <t>CONT-6: containerized gas genset 13.8 kV (40 ft)</t>
        </is>
      </c>
      <c r="I381" s="9" t="inlineStr">
        <is>
          <t>MV 15 kV</t>
        </is>
      </c>
      <c r="J381" s="9" t="inlineStr">
        <is>
          <t>2</t>
        </is>
      </c>
      <c r="K381" s="9" t="n">
        <v>1</v>
      </c>
    </row>
    <row r="382">
      <c r="A382" s="9" t="inlineStr">
        <is>
          <t>CONT paralleling switchgear e-house</t>
        </is>
      </c>
      <c r="B382" s="9" t="inlineStr">
        <is>
          <t>CONT-EH</t>
        </is>
      </c>
      <c r="C382" s="9" t="inlineStr">
        <is>
          <t>I</t>
        </is>
      </c>
      <c r="D382" s="9" t="inlineStr">
        <is>
          <t>CONT-7 13.8 kV to CONT-EH (ground tray)</t>
        </is>
      </c>
      <c r="E382" s="9" t="n">
        <v>13800</v>
      </c>
      <c r="F382" s="9" t="n">
        <v>2000</v>
      </c>
      <c r="G382" s="9" t="n">
        <v>93</v>
      </c>
      <c r="H382" s="9" t="inlineStr">
        <is>
          <t>CONT-7: containerized gas genset 13.8 kV (40 ft)</t>
        </is>
      </c>
      <c r="I382" s="9" t="inlineStr">
        <is>
          <t>MV 15 kV</t>
        </is>
      </c>
      <c r="J382" s="9" t="inlineStr">
        <is>
          <t>2</t>
        </is>
      </c>
      <c r="K382" s="9" t="n">
        <v>1</v>
      </c>
    </row>
    <row r="383">
      <c r="A383" s="9" t="inlineStr">
        <is>
          <t>CONT paralleling switchgear e-house</t>
        </is>
      </c>
      <c r="B383" s="9" t="inlineStr">
        <is>
          <t>CONT-EH</t>
        </is>
      </c>
      <c r="C383" s="9" t="inlineStr">
        <is>
          <t>I</t>
        </is>
      </c>
      <c r="D383" s="9" t="inlineStr">
        <is>
          <t>CONT-8 13.8 kV to CONT-EH (ground tray)</t>
        </is>
      </c>
      <c r="E383" s="9" t="n">
        <v>13800</v>
      </c>
      <c r="F383" s="9" t="n">
        <v>2000</v>
      </c>
      <c r="G383" s="9" t="n">
        <v>93</v>
      </c>
      <c r="H383" s="9" t="inlineStr">
        <is>
          <t>CONT-8: containerized gas genset 13.8 kV (40 ft)</t>
        </is>
      </c>
      <c r="I383" s="9" t="inlineStr">
        <is>
          <t>MV 15 kV</t>
        </is>
      </c>
      <c r="J383" s="9" t="inlineStr">
        <is>
          <t>2</t>
        </is>
      </c>
      <c r="K383" s="9" t="n">
        <v>1</v>
      </c>
    </row>
    <row r="384">
      <c r="A384" s="9" t="inlineStr">
        <is>
          <t>Fuel-gas compressors 3 x 100% electric</t>
        </is>
      </c>
      <c r="B384" s="9" t="inlineStr"/>
      <c r="C384" s="9" t="inlineStr">
        <is>
          <t>I</t>
        </is>
      </c>
      <c r="D384" s="9" t="inlineStr">
        <is>
          <t>Modular-yard fuel-gas compressor</t>
        </is>
      </c>
      <c r="E384" s="9" t="n">
        <v>13800</v>
      </c>
      <c r="F384" s="9" t="n">
        <v>1500</v>
      </c>
      <c r="G384" s="9" t="n">
        <v>70</v>
      </c>
      <c r="H384" s="9" t="inlineStr">
        <is>
          <t>MOD-EH: 13.8 kV modular collector e-house</t>
        </is>
      </c>
      <c r="I384" s="9" t="inlineStr">
        <is>
          <t>MV 15 kV</t>
        </is>
      </c>
      <c r="J384" s="9" t="inlineStr">
        <is>
          <t>2</t>
        </is>
      </c>
      <c r="K384" s="9" t="n">
        <v>1</v>
      </c>
    </row>
    <row r="385">
      <c r="A385" s="9" t="inlineStr">
        <is>
          <t>Fuel-gas compressors 3 x 100% electric</t>
        </is>
      </c>
      <c r="B385" s="9" t="inlineStr"/>
      <c r="C385" s="9" t="inlineStr">
        <is>
          <t>I</t>
        </is>
      </c>
      <c r="D385" s="9" t="inlineStr">
        <is>
          <t>Modular-yard fuel-gas compressor</t>
        </is>
      </c>
      <c r="E385" s="9" t="n">
        <v>13800</v>
      </c>
      <c r="F385" s="9" t="n">
        <v>1500</v>
      </c>
      <c r="G385" s="9" t="n">
        <v>70</v>
      </c>
      <c r="H385" s="9" t="inlineStr">
        <is>
          <t>MOD-EH: 13.8 kV modular collector e-house</t>
        </is>
      </c>
      <c r="I385" s="9" t="inlineStr">
        <is>
          <t>MV 15 kV</t>
        </is>
      </c>
      <c r="J385" s="9" t="inlineStr">
        <is>
          <t>2</t>
        </is>
      </c>
      <c r="K385" s="9" t="n">
        <v>1</v>
      </c>
    </row>
    <row r="386">
      <c r="A386" s="9" t="inlineStr">
        <is>
          <t>Fuel-gas compressors 3 x 100% electric</t>
        </is>
      </c>
      <c r="B386" s="9" t="inlineStr"/>
      <c r="C386" s="9" t="inlineStr">
        <is>
          <t>I</t>
        </is>
      </c>
      <c r="D386" s="9" t="inlineStr">
        <is>
          <t>Modular-yard fuel-gas compressor</t>
        </is>
      </c>
      <c r="E386" s="9" t="n">
        <v>13800</v>
      </c>
      <c r="F386" s="9" t="n">
        <v>1500</v>
      </c>
      <c r="G386" s="9" t="n">
        <v>70</v>
      </c>
      <c r="H386" s="9" t="inlineStr">
        <is>
          <t>MOD-EH: 13.8 kV modular collector e-house</t>
        </is>
      </c>
      <c r="I386" s="9" t="inlineStr">
        <is>
          <t>MV 15 kV</t>
        </is>
      </c>
      <c r="J386" s="9" t="inlineStr">
        <is>
          <t>2</t>
        </is>
      </c>
      <c r="K386" s="9" t="n">
        <v>1</v>
      </c>
    </row>
    <row r="387">
      <c r="A387" s="9" t="inlineStr">
        <is>
          <t>MOD-EH: 13.8 kV modular collector e-house</t>
        </is>
      </c>
      <c r="B387" s="9" t="inlineStr">
        <is>
          <t>MOD-EH</t>
        </is>
      </c>
      <c r="C387" s="9" t="inlineStr">
        <is>
          <t>I</t>
        </is>
      </c>
      <c r="D387" s="9" t="inlineStr">
        <is>
          <t>SC-1 PCM to MOD-EH</t>
        </is>
      </c>
      <c r="E387" s="9" t="n">
        <v>13800</v>
      </c>
      <c r="F387" s="9" t="n">
        <v>50000</v>
      </c>
      <c r="G387" s="9" t="n">
        <v>2092</v>
      </c>
      <c r="H387" s="9" t="inlineStr">
        <is>
          <t>SC-1 PCM + 15 kV GCB</t>
        </is>
      </c>
      <c r="I387" s="9" t="inlineStr">
        <is>
          <t>MV 15 kV</t>
        </is>
      </c>
      <c r="J387" s="9" t="inlineStr">
        <is>
          <t>750 kcmil</t>
        </is>
      </c>
      <c r="K387" s="9" t="n">
        <v>5</v>
      </c>
    </row>
    <row r="388">
      <c r="A388" s="9" t="inlineStr">
        <is>
          <t>MOD-EH: 13.8 kV modular collector e-house</t>
        </is>
      </c>
      <c r="B388" s="9" t="inlineStr">
        <is>
          <t>MOD-EH</t>
        </is>
      </c>
      <c r="C388" s="9" t="inlineStr">
        <is>
          <t>I</t>
        </is>
      </c>
      <c r="D388" s="9" t="inlineStr">
        <is>
          <t>SC-2 PCM to MOD-EH</t>
        </is>
      </c>
      <c r="E388" s="9" t="n">
        <v>13800</v>
      </c>
      <c r="F388" s="9" t="n">
        <v>50000</v>
      </c>
      <c r="G388" s="9" t="n">
        <v>2092</v>
      </c>
      <c r="H388" s="9" t="inlineStr">
        <is>
          <t>SC-2 PCM + 15 kV GCB</t>
        </is>
      </c>
      <c r="I388" s="9" t="inlineStr">
        <is>
          <t>MV 15 kV</t>
        </is>
      </c>
      <c r="J388" s="9" t="inlineStr">
        <is>
          <t>750 kcmil</t>
        </is>
      </c>
      <c r="K388" s="9" t="n">
        <v>5</v>
      </c>
    </row>
    <row r="389">
      <c r="A389" s="9" t="inlineStr">
        <is>
          <t>MOD-EH: 13.8 kV modular collector e-house</t>
        </is>
      </c>
      <c r="B389" s="9" t="inlineStr">
        <is>
          <t>MOD-EH</t>
        </is>
      </c>
      <c r="C389" s="9" t="inlineStr">
        <is>
          <t>I</t>
        </is>
      </c>
      <c r="D389" s="9" t="inlineStr">
        <is>
          <t>RICE PCM to MOD-EH (bus tie)</t>
        </is>
      </c>
      <c r="E389" s="9" t="n">
        <v>13800</v>
      </c>
      <c r="F389" s="9" t="n">
        <v>150000</v>
      </c>
      <c r="G389" s="9" t="n">
        <v>6276</v>
      </c>
      <c r="H389" s="9" t="inlineStr">
        <is>
          <t>PCM: power control module</t>
        </is>
      </c>
      <c r="I389" s="9" t="inlineStr">
        <is>
          <t>MV 15 kV</t>
        </is>
      </c>
      <c r="J389" s="9" t="inlineStr">
        <is>
          <t>1000 kcmil</t>
        </is>
      </c>
      <c r="K389" s="9" t="n">
        <v>10</v>
      </c>
    </row>
    <row r="390">
      <c r="A390" s="9" t="inlineStr">
        <is>
          <t>MOD-EH: 13.8 kV modular collector e-house</t>
        </is>
      </c>
      <c r="B390" s="9" t="inlineStr">
        <is>
          <t>MOD-EH</t>
        </is>
      </c>
      <c r="C390" s="9" t="inlineStr">
        <is>
          <t>I</t>
        </is>
      </c>
      <c r="D390" s="9" t="inlineStr">
        <is>
          <t>MOD-LV step-up to MOD-EH</t>
        </is>
      </c>
      <c r="E390" s="9" t="n">
        <v>13800</v>
      </c>
      <c r="F390" s="9" t="n">
        <v>7500</v>
      </c>
      <c r="G390" s="9" t="n">
        <v>314</v>
      </c>
      <c r="H390" s="9" t="inlineStr">
        <is>
          <t>MOD-LV 480 V board + 480 V : 13.8 kV step-up</t>
        </is>
      </c>
      <c r="I390" s="9" t="inlineStr">
        <is>
          <t>MV 15 kV</t>
        </is>
      </c>
      <c r="J390" s="9" t="inlineStr">
        <is>
          <t>500 kcmil</t>
        </is>
      </c>
      <c r="K390" s="9" t="n">
        <v>1</v>
      </c>
    </row>
    <row r="391">
      <c r="A391" s="9" t="inlineStr">
        <is>
          <t>PAD-EH 13.8 kV switchgear e-house</t>
        </is>
      </c>
      <c r="B391" s="9" t="inlineStr">
        <is>
          <t>PAD-EH</t>
        </is>
      </c>
      <c r="C391" s="9" t="inlineStr">
        <is>
          <t>I</t>
        </is>
      </c>
      <c r="D391" s="9" t="inlineStr">
        <is>
          <t>CONT-EH to PAD-EH</t>
        </is>
      </c>
      <c r="E391" s="9" t="n">
        <v>13800</v>
      </c>
      <c r="F391" s="9" t="n">
        <v>12000</v>
      </c>
      <c r="G391" s="9" t="n">
        <v>558</v>
      </c>
      <c r="H391" s="9" t="inlineStr">
        <is>
          <t>CONT paralleling switchgear e-house</t>
        </is>
      </c>
      <c r="I391" s="9" t="inlineStr">
        <is>
          <t>MV 15 kV</t>
        </is>
      </c>
      <c r="J391" s="9" t="inlineStr">
        <is>
          <t>500 kcmil</t>
        </is>
      </c>
      <c r="K391" s="9" t="n">
        <v>2</v>
      </c>
    </row>
    <row r="392">
      <c r="A392" s="9" t="inlineStr">
        <is>
          <t>PAD-EH 13.8 kV switchgear e-house</t>
        </is>
      </c>
      <c r="B392" s="9" t="inlineStr">
        <is>
          <t>PAD-EH</t>
        </is>
      </c>
      <c r="C392" s="9" t="inlineStr">
        <is>
          <t>I</t>
        </is>
      </c>
      <c r="D392" s="9" t="inlineStr">
        <is>
          <t>TM-1 (TM2500) generator leads to PAD-EH</t>
        </is>
      </c>
      <c r="E392" s="9" t="n">
        <v>13800</v>
      </c>
      <c r="F392" s="9" t="n">
        <v>35000</v>
      </c>
      <c r="G392" s="9" t="n">
        <v>1464</v>
      </c>
      <c r="H392" s="9" t="inlineStr">
        <is>
          <t>TM-1: trailer-mounted aeroderivative GT (TM2500 class, ~35 M</t>
        </is>
      </c>
      <c r="I392" s="9" t="inlineStr">
        <is>
          <t>MV 15 kV</t>
        </is>
      </c>
      <c r="J392" s="9" t="inlineStr">
        <is>
          <t>1000 kcmil</t>
        </is>
      </c>
      <c r="K392" s="9" t="n">
        <v>2</v>
      </c>
    </row>
    <row r="393">
      <c r="A393" s="9" t="inlineStr">
        <is>
          <t>PAD-EH 13.8 kV switchgear e-house</t>
        </is>
      </c>
      <c r="B393" s="9" t="inlineStr">
        <is>
          <t>PAD-EH</t>
        </is>
      </c>
      <c r="C393" s="9" t="inlineStr">
        <is>
          <t>I</t>
        </is>
      </c>
      <c r="D393" s="9" t="inlineStr">
        <is>
          <t>TM-2 (TM2500) generator leads to PAD-EH</t>
        </is>
      </c>
      <c r="E393" s="9" t="n">
        <v>13800</v>
      </c>
      <c r="F393" s="9" t="n">
        <v>35000</v>
      </c>
      <c r="G393" s="9" t="n">
        <v>1464</v>
      </c>
      <c r="H393" s="9" t="inlineStr">
        <is>
          <t>TM-2: trailer-mounted aeroderivative GT (TM2500 class, ~35 M</t>
        </is>
      </c>
      <c r="I393" s="9" t="inlineStr">
        <is>
          <t>MV 15 kV</t>
        </is>
      </c>
      <c r="J393" s="9" t="inlineStr">
        <is>
          <t>1000 kcmil</t>
        </is>
      </c>
      <c r="K393" s="9" t="n">
        <v>2</v>
      </c>
    </row>
    <row r="394">
      <c r="A394" s="9" t="inlineStr">
        <is>
          <t>PCM: power control module</t>
        </is>
      </c>
      <c r="B394" s="9" t="inlineStr"/>
      <c r="C394" s="9" t="inlineStr">
        <is>
          <t>I</t>
        </is>
      </c>
      <c r="D394" s="9" t="inlineStr">
        <is>
          <t>RICE-1 generator leads to the PCM</t>
        </is>
      </c>
      <c r="E394" s="9" t="n">
        <v>13800</v>
      </c>
      <c r="F394" s="9" t="n">
        <v>18400</v>
      </c>
      <c r="G394" s="9" t="n">
        <v>770</v>
      </c>
      <c r="H394" s="9" t="inlineStr">
        <is>
          <t>RICE engine-generator 1</t>
        </is>
      </c>
      <c r="I394" s="9" t="inlineStr">
        <is>
          <t>MV 15 kV</t>
        </is>
      </c>
      <c r="J394" s="9" t="inlineStr">
        <is>
          <t>750 kcmil</t>
        </is>
      </c>
      <c r="K394" s="9" t="n">
        <v>2</v>
      </c>
    </row>
    <row r="395">
      <c r="A395" s="9" t="inlineStr">
        <is>
          <t>PCM: power control module</t>
        </is>
      </c>
      <c r="B395" s="9" t="inlineStr"/>
      <c r="C395" s="9" t="inlineStr">
        <is>
          <t>I</t>
        </is>
      </c>
      <c r="D395" s="9" t="inlineStr">
        <is>
          <t>RICE-2 generator leads to the PCM</t>
        </is>
      </c>
      <c r="E395" s="9" t="n">
        <v>13800</v>
      </c>
      <c r="F395" s="9" t="n">
        <v>18400</v>
      </c>
      <c r="G395" s="9" t="n">
        <v>770</v>
      </c>
      <c r="H395" s="9" t="inlineStr">
        <is>
          <t>RICE engine-generator 2</t>
        </is>
      </c>
      <c r="I395" s="9" t="inlineStr">
        <is>
          <t>MV 15 kV</t>
        </is>
      </c>
      <c r="J395" s="9" t="inlineStr">
        <is>
          <t>750 kcmil</t>
        </is>
      </c>
      <c r="K395" s="9" t="n">
        <v>2</v>
      </c>
    </row>
    <row r="396">
      <c r="A396" s="9" t="inlineStr">
        <is>
          <t>PCM: power control module</t>
        </is>
      </c>
      <c r="B396" s="9" t="inlineStr"/>
      <c r="C396" s="9" t="inlineStr">
        <is>
          <t>I</t>
        </is>
      </c>
      <c r="D396" s="9" t="inlineStr">
        <is>
          <t>RICE-3 generator leads to the PCM</t>
        </is>
      </c>
      <c r="E396" s="9" t="n">
        <v>13800</v>
      </c>
      <c r="F396" s="9" t="n">
        <v>18400</v>
      </c>
      <c r="G396" s="9" t="n">
        <v>770</v>
      </c>
      <c r="H396" s="9" t="inlineStr">
        <is>
          <t>RICE engine-generator 3</t>
        </is>
      </c>
      <c r="I396" s="9" t="inlineStr">
        <is>
          <t>MV 15 kV</t>
        </is>
      </c>
      <c r="J396" s="9" t="inlineStr">
        <is>
          <t>750 kcmil</t>
        </is>
      </c>
      <c r="K396" s="9" t="n">
        <v>2</v>
      </c>
    </row>
    <row r="397">
      <c r="A397" s="9" t="inlineStr">
        <is>
          <t>PCM: power control module</t>
        </is>
      </c>
      <c r="B397" s="9" t="inlineStr"/>
      <c r="C397" s="9" t="inlineStr">
        <is>
          <t>I</t>
        </is>
      </c>
      <c r="D397" s="9" t="inlineStr">
        <is>
          <t>RICE-4 generator leads to the PCM</t>
        </is>
      </c>
      <c r="E397" s="9" t="n">
        <v>13800</v>
      </c>
      <c r="F397" s="9" t="n">
        <v>18400</v>
      </c>
      <c r="G397" s="9" t="n">
        <v>770</v>
      </c>
      <c r="H397" s="9" t="inlineStr">
        <is>
          <t>RICE engine-generator 4</t>
        </is>
      </c>
      <c r="I397" s="9" t="inlineStr">
        <is>
          <t>MV 15 kV</t>
        </is>
      </c>
      <c r="J397" s="9" t="inlineStr">
        <is>
          <t>750 kcmil</t>
        </is>
      </c>
      <c r="K397" s="9" t="n">
        <v>2</v>
      </c>
    </row>
    <row r="398">
      <c r="A398" s="9" t="inlineStr">
        <is>
          <t>PCM: power control module</t>
        </is>
      </c>
      <c r="B398" s="9" t="inlineStr"/>
      <c r="C398" s="9" t="inlineStr">
        <is>
          <t>I</t>
        </is>
      </c>
      <c r="D398" s="9" t="inlineStr">
        <is>
          <t>RICE-5 generator leads to the PCM</t>
        </is>
      </c>
      <c r="E398" s="9" t="n">
        <v>13800</v>
      </c>
      <c r="F398" s="9" t="n">
        <v>18400</v>
      </c>
      <c r="G398" s="9" t="n">
        <v>770</v>
      </c>
      <c r="H398" s="9" t="inlineStr">
        <is>
          <t>RICE engine-generator 5</t>
        </is>
      </c>
      <c r="I398" s="9" t="inlineStr">
        <is>
          <t>MV 15 kV</t>
        </is>
      </c>
      <c r="J398" s="9" t="inlineStr">
        <is>
          <t>750 kcmil</t>
        </is>
      </c>
      <c r="K398" s="9" t="n">
        <v>2</v>
      </c>
    </row>
    <row r="399">
      <c r="A399" s="9" t="inlineStr">
        <is>
          <t>PCM: power control module</t>
        </is>
      </c>
      <c r="B399" s="9" t="inlineStr"/>
      <c r="C399" s="9" t="inlineStr">
        <is>
          <t>I</t>
        </is>
      </c>
      <c r="D399" s="9" t="inlineStr">
        <is>
          <t>RICE-6 generator leads to the PCM</t>
        </is>
      </c>
      <c r="E399" s="9" t="n">
        <v>13800</v>
      </c>
      <c r="F399" s="9" t="n">
        <v>18400</v>
      </c>
      <c r="G399" s="9" t="n">
        <v>770</v>
      </c>
      <c r="H399" s="9" t="inlineStr">
        <is>
          <t>RICE engine-generator 6</t>
        </is>
      </c>
      <c r="I399" s="9" t="inlineStr">
        <is>
          <t>MV 15 kV</t>
        </is>
      </c>
      <c r="J399" s="9" t="inlineStr">
        <is>
          <t>750 kcmil</t>
        </is>
      </c>
      <c r="K399" s="9" t="n">
        <v>2</v>
      </c>
    </row>
    <row r="400">
      <c r="A400" s="9" t="inlineStr">
        <is>
          <t>PCM: power control module</t>
        </is>
      </c>
      <c r="B400" s="9" t="inlineStr"/>
      <c r="C400" s="9" t="inlineStr">
        <is>
          <t>I</t>
        </is>
      </c>
      <c r="D400" s="9" t="inlineStr">
        <is>
          <t>RICE-7 generator leads to the PCM</t>
        </is>
      </c>
      <c r="E400" s="9" t="n">
        <v>13800</v>
      </c>
      <c r="F400" s="9" t="n">
        <v>18400</v>
      </c>
      <c r="G400" s="9" t="n">
        <v>770</v>
      </c>
      <c r="H400" s="9" t="inlineStr">
        <is>
          <t>RICE engine-generator 7</t>
        </is>
      </c>
      <c r="I400" s="9" t="inlineStr">
        <is>
          <t>MV 15 kV</t>
        </is>
      </c>
      <c r="J400" s="9" t="inlineStr">
        <is>
          <t>750 kcmil</t>
        </is>
      </c>
      <c r="K400" s="9" t="n">
        <v>2</v>
      </c>
    </row>
    <row r="401">
      <c r="A401" s="9" t="inlineStr">
        <is>
          <t>PCM: power control module</t>
        </is>
      </c>
      <c r="B401" s="9" t="inlineStr"/>
      <c r="C401" s="9" t="inlineStr">
        <is>
          <t>I</t>
        </is>
      </c>
      <c r="D401" s="9" t="inlineStr">
        <is>
          <t>RICE-8 generator leads to the PCM</t>
        </is>
      </c>
      <c r="E401" s="9" t="n">
        <v>13800</v>
      </c>
      <c r="F401" s="9" t="n">
        <v>18400</v>
      </c>
      <c r="G401" s="9" t="n">
        <v>770</v>
      </c>
      <c r="H401" s="9" t="inlineStr">
        <is>
          <t>RICE engine-generator 8</t>
        </is>
      </c>
      <c r="I401" s="9" t="inlineStr">
        <is>
          <t>MV 15 kV</t>
        </is>
      </c>
      <c r="J401" s="9" t="inlineStr">
        <is>
          <t>750 kcmil</t>
        </is>
      </c>
      <c r="K401" s="9" t="n">
        <v>2</v>
      </c>
    </row>
    <row r="402">
      <c r="A402" s="9" t="inlineStr">
        <is>
          <t>SC-1 PCM + 15 kV GCB</t>
        </is>
      </c>
      <c r="B402" s="9" t="inlineStr"/>
      <c r="C402" s="9" t="inlineStr">
        <is>
          <t>I</t>
        </is>
      </c>
      <c r="D402" s="9" t="inlineStr">
        <is>
          <t>SC-1 (LM6000 class) generator leads to its PCM / GCB</t>
        </is>
      </c>
      <c r="E402" s="9" t="n">
        <v>13800</v>
      </c>
      <c r="F402" s="9" t="n">
        <v>50000</v>
      </c>
      <c r="G402" s="9" t="n">
        <v>2092</v>
      </c>
      <c r="H402" s="9" t="inlineStr">
        <is>
          <t>SC-1: aeroderivative simple-cycle unit (LM6000 class)</t>
        </is>
      </c>
      <c r="I402" s="9" t="inlineStr">
        <is>
          <t>MV 15 kV</t>
        </is>
      </c>
      <c r="J402" s="9" t="inlineStr">
        <is>
          <t>750 kcmil</t>
        </is>
      </c>
      <c r="K402" s="9" t="n">
        <v>5</v>
      </c>
    </row>
    <row r="403">
      <c r="A403" s="9" t="inlineStr">
        <is>
          <t>SC-2 PCM + 15 kV GCB</t>
        </is>
      </c>
      <c r="B403" s="9" t="inlineStr"/>
      <c r="C403" s="9" t="inlineStr">
        <is>
          <t>I</t>
        </is>
      </c>
      <c r="D403" s="9" t="inlineStr">
        <is>
          <t>SC-2 (LM6000 class) generator leads to its PCM / GCB</t>
        </is>
      </c>
      <c r="E403" s="9" t="n">
        <v>13800</v>
      </c>
      <c r="F403" s="9" t="n">
        <v>50000</v>
      </c>
      <c r="G403" s="9" t="n">
        <v>2092</v>
      </c>
      <c r="H403" s="9" t="inlineStr">
        <is>
          <t>SC-2: aeroderivative simple-cycle unit (LM6000 class)</t>
        </is>
      </c>
      <c r="I403" s="9" t="inlineStr">
        <is>
          <t>MV 15 kV</t>
        </is>
      </c>
      <c r="J403" s="9" t="inlineStr">
        <is>
          <t>750 kcmil</t>
        </is>
      </c>
      <c r="K403" s="9" t="n">
        <v>5</v>
      </c>
    </row>
    <row r="404">
      <c r="A404" s="9" t="inlineStr">
        <is>
          <t>T-MOD-1: 13.8/230 kV</t>
        </is>
      </c>
      <c r="B404" s="9" t="inlineStr">
        <is>
          <t>T-MOD-1</t>
        </is>
      </c>
      <c r="C404" s="9" t="inlineStr">
        <is>
          <t>I</t>
        </is>
      </c>
      <c r="D404" s="9" t="inlineStr">
        <is>
          <t>MOD-EH to T-MOD-1 LV side</t>
        </is>
      </c>
      <c r="E404" s="9" t="n">
        <v>13800</v>
      </c>
      <c r="F404" s="9" t="n">
        <v>120000</v>
      </c>
      <c r="G404" s="9" t="n">
        <v>5021</v>
      </c>
      <c r="H404" s="9" t="inlineStr">
        <is>
          <t>MOD-EH: 13.8 kV modular collector e-house</t>
        </is>
      </c>
      <c r="I404" s="9" t="inlineStr">
        <is>
          <t>MV 15 kV</t>
        </is>
      </c>
      <c r="J404" s="9" t="inlineStr">
        <is>
          <t>1000 kcmil</t>
        </is>
      </c>
      <c r="K404" s="9" t="n">
        <v>10</v>
      </c>
    </row>
    <row r="405">
      <c r="A405" s="9" t="inlineStr">
        <is>
          <t>T-MOD-2: 13.8/230 kV</t>
        </is>
      </c>
      <c r="B405" s="9" t="inlineStr">
        <is>
          <t>T-MOD-2</t>
        </is>
      </c>
      <c r="C405" s="9" t="inlineStr">
        <is>
          <t>I</t>
        </is>
      </c>
      <c r="D405" s="9" t="inlineStr">
        <is>
          <t>MOD-EH to T-MOD-2 LV side</t>
        </is>
      </c>
      <c r="E405" s="9" t="n">
        <v>13800</v>
      </c>
      <c r="F405" s="9" t="n">
        <v>120000</v>
      </c>
      <c r="G405" s="9" t="n">
        <v>5021</v>
      </c>
      <c r="H405" s="9" t="inlineStr">
        <is>
          <t>MOD-EH: 13.8 kV modular collector e-house</t>
        </is>
      </c>
      <c r="I405" s="9" t="inlineStr">
        <is>
          <t>MV 15 kV</t>
        </is>
      </c>
      <c r="J405" s="9" t="inlineStr">
        <is>
          <t>1000 kcmil</t>
        </is>
      </c>
      <c r="K405" s="9" t="n">
        <v>10</v>
      </c>
    </row>
    <row r="406">
      <c r="A406" s="9" t="inlineStr">
        <is>
          <t>PAD-LV 480 V paralleling switchboard</t>
        </is>
      </c>
      <c r="B406" s="9" t="inlineStr">
        <is>
          <t>PAD-LV</t>
        </is>
      </c>
      <c r="C406" s="9" t="inlineStr">
        <is>
          <t>I</t>
        </is>
      </c>
      <c r="D406" s="9" t="inlineStr">
        <is>
          <t>GEN-E 480 V to PAD-LV (Type W sets, cam-lock)</t>
        </is>
      </c>
      <c r="E406" s="9" t="n">
        <v>480</v>
      </c>
      <c r="F406" s="9" t="n">
        <v>2000</v>
      </c>
      <c r="G406" s="9" t="n">
        <v>2406</v>
      </c>
      <c r="H406" s="9" t="inlineStr">
        <is>
          <t>GEN-E: enclosed industrial gas genset 2 MW</t>
        </is>
      </c>
      <c r="I406" s="9" t="inlineStr">
        <is>
          <t>Portable LV</t>
        </is>
      </c>
      <c r="J406" s="9" t="inlineStr">
        <is>
          <t>4/0</t>
        </is>
      </c>
      <c r="K406" s="9" t="n">
        <v>8</v>
      </c>
    </row>
    <row r="407">
      <c r="A407" s="9" t="inlineStr">
        <is>
          <t>PAD-LV 480 V paralleling switchboard</t>
        </is>
      </c>
      <c r="B407" s="9" t="inlineStr">
        <is>
          <t>PAD-LV</t>
        </is>
      </c>
      <c r="C407" s="9" t="inlineStr">
        <is>
          <t>I</t>
        </is>
      </c>
      <c r="D407" s="9" t="inlineStr">
        <is>
          <t>GEN-O 480 V to PAD-LV (Type W sets, cam-lock)</t>
        </is>
      </c>
      <c r="E407" s="9" t="n">
        <v>480</v>
      </c>
      <c r="F407" s="9" t="n">
        <v>1000</v>
      </c>
      <c r="G407" s="9" t="n">
        <v>1203</v>
      </c>
      <c r="H407" s="9" t="inlineStr">
        <is>
          <t>GEN-O: open engine-generator skid</t>
        </is>
      </c>
      <c r="I407" s="9" t="inlineStr">
        <is>
          <t>Portable LV</t>
        </is>
      </c>
      <c r="J407" s="9" t="inlineStr">
        <is>
          <t>4/0</t>
        </is>
      </c>
      <c r="K407" s="9" t="n">
        <v>4</v>
      </c>
    </row>
    <row r="408">
      <c r="A408" s="9" t="inlineStr">
        <is>
          <t>GSP-1: generator breaker / protection</t>
        </is>
      </c>
      <c r="B408" s="9" t="inlineStr">
        <is>
          <t>GSP-1</t>
        </is>
      </c>
      <c r="C408" s="9" t="inlineStr">
        <is>
          <t>I</t>
        </is>
      </c>
      <c r="D408" s="9" t="inlineStr">
        <is>
          <t>CONT-1 13.8 kV leads to GSP-1</t>
        </is>
      </c>
      <c r="E408" s="9" t="n">
        <v>13800</v>
      </c>
      <c r="F408" s="9" t="n">
        <v>2000</v>
      </c>
      <c r="G408" s="9" t="n">
        <v>93</v>
      </c>
      <c r="H408" s="9" t="inlineStr">
        <is>
          <t>CONT-1: containerized genset 13.8 kV (40 ft)</t>
        </is>
      </c>
      <c r="I408" s="9" t="inlineStr">
        <is>
          <t>Portable MV</t>
        </is>
      </c>
      <c r="J408" s="9" t="inlineStr">
        <is>
          <t>2</t>
        </is>
      </c>
      <c r="K408" s="9" t="n">
        <v>1</v>
      </c>
    </row>
    <row r="409">
      <c r="A409" s="9" t="inlineStr">
        <is>
          <t>GSP-2: generator breaker / protection</t>
        </is>
      </c>
      <c r="B409" s="9" t="inlineStr">
        <is>
          <t>GSP-2</t>
        </is>
      </c>
      <c r="C409" s="9" t="inlineStr">
        <is>
          <t>I</t>
        </is>
      </c>
      <c r="D409" s="9" t="inlineStr">
        <is>
          <t>CONT-2 13.8 kV leads to GSP-2</t>
        </is>
      </c>
      <c r="E409" s="9" t="n">
        <v>13800</v>
      </c>
      <c r="F409" s="9" t="n">
        <v>2000</v>
      </c>
      <c r="G409" s="9" t="n">
        <v>93</v>
      </c>
      <c r="H409" s="9" t="inlineStr">
        <is>
          <t>CONT-2: containerized genset 13.8 kV (40 ft)</t>
        </is>
      </c>
      <c r="I409" s="9" t="inlineStr">
        <is>
          <t>Portable MV</t>
        </is>
      </c>
      <c r="J409" s="9" t="inlineStr">
        <is>
          <t>2</t>
        </is>
      </c>
      <c r="K409" s="9" t="n">
        <v>1</v>
      </c>
    </row>
    <row r="410">
      <c r="A410" s="9" t="inlineStr">
        <is>
          <t>LB: commissioning load bank (trailer)</t>
        </is>
      </c>
      <c r="B410" s="9" t="inlineStr">
        <is>
          <t>LB</t>
        </is>
      </c>
      <c r="C410" s="9" t="inlineStr">
        <is>
          <t>I</t>
        </is>
      </c>
      <c r="D410" s="9" t="inlineStr">
        <is>
          <t>PIC to commissioning load bank</t>
        </is>
      </c>
      <c r="E410" s="9" t="n">
        <v>13800</v>
      </c>
      <c r="F410" s="9" t="n">
        <v>2000</v>
      </c>
      <c r="G410" s="9" t="n">
        <v>93</v>
      </c>
      <c r="H410" s="9" t="inlineStr">
        <is>
          <t>PIC: portable input cabinet</t>
        </is>
      </c>
      <c r="I410" s="9" t="inlineStr">
        <is>
          <t>Portable MV</t>
        </is>
      </c>
      <c r="J410" s="9" t="inlineStr">
        <is>
          <t>2</t>
        </is>
      </c>
      <c r="K410" s="9" t="n">
        <v>1</v>
      </c>
    </row>
    <row r="411">
      <c r="A411" s="9" t="inlineStr">
        <is>
          <t>PAD-EH 13.8 kV switchgear e-house</t>
        </is>
      </c>
      <c r="B411" s="9" t="inlineStr">
        <is>
          <t>PAD-EH</t>
        </is>
      </c>
      <c r="C411" s="9" t="inlineStr">
        <is>
          <t>I</t>
        </is>
      </c>
      <c r="D411" s="9" t="inlineStr">
        <is>
          <t>GSP-1 to PAD-EH</t>
        </is>
      </c>
      <c r="E411" s="9" t="n">
        <v>13800</v>
      </c>
      <c r="F411" s="9" t="n">
        <v>2000</v>
      </c>
      <c r="G411" s="9" t="n">
        <v>93</v>
      </c>
      <c r="H411" s="9" t="inlineStr">
        <is>
          <t>GSP-1: generator breaker / protection</t>
        </is>
      </c>
      <c r="I411" s="9" t="inlineStr">
        <is>
          <t>Portable MV</t>
        </is>
      </c>
      <c r="J411" s="9" t="inlineStr">
        <is>
          <t>2</t>
        </is>
      </c>
      <c r="K411" s="9" t="n">
        <v>1</v>
      </c>
    </row>
    <row r="412">
      <c r="A412" s="9" t="inlineStr">
        <is>
          <t>PAD-EH 13.8 kV switchgear e-house</t>
        </is>
      </c>
      <c r="B412" s="9" t="inlineStr">
        <is>
          <t>PAD-EH</t>
        </is>
      </c>
      <c r="C412" s="9" t="inlineStr">
        <is>
          <t>I</t>
        </is>
      </c>
      <c r="D412" s="9" t="inlineStr">
        <is>
          <t>GSP-2 to PAD-EH</t>
        </is>
      </c>
      <c r="E412" s="9" t="n">
        <v>13800</v>
      </c>
      <c r="F412" s="9" t="n">
        <v>2000</v>
      </c>
      <c r="G412" s="9" t="n">
        <v>93</v>
      </c>
      <c r="H412" s="9" t="inlineStr">
        <is>
          <t>GSP-2: generator breaker / protection</t>
        </is>
      </c>
      <c r="I412" s="9" t="inlineStr">
        <is>
          <t>Portable MV</t>
        </is>
      </c>
      <c r="J412" s="9" t="inlineStr">
        <is>
          <t>2</t>
        </is>
      </c>
      <c r="K412" s="9" t="n">
        <v>1</v>
      </c>
    </row>
    <row r="413">
      <c r="A413" s="9" t="inlineStr">
        <is>
          <t>PIC: portable input cabinet</t>
        </is>
      </c>
      <c r="B413" s="9" t="inlineStr">
        <is>
          <t>PIC</t>
        </is>
      </c>
      <c r="C413" s="9" t="inlineStr">
        <is>
          <t>I</t>
        </is>
      </c>
      <c r="D413" s="9" t="inlineStr">
        <is>
          <t>MOB-1 13.8 kV to PIC through the C-L01 ramp</t>
        </is>
      </c>
      <c r="E413" s="9" t="n">
        <v>13800</v>
      </c>
      <c r="F413" s="9" t="n">
        <v>2000</v>
      </c>
      <c r="G413" s="9" t="n">
        <v>93</v>
      </c>
      <c r="H413" s="9" t="inlineStr">
        <is>
          <t>MOB-1: trailer genset</t>
        </is>
      </c>
      <c r="I413" s="9" t="inlineStr">
        <is>
          <t>Portable MV</t>
        </is>
      </c>
      <c r="J413" s="9" t="inlineStr">
        <is>
          <t>2</t>
        </is>
      </c>
      <c r="K413" s="9" t="n">
        <v>1</v>
      </c>
    </row>
    <row r="414">
      <c r="A414" s="9" t="inlineStr">
        <is>
          <t>CHW pumps</t>
        </is>
      </c>
      <c r="B414" s="9" t="inlineStr"/>
      <c r="C414" s="9" t="inlineStr">
        <is>
          <t>J</t>
        </is>
      </c>
      <c r="D414" s="9" t="inlineStr">
        <is>
          <t>LV power feeder</t>
        </is>
      </c>
      <c r="E414" s="9" t="n">
        <v>480</v>
      </c>
      <c r="F414" s="9" t="n">
        <v>15</v>
      </c>
      <c r="G414" s="9" t="n">
        <v>21</v>
      </c>
      <c r="H414" s="9" t="inlineStr">
        <is>
          <t>Inlet-chilling e-house / transformer</t>
        </is>
      </c>
      <c r="I414" s="9" t="inlineStr">
        <is>
          <t>LV 600 V</t>
        </is>
      </c>
      <c r="J414" s="9" t="inlineStr">
        <is>
          <t>10</t>
        </is>
      </c>
      <c r="K414" s="9" t="n">
        <v>1</v>
      </c>
    </row>
    <row r="415">
      <c r="A415" s="9" t="inlineStr">
        <is>
          <t>CONDITIONAL: TES chilled-water tank</t>
        </is>
      </c>
      <c r="B415" s="9" t="inlineStr"/>
      <c r="C415" s="9" t="inlineStr">
        <is>
          <t>J</t>
        </is>
      </c>
      <c r="D415" s="9" t="inlineStr">
        <is>
          <t>LV power feeder</t>
        </is>
      </c>
      <c r="E415" s="9" t="n">
        <v>480</v>
      </c>
      <c r="F415" s="9" t="n">
        <v>10</v>
      </c>
      <c r="G415" s="9" t="n">
        <v>14</v>
      </c>
      <c r="H415" s="9" t="inlineStr">
        <is>
          <t>Inlet-chilling e-house / transformer</t>
        </is>
      </c>
      <c r="I415" s="9" t="inlineStr">
        <is>
          <t>LV 600 V</t>
        </is>
      </c>
      <c r="J415" s="9" t="inlineStr">
        <is>
          <t>10</t>
        </is>
      </c>
      <c r="K415" s="9" t="n">
        <v>1</v>
      </c>
    </row>
    <row r="416">
      <c r="A416" s="9" t="inlineStr">
        <is>
          <t>Inlet-chilling tower (12 cells): chiller heat rejection</t>
        </is>
      </c>
      <c r="B416" s="9" t="inlineStr"/>
      <c r="C416" s="9" t="inlineStr">
        <is>
          <t>J</t>
        </is>
      </c>
      <c r="D416" s="9" t="inlineStr">
        <is>
          <t>LV power feeder</t>
        </is>
      </c>
      <c r="E416" s="9" t="n">
        <v>480</v>
      </c>
      <c r="F416" s="9" t="n">
        <v>15</v>
      </c>
      <c r="G416" s="9" t="n">
        <v>21</v>
      </c>
      <c r="H416" s="9" t="inlineStr">
        <is>
          <t>Inlet-chilling e-house / transformer</t>
        </is>
      </c>
      <c r="I416" s="9" t="inlineStr">
        <is>
          <t>LV 600 V</t>
        </is>
      </c>
      <c r="J416" s="9" t="inlineStr">
        <is>
          <t>10</t>
        </is>
      </c>
      <c r="K416" s="9" t="n">
        <v>1</v>
      </c>
    </row>
    <row r="417">
      <c r="A417" s="9" t="inlineStr">
        <is>
          <t>Inlet-chilling e-house / transformer</t>
        </is>
      </c>
      <c r="B417" s="9" t="inlineStr"/>
      <c r="C417" s="9" t="inlineStr">
        <is>
          <t>J</t>
        </is>
      </c>
      <c r="D417" s="9" t="inlineStr">
        <is>
          <t>Inlet-chilling e-house / transformer</t>
        </is>
      </c>
      <c r="E417" s="9" t="n">
        <v>13800</v>
      </c>
      <c r="F417" s="9" t="n">
        <v>12000</v>
      </c>
      <c r="G417" s="9" t="n">
        <v>502</v>
      </c>
      <c r="H417" s="9" t="inlineStr">
        <is>
          <t>R1 SWGR-13.8-1 (11 x 36 in cubicles, 15 kV metal-clad)</t>
        </is>
      </c>
      <c r="I417" s="9" t="inlineStr">
        <is>
          <t>MV 15 kV</t>
        </is>
      </c>
      <c r="J417" s="9" t="inlineStr">
        <is>
          <t>1000 kcmil</t>
        </is>
      </c>
      <c r="K417" s="9" t="n">
        <v>1</v>
      </c>
    </row>
    <row r="418">
      <c r="A418" s="9" t="inlineStr">
        <is>
          <t>CW pumps (inlet chilling)</t>
        </is>
      </c>
      <c r="B418" s="9" t="inlineStr"/>
      <c r="C418" s="9" t="inlineStr">
        <is>
          <t>J</t>
        </is>
      </c>
      <c r="D418" s="9" t="inlineStr">
        <is>
          <t>Inlet-chilling CW pump 1</t>
        </is>
      </c>
      <c r="E418" s="9" t="n">
        <v>4160</v>
      </c>
      <c r="F418" s="9" t="n">
        <v>450</v>
      </c>
      <c r="G418" s="9" t="n">
        <v>69</v>
      </c>
      <c r="H418" s="9" t="inlineStr">
        <is>
          <t>Inlet-chilling e-house / transformer</t>
        </is>
      </c>
      <c r="I418" s="9" t="inlineStr">
        <is>
          <t>MV 5 kV</t>
        </is>
      </c>
      <c r="J418" s="9" t="inlineStr">
        <is>
          <t>2</t>
        </is>
      </c>
      <c r="K418" s="9" t="n">
        <v>1</v>
      </c>
    </row>
    <row r="419">
      <c r="A419" s="9" t="inlineStr">
        <is>
          <t>CW pumps (inlet chilling)</t>
        </is>
      </c>
      <c r="B419" s="9" t="inlineStr"/>
      <c r="C419" s="9" t="inlineStr">
        <is>
          <t>J</t>
        </is>
      </c>
      <c r="D419" s="9" t="inlineStr">
        <is>
          <t>Inlet-chilling CW pump 2</t>
        </is>
      </c>
      <c r="E419" s="9" t="n">
        <v>4160</v>
      </c>
      <c r="F419" s="9" t="n">
        <v>450</v>
      </c>
      <c r="G419" s="9" t="n">
        <v>69</v>
      </c>
      <c r="H419" s="9" t="inlineStr">
        <is>
          <t>Inlet-chilling e-house / transformer</t>
        </is>
      </c>
      <c r="I419" s="9" t="inlineStr">
        <is>
          <t>MV 5 kV</t>
        </is>
      </c>
      <c r="J419" s="9" t="inlineStr">
        <is>
          <t>2</t>
        </is>
      </c>
      <c r="K419" s="9" t="n">
        <v>1</v>
      </c>
    </row>
    <row r="420">
      <c r="A420" s="9" t="inlineStr">
        <is>
          <t>CW pumps (inlet chilling)</t>
        </is>
      </c>
      <c r="B420" s="9" t="inlineStr"/>
      <c r="C420" s="9" t="inlineStr">
        <is>
          <t>J</t>
        </is>
      </c>
      <c r="D420" s="9" t="inlineStr">
        <is>
          <t>Inlet-chilling CW pump 3</t>
        </is>
      </c>
      <c r="E420" s="9" t="n">
        <v>4160</v>
      </c>
      <c r="F420" s="9" t="n">
        <v>450</v>
      </c>
      <c r="G420" s="9" t="n">
        <v>69</v>
      </c>
      <c r="H420" s="9" t="inlineStr">
        <is>
          <t>Inlet-chilling e-house / transformer</t>
        </is>
      </c>
      <c r="I420" s="9" t="inlineStr">
        <is>
          <t>MV 5 kV</t>
        </is>
      </c>
      <c r="J420" s="9" t="inlineStr">
        <is>
          <t>2</t>
        </is>
      </c>
      <c r="K420" s="9" t="n">
        <v>1</v>
      </c>
    </row>
    <row r="421">
      <c r="A421" s="9" t="inlineStr">
        <is>
          <t>CW pumps (inlet chilling)</t>
        </is>
      </c>
      <c r="B421" s="9" t="inlineStr"/>
      <c r="C421" s="9" t="inlineStr">
        <is>
          <t>J</t>
        </is>
      </c>
      <c r="D421" s="9" t="inlineStr">
        <is>
          <t>Inlet-chilling CW pump 4</t>
        </is>
      </c>
      <c r="E421" s="9" t="n">
        <v>4160</v>
      </c>
      <c r="F421" s="9" t="n">
        <v>450</v>
      </c>
      <c r="G421" s="9" t="n">
        <v>69</v>
      </c>
      <c r="H421" s="9" t="inlineStr">
        <is>
          <t>Inlet-chilling e-house / transformer</t>
        </is>
      </c>
      <c r="I421" s="9" t="inlineStr">
        <is>
          <t>MV 5 kV</t>
        </is>
      </c>
      <c r="J421" s="9" t="inlineStr">
        <is>
          <t>2</t>
        </is>
      </c>
      <c r="K421" s="9" t="n">
        <v>1</v>
      </c>
    </row>
    <row r="422">
      <c r="A422" s="9" t="inlineStr">
        <is>
          <t>Chillers x6 (water-cooled)</t>
        </is>
      </c>
      <c r="B422" s="9" t="inlineStr"/>
      <c r="C422" s="9" t="inlineStr">
        <is>
          <t>J</t>
        </is>
      </c>
      <c r="D422" s="9" t="inlineStr">
        <is>
          <t>Water-cooled chiller CH-1</t>
        </is>
      </c>
      <c r="E422" s="9" t="n">
        <v>4160</v>
      </c>
      <c r="F422" s="9" t="n">
        <v>1500</v>
      </c>
      <c r="G422" s="9" t="n">
        <v>231</v>
      </c>
      <c r="H422" s="9" t="inlineStr">
        <is>
          <t>Inlet-chilling e-house / transformer</t>
        </is>
      </c>
      <c r="I422" s="9" t="inlineStr">
        <is>
          <t>MV 5 kV</t>
        </is>
      </c>
      <c r="J422" s="9" t="inlineStr">
        <is>
          <t>250 kcmil</t>
        </is>
      </c>
      <c r="K422" s="9" t="n">
        <v>1</v>
      </c>
    </row>
    <row r="423">
      <c r="A423" s="9" t="inlineStr">
        <is>
          <t>Chillers x6 (water-cooled)</t>
        </is>
      </c>
      <c r="B423" s="9" t="inlineStr"/>
      <c r="C423" s="9" t="inlineStr">
        <is>
          <t>J</t>
        </is>
      </c>
      <c r="D423" s="9" t="inlineStr">
        <is>
          <t>Water-cooled chiller CH-2</t>
        </is>
      </c>
      <c r="E423" s="9" t="n">
        <v>4160</v>
      </c>
      <c r="F423" s="9" t="n">
        <v>1500</v>
      </c>
      <c r="G423" s="9" t="n">
        <v>231</v>
      </c>
      <c r="H423" s="9" t="inlineStr">
        <is>
          <t>Inlet-chilling e-house / transformer</t>
        </is>
      </c>
      <c r="I423" s="9" t="inlineStr">
        <is>
          <t>MV 5 kV</t>
        </is>
      </c>
      <c r="J423" s="9" t="inlineStr">
        <is>
          <t>250 kcmil</t>
        </is>
      </c>
      <c r="K423" s="9" t="n">
        <v>1</v>
      </c>
    </row>
    <row r="424">
      <c r="A424" s="9" t="inlineStr">
        <is>
          <t>Chillers x6 (water-cooled)</t>
        </is>
      </c>
      <c r="B424" s="9" t="inlineStr"/>
      <c r="C424" s="9" t="inlineStr">
        <is>
          <t>J</t>
        </is>
      </c>
      <c r="D424" s="9" t="inlineStr">
        <is>
          <t>Water-cooled chiller CH-3</t>
        </is>
      </c>
      <c r="E424" s="9" t="n">
        <v>4160</v>
      </c>
      <c r="F424" s="9" t="n">
        <v>1500</v>
      </c>
      <c r="G424" s="9" t="n">
        <v>231</v>
      </c>
      <c r="H424" s="9" t="inlineStr">
        <is>
          <t>Inlet-chilling e-house / transformer</t>
        </is>
      </c>
      <c r="I424" s="9" t="inlineStr">
        <is>
          <t>MV 5 kV</t>
        </is>
      </c>
      <c r="J424" s="9" t="inlineStr">
        <is>
          <t>250 kcmil</t>
        </is>
      </c>
      <c r="K424" s="9" t="n">
        <v>1</v>
      </c>
    </row>
    <row r="425">
      <c r="A425" s="9" t="inlineStr">
        <is>
          <t>Chillers x6 (water-cooled)</t>
        </is>
      </c>
      <c r="B425" s="9" t="inlineStr"/>
      <c r="C425" s="9" t="inlineStr">
        <is>
          <t>J</t>
        </is>
      </c>
      <c r="D425" s="9" t="inlineStr">
        <is>
          <t>Water-cooled chiller CH-4</t>
        </is>
      </c>
      <c r="E425" s="9" t="n">
        <v>4160</v>
      </c>
      <c r="F425" s="9" t="n">
        <v>1500</v>
      </c>
      <c r="G425" s="9" t="n">
        <v>231</v>
      </c>
      <c r="H425" s="9" t="inlineStr">
        <is>
          <t>Inlet-chilling e-house / transformer</t>
        </is>
      </c>
      <c r="I425" s="9" t="inlineStr">
        <is>
          <t>MV 5 kV</t>
        </is>
      </c>
      <c r="J425" s="9" t="inlineStr">
        <is>
          <t>250 kcmil</t>
        </is>
      </c>
      <c r="K425" s="9" t="n">
        <v>1</v>
      </c>
    </row>
    <row r="426">
      <c r="A426" s="9" t="inlineStr">
        <is>
          <t>Chillers x6 (water-cooled)</t>
        </is>
      </c>
      <c r="B426" s="9" t="inlineStr"/>
      <c r="C426" s="9" t="inlineStr">
        <is>
          <t>J</t>
        </is>
      </c>
      <c r="D426" s="9" t="inlineStr">
        <is>
          <t>Water-cooled chiller CH-5</t>
        </is>
      </c>
      <c r="E426" s="9" t="n">
        <v>4160</v>
      </c>
      <c r="F426" s="9" t="n">
        <v>1500</v>
      </c>
      <c r="G426" s="9" t="n">
        <v>231</v>
      </c>
      <c r="H426" s="9" t="inlineStr">
        <is>
          <t>Inlet-chilling e-house / transformer</t>
        </is>
      </c>
      <c r="I426" s="9" t="inlineStr">
        <is>
          <t>MV 5 kV</t>
        </is>
      </c>
      <c r="J426" s="9" t="inlineStr">
        <is>
          <t>250 kcmil</t>
        </is>
      </c>
      <c r="K426" s="9" t="n">
        <v>1</v>
      </c>
    </row>
    <row r="427">
      <c r="A427" s="9" t="inlineStr">
        <is>
          <t>Chillers x6 (water-cooled)</t>
        </is>
      </c>
      <c r="B427" s="9" t="inlineStr"/>
      <c r="C427" s="9" t="inlineStr">
        <is>
          <t>J</t>
        </is>
      </c>
      <c r="D427" s="9" t="inlineStr">
        <is>
          <t>Water-cooled chiller CH-6</t>
        </is>
      </c>
      <c r="E427" s="9" t="n">
        <v>4160</v>
      </c>
      <c r="F427" s="9" t="n">
        <v>1500</v>
      </c>
      <c r="G427" s="9" t="n">
        <v>231</v>
      </c>
      <c r="H427" s="9" t="inlineStr">
        <is>
          <t>Inlet-chilling e-house / transformer</t>
        </is>
      </c>
      <c r="I427" s="9" t="inlineStr">
        <is>
          <t>MV 5 kV</t>
        </is>
      </c>
      <c r="J427" s="9" t="inlineStr">
        <is>
          <t>250 kcmil</t>
        </is>
      </c>
      <c r="K427" s="9" t="n">
        <v>1</v>
      </c>
    </row>
    <row r="428">
      <c r="A428" s="9" t="inlineStr">
        <is>
          <t>H2 20: 13.8 kV e-house</t>
        </is>
      </c>
      <c r="B428" s="9" t="inlineStr"/>
      <c r="C428" s="9" t="inlineStr">
        <is>
          <t>K</t>
        </is>
      </c>
      <c r="D428" s="9" t="inlineStr">
        <is>
          <t>LV panel / distribution feeder</t>
        </is>
      </c>
      <c r="E428" s="9" t="n">
        <v>480</v>
      </c>
      <c r="F428" s="9" t="n">
        <v>30</v>
      </c>
      <c r="G428" s="9" t="n">
        <v>42</v>
      </c>
      <c r="H428" s="9" t="inlineStr">
        <is>
          <t>H2 20: 13.8 kV e-house</t>
        </is>
      </c>
      <c r="I428" s="9" t="inlineStr">
        <is>
          <t>LV 600 V</t>
        </is>
      </c>
      <c r="J428" s="9" t="inlineStr">
        <is>
          <t>6</t>
        </is>
      </c>
      <c r="K428" s="9" t="n">
        <v>1</v>
      </c>
    </row>
    <row r="429">
      <c r="A429" s="9" t="inlineStr">
        <is>
          <t>H2 23: dry coolers</t>
        </is>
      </c>
      <c r="B429" s="9" t="inlineStr"/>
      <c r="C429" s="9" t="inlineStr">
        <is>
          <t>K</t>
        </is>
      </c>
      <c r="D429" s="9" t="inlineStr">
        <is>
          <t>LV power feeder</t>
        </is>
      </c>
      <c r="E429" s="9" t="n">
        <v>480</v>
      </c>
      <c r="F429" s="9" t="n">
        <v>15</v>
      </c>
      <c r="G429" s="9" t="n">
        <v>21</v>
      </c>
      <c r="H429" s="9" t="inlineStr">
        <is>
          <t>H2 20: 13.8 kV e-house</t>
        </is>
      </c>
      <c r="I429" s="9" t="inlineStr">
        <is>
          <t>LV 600 V</t>
        </is>
      </c>
      <c r="J429" s="9" t="inlineStr">
        <is>
          <t>10</t>
        </is>
      </c>
      <c r="K429" s="9" t="n">
        <v>1</v>
      </c>
    </row>
    <row r="430">
      <c r="A430" s="9" t="inlineStr">
        <is>
          <t>H2 24: water purification (RO / EDI)</t>
        </is>
      </c>
      <c r="B430" s="9" t="inlineStr"/>
      <c r="C430" s="9" t="inlineStr">
        <is>
          <t>K</t>
        </is>
      </c>
      <c r="D430" s="9" t="inlineStr">
        <is>
          <t>LV power feeder</t>
        </is>
      </c>
      <c r="E430" s="9" t="n">
        <v>480</v>
      </c>
      <c r="F430" s="9" t="n">
        <v>15</v>
      </c>
      <c r="G430" s="9" t="n">
        <v>21</v>
      </c>
      <c r="H430" s="9" t="inlineStr">
        <is>
          <t>H2 20: 13.8 kV e-house</t>
        </is>
      </c>
      <c r="I430" s="9" t="inlineStr">
        <is>
          <t>LV 600 V</t>
        </is>
      </c>
      <c r="J430" s="9" t="inlineStr">
        <is>
          <t>10</t>
        </is>
      </c>
      <c r="K430" s="9" t="n">
        <v>1</v>
      </c>
    </row>
    <row r="431">
      <c r="A431" s="9" t="inlineStr">
        <is>
          <t>H2 25: H2 dryer / purification</t>
        </is>
      </c>
      <c r="B431" s="9" t="inlineStr"/>
      <c r="C431" s="9" t="inlineStr">
        <is>
          <t>K</t>
        </is>
      </c>
      <c r="D431" s="9" t="inlineStr">
        <is>
          <t>LV power feeder</t>
        </is>
      </c>
      <c r="E431" s="9" t="n">
        <v>480</v>
      </c>
      <c r="F431" s="9" t="n">
        <v>15</v>
      </c>
      <c r="G431" s="9" t="n">
        <v>21</v>
      </c>
      <c r="H431" s="9" t="inlineStr">
        <is>
          <t>H2 20: 13.8 kV e-house</t>
        </is>
      </c>
      <c r="I431" s="9" t="inlineStr">
        <is>
          <t>LV 600 V</t>
        </is>
      </c>
      <c r="J431" s="9" t="inlineStr">
        <is>
          <t>10</t>
        </is>
      </c>
      <c r="K431" s="9" t="n">
        <v>1</v>
      </c>
    </row>
    <row r="432">
      <c r="A432" s="9" t="inlineStr">
        <is>
          <t>H2 26: H2 compressor 1 (40 ft ISO)</t>
        </is>
      </c>
      <c r="B432" s="9" t="inlineStr"/>
      <c r="C432" s="9" t="inlineStr">
        <is>
          <t>K</t>
        </is>
      </c>
      <c r="D432" s="9" t="inlineStr">
        <is>
          <t>LV power feeder</t>
        </is>
      </c>
      <c r="E432" s="9" t="n">
        <v>480</v>
      </c>
      <c r="F432" s="9" t="n">
        <v>15</v>
      </c>
      <c r="G432" s="9" t="n">
        <v>21</v>
      </c>
      <c r="H432" s="9" t="inlineStr">
        <is>
          <t>H2 20: 13.8 kV e-house</t>
        </is>
      </c>
      <c r="I432" s="9" t="inlineStr">
        <is>
          <t>LV 600 V</t>
        </is>
      </c>
      <c r="J432" s="9" t="inlineStr">
        <is>
          <t>10</t>
        </is>
      </c>
      <c r="K432" s="9" t="n">
        <v>1</v>
      </c>
    </row>
    <row r="433">
      <c r="A433" s="9" t="inlineStr">
        <is>
          <t>H2 26: H2 compressor 2 (40 ft ISO)</t>
        </is>
      </c>
      <c r="B433" s="9" t="inlineStr"/>
      <c r="C433" s="9" t="inlineStr">
        <is>
          <t>K</t>
        </is>
      </c>
      <c r="D433" s="9" t="inlineStr">
        <is>
          <t>LV power feeder</t>
        </is>
      </c>
      <c r="E433" s="9" t="n">
        <v>480</v>
      </c>
      <c r="F433" s="9" t="n">
        <v>15</v>
      </c>
      <c r="G433" s="9" t="n">
        <v>21</v>
      </c>
      <c r="H433" s="9" t="inlineStr">
        <is>
          <t>H2 20: 13.8 kV e-house</t>
        </is>
      </c>
      <c r="I433" s="9" t="inlineStr">
        <is>
          <t>LV 600 V</t>
        </is>
      </c>
      <c r="J433" s="9" t="inlineStr">
        <is>
          <t>10</t>
        </is>
      </c>
      <c r="K433" s="9" t="n">
        <v>1</v>
      </c>
    </row>
    <row r="434">
      <c r="A434" s="9" t="inlineStr">
        <is>
          <t>H2 30: H2 / gas blending skid (plant gas yard)</t>
        </is>
      </c>
      <c r="B434" s="9" t="inlineStr"/>
      <c r="C434" s="9" t="inlineStr">
        <is>
          <t>K</t>
        </is>
      </c>
      <c r="D434" s="9" t="inlineStr">
        <is>
          <t>LV power feeder</t>
        </is>
      </c>
      <c r="E434" s="9" t="n">
        <v>480</v>
      </c>
      <c r="F434" s="9" t="n">
        <v>15</v>
      </c>
      <c r="G434" s="9" t="n">
        <v>21</v>
      </c>
      <c r="H434" s="9" t="inlineStr">
        <is>
          <t>LNG 17: LNG e-house (13.8 kV / 480 V)</t>
        </is>
      </c>
      <c r="I434" s="9" t="inlineStr">
        <is>
          <t>LV 600 V</t>
        </is>
      </c>
      <c r="J434" s="9" t="inlineStr">
        <is>
          <t>6</t>
        </is>
      </c>
      <c r="K434" s="9" t="n">
        <v>1</v>
      </c>
    </row>
    <row r="435">
      <c r="A435" s="9" t="inlineStr">
        <is>
          <t>H2 storage tube banks x4</t>
        </is>
      </c>
      <c r="B435" s="9" t="inlineStr">
        <is>
          <t>H2-ST</t>
        </is>
      </c>
      <c r="C435" s="9" t="inlineStr">
        <is>
          <t>K</t>
        </is>
      </c>
      <c r="D435" s="9" t="inlineStr">
        <is>
          <t>LV power feeder</t>
        </is>
      </c>
      <c r="E435" s="9" t="n">
        <v>480</v>
      </c>
      <c r="F435" s="9" t="n">
        <v>15</v>
      </c>
      <c r="G435" s="9" t="n">
        <v>21</v>
      </c>
      <c r="H435" s="9" t="inlineStr">
        <is>
          <t>H2 20: 13.8 kV e-house</t>
        </is>
      </c>
      <c r="I435" s="9" t="inlineStr">
        <is>
          <t>LV 600 V</t>
        </is>
      </c>
      <c r="J435" s="9" t="inlineStr">
        <is>
          <t>10</t>
        </is>
      </c>
      <c r="K435" s="9" t="n">
        <v>1</v>
      </c>
    </row>
    <row r="436">
      <c r="A436" s="9" t="inlineStr">
        <is>
          <t>LNG 10: unloading skid</t>
        </is>
      </c>
      <c r="B436" s="9" t="inlineStr"/>
      <c r="C436" s="9" t="inlineStr">
        <is>
          <t>K</t>
        </is>
      </c>
      <c r="D436" s="9" t="inlineStr">
        <is>
          <t>LV power feeder</t>
        </is>
      </c>
      <c r="E436" s="9" t="n">
        <v>480</v>
      </c>
      <c r="F436" s="9" t="n">
        <v>15</v>
      </c>
      <c r="G436" s="9" t="n">
        <v>21</v>
      </c>
      <c r="H436" s="9" t="inlineStr">
        <is>
          <t>LNG 17: LNG e-house (13.8 kV / 480 V)</t>
        </is>
      </c>
      <c r="I436" s="9" t="inlineStr">
        <is>
          <t>LV 600 V</t>
        </is>
      </c>
      <c r="J436" s="9" t="inlineStr">
        <is>
          <t>10</t>
        </is>
      </c>
      <c r="K436" s="9" t="n">
        <v>1</v>
      </c>
    </row>
    <row r="437">
      <c r="A437" s="9" t="inlineStr">
        <is>
          <t>LNG 11: tank 1, Chart HS 50000 (51,780 gal)</t>
        </is>
      </c>
      <c r="B437" s="9" t="inlineStr">
        <is>
          <t>LNG-T1</t>
        </is>
      </c>
      <c r="C437" s="9" t="inlineStr">
        <is>
          <t>K</t>
        </is>
      </c>
      <c r="D437" s="9" t="inlineStr">
        <is>
          <t>LV power feeder</t>
        </is>
      </c>
      <c r="E437" s="9" t="n">
        <v>480</v>
      </c>
      <c r="F437" s="9" t="n">
        <v>10</v>
      </c>
      <c r="G437" s="9" t="n">
        <v>14</v>
      </c>
      <c r="H437" s="9" t="inlineStr">
        <is>
          <t>LNG 17: LNG e-house (13.8 kV / 480 V)</t>
        </is>
      </c>
      <c r="I437" s="9" t="inlineStr">
        <is>
          <t>LV 600 V</t>
        </is>
      </c>
      <c r="J437" s="9" t="inlineStr">
        <is>
          <t>10</t>
        </is>
      </c>
      <c r="K437" s="9" t="n">
        <v>1</v>
      </c>
    </row>
    <row r="438">
      <c r="A438" s="9" t="inlineStr">
        <is>
          <t>LNG 11: tank 2, Chart HS 50000 (51,780 gal)</t>
        </is>
      </c>
      <c r="B438" s="9" t="inlineStr">
        <is>
          <t>LNG-T2</t>
        </is>
      </c>
      <c r="C438" s="9" t="inlineStr">
        <is>
          <t>K</t>
        </is>
      </c>
      <c r="D438" s="9" t="inlineStr">
        <is>
          <t>LV power feeder</t>
        </is>
      </c>
      <c r="E438" s="9" t="n">
        <v>480</v>
      </c>
      <c r="F438" s="9" t="n">
        <v>10</v>
      </c>
      <c r="G438" s="9" t="n">
        <v>14</v>
      </c>
      <c r="H438" s="9" t="inlineStr">
        <is>
          <t>LNG 17: LNG e-house (13.8 kV / 480 V)</t>
        </is>
      </c>
      <c r="I438" s="9" t="inlineStr">
        <is>
          <t>LV 600 V</t>
        </is>
      </c>
      <c r="J438" s="9" t="inlineStr">
        <is>
          <t>10</t>
        </is>
      </c>
      <c r="K438" s="9" t="n">
        <v>1</v>
      </c>
    </row>
    <row r="439">
      <c r="A439" s="9" t="inlineStr">
        <is>
          <t>LNG 11: tank 3, Chart HS 50000 (51,780 gal)</t>
        </is>
      </c>
      <c r="B439" s="9" t="inlineStr">
        <is>
          <t>LNG-T3</t>
        </is>
      </c>
      <c r="C439" s="9" t="inlineStr">
        <is>
          <t>K</t>
        </is>
      </c>
      <c r="D439" s="9" t="inlineStr">
        <is>
          <t>LV power feeder</t>
        </is>
      </c>
      <c r="E439" s="9" t="n">
        <v>480</v>
      </c>
      <c r="F439" s="9" t="n">
        <v>10</v>
      </c>
      <c r="G439" s="9" t="n">
        <v>14</v>
      </c>
      <c r="H439" s="9" t="inlineStr">
        <is>
          <t>LNG 17: LNG e-house (13.8 kV / 480 V)</t>
        </is>
      </c>
      <c r="I439" s="9" t="inlineStr">
        <is>
          <t>LV 600 V</t>
        </is>
      </c>
      <c r="J439" s="9" t="inlineStr">
        <is>
          <t>10</t>
        </is>
      </c>
      <c r="K439" s="9" t="n">
        <v>1</v>
      </c>
    </row>
    <row r="440">
      <c r="A440" s="9" t="inlineStr">
        <is>
          <t>LNG 11: tank 4, Chart HS 50000 (51,780 gal)</t>
        </is>
      </c>
      <c r="B440" s="9" t="inlineStr">
        <is>
          <t>LNG-T4</t>
        </is>
      </c>
      <c r="C440" s="9" t="inlineStr">
        <is>
          <t>K</t>
        </is>
      </c>
      <c r="D440" s="9" t="inlineStr">
        <is>
          <t>LV power feeder</t>
        </is>
      </c>
      <c r="E440" s="9" t="n">
        <v>480</v>
      </c>
      <c r="F440" s="9" t="n">
        <v>10</v>
      </c>
      <c r="G440" s="9" t="n">
        <v>14</v>
      </c>
      <c r="H440" s="9" t="inlineStr">
        <is>
          <t>LNG 17: LNG e-house (13.8 kV / 480 V)</t>
        </is>
      </c>
      <c r="I440" s="9" t="inlineStr">
        <is>
          <t>LV 600 V</t>
        </is>
      </c>
      <c r="J440" s="9" t="inlineStr">
        <is>
          <t>10</t>
        </is>
      </c>
      <c r="K440" s="9" t="n">
        <v>1</v>
      </c>
    </row>
    <row r="441">
      <c r="A441" s="9" t="inlineStr">
        <is>
          <t>LNG 11: tank 5, Chart HS 50000 (51,780 gal)</t>
        </is>
      </c>
      <c r="B441" s="9" t="inlineStr">
        <is>
          <t>LNG-T5</t>
        </is>
      </c>
      <c r="C441" s="9" t="inlineStr">
        <is>
          <t>K</t>
        </is>
      </c>
      <c r="D441" s="9" t="inlineStr">
        <is>
          <t>LV power feeder</t>
        </is>
      </c>
      <c r="E441" s="9" t="n">
        <v>480</v>
      </c>
      <c r="F441" s="9" t="n">
        <v>10</v>
      </c>
      <c r="G441" s="9" t="n">
        <v>14</v>
      </c>
      <c r="H441" s="9" t="inlineStr">
        <is>
          <t>LNG 17: LNG e-house (13.8 kV / 480 V)</t>
        </is>
      </c>
      <c r="I441" s="9" t="inlineStr">
        <is>
          <t>LV 600 V</t>
        </is>
      </c>
      <c r="J441" s="9" t="inlineStr">
        <is>
          <t>10</t>
        </is>
      </c>
      <c r="K441" s="9" t="n">
        <v>1</v>
      </c>
    </row>
    <row r="442">
      <c r="A442" s="9" t="inlineStr">
        <is>
          <t>LNG 11: tank 6, Chart HS 50000 (51,780 gal)</t>
        </is>
      </c>
      <c r="B442" s="9" t="inlineStr">
        <is>
          <t>LNG-T6</t>
        </is>
      </c>
      <c r="C442" s="9" t="inlineStr">
        <is>
          <t>K</t>
        </is>
      </c>
      <c r="D442" s="9" t="inlineStr">
        <is>
          <t>LV power feeder</t>
        </is>
      </c>
      <c r="E442" s="9" t="n">
        <v>480</v>
      </c>
      <c r="F442" s="9" t="n">
        <v>10</v>
      </c>
      <c r="G442" s="9" t="n">
        <v>14</v>
      </c>
      <c r="H442" s="9" t="inlineStr">
        <is>
          <t>LNG 17: LNG e-house (13.8 kV / 480 V)</t>
        </is>
      </c>
      <c r="I442" s="9" t="inlineStr">
        <is>
          <t>LV 600 V</t>
        </is>
      </c>
      <c r="J442" s="9" t="inlineStr">
        <is>
          <t>10</t>
        </is>
      </c>
      <c r="K442" s="9" t="n">
        <v>1</v>
      </c>
    </row>
    <row r="443">
      <c r="A443" s="9" t="inlineStr">
        <is>
          <t>LNG 11: tank 7, Chart HS 50000 (51,780 gal)</t>
        </is>
      </c>
      <c r="B443" s="9" t="inlineStr">
        <is>
          <t>LNG-T7</t>
        </is>
      </c>
      <c r="C443" s="9" t="inlineStr">
        <is>
          <t>K</t>
        </is>
      </c>
      <c r="D443" s="9" t="inlineStr">
        <is>
          <t>LV power feeder</t>
        </is>
      </c>
      <c r="E443" s="9" t="n">
        <v>480</v>
      </c>
      <c r="F443" s="9" t="n">
        <v>10</v>
      </c>
      <c r="G443" s="9" t="n">
        <v>14</v>
      </c>
      <c r="H443" s="9" t="inlineStr">
        <is>
          <t>LNG 17: LNG e-house (13.8 kV / 480 V)</t>
        </is>
      </c>
      <c r="I443" s="9" t="inlineStr">
        <is>
          <t>LV 600 V</t>
        </is>
      </c>
      <c r="J443" s="9" t="inlineStr">
        <is>
          <t>10</t>
        </is>
      </c>
      <c r="K443" s="9" t="n">
        <v>1</v>
      </c>
    </row>
    <row r="444">
      <c r="A444" s="9" t="inlineStr">
        <is>
          <t>LNG 11: tank 8, Chart HS 50000 (51,780 gal)</t>
        </is>
      </c>
      <c r="B444" s="9" t="inlineStr">
        <is>
          <t>LNG-T8</t>
        </is>
      </c>
      <c r="C444" s="9" t="inlineStr">
        <is>
          <t>K</t>
        </is>
      </c>
      <c r="D444" s="9" t="inlineStr">
        <is>
          <t>LV power feeder</t>
        </is>
      </c>
      <c r="E444" s="9" t="n">
        <v>480</v>
      </c>
      <c r="F444" s="9" t="n">
        <v>10</v>
      </c>
      <c r="G444" s="9" t="n">
        <v>14</v>
      </c>
      <c r="H444" s="9" t="inlineStr">
        <is>
          <t>LNG 17: LNG e-house (13.8 kV / 480 V)</t>
        </is>
      </c>
      <c r="I444" s="9" t="inlineStr">
        <is>
          <t>LV 600 V</t>
        </is>
      </c>
      <c r="J444" s="9" t="inlineStr">
        <is>
          <t>10</t>
        </is>
      </c>
      <c r="K444" s="9" t="n">
        <v>1</v>
      </c>
    </row>
    <row r="445">
      <c r="A445" s="9" t="inlineStr">
        <is>
          <t>LNG 13: send-out pumps 2 x 100%</t>
        </is>
      </c>
      <c r="B445" s="9" t="inlineStr"/>
      <c r="C445" s="9" t="inlineStr">
        <is>
          <t>K</t>
        </is>
      </c>
      <c r="D445" s="9" t="inlineStr">
        <is>
          <t>LV power feeder</t>
        </is>
      </c>
      <c r="E445" s="9" t="n">
        <v>480</v>
      </c>
      <c r="F445" s="9" t="n">
        <v>15</v>
      </c>
      <c r="G445" s="9" t="n">
        <v>21</v>
      </c>
      <c r="H445" s="9" t="inlineStr">
        <is>
          <t>LNG 17: LNG e-house (13.8 kV / 480 V)</t>
        </is>
      </c>
      <c r="I445" s="9" t="inlineStr">
        <is>
          <t>LV 600 V</t>
        </is>
      </c>
      <c r="J445" s="9" t="inlineStr">
        <is>
          <t>10</t>
        </is>
      </c>
      <c r="K445" s="9" t="n">
        <v>1</v>
      </c>
    </row>
    <row r="446">
      <c r="A446" s="9" t="inlineStr">
        <is>
          <t>LNG 14: vaporizers + glycol heater</t>
        </is>
      </c>
      <c r="B446" s="9" t="inlineStr"/>
      <c r="C446" s="9" t="inlineStr">
        <is>
          <t>K</t>
        </is>
      </c>
      <c r="D446" s="9" t="inlineStr">
        <is>
          <t>LV power feeder</t>
        </is>
      </c>
      <c r="E446" s="9" t="n">
        <v>480</v>
      </c>
      <c r="F446" s="9" t="n">
        <v>15</v>
      </c>
      <c r="G446" s="9" t="n">
        <v>21</v>
      </c>
      <c r="H446" s="9" t="inlineStr">
        <is>
          <t>LNG 17: LNG e-house (13.8 kV / 480 V)</t>
        </is>
      </c>
      <c r="I446" s="9" t="inlineStr">
        <is>
          <t>LV 600 V</t>
        </is>
      </c>
      <c r="J446" s="9" t="inlineStr">
        <is>
          <t>10</t>
        </is>
      </c>
      <c r="K446" s="9" t="n">
        <v>1</v>
      </c>
    </row>
    <row r="447">
      <c r="A447" s="9" t="inlineStr">
        <is>
          <t>LNG 16: send-out metering + pressure control</t>
        </is>
      </c>
      <c r="B447" s="9" t="inlineStr"/>
      <c r="C447" s="9" t="inlineStr">
        <is>
          <t>K</t>
        </is>
      </c>
      <c r="D447" s="9" t="inlineStr">
        <is>
          <t>LV power feeder</t>
        </is>
      </c>
      <c r="E447" s="9" t="n">
        <v>480</v>
      </c>
      <c r="F447" s="9" t="n">
        <v>15</v>
      </c>
      <c r="G447" s="9" t="n">
        <v>21</v>
      </c>
      <c r="H447" s="9" t="inlineStr">
        <is>
          <t>LNG 17: LNG e-house (13.8 kV / 480 V)</t>
        </is>
      </c>
      <c r="I447" s="9" t="inlineStr">
        <is>
          <t>LV 600 V</t>
        </is>
      </c>
      <c r="J447" s="9" t="inlineStr">
        <is>
          <t>10</t>
        </is>
      </c>
      <c r="K447" s="9" t="n">
        <v>1</v>
      </c>
    </row>
    <row r="448">
      <c r="A448" s="9" t="inlineStr">
        <is>
          <t>LNG 17: LNG e-house (13.8 kV / 480 V)</t>
        </is>
      </c>
      <c r="B448" s="9" t="inlineStr"/>
      <c r="C448" s="9" t="inlineStr">
        <is>
          <t>K</t>
        </is>
      </c>
      <c r="D448" s="9" t="inlineStr">
        <is>
          <t>LV panel / distribution feeder</t>
        </is>
      </c>
      <c r="E448" s="9" t="n">
        <v>480</v>
      </c>
      <c r="F448" s="9" t="n">
        <v>30</v>
      </c>
      <c r="G448" s="9" t="n">
        <v>42</v>
      </c>
      <c r="H448" s="9" t="inlineStr">
        <is>
          <t>LNG 17: LNG e-house (13.8 kV / 480 V)</t>
        </is>
      </c>
      <c r="I448" s="9" t="inlineStr">
        <is>
          <t>LV 600 V</t>
        </is>
      </c>
      <c r="J448" s="9" t="inlineStr">
        <is>
          <t>6</t>
        </is>
      </c>
      <c r="K448" s="9" t="n">
        <v>1</v>
      </c>
    </row>
    <row r="449">
      <c r="A449" s="9" t="inlineStr">
        <is>
          <t>LNG impoundment sump pump</t>
        </is>
      </c>
      <c r="B449" s="9" t="inlineStr"/>
      <c r="C449" s="9" t="inlineStr">
        <is>
          <t>K</t>
        </is>
      </c>
      <c r="D449" s="9" t="inlineStr">
        <is>
          <t>LV power feeder</t>
        </is>
      </c>
      <c r="E449" s="9" t="n">
        <v>480</v>
      </c>
      <c r="F449" s="9" t="n">
        <v>15</v>
      </c>
      <c r="G449" s="9" t="n">
        <v>21</v>
      </c>
      <c r="H449" s="9" t="inlineStr">
        <is>
          <t>LNG 17: LNG e-house (13.8 kV / 480 V)</t>
        </is>
      </c>
      <c r="I449" s="9" t="inlineStr">
        <is>
          <t>LV 600 V</t>
        </is>
      </c>
      <c r="J449" s="9" t="inlineStr">
        <is>
          <t>8</t>
        </is>
      </c>
      <c r="K449" s="9" t="n">
        <v>1</v>
      </c>
    </row>
    <row r="450">
      <c r="A450" s="9" t="inlineStr">
        <is>
          <t>M&amp;R 2: insulating joint + ESD valve</t>
        </is>
      </c>
      <c r="B450" s="9" t="inlineStr"/>
      <c r="C450" s="9" t="inlineStr">
        <is>
          <t>K</t>
        </is>
      </c>
      <c r="D450" s="9" t="inlineStr">
        <is>
          <t>LV power feeder</t>
        </is>
      </c>
      <c r="E450" s="9" t="n">
        <v>480</v>
      </c>
      <c r="F450" s="9" t="n">
        <v>10</v>
      </c>
      <c r="G450" s="9" t="n">
        <v>14</v>
      </c>
      <c r="H450" s="9" t="inlineStr">
        <is>
          <t>LNG 17: LNG e-house (13.8 kV / 480 V)</t>
        </is>
      </c>
      <c r="I450" s="9" t="inlineStr">
        <is>
          <t>LV 600 V</t>
        </is>
      </c>
      <c r="J450" s="9" t="inlineStr">
        <is>
          <t>10</t>
        </is>
      </c>
      <c r="K450" s="9" t="n">
        <v>1</v>
      </c>
    </row>
    <row r="451">
      <c r="A451" s="9" t="inlineStr">
        <is>
          <t>M&amp;R 3: horizontal filter-separator</t>
        </is>
      </c>
      <c r="B451" s="9" t="inlineStr"/>
      <c r="C451" s="9" t="inlineStr">
        <is>
          <t>K</t>
        </is>
      </c>
      <c r="D451" s="9" t="inlineStr">
        <is>
          <t>LV power feeder</t>
        </is>
      </c>
      <c r="E451" s="9" t="n">
        <v>480</v>
      </c>
      <c r="F451" s="9" t="n">
        <v>15</v>
      </c>
      <c r="G451" s="9" t="n">
        <v>21</v>
      </c>
      <c r="H451" s="9" t="inlineStr">
        <is>
          <t>LNG 17: LNG e-house (13.8 kV / 480 V)</t>
        </is>
      </c>
      <c r="I451" s="9" t="inlineStr">
        <is>
          <t>LV 600 V</t>
        </is>
      </c>
      <c r="J451" s="9" t="inlineStr">
        <is>
          <t>8</t>
        </is>
      </c>
      <c r="K451" s="9" t="n">
        <v>1</v>
      </c>
    </row>
    <row r="452">
      <c r="A452" s="9" t="inlineStr">
        <is>
          <t>M&amp;R 4: line heater 1 (water bath)</t>
        </is>
      </c>
      <c r="B452" s="9" t="inlineStr"/>
      <c r="C452" s="9" t="inlineStr">
        <is>
          <t>K</t>
        </is>
      </c>
      <c r="D452" s="9" t="inlineStr">
        <is>
          <t>LV power feeder</t>
        </is>
      </c>
      <c r="E452" s="9" t="n">
        <v>480</v>
      </c>
      <c r="F452" s="9" t="n">
        <v>15</v>
      </c>
      <c r="G452" s="9" t="n">
        <v>21</v>
      </c>
      <c r="H452" s="9" t="inlineStr">
        <is>
          <t>LNG 17: LNG e-house (13.8 kV / 480 V)</t>
        </is>
      </c>
      <c r="I452" s="9" t="inlineStr">
        <is>
          <t>LV 600 V</t>
        </is>
      </c>
      <c r="J452" s="9" t="inlineStr">
        <is>
          <t>8</t>
        </is>
      </c>
      <c r="K452" s="9" t="n">
        <v>1</v>
      </c>
    </row>
    <row r="453">
      <c r="A453" s="9" t="inlineStr">
        <is>
          <t>M&amp;R 4: line heater 2 (water bath)</t>
        </is>
      </c>
      <c r="B453" s="9" t="inlineStr"/>
      <c r="C453" s="9" t="inlineStr">
        <is>
          <t>K</t>
        </is>
      </c>
      <c r="D453" s="9" t="inlineStr">
        <is>
          <t>LV power feeder</t>
        </is>
      </c>
      <c r="E453" s="9" t="n">
        <v>480</v>
      </c>
      <c r="F453" s="9" t="n">
        <v>15</v>
      </c>
      <c r="G453" s="9" t="n">
        <v>21</v>
      </c>
      <c r="H453" s="9" t="inlineStr">
        <is>
          <t>LNG 17: LNG e-house (13.8 kV / 480 V)</t>
        </is>
      </c>
      <c r="I453" s="9" t="inlineStr">
        <is>
          <t>LV 600 V</t>
        </is>
      </c>
      <c r="J453" s="9" t="inlineStr">
        <is>
          <t>8</t>
        </is>
      </c>
      <c r="K453" s="9" t="n">
        <v>1</v>
      </c>
    </row>
    <row r="454">
      <c r="A454" s="9" t="inlineStr">
        <is>
          <t>M&amp;R 4: line heater 3 (water bath)</t>
        </is>
      </c>
      <c r="B454" s="9" t="inlineStr"/>
      <c r="C454" s="9" t="inlineStr">
        <is>
          <t>K</t>
        </is>
      </c>
      <c r="D454" s="9" t="inlineStr">
        <is>
          <t>LV power feeder</t>
        </is>
      </c>
      <c r="E454" s="9" t="n">
        <v>480</v>
      </c>
      <c r="F454" s="9" t="n">
        <v>15</v>
      </c>
      <c r="G454" s="9" t="n">
        <v>21</v>
      </c>
      <c r="H454" s="9" t="inlineStr">
        <is>
          <t>LNG 17: LNG e-house (13.8 kV / 480 V)</t>
        </is>
      </c>
      <c r="I454" s="9" t="inlineStr">
        <is>
          <t>LV 600 V</t>
        </is>
      </c>
      <c r="J454" s="9" t="inlineStr">
        <is>
          <t>8</t>
        </is>
      </c>
      <c r="K454" s="9" t="n">
        <v>1</v>
      </c>
    </row>
    <row r="455">
      <c r="A455" s="9" t="inlineStr">
        <is>
          <t>M&amp;R 6: regulation / flow control building</t>
        </is>
      </c>
      <c r="B455" s="9" t="inlineStr"/>
      <c r="C455" s="9" t="inlineStr">
        <is>
          <t>K</t>
        </is>
      </c>
      <c r="D455" s="9" t="inlineStr">
        <is>
          <t>LV panel / distribution feeder</t>
        </is>
      </c>
      <c r="E455" s="9" t="n">
        <v>480</v>
      </c>
      <c r="F455" s="9" t="n">
        <v>10</v>
      </c>
      <c r="G455" s="9" t="n">
        <v>14</v>
      </c>
      <c r="H455" s="9" t="inlineStr">
        <is>
          <t>LNG 17: LNG e-house (13.8 kV / 480 V)</t>
        </is>
      </c>
      <c r="I455" s="9" t="inlineStr">
        <is>
          <t>LV 600 V</t>
        </is>
      </c>
      <c r="J455" s="9" t="inlineStr">
        <is>
          <t>10</t>
        </is>
      </c>
      <c r="K455" s="9" t="n">
        <v>1</v>
      </c>
    </row>
    <row r="456">
      <c r="A456" s="9" t="inlineStr">
        <is>
          <t>M&amp;R 7: gas quality + measurement building</t>
        </is>
      </c>
      <c r="B456" s="9" t="inlineStr"/>
      <c r="C456" s="9" t="inlineStr">
        <is>
          <t>K</t>
        </is>
      </c>
      <c r="D456" s="9" t="inlineStr">
        <is>
          <t>LV panel / distribution feeder</t>
        </is>
      </c>
      <c r="E456" s="9" t="n">
        <v>480</v>
      </c>
      <c r="F456" s="9" t="n">
        <v>30</v>
      </c>
      <c r="G456" s="9" t="n">
        <v>42</v>
      </c>
      <c r="H456" s="9" t="inlineStr">
        <is>
          <t>LNG 17: LNG e-house (13.8 kV / 480 V)</t>
        </is>
      </c>
      <c r="I456" s="9" t="inlineStr">
        <is>
          <t>LV 600 V</t>
        </is>
      </c>
      <c r="J456" s="9" t="inlineStr">
        <is>
          <t>4</t>
        </is>
      </c>
      <c r="K456" s="9" t="n">
        <v>1</v>
      </c>
    </row>
    <row r="457">
      <c r="A457" s="9" t="inlineStr">
        <is>
          <t>M&amp;R 8: condensate tank</t>
        </is>
      </c>
      <c r="B457" s="9" t="inlineStr"/>
      <c r="C457" s="9" t="inlineStr">
        <is>
          <t>K</t>
        </is>
      </c>
      <c r="D457" s="9" t="inlineStr">
        <is>
          <t>LV power feeder</t>
        </is>
      </c>
      <c r="E457" s="9" t="n">
        <v>480</v>
      </c>
      <c r="F457" s="9" t="n">
        <v>10</v>
      </c>
      <c r="G457" s="9" t="n">
        <v>14</v>
      </c>
      <c r="H457" s="9" t="inlineStr">
        <is>
          <t>LNG 17: LNG e-house (13.8 kV / 480 V)</t>
        </is>
      </c>
      <c r="I457" s="9" t="inlineStr">
        <is>
          <t>LV 600 V</t>
        </is>
      </c>
      <c r="J457" s="9" t="inlineStr">
        <is>
          <t>10</t>
        </is>
      </c>
      <c r="K457" s="9" t="n">
        <v>1</v>
      </c>
    </row>
    <row r="458">
      <c r="A458" s="9" t="inlineStr">
        <is>
          <t>M&amp;R 9: service panel + UPS, SCADA RTU, CP</t>
        </is>
      </c>
      <c r="B458" s="9" t="inlineStr"/>
      <c r="C458" s="9" t="inlineStr">
        <is>
          <t>K</t>
        </is>
      </c>
      <c r="D458" s="9" t="inlineStr">
        <is>
          <t>LV power feeder</t>
        </is>
      </c>
      <c r="E458" s="9" t="n">
        <v>480</v>
      </c>
      <c r="F458" s="9" t="n">
        <v>15</v>
      </c>
      <c r="G458" s="9" t="n">
        <v>21</v>
      </c>
      <c r="H458" s="9" t="inlineStr">
        <is>
          <t>LNG 17: LNG e-house (13.8 kV / 480 V)</t>
        </is>
      </c>
      <c r="I458" s="9" t="inlineStr">
        <is>
          <t>LV 600 V</t>
        </is>
      </c>
      <c r="J458" s="9" t="inlineStr">
        <is>
          <t>8</t>
        </is>
      </c>
      <c r="K458" s="9" t="n">
        <v>1</v>
      </c>
    </row>
    <row r="459">
      <c r="A459" s="9" t="inlineStr">
        <is>
          <t>M&amp;R CP test station (as drawn)</t>
        </is>
      </c>
      <c r="B459" s="9" t="inlineStr"/>
      <c r="C459" s="9" t="inlineStr">
        <is>
          <t>K</t>
        </is>
      </c>
      <c r="D459" s="9" t="inlineStr">
        <is>
          <t>LV power feeder</t>
        </is>
      </c>
      <c r="E459" s="9" t="n">
        <v>480</v>
      </c>
      <c r="F459" s="9" t="n">
        <v>15</v>
      </c>
      <c r="G459" s="9" t="n">
        <v>21</v>
      </c>
      <c r="H459" s="9" t="inlineStr">
        <is>
          <t>LNG 17: LNG e-house (13.8 kV / 480 V)</t>
        </is>
      </c>
      <c r="I459" s="9" t="inlineStr">
        <is>
          <t>LV 600 V</t>
        </is>
      </c>
      <c r="J459" s="9" t="inlineStr">
        <is>
          <t>8</t>
        </is>
      </c>
      <c r="K459" s="9" t="n">
        <v>1</v>
      </c>
    </row>
    <row r="460">
      <c r="A460" s="9" t="inlineStr">
        <is>
          <t>M&amp;R SCADA antenna mast base (as drawn)</t>
        </is>
      </c>
      <c r="B460" s="9" t="inlineStr"/>
      <c r="C460" s="9" t="inlineStr">
        <is>
          <t>K</t>
        </is>
      </c>
      <c r="D460" s="9" t="inlineStr">
        <is>
          <t>LV power feeder</t>
        </is>
      </c>
      <c r="E460" s="9" t="n">
        <v>480</v>
      </c>
      <c r="F460" s="9" t="n">
        <v>15</v>
      </c>
      <c r="G460" s="9" t="n">
        <v>21</v>
      </c>
      <c r="H460" s="9" t="inlineStr">
        <is>
          <t>LNG 17: LNG e-house (13.8 kV / 480 V)</t>
        </is>
      </c>
      <c r="I460" s="9" t="inlineStr">
        <is>
          <t>LV 600 V</t>
        </is>
      </c>
      <c r="J460" s="9" t="inlineStr">
        <is>
          <t>8</t>
        </is>
      </c>
      <c r="K460" s="9" t="n">
        <v>1</v>
      </c>
    </row>
    <row r="461">
      <c r="A461" s="9" t="inlineStr">
        <is>
          <t>H2 20: 13.8 kV e-house</t>
        </is>
      </c>
      <c r="B461" s="9" t="inlineStr"/>
      <c r="C461" s="9" t="inlineStr">
        <is>
          <t>K</t>
        </is>
      </c>
      <c r="D461" s="9" t="inlineStr">
        <is>
          <t>H2 13.8 kV e-house (electrolyzers)</t>
        </is>
      </c>
      <c r="E461" s="9" t="n">
        <v>13800</v>
      </c>
      <c r="F461" s="9" t="n">
        <v>20000</v>
      </c>
      <c r="G461" s="9" t="n">
        <v>837</v>
      </c>
      <c r="H461" s="9" t="inlineStr">
        <is>
          <t>R1 SWGR-13.8-3 (11 x 36 in cubicles, 15 kV metal-clad)</t>
        </is>
      </c>
      <c r="I461" s="9" t="inlineStr">
        <is>
          <t>MV 15 kV</t>
        </is>
      </c>
      <c r="J461" s="9" t="inlineStr">
        <is>
          <t>750 kcmil</t>
        </is>
      </c>
      <c r="K461" s="9" t="n">
        <v>2</v>
      </c>
    </row>
    <row r="462">
      <c r="A462" s="9" t="inlineStr">
        <is>
          <t>LNG 17: LNG e-house (13.8 kV / 480 V)</t>
        </is>
      </c>
      <c r="B462" s="9" t="inlineStr"/>
      <c r="C462" s="9" t="inlineStr">
        <is>
          <t>K</t>
        </is>
      </c>
      <c r="D462" s="9" t="inlineStr">
        <is>
          <t>LNG e-house</t>
        </is>
      </c>
      <c r="E462" s="9" t="n">
        <v>13800</v>
      </c>
      <c r="F462" s="9" t="n">
        <v>5000</v>
      </c>
      <c r="G462" s="9" t="n">
        <v>209</v>
      </c>
      <c r="H462" s="9" t="inlineStr">
        <is>
          <t>R1 SWGR-13.8-3 (11 x 36 in cubicles, 15 kV metal-clad)</t>
        </is>
      </c>
      <c r="I462" s="9" t="inlineStr">
        <is>
          <t>MV 15 kV</t>
        </is>
      </c>
      <c r="J462" s="9" t="inlineStr">
        <is>
          <t>4/0</t>
        </is>
      </c>
      <c r="K462" s="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2026-10-10T18:17:17Z</dcterms:created>
  <dcterms:modified xsi:type="dcterms:W3CDTF">2026-10-10T18:17:18Z</dcterms:modified>
</cp:coreProperties>
</file>